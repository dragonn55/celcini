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şla" sheetId="1" state="visible" r:id="rId3"/>
    <sheet name="Hareketler" sheetId="2" state="visible" r:id="rId4"/>
    <sheet name="Ay" sheetId="3" state="visible" r:id="rId5"/>
    <sheet name="Yıl" sheetId="4" state="visible" r:id="rId6"/>
    <sheet name="Plan" sheetId="5" state="visible" r:id="rId7"/>
    <sheet name="AI Komutları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<sst xmlns="http://schemas.openxmlformats.org/spreadsheetml/2006/main" count="147" uniqueCount="98">
  <si>
    <t xml:space="preserve">EXCEL KLİNİĞİ</t>
  </si>
  <si>
    <t xml:space="preserve">DİYET  |  Aylık bütçe planı</t>
  </si>
  <si>
    <t xml:space="preserve">Her kategoriye bir sınır koy, harcadıkça yaz; hangi kalemde sınırı aştığını ve ay sonuna kadar günde ne harcayabileceğini gör.</t>
  </si>
  <si>
    <t xml:space="preserve">NASIL KULLANILIR</t>
  </si>
  <si>
    <t xml:space="preserve">1. Plan</t>
  </si>
  <si>
    <t xml:space="preserve">Gelir ve gider kategorilerini, türünü ve aylık plan tutarını yaz. Tür dört seçenekten biridir: Gelir, Sabit gider, Değişken gider, Birikim.</t>
  </si>
  <si>
    <t xml:space="preserve">2. Hareketler</t>
  </si>
  <si>
    <t xml:space="preserve">Para girdikçe ve çıktıkça bir satır yaz: tarih, kategori, tutar.</t>
  </si>
  <si>
    <t xml:space="preserve">3. Ay</t>
  </si>
  <si>
    <t xml:space="preserve">Yılı ve ayı seç. Her kategoride plan, gerçekleşen, fark ve kullanım oranını gör. Sınırı aşan gider kırmızı olur.</t>
  </si>
  <si>
    <t xml:space="preserve">4. Yıl</t>
  </si>
  <si>
    <t xml:space="preserve">On iki ayın gelir, gider, birikim ve kalanını yan yana gör.</t>
  </si>
  <si>
    <t xml:space="preserve">BİLMEN GEREKENLER</t>
  </si>
  <si>
    <t xml:space="preserve">Günlük harcanabilir tutar</t>
  </si>
  <si>
    <t xml:space="preserve">Değişken gider planından bu ay harcadığın düşülür, kalan tutar ay sonuna kadar kalan güne bölünür. Yalnızca içinde bulunduğun ay seçiliyken hesaplanır.</t>
  </si>
  <si>
    <t xml:space="preserve">Tek plan</t>
  </si>
  <si>
    <t xml:space="preserve">Plan tutarı bütün aylar için aynıdır. Ay ay farklı plan tutmaz.</t>
  </si>
  <si>
    <t xml:space="preserve">Kapasite</t>
  </si>
  <si>
    <t xml:space="preserve">40 kategori, 2000 hareket. Kategori adını değiştirirsen eski hareketlerdeki adı da değiştir.</t>
  </si>
  <si>
    <t xml:space="preserve">RENKLER</t>
  </si>
  <si>
    <t xml:space="preserve">Sarı hücre</t>
  </si>
  <si>
    <t xml:space="preserve">Senin dolduracağın hücre. İçindeki örnekleri silip kendi bilgini yaz.</t>
  </si>
  <si>
    <t xml:space="preserve">Beyaz hücre, açık başlık</t>
  </si>
  <si>
    <t xml:space="preserve">Formül. Değiştirme, kendiliğinden hesaplanır.</t>
  </si>
  <si>
    <t xml:space="preserve">Hareketler</t>
  </si>
  <si>
    <t xml:space="preserve">Her gelir, harcama ya da birikim bir satır. Tutarı her zaman artı sayı yaz; türünü kategori belirler.</t>
  </si>
  <si>
    <t xml:space="preserve">Tarih</t>
  </si>
  <si>
    <t xml:space="preserve">Kategori</t>
  </si>
  <si>
    <t xml:space="preserve">Tutar (₺)</t>
  </si>
  <si>
    <t xml:space="preserve">Not</t>
  </si>
  <si>
    <t xml:space="preserve">Tür</t>
  </si>
  <si>
    <t xml:space="preserve">Maaş</t>
  </si>
  <si>
    <t xml:space="preserve">Örnek</t>
  </si>
  <si>
    <t xml:space="preserve">Kira</t>
  </si>
  <si>
    <t xml:space="preserve">Market</t>
  </si>
  <si>
    <t xml:space="preserve">Birikim hesabı</t>
  </si>
  <si>
    <t xml:space="preserve">Ulaşım</t>
  </si>
  <si>
    <t xml:space="preserve">Dışarıda yemek</t>
  </si>
  <si>
    <t xml:space="preserve">Giyim</t>
  </si>
  <si>
    <t xml:space="preserve">Faturalar</t>
  </si>
  <si>
    <t xml:space="preserve">Ek gelir</t>
  </si>
  <si>
    <t xml:space="preserve">Eğlence</t>
  </si>
  <si>
    <t xml:space="preserve">Ay Görünümü</t>
  </si>
  <si>
    <t xml:space="preserve">Yılı ve ayı yaz. Kategori kategori plan, gerçekleşen ve kalan.</t>
  </si>
  <si>
    <t xml:space="preserve">Yıl</t>
  </si>
  <si>
    <t xml:space="preserve">Ay (1-12)</t>
  </si>
  <si>
    <t xml:space="preserve">Gelir</t>
  </si>
  <si>
    <t xml:space="preserve">Sabit gider</t>
  </si>
  <si>
    <t xml:space="preserve">Değişken gider</t>
  </si>
  <si>
    <t xml:space="preserve">Birikim</t>
  </si>
  <si>
    <t xml:space="preserve">Kalan</t>
  </si>
  <si>
    <t xml:space="preserve">Bugünden ay sonuna kadar günde harcayabileceğin (değişken gider planına göre):</t>
  </si>
  <si>
    <t xml:space="preserve">Plan (₺)</t>
  </si>
  <si>
    <t xml:space="preserve">Gerçekleşen (₺)</t>
  </si>
  <si>
    <t xml:space="preserve">Fark (₺)</t>
  </si>
  <si>
    <t xml:space="preserve">Kullanım</t>
  </si>
  <si>
    <t xml:space="preserve">Yıl Görünümü</t>
  </si>
  <si>
    <t xml:space="preserve">Yılı Ay sayfasından değiştir.</t>
  </si>
  <si>
    <t xml:space="preserve">Ay</t>
  </si>
  <si>
    <t xml:space="preserve">Gelir (₺)</t>
  </si>
  <si>
    <t xml:space="preserve">Sabit gider (₺)</t>
  </si>
  <si>
    <t xml:space="preserve">Değişken gider (₺)</t>
  </si>
  <si>
    <t xml:space="preserve">Birikim (₺)</t>
  </si>
  <si>
    <t xml:space="preserve">Kalan (₺)</t>
  </si>
  <si>
    <t xml:space="preserve">Ocak</t>
  </si>
  <si>
    <t xml:space="preserve">Şubat</t>
  </si>
  <si>
    <t xml:space="preserve">Mart</t>
  </si>
  <si>
    <t xml:space="preserve">Nisan</t>
  </si>
  <si>
    <t xml:space="preserve">Mayıs</t>
  </si>
  <si>
    <t xml:space="preserve">Haziran</t>
  </si>
  <si>
    <t xml:space="preserve">Temmuz</t>
  </si>
  <si>
    <t xml:space="preserve">Ağustos</t>
  </si>
  <si>
    <t xml:space="preserve">Eylül</t>
  </si>
  <si>
    <t xml:space="preserve">Ekim</t>
  </si>
  <si>
    <t xml:space="preserve">Kasım</t>
  </si>
  <si>
    <t xml:space="preserve">Aralık</t>
  </si>
  <si>
    <t xml:space="preserve">TOPLAM</t>
  </si>
  <si>
    <t xml:space="preserve">Aylık plan toplamları</t>
  </si>
  <si>
    <t xml:space="preserve">Plan</t>
  </si>
  <si>
    <t xml:space="preserve">Her kategori için türünü ve aylık plan tutarını yaz.</t>
  </si>
  <si>
    <t xml:space="preserve">Aylık plan (₺)</t>
  </si>
  <si>
    <t xml:space="preserve">Yapay Zeka Komutları</t>
  </si>
  <si>
    <t xml:space="preserve">İlgili sayfada başlık satırıyla birlikte kayıtlarını seç, kopyala, kullandığın yapay zeka asistanına yapıştır ve altına komutu ekle.</t>
  </si>
  <si>
    <t xml:space="preserve">Dikkat: Açıklamalardaki kişi adlarını ve hesap numaralarını sil. Yapay zekanın verdiği rakamları dosyadaki özet sayfasıyla karşılaştır.</t>
  </si>
  <si>
    <t xml:space="preserve">Ne için</t>
  </si>
  <si>
    <t xml:space="preserve">Komut (kopyala, yapıştır)</t>
  </si>
  <si>
    <t xml:space="preserve">Sınırı aşanlar</t>
  </si>
  <si>
    <t xml:space="preserve">[Ay sayfasındaki tablo] Planı aşan gider kategorilerini ve aşım tutarını listele. Her biri için gelecek ay uygulanabilir bir öneri ver.</t>
  </si>
  <si>
    <t xml:space="preserve">Gerçekçi plan</t>
  </si>
  <si>
    <t xml:space="preserve">[Yıl sayfası] Son üç ayın gerçekleşen harcamalarına bakarak her değişken gider için daha gerçekçi bir aylık plan öner.</t>
  </si>
  <si>
    <t xml:space="preserve">Birikim hedefi</t>
  </si>
  <si>
    <t xml:space="preserve">[tutar] biriktirmek istiyorum. Mevcut kalan tutarımla bu kaç ay sürer? Süreyi kısaltmak için hangi kalemlerden ne kadar kısmalıyım?</t>
  </si>
  <si>
    <t xml:space="preserve">Haftalık bütçe</t>
  </si>
  <si>
    <t xml:space="preserve">[Plan sayfası] Değişken gider planımı haftalık sınırlara böl ve her hafta için kısa bir kontrol listesi yaz.</t>
  </si>
  <si>
    <t xml:space="preserve">Harcama alışkanlığı</t>
  </si>
  <si>
    <t xml:space="preserve">[Hareketler sayfası] Harcamalarımı haftanın günlerine göre topla. En çok hangi gün ve hangi kategoride harcıyorum?</t>
  </si>
  <si>
    <t xml:space="preserve">Ay sonu özeti</t>
  </si>
  <si>
    <t xml:space="preserve">[Ay sayfası] Bu ayı beş cümleyle özetle: ne iyi gitti, ne kötü gitti, gelecek ay neye dikkat etmeliyim.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</si>
</sst>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\.mm\.yyyy"/>
    <numFmt numFmtId="166" formatCode="#,##0.00&quot; ₺&quot;"/>
    <numFmt numFmtId="167" formatCode="0"/>
    <numFmt numFmtId="168" formatCode="#,##0.00&quot; ₺&quot;;[RED]\-#,##0.00&quot; ₺&quot;;\-"/>
    <numFmt numFmtId="169" formatCode="0%"/>
    <numFmt numFmtId="170" formatCode="#,##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20"/>
      <color rgb="FF1F6F43"/>
      <name val="Arial"/>
      <family val="0"/>
      <charset val="1"/>
    </font>
    <font>
      <sz val="10"/>
      <color rgb="FF475467"/>
      <name val="Arial"/>
      <family val="0"/>
      <charset val="1"/>
    </font>
    <font>
      <b val="true"/>
      <sz val="10"/>
      <color rgb="FF1F6F43"/>
      <name val="Arial"/>
      <family val="0"/>
      <charset val="1"/>
    </font>
    <font>
      <b val="true"/>
      <sz val="10"/>
      <color rgb="FF1B1F23"/>
      <name val="Arial"/>
      <family val="0"/>
      <charset val="1"/>
    </font>
    <font>
      <sz val="10"/>
      <color rgb="FF1B1F23"/>
      <name val="Arial"/>
      <family val="0"/>
      <charset val="1"/>
    </font>
    <font>
      <b val="true"/>
      <sz val="16"/>
      <color rgb="FF1F6F43"/>
      <name val="Arial"/>
      <family val="0"/>
      <charset val="1"/>
    </font>
    <font>
      <i val="true"/>
      <sz val="9"/>
      <color rgb="FF47546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1F23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2"/>
      <color rgb="FF1B1F23"/>
      <name val="Arial"/>
      <family val="0"/>
      <charset val="1"/>
    </font>
    <font>
      <b val="true"/>
      <sz val="11"/>
      <color rgb="FF1F6F43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B42318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6F43"/>
        <bgColor rgb="FF3B8A5E"/>
      </patternFill>
    </fill>
    <fill>
      <patternFill patternType="solid">
        <fgColor rgb="FFE8F5EE"/>
        <bgColor rgb="FFF3F4F6"/>
      </patternFill>
    </fill>
    <fill>
      <patternFill patternType="solid">
        <fgColor rgb="FFFFF9DB"/>
        <bgColor rgb="FFF3F4F6"/>
      </patternFill>
    </fill>
    <fill>
      <patternFill patternType="solid">
        <fgColor rgb="FF3B8A5E"/>
        <bgColor rgb="FF1F6F43"/>
      </patternFill>
    </fill>
    <fill>
      <patternFill patternType="solid">
        <fgColor rgb="FFFFFFFF"/>
        <bgColor rgb="FFF3F4F6"/>
      </patternFill>
    </fill>
    <fill>
      <patternFill patternType="solid">
        <fgColor rgb="FFF3F4F6"/>
        <bgColor rgb="FFE8F5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B42318"/>
      </font>
      <fill>
        <patternFill>
          <bgColor rgb="FFFDE2E0"/>
        </patternFill>
      </fill>
    </dxf>
    <dxf>
      <font>
        <name val="Arial"/>
        <charset val="1"/>
        <family val="0"/>
        <b val="1"/>
        <color rgb="FFB42318"/>
      </font>
    </dxf>
  </dxfs>
  <colors>
    <indexedColors>
      <rgbColor rgb="FF000000"/>
      <rgbColor rgb="FFFFFFFF"/>
      <rgbColor rgb="FFD92D2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43"/>
      <rgbColor rgb="FFD9D9D9"/>
      <rgbColor rgb="FF878787"/>
      <rgbColor rgb="FF9999FF"/>
      <rgbColor rgb="FF993366"/>
      <rgbColor rgb="FFFFF9DB"/>
      <rgbColor rgb="FFE8F5EE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CCFFCC"/>
      <rgbColor rgb="FFFFFF99"/>
      <rgbColor rgb="FF99CCFF"/>
      <rgbColor rgb="FFFF99CC"/>
      <rgbColor rgb="FFCC99FF"/>
      <rgbColor rgb="FFFDE2E0"/>
      <rgbColor rgb="FF3366FF"/>
      <rgbColor rgb="FF33CCCC"/>
      <rgbColor rgb="FF99CC00"/>
      <rgbColor rgb="FFFFCC00"/>
      <rgbColor rgb="FFF79009"/>
      <rgbColor rgb="FFFF6600"/>
      <rgbColor rgb="FF475569"/>
      <rgbColor rgb="FF969696"/>
      <rgbColor rgb="FF003366"/>
      <rgbColor rgb="FF3B8A5E"/>
      <rgbColor rgb="FF003300"/>
      <rgbColor rgb="FF333300"/>
      <rgbColor rgb="FFB42318"/>
      <rgbColor rgb="FF993366"/>
      <rgbColor rgb="FF475467"/>
      <rgbColor rgb="FF1B1F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Aylık gelir, gider ve birikim (₺)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Yıl!C4</c:f>
              <c:strCache>
                <c:ptCount val="1"/>
                <c:pt idx="0">
                  <c:v>Gelir (₺)</c:v>
                </c:pt>
              </c:strCache>
            </c:strRef>
          </c:tx>
          <c:spPr>
            <a:solidFill>
              <a:srgbClr val="1f6f4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Yıl!$B$5:$B$16</c:f>
              <c:strCache>
                <c:ptCount val="12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  <c:pt idx="6">
                  <c:v>Temmuz</c:v>
                </c:pt>
                <c:pt idx="7">
                  <c:v>Ağustos</c:v>
                </c:pt>
                <c:pt idx="8">
                  <c:v>Eylül</c:v>
                </c:pt>
                <c:pt idx="9">
                  <c:v>Ekim</c:v>
                </c:pt>
                <c:pt idx="10">
                  <c:v>Kasım</c:v>
                </c:pt>
                <c:pt idx="11">
                  <c:v>Aralık</c:v>
                </c:pt>
              </c:strCache>
            </c:strRef>
          </c:cat>
          <c:val>
            <c:numRef>
              <c:f>Yıl!$C$5:$C$16</c:f>
              <c:numCache>
                <c:formatCode>#,##0.00" ₺";[RED]\-#,##0.00" ₺";\-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79000</c:v>
                </c:pt>
                <c:pt idx="9">
                  <c:v>75000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Yıl!D4</c:f>
              <c:strCache>
                <c:ptCount val="1"/>
                <c:pt idx="0">
                  <c:v>Sabit gider (₺)</c:v>
                </c:pt>
              </c:strCache>
            </c:strRef>
          </c:tx>
          <c:spPr>
            <a:solidFill>
              <a:srgbClr val="47556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Yıl!$B$5:$B$16</c:f>
              <c:strCache>
                <c:ptCount val="12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  <c:pt idx="6">
                  <c:v>Temmuz</c:v>
                </c:pt>
                <c:pt idx="7">
                  <c:v>Ağustos</c:v>
                </c:pt>
                <c:pt idx="8">
                  <c:v>Eylül</c:v>
                </c:pt>
                <c:pt idx="9">
                  <c:v>Ekim</c:v>
                </c:pt>
                <c:pt idx="10">
                  <c:v>Kasım</c:v>
                </c:pt>
                <c:pt idx="11">
                  <c:v>Aralık</c:v>
                </c:pt>
              </c:strCache>
            </c:strRef>
          </c:cat>
          <c:val>
            <c:numRef>
              <c:f>Yıl!$D$5:$D$16</c:f>
              <c:numCache>
                <c:formatCode>#,##0.00" ₺";[RED]\-#,##0.00" ₺";\-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25300</c:v>
                </c:pt>
                <c:pt idx="9">
                  <c:v>22000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2"/>
          <c:order val="2"/>
          <c:tx>
            <c:strRef>
              <c:f>Yıl!E4</c:f>
              <c:strCache>
                <c:ptCount val="1"/>
                <c:pt idx="0">
                  <c:v>Değişken gider (₺)</c:v>
                </c:pt>
              </c:strCache>
            </c:strRef>
          </c:tx>
          <c:spPr>
            <a:solidFill>
              <a:srgbClr val="d92d2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Yıl!$B$5:$B$16</c:f>
              <c:strCache>
                <c:ptCount val="12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  <c:pt idx="6">
                  <c:v>Temmuz</c:v>
                </c:pt>
                <c:pt idx="7">
                  <c:v>Ağustos</c:v>
                </c:pt>
                <c:pt idx="8">
                  <c:v>Eylül</c:v>
                </c:pt>
                <c:pt idx="9">
                  <c:v>Ekim</c:v>
                </c:pt>
                <c:pt idx="10">
                  <c:v>Kasım</c:v>
                </c:pt>
                <c:pt idx="11">
                  <c:v>Aralık</c:v>
                </c:pt>
              </c:strCache>
            </c:strRef>
          </c:cat>
          <c:val>
            <c:numRef>
              <c:f>Yıl!$E$5:$E$16</c:f>
              <c:numCache>
                <c:formatCode>#,##0.00" ₺";[RED]\-#,##0.00" ₺";\-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22200</c:v>
                </c:pt>
                <c:pt idx="9">
                  <c:v>12700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3"/>
          <c:order val="3"/>
          <c:tx>
            <c:strRef>
              <c:f>Yıl!F4</c:f>
              <c:strCache>
                <c:ptCount val="1"/>
                <c:pt idx="0">
                  <c:v>Birikim (₺)</c:v>
                </c:pt>
              </c:strCache>
            </c:strRef>
          </c:tx>
          <c:spPr>
            <a:solidFill>
              <a:srgbClr val="f7900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Yıl!$B$5:$B$16</c:f>
              <c:strCache>
                <c:ptCount val="12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  <c:pt idx="6">
                  <c:v>Temmuz</c:v>
                </c:pt>
                <c:pt idx="7">
                  <c:v>Ağustos</c:v>
                </c:pt>
                <c:pt idx="8">
                  <c:v>Eylül</c:v>
                </c:pt>
                <c:pt idx="9">
                  <c:v>Ekim</c:v>
                </c:pt>
                <c:pt idx="10">
                  <c:v>Kasım</c:v>
                </c:pt>
                <c:pt idx="11">
                  <c:v>Aralık</c:v>
                </c:pt>
              </c:strCache>
            </c:strRef>
          </c:cat>
          <c:val>
            <c:numRef>
              <c:f>Yıl!$F$5:$F$16</c:f>
              <c:numCache>
                <c:formatCode>#,##0.00" ₺";[RED]\-#,##0.00" ₺";\-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8000</c:v>
                </c:pt>
                <c:pt idx="9">
                  <c:v>10000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45846754"/>
        <c:axId val="69476002"/>
      </c:barChart>
      <c:catAx>
        <c:axId val="4584675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476002"/>
        <c:crosses val="autoZero"/>
        <c:auto val="1"/>
        <c:lblAlgn val="ctr"/>
        <c:lblOffset val="100"/>
        <c:noMultiLvlLbl val="0"/>
      </c:catAx>
      <c:valAx>
        <c:axId val="69476002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84675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2</xdr:row>
      <xdr:rowOff>131040</xdr:rowOff>
    </xdr:from>
    <xdr:to>
      <xdr:col>18</xdr:col>
      <xdr:colOff>4320</xdr:colOff>
      <xdr:row>16</xdr:row>
      <xdr:rowOff>77760</xdr:rowOff>
    </xdr:to>
    <xdr:graphicFrame>
      <xdr:nvGraphicFramePr>
        <xdr:cNvPr id="0" name="Chart 1"/>
        <xdr:cNvGraphicFramePr/>
      </xdr:nvGraphicFramePr>
      <xdr:xfrm>
        <a:off x="7448400" y="571680"/>
        <a:ext cx="61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B2:C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88"/>
  </cols>
  <sheetData>
    <row r="2" customFormat="false" ht="24" hidden="false" customHeight="true" outlineLevel="0" collapsed="false">
      <c r="B2" s="1" t="s">
        <v>0</v>
      </c>
      <c r="C2" s="1"/>
    </row>
    <row r="3" customFormat="false" ht="36" hidden="false" customHeight="true" outlineLevel="0" collapsed="false">
      <c r="B3" s="2" t="s">
        <v>1</v>
      </c>
      <c r="C3" s="2"/>
    </row>
    <row r="4" customFormat="false" ht="15" hidden="false" customHeight="false" outlineLevel="0" collapsed="false">
      <c r="B4" s="3" t="s">
        <v>2</v>
      </c>
      <c r="C4" s="3"/>
    </row>
    <row r="6" customFormat="false" ht="19.5" hidden="false" customHeight="true" outlineLevel="0" collapsed="false">
      <c r="B6" s="4" t="s">
        <v>3</v>
      </c>
      <c r="C6" s="4"/>
    </row>
    <row r="7" customFormat="false" ht="30" hidden="false" customHeight="true" outlineLevel="0" collapsed="false">
      <c r="B7" s="5" t="s">
        <v>4</v>
      </c>
      <c r="C7" s="6" t="s">
        <v>5</v>
      </c>
    </row>
    <row r="8" customFormat="false" ht="18" hidden="false" customHeight="true" outlineLevel="0" collapsed="false">
      <c r="B8" s="5" t="s">
        <v>6</v>
      </c>
      <c r="C8" s="6" t="s">
        <v>7</v>
      </c>
    </row>
    <row r="9" customFormat="false" ht="30" hidden="false" customHeight="true" outlineLevel="0" collapsed="false">
      <c r="B9" s="5" t="s">
        <v>8</v>
      </c>
      <c r="C9" s="6" t="s">
        <v>9</v>
      </c>
    </row>
    <row r="10" customFormat="false" ht="18" hidden="false" customHeight="true" outlineLevel="0" collapsed="false">
      <c r="B10" s="5" t="s">
        <v>10</v>
      </c>
      <c r="C10" s="6" t="s">
        <v>11</v>
      </c>
    </row>
    <row r="12" customFormat="false" ht="19.5" hidden="false" customHeight="true" outlineLevel="0" collapsed="false">
      <c r="B12" s="4" t="s">
        <v>12</v>
      </c>
      <c r="C12" s="4"/>
    </row>
    <row r="13" customFormat="false" ht="30" hidden="false" customHeight="true" outlineLevel="0" collapsed="false">
      <c r="B13" s="5" t="s">
        <v>13</v>
      </c>
      <c r="C13" s="6" t="s">
        <v>14</v>
      </c>
    </row>
    <row r="14" customFormat="false" ht="18" hidden="false" customHeight="true" outlineLevel="0" collapsed="false">
      <c r="B14" s="5" t="s">
        <v>15</v>
      </c>
      <c r="C14" s="6" t="s">
        <v>16</v>
      </c>
    </row>
    <row r="15" customFormat="false" ht="18" hidden="false" customHeight="true" outlineLevel="0" collapsed="false">
      <c r="B15" s="5" t="s">
        <v>17</v>
      </c>
      <c r="C15" s="6" t="s">
        <v>18</v>
      </c>
    </row>
    <row r="17" customFormat="false" ht="19.5" hidden="false" customHeight="true" outlineLevel="0" collapsed="false">
      <c r="B17" s="4" t="s">
        <v>19</v>
      </c>
      <c r="C17" s="4"/>
    </row>
    <row r="18" customFormat="false" ht="18" hidden="false" customHeight="true" outlineLevel="0" collapsed="false">
      <c r="B18" s="7" t="s">
        <v>20</v>
      </c>
      <c r="C18" s="6" t="s">
        <v>21</v>
      </c>
    </row>
    <row r="19" customFormat="false" ht="18" hidden="false" customHeight="true" outlineLevel="0" collapsed="false">
      <c r="B19" s="5" t="s">
        <v>22</v>
      </c>
      <c r="C19" s="6" t="s">
        <v>23</v>
      </c>
    </row>
  </sheetData>
  <mergeCells count="6">
    <mergeCell ref="B2:C2"/>
    <mergeCell ref="B3:C3"/>
    <mergeCell ref="B4:C4"/>
    <mergeCell ref="B6:C6"/>
    <mergeCell ref="B12:C12"/>
    <mergeCell ref="B17:C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E20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15"/>
    <col collapsed="false" customWidth="true" hidden="false" outlineLevel="0" max="4" min="4" style="0" width="34"/>
    <col collapsed="false" customWidth="true" hidden="false" outlineLevel="0" max="5" min="5" style="0" width="16"/>
  </cols>
  <sheetData>
    <row r="1" customFormat="false" ht="19.7" hidden="false" customHeight="false" outlineLevel="0" collapsed="false">
      <c r="A1" s="8" t="s">
        <v>24</v>
      </c>
    </row>
    <row r="2" customFormat="false" ht="15" hidden="false" customHeight="false" outlineLevel="0" collapsed="false">
      <c r="A2" s="9" t="s">
        <v>25</v>
      </c>
    </row>
    <row r="4" customFormat="false" ht="27.75" hidden="false" customHeight="true" outlineLevel="0" collapsed="false">
      <c r="A4" s="10" t="s">
        <v>26</v>
      </c>
      <c r="B4" s="10" t="s">
        <v>27</v>
      </c>
      <c r="C4" s="10" t="s">
        <v>28</v>
      </c>
      <c r="D4" s="10" t="s">
        <v>29</v>
      </c>
      <c r="E4" s="11" t="s">
        <v>30</v>
      </c>
    </row>
    <row r="5" customFormat="false" ht="15" hidden="false" customHeight="false" outlineLevel="0" collapsed="false">
      <c r="A5" s="12" t="n">
        <v>46296</v>
      </c>
      <c r="B5" s="13" t="s">
        <v>31</v>
      </c>
      <c r="C5" s="14" t="n">
        <v>75000</v>
      </c>
      <c r="D5" s="13" t="s">
        <v>32</v>
      </c>
      <c r="E5" s="15" t="str">
        <f aca="false">IF(B5="","",IFERROR(INDEX(Plan!$B$5:$B$44,MATCH(B5,Plan!$A$5:$A$44,0))&amp;"","Kategori yok"))</f>
        <v>Gelir</v>
      </c>
    </row>
    <row r="6" customFormat="false" ht="15" hidden="false" customHeight="false" outlineLevel="0" collapsed="false">
      <c r="A6" s="12" t="n">
        <v>46296</v>
      </c>
      <c r="B6" s="13" t="s">
        <v>33</v>
      </c>
      <c r="C6" s="14" t="n">
        <v>22000</v>
      </c>
      <c r="D6" s="13" t="s">
        <v>32</v>
      </c>
      <c r="E6" s="15" t="str">
        <f aca="false">IF(B6="","",IFERROR(INDEX(Plan!$B$5:$B$44,MATCH(B6,Plan!$A$5:$A$44,0))&amp;"","Kategori yok"))</f>
        <v>Sabit gider</v>
      </c>
    </row>
    <row r="7" customFormat="false" ht="15" hidden="false" customHeight="false" outlineLevel="0" collapsed="false">
      <c r="A7" s="12" t="n">
        <v>46297</v>
      </c>
      <c r="B7" s="13" t="s">
        <v>34</v>
      </c>
      <c r="C7" s="14" t="n">
        <v>3200</v>
      </c>
      <c r="D7" s="13" t="s">
        <v>32</v>
      </c>
      <c r="E7" s="15" t="str">
        <f aca="false">IF(B7="","",IFERROR(INDEX(Plan!$B$5:$B$44,MATCH(B7,Plan!$A$5:$A$44,0))&amp;"","Kategori yok"))</f>
        <v>Değişken gider</v>
      </c>
    </row>
    <row r="8" customFormat="false" ht="15" hidden="false" customHeight="false" outlineLevel="0" collapsed="false">
      <c r="A8" s="12" t="n">
        <v>46297</v>
      </c>
      <c r="B8" s="13" t="s">
        <v>35</v>
      </c>
      <c r="C8" s="14" t="n">
        <v>10000</v>
      </c>
      <c r="D8" s="13" t="s">
        <v>32</v>
      </c>
      <c r="E8" s="15" t="str">
        <f aca="false">IF(B8="","",IFERROR(INDEX(Plan!$B$5:$B$44,MATCH(B8,Plan!$A$5:$A$44,0))&amp;"","Kategori yok"))</f>
        <v>Birikim</v>
      </c>
    </row>
    <row r="9" customFormat="false" ht="15" hidden="false" customHeight="false" outlineLevel="0" collapsed="false">
      <c r="A9" s="12" t="n">
        <v>46298</v>
      </c>
      <c r="B9" s="13" t="s">
        <v>36</v>
      </c>
      <c r="C9" s="14" t="n">
        <v>900</v>
      </c>
      <c r="D9" s="13" t="s">
        <v>32</v>
      </c>
      <c r="E9" s="15" t="str">
        <f aca="false">IF(B9="","",IFERROR(INDEX(Plan!$B$5:$B$44,MATCH(B9,Plan!$A$5:$A$44,0))&amp;"","Kategori yok"))</f>
        <v>Değişken gider</v>
      </c>
    </row>
    <row r="10" customFormat="false" ht="15" hidden="false" customHeight="false" outlineLevel="0" collapsed="false">
      <c r="A10" s="12" t="n">
        <v>46298</v>
      </c>
      <c r="B10" s="13" t="s">
        <v>37</v>
      </c>
      <c r="C10" s="14" t="n">
        <v>1800</v>
      </c>
      <c r="D10" s="13" t="s">
        <v>32</v>
      </c>
      <c r="E10" s="15" t="str">
        <f aca="false">IF(B10="","",IFERROR(INDEX(Plan!$B$5:$B$44,MATCH(B10,Plan!$A$5:$A$44,0))&amp;"","Kategori yok"))</f>
        <v>Değişken gider</v>
      </c>
    </row>
    <row r="11" customFormat="false" ht="15" hidden="false" customHeight="false" outlineLevel="0" collapsed="false">
      <c r="A11" s="12" t="n">
        <v>46299</v>
      </c>
      <c r="B11" s="13" t="s">
        <v>34</v>
      </c>
      <c r="C11" s="14" t="n">
        <v>2600</v>
      </c>
      <c r="D11" s="13" t="s">
        <v>32</v>
      </c>
      <c r="E11" s="15" t="str">
        <f aca="false">IF(B11="","",IFERROR(INDEX(Plan!$B$5:$B$44,MATCH(B11,Plan!$A$5:$A$44,0))&amp;"","Kategori yok"))</f>
        <v>Değişken gider</v>
      </c>
    </row>
    <row r="12" customFormat="false" ht="15" hidden="false" customHeight="false" outlineLevel="0" collapsed="false">
      <c r="A12" s="12" t="n">
        <v>46299</v>
      </c>
      <c r="B12" s="13" t="s">
        <v>38</v>
      </c>
      <c r="C12" s="14" t="n">
        <v>4200</v>
      </c>
      <c r="D12" s="13" t="s">
        <v>32</v>
      </c>
      <c r="E12" s="15" t="str">
        <f aca="false">IF(B12="","",IFERROR(INDEX(Plan!$B$5:$B$44,MATCH(B12,Plan!$A$5:$A$44,0))&amp;"","Kategori yok"))</f>
        <v>Değişken gider</v>
      </c>
    </row>
    <row r="13" customFormat="false" ht="15" hidden="false" customHeight="false" outlineLevel="0" collapsed="false">
      <c r="A13" s="12" t="n">
        <v>46266</v>
      </c>
      <c r="B13" s="13" t="s">
        <v>31</v>
      </c>
      <c r="C13" s="14" t="n">
        <v>75000</v>
      </c>
      <c r="D13" s="13" t="s">
        <v>32</v>
      </c>
      <c r="E13" s="15" t="str">
        <f aca="false">IF(B13="","",IFERROR(INDEX(Plan!$B$5:$B$44,MATCH(B13,Plan!$A$5:$A$44,0))&amp;"","Kategori yok"))</f>
        <v>Gelir</v>
      </c>
    </row>
    <row r="14" customFormat="false" ht="15" hidden="false" customHeight="false" outlineLevel="0" collapsed="false">
      <c r="A14" s="12" t="n">
        <v>46266</v>
      </c>
      <c r="B14" s="13" t="s">
        <v>33</v>
      </c>
      <c r="C14" s="14" t="n">
        <v>22000</v>
      </c>
      <c r="D14" s="13" t="s">
        <v>32</v>
      </c>
      <c r="E14" s="15" t="str">
        <f aca="false">IF(B14="","",IFERROR(INDEX(Plan!$B$5:$B$44,MATCH(B14,Plan!$A$5:$A$44,0))&amp;"","Kategori yok"))</f>
        <v>Sabit gider</v>
      </c>
    </row>
    <row r="15" customFormat="false" ht="15" hidden="false" customHeight="false" outlineLevel="0" collapsed="false">
      <c r="A15" s="12" t="n">
        <v>46270</v>
      </c>
      <c r="B15" s="13" t="s">
        <v>34</v>
      </c>
      <c r="C15" s="14" t="n">
        <v>15500</v>
      </c>
      <c r="D15" s="13" t="s">
        <v>32</v>
      </c>
      <c r="E15" s="15" t="str">
        <f aca="false">IF(B15="","",IFERROR(INDEX(Plan!$B$5:$B$44,MATCH(B15,Plan!$A$5:$A$44,0))&amp;"","Kategori yok"))</f>
        <v>Değişken gider</v>
      </c>
    </row>
    <row r="16" customFormat="false" ht="15" hidden="false" customHeight="false" outlineLevel="0" collapsed="false">
      <c r="A16" s="12" t="n">
        <v>46275</v>
      </c>
      <c r="B16" s="13" t="s">
        <v>39</v>
      </c>
      <c r="C16" s="14" t="n">
        <v>3300</v>
      </c>
      <c r="D16" s="13" t="s">
        <v>32</v>
      </c>
      <c r="E16" s="15" t="str">
        <f aca="false">IF(B16="","",IFERROR(INDEX(Plan!$B$5:$B$44,MATCH(B16,Plan!$A$5:$A$44,0))&amp;"","Kategori yok"))</f>
        <v>Sabit gider</v>
      </c>
    </row>
    <row r="17" customFormat="false" ht="15" hidden="false" customHeight="false" outlineLevel="0" collapsed="false">
      <c r="A17" s="12" t="n">
        <v>46277</v>
      </c>
      <c r="B17" s="13" t="s">
        <v>36</v>
      </c>
      <c r="C17" s="14" t="n">
        <v>3800</v>
      </c>
      <c r="D17" s="13" t="s">
        <v>32</v>
      </c>
      <c r="E17" s="15" t="str">
        <f aca="false">IF(B17="","",IFERROR(INDEX(Plan!$B$5:$B$44,MATCH(B17,Plan!$A$5:$A$44,0))&amp;"","Kategori yok"))</f>
        <v>Değişken gider</v>
      </c>
    </row>
    <row r="18" customFormat="false" ht="15" hidden="false" customHeight="false" outlineLevel="0" collapsed="false">
      <c r="A18" s="12" t="n">
        <v>46280</v>
      </c>
      <c r="B18" s="13" t="s">
        <v>40</v>
      </c>
      <c r="C18" s="14" t="n">
        <v>4000</v>
      </c>
      <c r="D18" s="13" t="s">
        <v>32</v>
      </c>
      <c r="E18" s="15" t="str">
        <f aca="false">IF(B18="","",IFERROR(INDEX(Plan!$B$5:$B$44,MATCH(B18,Plan!$A$5:$A$44,0))&amp;"","Kategori yok"))</f>
        <v>Gelir</v>
      </c>
    </row>
    <row r="19" customFormat="false" ht="15" hidden="false" customHeight="false" outlineLevel="0" collapsed="false">
      <c r="A19" s="12" t="n">
        <v>46285</v>
      </c>
      <c r="B19" s="13" t="s">
        <v>41</v>
      </c>
      <c r="C19" s="14" t="n">
        <v>2900</v>
      </c>
      <c r="D19" s="13" t="s">
        <v>32</v>
      </c>
      <c r="E19" s="15" t="str">
        <f aca="false">IF(B19="","",IFERROR(INDEX(Plan!$B$5:$B$44,MATCH(B19,Plan!$A$5:$A$44,0))&amp;"","Kategori yok"))</f>
        <v>Değişken gider</v>
      </c>
    </row>
    <row r="20" customFormat="false" ht="15" hidden="false" customHeight="false" outlineLevel="0" collapsed="false">
      <c r="A20" s="12" t="n">
        <v>46290</v>
      </c>
      <c r="B20" s="13" t="s">
        <v>35</v>
      </c>
      <c r="C20" s="14" t="n">
        <v>8000</v>
      </c>
      <c r="D20" s="13" t="s">
        <v>32</v>
      </c>
      <c r="E20" s="15" t="str">
        <f aca="false">IF(B20="","",IFERROR(INDEX(Plan!$B$5:$B$44,MATCH(B20,Plan!$A$5:$A$44,0))&amp;"","Kategori yok"))</f>
        <v>Birikim</v>
      </c>
    </row>
    <row r="21" customFormat="false" ht="15" hidden="false" customHeight="false" outlineLevel="0" collapsed="false">
      <c r="A21" s="12"/>
      <c r="B21" s="13"/>
      <c r="C21" s="14"/>
      <c r="D21" s="13"/>
      <c r="E21" s="15" t="str">
        <f aca="false">IF(B21="","",IFERROR(INDEX(Plan!$B$5:$B$44,MATCH(B21,Plan!$A$5:$A$44,0))&amp;"","Kategori yok"))</f>
        <v/>
      </c>
    </row>
    <row r="22" customFormat="false" ht="15" hidden="false" customHeight="false" outlineLevel="0" collapsed="false">
      <c r="A22" s="12"/>
      <c r="B22" s="13"/>
      <c r="C22" s="14"/>
      <c r="D22" s="13"/>
      <c r="E22" s="15" t="str">
        <f aca="false">IF(B22="","",IFERROR(INDEX(Plan!$B$5:$B$44,MATCH(B22,Plan!$A$5:$A$44,0))&amp;"","Kategori yok"))</f>
        <v/>
      </c>
    </row>
    <row r="23" customFormat="false" ht="15" hidden="false" customHeight="false" outlineLevel="0" collapsed="false">
      <c r="A23" s="12"/>
      <c r="B23" s="13"/>
      <c r="C23" s="14"/>
      <c r="D23" s="13"/>
      <c r="E23" s="15" t="str">
        <f aca="false">IF(B23="","",IFERROR(INDEX(Plan!$B$5:$B$44,MATCH(B23,Plan!$A$5:$A$44,0))&amp;"","Kategori yok"))</f>
        <v/>
      </c>
    </row>
    <row r="24" customFormat="false" ht="15" hidden="false" customHeight="false" outlineLevel="0" collapsed="false">
      <c r="A24" s="12"/>
      <c r="B24" s="13"/>
      <c r="C24" s="14"/>
      <c r="D24" s="13"/>
      <c r="E24" s="15" t="str">
        <f aca="false">IF(B24="","",IFERROR(INDEX(Plan!$B$5:$B$44,MATCH(B24,Plan!$A$5:$A$44,0))&amp;"","Kategori yok"))</f>
        <v/>
      </c>
    </row>
    <row r="25" customFormat="false" ht="15" hidden="false" customHeight="false" outlineLevel="0" collapsed="false">
      <c r="A25" s="12"/>
      <c r="B25" s="13"/>
      <c r="C25" s="14"/>
      <c r="D25" s="13"/>
      <c r="E25" s="15" t="str">
        <f aca="false">IF(B25="","",IFERROR(INDEX(Plan!$B$5:$B$44,MATCH(B25,Plan!$A$5:$A$44,0))&amp;"","Kategori yok"))</f>
        <v/>
      </c>
    </row>
    <row r="26" customFormat="false" ht="15" hidden="false" customHeight="false" outlineLevel="0" collapsed="false">
      <c r="A26" s="12"/>
      <c r="B26" s="13"/>
      <c r="C26" s="14"/>
      <c r="D26" s="13"/>
      <c r="E26" s="15" t="str">
        <f aca="false">IF(B26="","",IFERROR(INDEX(Plan!$B$5:$B$44,MATCH(B26,Plan!$A$5:$A$44,0))&amp;"","Kategori yok"))</f>
        <v/>
      </c>
    </row>
    <row r="27" customFormat="false" ht="15" hidden="false" customHeight="false" outlineLevel="0" collapsed="false">
      <c r="A27" s="12"/>
      <c r="B27" s="13"/>
      <c r="C27" s="14"/>
      <c r="D27" s="13"/>
      <c r="E27" s="15" t="str">
        <f aca="false">IF(B27="","",IFERROR(INDEX(Plan!$B$5:$B$44,MATCH(B27,Plan!$A$5:$A$44,0))&amp;"","Kategori yok"))</f>
        <v/>
      </c>
    </row>
    <row r="28" customFormat="false" ht="15" hidden="false" customHeight="false" outlineLevel="0" collapsed="false">
      <c r="A28" s="12"/>
      <c r="B28" s="13"/>
      <c r="C28" s="14"/>
      <c r="D28" s="13"/>
      <c r="E28" s="15" t="str">
        <f aca="false">IF(B28="","",IFERROR(INDEX(Plan!$B$5:$B$44,MATCH(B28,Plan!$A$5:$A$44,0))&amp;"","Kategori yok"))</f>
        <v/>
      </c>
    </row>
    <row r="29" customFormat="false" ht="15" hidden="false" customHeight="false" outlineLevel="0" collapsed="false">
      <c r="A29" s="12"/>
      <c r="B29" s="13"/>
      <c r="C29" s="14"/>
      <c r="D29" s="13"/>
      <c r="E29" s="15" t="str">
        <f aca="false">IF(B29="","",IFERROR(INDEX(Plan!$B$5:$B$44,MATCH(B29,Plan!$A$5:$A$44,0))&amp;"","Kategori yok"))</f>
        <v/>
      </c>
    </row>
    <row r="30" customFormat="false" ht="15" hidden="false" customHeight="false" outlineLevel="0" collapsed="false">
      <c r="A30" s="12"/>
      <c r="B30" s="13"/>
      <c r="C30" s="14"/>
      <c r="D30" s="13"/>
      <c r="E30" s="15" t="str">
        <f aca="false">IF(B30="","",IFERROR(INDEX(Plan!$B$5:$B$44,MATCH(B30,Plan!$A$5:$A$44,0))&amp;"","Kategori yok"))</f>
        <v/>
      </c>
    </row>
    <row r="31" customFormat="false" ht="15" hidden="false" customHeight="false" outlineLevel="0" collapsed="false">
      <c r="A31" s="12"/>
      <c r="B31" s="13"/>
      <c r="C31" s="14"/>
      <c r="D31" s="13"/>
      <c r="E31" s="15" t="str">
        <f aca="false">IF(B31="","",IFERROR(INDEX(Plan!$B$5:$B$44,MATCH(B31,Plan!$A$5:$A$44,0))&amp;"","Kategori yok"))</f>
        <v/>
      </c>
    </row>
    <row r="32" customFormat="false" ht="15" hidden="false" customHeight="false" outlineLevel="0" collapsed="false">
      <c r="A32" s="12"/>
      <c r="B32" s="13"/>
      <c r="C32" s="14"/>
      <c r="D32" s="13"/>
      <c r="E32" s="15" t="str">
        <f aca="false">IF(B32="","",IFERROR(INDEX(Plan!$B$5:$B$44,MATCH(B32,Plan!$A$5:$A$44,0))&amp;"","Kategori yok"))</f>
        <v/>
      </c>
    </row>
    <row r="33" customFormat="false" ht="15" hidden="false" customHeight="false" outlineLevel="0" collapsed="false">
      <c r="A33" s="12"/>
      <c r="B33" s="13"/>
      <c r="C33" s="14"/>
      <c r="D33" s="13"/>
      <c r="E33" s="15" t="str">
        <f aca="false">IF(B33="","",IFERROR(INDEX(Plan!$B$5:$B$44,MATCH(B33,Plan!$A$5:$A$44,0))&amp;"","Kategori yok"))</f>
        <v/>
      </c>
    </row>
    <row r="34" customFormat="false" ht="15" hidden="false" customHeight="false" outlineLevel="0" collapsed="false">
      <c r="A34" s="12"/>
      <c r="B34" s="13"/>
      <c r="C34" s="14"/>
      <c r="D34" s="13"/>
      <c r="E34" s="15" t="str">
        <f aca="false">IF(B34="","",IFERROR(INDEX(Plan!$B$5:$B$44,MATCH(B34,Plan!$A$5:$A$44,0))&amp;"","Kategori yok"))</f>
        <v/>
      </c>
    </row>
    <row r="35" customFormat="false" ht="15" hidden="false" customHeight="false" outlineLevel="0" collapsed="false">
      <c r="A35" s="12"/>
      <c r="B35" s="13"/>
      <c r="C35" s="14"/>
      <c r="D35" s="13"/>
      <c r="E35" s="15" t="str">
        <f aca="false">IF(B35="","",IFERROR(INDEX(Plan!$B$5:$B$44,MATCH(B35,Plan!$A$5:$A$44,0))&amp;"","Kategori yok"))</f>
        <v/>
      </c>
    </row>
    <row r="36" customFormat="false" ht="15" hidden="false" customHeight="false" outlineLevel="0" collapsed="false">
      <c r="A36" s="12"/>
      <c r="B36" s="13"/>
      <c r="C36" s="14"/>
      <c r="D36" s="13"/>
      <c r="E36" s="15" t="str">
        <f aca="false">IF(B36="","",IFERROR(INDEX(Plan!$B$5:$B$44,MATCH(B36,Plan!$A$5:$A$44,0))&amp;"","Kategori yok"))</f>
        <v/>
      </c>
    </row>
    <row r="37" customFormat="false" ht="15" hidden="false" customHeight="false" outlineLevel="0" collapsed="false">
      <c r="A37" s="12"/>
      <c r="B37" s="13"/>
      <c r="C37" s="14"/>
      <c r="D37" s="13"/>
      <c r="E37" s="15" t="str">
        <f aca="false">IF(B37="","",IFERROR(INDEX(Plan!$B$5:$B$44,MATCH(B37,Plan!$A$5:$A$44,0))&amp;"","Kategori yok"))</f>
        <v/>
      </c>
    </row>
    <row r="38" customFormat="false" ht="15" hidden="false" customHeight="false" outlineLevel="0" collapsed="false">
      <c r="A38" s="12"/>
      <c r="B38" s="13"/>
      <c r="C38" s="14"/>
      <c r="D38" s="13"/>
      <c r="E38" s="15" t="str">
        <f aca="false">IF(B38="","",IFERROR(INDEX(Plan!$B$5:$B$44,MATCH(B38,Plan!$A$5:$A$44,0))&amp;"","Kategori yok"))</f>
        <v/>
      </c>
    </row>
    <row r="39" customFormat="false" ht="15" hidden="false" customHeight="false" outlineLevel="0" collapsed="false">
      <c r="A39" s="12"/>
      <c r="B39" s="13"/>
      <c r="C39" s="14"/>
      <c r="D39" s="13"/>
      <c r="E39" s="15" t="str">
        <f aca="false">IF(B39="","",IFERROR(INDEX(Plan!$B$5:$B$44,MATCH(B39,Plan!$A$5:$A$44,0))&amp;"","Kategori yok"))</f>
        <v/>
      </c>
    </row>
    <row r="40" customFormat="false" ht="15" hidden="false" customHeight="false" outlineLevel="0" collapsed="false">
      <c r="A40" s="12"/>
      <c r="B40" s="13"/>
      <c r="C40" s="14"/>
      <c r="D40" s="13"/>
      <c r="E40" s="15" t="str">
        <f aca="false">IF(B40="","",IFERROR(INDEX(Plan!$B$5:$B$44,MATCH(B40,Plan!$A$5:$A$44,0))&amp;"","Kategori yok"))</f>
        <v/>
      </c>
    </row>
    <row r="41" customFormat="false" ht="15" hidden="false" customHeight="false" outlineLevel="0" collapsed="false">
      <c r="A41" s="12"/>
      <c r="B41" s="13"/>
      <c r="C41" s="14"/>
      <c r="D41" s="13"/>
      <c r="E41" s="15" t="str">
        <f aca="false">IF(B41="","",IFERROR(INDEX(Plan!$B$5:$B$44,MATCH(B41,Plan!$A$5:$A$44,0))&amp;"","Kategori yok"))</f>
        <v/>
      </c>
    </row>
    <row r="42" customFormat="false" ht="15" hidden="false" customHeight="false" outlineLevel="0" collapsed="false">
      <c r="A42" s="12"/>
      <c r="B42" s="13"/>
      <c r="C42" s="14"/>
      <c r="D42" s="13"/>
      <c r="E42" s="15" t="str">
        <f aca="false">IF(B42="","",IFERROR(INDEX(Plan!$B$5:$B$44,MATCH(B42,Plan!$A$5:$A$44,0))&amp;"","Kategori yok"))</f>
        <v/>
      </c>
    </row>
    <row r="43" customFormat="false" ht="15" hidden="false" customHeight="false" outlineLevel="0" collapsed="false">
      <c r="A43" s="12"/>
      <c r="B43" s="13"/>
      <c r="C43" s="14"/>
      <c r="D43" s="13"/>
      <c r="E43" s="15" t="str">
        <f aca="false">IF(B43="","",IFERROR(INDEX(Plan!$B$5:$B$44,MATCH(B43,Plan!$A$5:$A$44,0))&amp;"","Kategori yok"))</f>
        <v/>
      </c>
    </row>
    <row r="44" customFormat="false" ht="15" hidden="false" customHeight="false" outlineLevel="0" collapsed="false">
      <c r="A44" s="12"/>
      <c r="B44" s="13"/>
      <c r="C44" s="14"/>
      <c r="D44" s="13"/>
      <c r="E44" s="15" t="str">
        <f aca="false">IF(B44="","",IFERROR(INDEX(Plan!$B$5:$B$44,MATCH(B44,Plan!$A$5:$A$44,0))&amp;"","Kategori yok"))</f>
        <v/>
      </c>
    </row>
    <row r="45" customFormat="false" ht="15" hidden="false" customHeight="false" outlineLevel="0" collapsed="false">
      <c r="A45" s="12"/>
      <c r="B45" s="13"/>
      <c r="C45" s="14"/>
      <c r="D45" s="13"/>
      <c r="E45" s="15" t="str">
        <f aca="false">IF(B45="","",IFERROR(INDEX(Plan!$B$5:$B$44,MATCH(B45,Plan!$A$5:$A$44,0))&amp;"","Kategori yok"))</f>
        <v/>
      </c>
    </row>
    <row r="46" customFormat="false" ht="15" hidden="false" customHeight="false" outlineLevel="0" collapsed="false">
      <c r="A46" s="12"/>
      <c r="B46" s="13"/>
      <c r="C46" s="14"/>
      <c r="D46" s="13"/>
      <c r="E46" s="15" t="str">
        <f aca="false">IF(B46="","",IFERROR(INDEX(Plan!$B$5:$B$44,MATCH(B46,Plan!$A$5:$A$44,0))&amp;"","Kategori yok"))</f>
        <v/>
      </c>
    </row>
    <row r="47" customFormat="false" ht="15" hidden="false" customHeight="false" outlineLevel="0" collapsed="false">
      <c r="A47" s="12"/>
      <c r="B47" s="13"/>
      <c r="C47" s="14"/>
      <c r="D47" s="13"/>
      <c r="E47" s="15" t="str">
        <f aca="false">IF(B47="","",IFERROR(INDEX(Plan!$B$5:$B$44,MATCH(B47,Plan!$A$5:$A$44,0))&amp;"","Kategori yok"))</f>
        <v/>
      </c>
    </row>
    <row r="48" customFormat="false" ht="15" hidden="false" customHeight="false" outlineLevel="0" collapsed="false">
      <c r="A48" s="12"/>
      <c r="B48" s="13"/>
      <c r="C48" s="14"/>
      <c r="D48" s="13"/>
      <c r="E48" s="15" t="str">
        <f aca="false">IF(B48="","",IFERROR(INDEX(Plan!$B$5:$B$44,MATCH(B48,Plan!$A$5:$A$44,0))&amp;"","Kategori yok"))</f>
        <v/>
      </c>
    </row>
    <row r="49" customFormat="false" ht="15" hidden="false" customHeight="false" outlineLevel="0" collapsed="false">
      <c r="A49" s="12"/>
      <c r="B49" s="13"/>
      <c r="C49" s="14"/>
      <c r="D49" s="13"/>
      <c r="E49" s="15" t="str">
        <f aca="false">IF(B49="","",IFERROR(INDEX(Plan!$B$5:$B$44,MATCH(B49,Plan!$A$5:$A$44,0))&amp;"","Kategori yok"))</f>
        <v/>
      </c>
    </row>
    <row r="50" customFormat="false" ht="15" hidden="false" customHeight="false" outlineLevel="0" collapsed="false">
      <c r="A50" s="12"/>
      <c r="B50" s="13"/>
      <c r="C50" s="14"/>
      <c r="D50" s="13"/>
      <c r="E50" s="15" t="str">
        <f aca="false">IF(B50="","",IFERROR(INDEX(Plan!$B$5:$B$44,MATCH(B50,Plan!$A$5:$A$44,0))&amp;"","Kategori yok"))</f>
        <v/>
      </c>
    </row>
    <row r="51" customFormat="false" ht="15" hidden="false" customHeight="false" outlineLevel="0" collapsed="false">
      <c r="A51" s="12"/>
      <c r="B51" s="13"/>
      <c r="C51" s="14"/>
      <c r="D51" s="13"/>
      <c r="E51" s="15" t="str">
        <f aca="false">IF(B51="","",IFERROR(INDEX(Plan!$B$5:$B$44,MATCH(B51,Plan!$A$5:$A$44,0))&amp;"","Kategori yok"))</f>
        <v/>
      </c>
    </row>
    <row r="52" customFormat="false" ht="15" hidden="false" customHeight="false" outlineLevel="0" collapsed="false">
      <c r="A52" s="12"/>
      <c r="B52" s="13"/>
      <c r="C52" s="14"/>
      <c r="D52" s="13"/>
      <c r="E52" s="15" t="str">
        <f aca="false">IF(B52="","",IFERROR(INDEX(Plan!$B$5:$B$44,MATCH(B52,Plan!$A$5:$A$44,0))&amp;"","Kategori yok"))</f>
        <v/>
      </c>
    </row>
    <row r="53" customFormat="false" ht="15" hidden="false" customHeight="false" outlineLevel="0" collapsed="false">
      <c r="A53" s="12"/>
      <c r="B53" s="13"/>
      <c r="C53" s="14"/>
      <c r="D53" s="13"/>
      <c r="E53" s="15" t="str">
        <f aca="false">IF(B53="","",IFERROR(INDEX(Plan!$B$5:$B$44,MATCH(B53,Plan!$A$5:$A$44,0))&amp;"","Kategori yok"))</f>
        <v/>
      </c>
    </row>
    <row r="54" customFormat="false" ht="15" hidden="false" customHeight="false" outlineLevel="0" collapsed="false">
      <c r="A54" s="12"/>
      <c r="B54" s="13"/>
      <c r="C54" s="14"/>
      <c r="D54" s="13"/>
      <c r="E54" s="15" t="str">
        <f aca="false">IF(B54="","",IFERROR(INDEX(Plan!$B$5:$B$44,MATCH(B54,Plan!$A$5:$A$44,0))&amp;"","Kategori yok"))</f>
        <v/>
      </c>
    </row>
    <row r="55" customFormat="false" ht="15" hidden="false" customHeight="false" outlineLevel="0" collapsed="false">
      <c r="A55" s="12"/>
      <c r="B55" s="13"/>
      <c r="C55" s="14"/>
      <c r="D55" s="13"/>
      <c r="E55" s="15" t="str">
        <f aca="false">IF(B55="","",IFERROR(INDEX(Plan!$B$5:$B$44,MATCH(B55,Plan!$A$5:$A$44,0))&amp;"","Kategori yok"))</f>
        <v/>
      </c>
    </row>
    <row r="56" customFormat="false" ht="15" hidden="false" customHeight="false" outlineLevel="0" collapsed="false">
      <c r="A56" s="12"/>
      <c r="B56" s="13"/>
      <c r="C56" s="14"/>
      <c r="D56" s="13"/>
      <c r="E56" s="15" t="str">
        <f aca="false">IF(B56="","",IFERROR(INDEX(Plan!$B$5:$B$44,MATCH(B56,Plan!$A$5:$A$44,0))&amp;"","Kategori yok"))</f>
        <v/>
      </c>
    </row>
    <row r="57" customFormat="false" ht="15" hidden="false" customHeight="false" outlineLevel="0" collapsed="false">
      <c r="A57" s="12"/>
      <c r="B57" s="13"/>
      <c r="C57" s="14"/>
      <c r="D57" s="13"/>
      <c r="E57" s="15" t="str">
        <f aca="false">IF(B57="","",IFERROR(INDEX(Plan!$B$5:$B$44,MATCH(B57,Plan!$A$5:$A$44,0))&amp;"","Kategori yok"))</f>
        <v/>
      </c>
    </row>
    <row r="58" customFormat="false" ht="15" hidden="false" customHeight="false" outlineLevel="0" collapsed="false">
      <c r="A58" s="12"/>
      <c r="B58" s="13"/>
      <c r="C58" s="14"/>
      <c r="D58" s="13"/>
      <c r="E58" s="15" t="str">
        <f aca="false">IF(B58="","",IFERROR(INDEX(Plan!$B$5:$B$44,MATCH(B58,Plan!$A$5:$A$44,0))&amp;"","Kategori yok"))</f>
        <v/>
      </c>
    </row>
    <row r="59" customFormat="false" ht="15" hidden="false" customHeight="false" outlineLevel="0" collapsed="false">
      <c r="A59" s="12"/>
      <c r="B59" s="13"/>
      <c r="C59" s="14"/>
      <c r="D59" s="13"/>
      <c r="E59" s="15" t="str">
        <f aca="false">IF(B59="","",IFERROR(INDEX(Plan!$B$5:$B$44,MATCH(B59,Plan!$A$5:$A$44,0))&amp;"","Kategori yok"))</f>
        <v/>
      </c>
    </row>
    <row r="60" customFormat="false" ht="15" hidden="false" customHeight="false" outlineLevel="0" collapsed="false">
      <c r="A60" s="12"/>
      <c r="B60" s="13"/>
      <c r="C60" s="14"/>
      <c r="D60" s="13"/>
      <c r="E60" s="15" t="str">
        <f aca="false">IF(B60="","",IFERROR(INDEX(Plan!$B$5:$B$44,MATCH(B60,Plan!$A$5:$A$44,0))&amp;"","Kategori yok"))</f>
        <v/>
      </c>
    </row>
    <row r="61" customFormat="false" ht="15" hidden="false" customHeight="false" outlineLevel="0" collapsed="false">
      <c r="A61" s="12"/>
      <c r="B61" s="13"/>
      <c r="C61" s="14"/>
      <c r="D61" s="13"/>
      <c r="E61" s="15" t="str">
        <f aca="false">IF(B61="","",IFERROR(INDEX(Plan!$B$5:$B$44,MATCH(B61,Plan!$A$5:$A$44,0))&amp;"","Kategori yok"))</f>
        <v/>
      </c>
    </row>
    <row r="62" customFormat="false" ht="15" hidden="false" customHeight="false" outlineLevel="0" collapsed="false">
      <c r="A62" s="12"/>
      <c r="B62" s="13"/>
      <c r="C62" s="14"/>
      <c r="D62" s="13"/>
      <c r="E62" s="15" t="str">
        <f aca="false">IF(B62="","",IFERROR(INDEX(Plan!$B$5:$B$44,MATCH(B62,Plan!$A$5:$A$44,0))&amp;"","Kategori yok"))</f>
        <v/>
      </c>
    </row>
    <row r="63" customFormat="false" ht="15" hidden="false" customHeight="false" outlineLevel="0" collapsed="false">
      <c r="A63" s="12"/>
      <c r="B63" s="13"/>
      <c r="C63" s="14"/>
      <c r="D63" s="13"/>
      <c r="E63" s="15" t="str">
        <f aca="false">IF(B63="","",IFERROR(INDEX(Plan!$B$5:$B$44,MATCH(B63,Plan!$A$5:$A$44,0))&amp;"","Kategori yok"))</f>
        <v/>
      </c>
    </row>
    <row r="64" customFormat="false" ht="15" hidden="false" customHeight="false" outlineLevel="0" collapsed="false">
      <c r="A64" s="12"/>
      <c r="B64" s="13"/>
      <c r="C64" s="14"/>
      <c r="D64" s="13"/>
      <c r="E64" s="15" t="str">
        <f aca="false">IF(B64="","",IFERROR(INDEX(Plan!$B$5:$B$44,MATCH(B64,Plan!$A$5:$A$44,0))&amp;"","Kategori yok"))</f>
        <v/>
      </c>
    </row>
    <row r="65" customFormat="false" ht="15" hidden="false" customHeight="false" outlineLevel="0" collapsed="false">
      <c r="A65" s="12"/>
      <c r="B65" s="13"/>
      <c r="C65" s="14"/>
      <c r="D65" s="13"/>
      <c r="E65" s="15" t="str">
        <f aca="false">IF(B65="","",IFERROR(INDEX(Plan!$B$5:$B$44,MATCH(B65,Plan!$A$5:$A$44,0))&amp;"","Kategori yok"))</f>
        <v/>
      </c>
    </row>
    <row r="66" customFormat="false" ht="15" hidden="false" customHeight="false" outlineLevel="0" collapsed="false">
      <c r="A66" s="12"/>
      <c r="B66" s="13"/>
      <c r="C66" s="14"/>
      <c r="D66" s="13"/>
      <c r="E66" s="15" t="str">
        <f aca="false">IF(B66="","",IFERROR(INDEX(Plan!$B$5:$B$44,MATCH(B66,Plan!$A$5:$A$44,0))&amp;"","Kategori yok"))</f>
        <v/>
      </c>
    </row>
    <row r="67" customFormat="false" ht="15" hidden="false" customHeight="false" outlineLevel="0" collapsed="false">
      <c r="A67" s="12"/>
      <c r="B67" s="13"/>
      <c r="C67" s="14"/>
      <c r="D67" s="13"/>
      <c r="E67" s="15" t="str">
        <f aca="false">IF(B67="","",IFERROR(INDEX(Plan!$B$5:$B$44,MATCH(B67,Plan!$A$5:$A$44,0))&amp;"","Kategori yok"))</f>
        <v/>
      </c>
    </row>
    <row r="68" customFormat="false" ht="15" hidden="false" customHeight="false" outlineLevel="0" collapsed="false">
      <c r="A68" s="12"/>
      <c r="B68" s="13"/>
      <c r="C68" s="14"/>
      <c r="D68" s="13"/>
      <c r="E68" s="15" t="str">
        <f aca="false">IF(B68="","",IFERROR(INDEX(Plan!$B$5:$B$44,MATCH(B68,Plan!$A$5:$A$44,0))&amp;"","Kategori yok"))</f>
        <v/>
      </c>
    </row>
    <row r="69" customFormat="false" ht="15" hidden="false" customHeight="false" outlineLevel="0" collapsed="false">
      <c r="A69" s="12"/>
      <c r="B69" s="13"/>
      <c r="C69" s="14"/>
      <c r="D69" s="13"/>
      <c r="E69" s="15" t="str">
        <f aca="false">IF(B69="","",IFERROR(INDEX(Plan!$B$5:$B$44,MATCH(B69,Plan!$A$5:$A$44,0))&amp;"","Kategori yok"))</f>
        <v/>
      </c>
    </row>
    <row r="70" customFormat="false" ht="15" hidden="false" customHeight="false" outlineLevel="0" collapsed="false">
      <c r="A70" s="12"/>
      <c r="B70" s="13"/>
      <c r="C70" s="14"/>
      <c r="D70" s="13"/>
      <c r="E70" s="15" t="str">
        <f aca="false">IF(B70="","",IFERROR(INDEX(Plan!$B$5:$B$44,MATCH(B70,Plan!$A$5:$A$44,0))&amp;"","Kategori yok"))</f>
        <v/>
      </c>
    </row>
    <row r="71" customFormat="false" ht="15" hidden="false" customHeight="false" outlineLevel="0" collapsed="false">
      <c r="A71" s="12"/>
      <c r="B71" s="13"/>
      <c r="C71" s="14"/>
      <c r="D71" s="13"/>
      <c r="E71" s="15" t="str">
        <f aca="false">IF(B71="","",IFERROR(INDEX(Plan!$B$5:$B$44,MATCH(B71,Plan!$A$5:$A$44,0))&amp;"","Kategori yok"))</f>
        <v/>
      </c>
    </row>
    <row r="72" customFormat="false" ht="15" hidden="false" customHeight="false" outlineLevel="0" collapsed="false">
      <c r="A72" s="12"/>
      <c r="B72" s="13"/>
      <c r="C72" s="14"/>
      <c r="D72" s="13"/>
      <c r="E72" s="15" t="str">
        <f aca="false">IF(B72="","",IFERROR(INDEX(Plan!$B$5:$B$44,MATCH(B72,Plan!$A$5:$A$44,0))&amp;"","Kategori yok"))</f>
        <v/>
      </c>
    </row>
    <row r="73" customFormat="false" ht="15" hidden="false" customHeight="false" outlineLevel="0" collapsed="false">
      <c r="A73" s="12"/>
      <c r="B73" s="13"/>
      <c r="C73" s="14"/>
      <c r="D73" s="13"/>
      <c r="E73" s="15" t="str">
        <f aca="false">IF(B73="","",IFERROR(INDEX(Plan!$B$5:$B$44,MATCH(B73,Plan!$A$5:$A$44,0))&amp;"","Kategori yok"))</f>
        <v/>
      </c>
    </row>
    <row r="74" customFormat="false" ht="15" hidden="false" customHeight="false" outlineLevel="0" collapsed="false">
      <c r="A74" s="12"/>
      <c r="B74" s="13"/>
      <c r="C74" s="14"/>
      <c r="D74" s="13"/>
      <c r="E74" s="15" t="str">
        <f aca="false">IF(B74="","",IFERROR(INDEX(Plan!$B$5:$B$44,MATCH(B74,Plan!$A$5:$A$44,0))&amp;"","Kategori yok"))</f>
        <v/>
      </c>
    </row>
    <row r="75" customFormat="false" ht="15" hidden="false" customHeight="false" outlineLevel="0" collapsed="false">
      <c r="A75" s="12"/>
      <c r="B75" s="13"/>
      <c r="C75" s="14"/>
      <c r="D75" s="13"/>
      <c r="E75" s="15" t="str">
        <f aca="false">IF(B75="","",IFERROR(INDEX(Plan!$B$5:$B$44,MATCH(B75,Plan!$A$5:$A$44,0))&amp;"","Kategori yok"))</f>
        <v/>
      </c>
    </row>
    <row r="76" customFormat="false" ht="15" hidden="false" customHeight="false" outlineLevel="0" collapsed="false">
      <c r="A76" s="12"/>
      <c r="B76" s="13"/>
      <c r="C76" s="14"/>
      <c r="D76" s="13"/>
      <c r="E76" s="15" t="str">
        <f aca="false">IF(B76="","",IFERROR(INDEX(Plan!$B$5:$B$44,MATCH(B76,Plan!$A$5:$A$44,0))&amp;"","Kategori yok"))</f>
        <v/>
      </c>
    </row>
    <row r="77" customFormat="false" ht="15" hidden="false" customHeight="false" outlineLevel="0" collapsed="false">
      <c r="A77" s="12"/>
      <c r="B77" s="13"/>
      <c r="C77" s="14"/>
      <c r="D77" s="13"/>
      <c r="E77" s="15" t="str">
        <f aca="false">IF(B77="","",IFERROR(INDEX(Plan!$B$5:$B$44,MATCH(B77,Plan!$A$5:$A$44,0))&amp;"","Kategori yok"))</f>
        <v/>
      </c>
    </row>
    <row r="78" customFormat="false" ht="15" hidden="false" customHeight="false" outlineLevel="0" collapsed="false">
      <c r="A78" s="12"/>
      <c r="B78" s="13"/>
      <c r="C78" s="14"/>
      <c r="D78" s="13"/>
      <c r="E78" s="15" t="str">
        <f aca="false">IF(B78="","",IFERROR(INDEX(Plan!$B$5:$B$44,MATCH(B78,Plan!$A$5:$A$44,0))&amp;"","Kategori yok"))</f>
        <v/>
      </c>
    </row>
    <row r="79" customFormat="false" ht="15" hidden="false" customHeight="false" outlineLevel="0" collapsed="false">
      <c r="A79" s="12"/>
      <c r="B79" s="13"/>
      <c r="C79" s="14"/>
      <c r="D79" s="13"/>
      <c r="E79" s="15" t="str">
        <f aca="false">IF(B79="","",IFERROR(INDEX(Plan!$B$5:$B$44,MATCH(B79,Plan!$A$5:$A$44,0))&amp;"","Kategori yok"))</f>
        <v/>
      </c>
    </row>
    <row r="80" customFormat="false" ht="15" hidden="false" customHeight="false" outlineLevel="0" collapsed="false">
      <c r="A80" s="12"/>
      <c r="B80" s="13"/>
      <c r="C80" s="14"/>
      <c r="D80" s="13"/>
      <c r="E80" s="15" t="str">
        <f aca="false">IF(B80="","",IFERROR(INDEX(Plan!$B$5:$B$44,MATCH(B80,Plan!$A$5:$A$44,0))&amp;"","Kategori yok"))</f>
        <v/>
      </c>
    </row>
    <row r="81" customFormat="false" ht="15" hidden="false" customHeight="false" outlineLevel="0" collapsed="false">
      <c r="A81" s="12"/>
      <c r="B81" s="13"/>
      <c r="C81" s="14"/>
      <c r="D81" s="13"/>
      <c r="E81" s="15" t="str">
        <f aca="false">IF(B81="","",IFERROR(INDEX(Plan!$B$5:$B$44,MATCH(B81,Plan!$A$5:$A$44,0))&amp;"","Kategori yok"))</f>
        <v/>
      </c>
    </row>
    <row r="82" customFormat="false" ht="15" hidden="false" customHeight="false" outlineLevel="0" collapsed="false">
      <c r="A82" s="12"/>
      <c r="B82" s="13"/>
      <c r="C82" s="14"/>
      <c r="D82" s="13"/>
      <c r="E82" s="15" t="str">
        <f aca="false">IF(B82="","",IFERROR(INDEX(Plan!$B$5:$B$44,MATCH(B82,Plan!$A$5:$A$44,0))&amp;"","Kategori yok"))</f>
        <v/>
      </c>
    </row>
    <row r="83" customFormat="false" ht="15" hidden="false" customHeight="false" outlineLevel="0" collapsed="false">
      <c r="A83" s="12"/>
      <c r="B83" s="13"/>
      <c r="C83" s="14"/>
      <c r="D83" s="13"/>
      <c r="E83" s="15" t="str">
        <f aca="false">IF(B83="","",IFERROR(INDEX(Plan!$B$5:$B$44,MATCH(B83,Plan!$A$5:$A$44,0))&amp;"","Kategori yok"))</f>
        <v/>
      </c>
    </row>
    <row r="84" customFormat="false" ht="15" hidden="false" customHeight="false" outlineLevel="0" collapsed="false">
      <c r="A84" s="12"/>
      <c r="B84" s="13"/>
      <c r="C84" s="14"/>
      <c r="D84" s="13"/>
      <c r="E84" s="15" t="str">
        <f aca="false">IF(B84="","",IFERROR(INDEX(Plan!$B$5:$B$44,MATCH(B84,Plan!$A$5:$A$44,0))&amp;"","Kategori yok"))</f>
        <v/>
      </c>
    </row>
    <row r="85" customFormat="false" ht="15" hidden="false" customHeight="false" outlineLevel="0" collapsed="false">
      <c r="A85" s="12"/>
      <c r="B85" s="13"/>
      <c r="C85" s="14"/>
      <c r="D85" s="13"/>
      <c r="E85" s="15" t="str">
        <f aca="false">IF(B85="","",IFERROR(INDEX(Plan!$B$5:$B$44,MATCH(B85,Plan!$A$5:$A$44,0))&amp;"","Kategori yok"))</f>
        <v/>
      </c>
    </row>
    <row r="86" customFormat="false" ht="15" hidden="false" customHeight="false" outlineLevel="0" collapsed="false">
      <c r="A86" s="12"/>
      <c r="B86" s="13"/>
      <c r="C86" s="14"/>
      <c r="D86" s="13"/>
      <c r="E86" s="15" t="str">
        <f aca="false">IF(B86="","",IFERROR(INDEX(Plan!$B$5:$B$44,MATCH(B86,Plan!$A$5:$A$44,0))&amp;"","Kategori yok"))</f>
        <v/>
      </c>
    </row>
    <row r="87" customFormat="false" ht="15" hidden="false" customHeight="false" outlineLevel="0" collapsed="false">
      <c r="A87" s="12"/>
      <c r="B87" s="13"/>
      <c r="C87" s="14"/>
      <c r="D87" s="13"/>
      <c r="E87" s="15" t="str">
        <f aca="false">IF(B87="","",IFERROR(INDEX(Plan!$B$5:$B$44,MATCH(B87,Plan!$A$5:$A$44,0))&amp;"","Kategori yok"))</f>
        <v/>
      </c>
    </row>
    <row r="88" customFormat="false" ht="15" hidden="false" customHeight="false" outlineLevel="0" collapsed="false">
      <c r="A88" s="12"/>
      <c r="B88" s="13"/>
      <c r="C88" s="14"/>
      <c r="D88" s="13"/>
      <c r="E88" s="15" t="str">
        <f aca="false">IF(B88="","",IFERROR(INDEX(Plan!$B$5:$B$44,MATCH(B88,Plan!$A$5:$A$44,0))&amp;"","Kategori yok"))</f>
        <v/>
      </c>
    </row>
    <row r="89" customFormat="false" ht="15" hidden="false" customHeight="false" outlineLevel="0" collapsed="false">
      <c r="A89" s="12"/>
      <c r="B89" s="13"/>
      <c r="C89" s="14"/>
      <c r="D89" s="13"/>
      <c r="E89" s="15" t="str">
        <f aca="false">IF(B89="","",IFERROR(INDEX(Plan!$B$5:$B$44,MATCH(B89,Plan!$A$5:$A$44,0))&amp;"","Kategori yok"))</f>
        <v/>
      </c>
    </row>
    <row r="90" customFormat="false" ht="15" hidden="false" customHeight="false" outlineLevel="0" collapsed="false">
      <c r="A90" s="12"/>
      <c r="B90" s="13"/>
      <c r="C90" s="14"/>
      <c r="D90" s="13"/>
      <c r="E90" s="15" t="str">
        <f aca="false">IF(B90="","",IFERROR(INDEX(Plan!$B$5:$B$44,MATCH(B90,Plan!$A$5:$A$44,0))&amp;"","Kategori yok"))</f>
        <v/>
      </c>
    </row>
    <row r="91" customFormat="false" ht="15" hidden="false" customHeight="false" outlineLevel="0" collapsed="false">
      <c r="A91" s="12"/>
      <c r="B91" s="13"/>
      <c r="C91" s="14"/>
      <c r="D91" s="13"/>
      <c r="E91" s="15" t="str">
        <f aca="false">IF(B91="","",IFERROR(INDEX(Plan!$B$5:$B$44,MATCH(B91,Plan!$A$5:$A$44,0))&amp;"","Kategori yok"))</f>
        <v/>
      </c>
    </row>
    <row r="92" customFormat="false" ht="15" hidden="false" customHeight="false" outlineLevel="0" collapsed="false">
      <c r="A92" s="12"/>
      <c r="B92" s="13"/>
      <c r="C92" s="14"/>
      <c r="D92" s="13"/>
      <c r="E92" s="15" t="str">
        <f aca="false">IF(B92="","",IFERROR(INDEX(Plan!$B$5:$B$44,MATCH(B92,Plan!$A$5:$A$44,0))&amp;"","Kategori yok"))</f>
        <v/>
      </c>
    </row>
    <row r="93" customFormat="false" ht="15" hidden="false" customHeight="false" outlineLevel="0" collapsed="false">
      <c r="A93" s="12"/>
      <c r="B93" s="13"/>
      <c r="C93" s="14"/>
      <c r="D93" s="13"/>
      <c r="E93" s="15" t="str">
        <f aca="false">IF(B93="","",IFERROR(INDEX(Plan!$B$5:$B$44,MATCH(B93,Plan!$A$5:$A$44,0))&amp;"","Kategori yok"))</f>
        <v/>
      </c>
    </row>
    <row r="94" customFormat="false" ht="15" hidden="false" customHeight="false" outlineLevel="0" collapsed="false">
      <c r="A94" s="12"/>
      <c r="B94" s="13"/>
      <c r="C94" s="14"/>
      <c r="D94" s="13"/>
      <c r="E94" s="15" t="str">
        <f aca="false">IF(B94="","",IFERROR(INDEX(Plan!$B$5:$B$44,MATCH(B94,Plan!$A$5:$A$44,0))&amp;"","Kategori yok"))</f>
        <v/>
      </c>
    </row>
    <row r="95" customFormat="false" ht="15" hidden="false" customHeight="false" outlineLevel="0" collapsed="false">
      <c r="A95" s="12"/>
      <c r="B95" s="13"/>
      <c r="C95" s="14"/>
      <c r="D95" s="13"/>
      <c r="E95" s="15" t="str">
        <f aca="false">IF(B95="","",IFERROR(INDEX(Plan!$B$5:$B$44,MATCH(B95,Plan!$A$5:$A$44,0))&amp;"","Kategori yok"))</f>
        <v/>
      </c>
    </row>
    <row r="96" customFormat="false" ht="15" hidden="false" customHeight="false" outlineLevel="0" collapsed="false">
      <c r="A96" s="12"/>
      <c r="B96" s="13"/>
      <c r="C96" s="14"/>
      <c r="D96" s="13"/>
      <c r="E96" s="15" t="str">
        <f aca="false">IF(B96="","",IFERROR(INDEX(Plan!$B$5:$B$44,MATCH(B96,Plan!$A$5:$A$44,0))&amp;"","Kategori yok"))</f>
        <v/>
      </c>
    </row>
    <row r="97" customFormat="false" ht="15" hidden="false" customHeight="false" outlineLevel="0" collapsed="false">
      <c r="A97" s="12"/>
      <c r="B97" s="13"/>
      <c r="C97" s="14"/>
      <c r="D97" s="13"/>
      <c r="E97" s="15" t="str">
        <f aca="false">IF(B97="","",IFERROR(INDEX(Plan!$B$5:$B$44,MATCH(B97,Plan!$A$5:$A$44,0))&amp;"","Kategori yok"))</f>
        <v/>
      </c>
    </row>
    <row r="98" customFormat="false" ht="15" hidden="false" customHeight="false" outlineLevel="0" collapsed="false">
      <c r="A98" s="12"/>
      <c r="B98" s="13"/>
      <c r="C98" s="14"/>
      <c r="D98" s="13"/>
      <c r="E98" s="15" t="str">
        <f aca="false">IF(B98="","",IFERROR(INDEX(Plan!$B$5:$B$44,MATCH(B98,Plan!$A$5:$A$44,0))&amp;"","Kategori yok"))</f>
        <v/>
      </c>
    </row>
    <row r="99" customFormat="false" ht="15" hidden="false" customHeight="false" outlineLevel="0" collapsed="false">
      <c r="A99" s="12"/>
      <c r="B99" s="13"/>
      <c r="C99" s="14"/>
      <c r="D99" s="13"/>
      <c r="E99" s="15" t="str">
        <f aca="false">IF(B99="","",IFERROR(INDEX(Plan!$B$5:$B$44,MATCH(B99,Plan!$A$5:$A$44,0))&amp;"","Kategori yok"))</f>
        <v/>
      </c>
    </row>
    <row r="100" customFormat="false" ht="15" hidden="false" customHeight="false" outlineLevel="0" collapsed="false">
      <c r="A100" s="12"/>
      <c r="B100" s="13"/>
      <c r="C100" s="14"/>
      <c r="D100" s="13"/>
      <c r="E100" s="15" t="str">
        <f aca="false">IF(B100="","",IFERROR(INDEX(Plan!$B$5:$B$44,MATCH(B100,Plan!$A$5:$A$44,0))&amp;"","Kategori yok"))</f>
        <v/>
      </c>
    </row>
    <row r="101" customFormat="false" ht="15" hidden="false" customHeight="false" outlineLevel="0" collapsed="false">
      <c r="A101" s="12"/>
      <c r="B101" s="13"/>
      <c r="C101" s="14"/>
      <c r="D101" s="13"/>
      <c r="E101" s="15" t="str">
        <f aca="false">IF(B101="","",IFERROR(INDEX(Plan!$B$5:$B$44,MATCH(B101,Plan!$A$5:$A$44,0))&amp;"","Kategori yok"))</f>
        <v/>
      </c>
    </row>
    <row r="102" customFormat="false" ht="15" hidden="false" customHeight="false" outlineLevel="0" collapsed="false">
      <c r="A102" s="12"/>
      <c r="B102" s="13"/>
      <c r="C102" s="14"/>
      <c r="D102" s="13"/>
      <c r="E102" s="15" t="str">
        <f aca="false">IF(B102="","",IFERROR(INDEX(Plan!$B$5:$B$44,MATCH(B102,Plan!$A$5:$A$44,0))&amp;"","Kategori yok"))</f>
        <v/>
      </c>
    </row>
    <row r="103" customFormat="false" ht="15" hidden="false" customHeight="false" outlineLevel="0" collapsed="false">
      <c r="A103" s="12"/>
      <c r="B103" s="13"/>
      <c r="C103" s="14"/>
      <c r="D103" s="13"/>
      <c r="E103" s="15" t="str">
        <f aca="false">IF(B103="","",IFERROR(INDEX(Plan!$B$5:$B$44,MATCH(B103,Plan!$A$5:$A$44,0))&amp;"","Kategori yok"))</f>
        <v/>
      </c>
    </row>
    <row r="104" customFormat="false" ht="15" hidden="false" customHeight="false" outlineLevel="0" collapsed="false">
      <c r="A104" s="12"/>
      <c r="B104" s="13"/>
      <c r="C104" s="14"/>
      <c r="D104" s="13"/>
      <c r="E104" s="15" t="str">
        <f aca="false">IF(B104="","",IFERROR(INDEX(Plan!$B$5:$B$44,MATCH(B104,Plan!$A$5:$A$44,0))&amp;"","Kategori yok"))</f>
        <v/>
      </c>
    </row>
    <row r="105" customFormat="false" ht="15" hidden="false" customHeight="false" outlineLevel="0" collapsed="false">
      <c r="A105" s="12"/>
      <c r="B105" s="13"/>
      <c r="C105" s="14"/>
      <c r="D105" s="13"/>
      <c r="E105" s="15" t="str">
        <f aca="false">IF(B105="","",IFERROR(INDEX(Plan!$B$5:$B$44,MATCH(B105,Plan!$A$5:$A$44,0))&amp;"","Kategori yok"))</f>
        <v/>
      </c>
    </row>
    <row r="106" customFormat="false" ht="15" hidden="false" customHeight="false" outlineLevel="0" collapsed="false">
      <c r="A106" s="12"/>
      <c r="B106" s="13"/>
      <c r="C106" s="14"/>
      <c r="D106" s="13"/>
      <c r="E106" s="15" t="str">
        <f aca="false">IF(B106="","",IFERROR(INDEX(Plan!$B$5:$B$44,MATCH(B106,Plan!$A$5:$A$44,0))&amp;"","Kategori yok"))</f>
        <v/>
      </c>
    </row>
    <row r="107" customFormat="false" ht="15" hidden="false" customHeight="false" outlineLevel="0" collapsed="false">
      <c r="A107" s="12"/>
      <c r="B107" s="13"/>
      <c r="C107" s="14"/>
      <c r="D107" s="13"/>
      <c r="E107" s="15" t="str">
        <f aca="false">IF(B107="","",IFERROR(INDEX(Plan!$B$5:$B$44,MATCH(B107,Plan!$A$5:$A$44,0))&amp;"","Kategori yok"))</f>
        <v/>
      </c>
    </row>
    <row r="108" customFormat="false" ht="15" hidden="false" customHeight="false" outlineLevel="0" collapsed="false">
      <c r="A108" s="12"/>
      <c r="B108" s="13"/>
      <c r="C108" s="14"/>
      <c r="D108" s="13"/>
      <c r="E108" s="15" t="str">
        <f aca="false">IF(B108="","",IFERROR(INDEX(Plan!$B$5:$B$44,MATCH(B108,Plan!$A$5:$A$44,0))&amp;"","Kategori yok"))</f>
        <v/>
      </c>
    </row>
    <row r="109" customFormat="false" ht="15" hidden="false" customHeight="false" outlineLevel="0" collapsed="false">
      <c r="A109" s="12"/>
      <c r="B109" s="13"/>
      <c r="C109" s="14"/>
      <c r="D109" s="13"/>
      <c r="E109" s="15" t="str">
        <f aca="false">IF(B109="","",IFERROR(INDEX(Plan!$B$5:$B$44,MATCH(B109,Plan!$A$5:$A$44,0))&amp;"","Kategori yok"))</f>
        <v/>
      </c>
    </row>
    <row r="110" customFormat="false" ht="15" hidden="false" customHeight="false" outlineLevel="0" collapsed="false">
      <c r="A110" s="12"/>
      <c r="B110" s="13"/>
      <c r="C110" s="14"/>
      <c r="D110" s="13"/>
      <c r="E110" s="15" t="str">
        <f aca="false">IF(B110="","",IFERROR(INDEX(Plan!$B$5:$B$44,MATCH(B110,Plan!$A$5:$A$44,0))&amp;"","Kategori yok"))</f>
        <v/>
      </c>
    </row>
    <row r="111" customFormat="false" ht="15" hidden="false" customHeight="false" outlineLevel="0" collapsed="false">
      <c r="A111" s="12"/>
      <c r="B111" s="13"/>
      <c r="C111" s="14"/>
      <c r="D111" s="13"/>
      <c r="E111" s="15" t="str">
        <f aca="false">IF(B111="","",IFERROR(INDEX(Plan!$B$5:$B$44,MATCH(B111,Plan!$A$5:$A$44,0))&amp;"","Kategori yok"))</f>
        <v/>
      </c>
    </row>
    <row r="112" customFormat="false" ht="15" hidden="false" customHeight="false" outlineLevel="0" collapsed="false">
      <c r="A112" s="12"/>
      <c r="B112" s="13"/>
      <c r="C112" s="14"/>
      <c r="D112" s="13"/>
      <c r="E112" s="15" t="str">
        <f aca="false">IF(B112="","",IFERROR(INDEX(Plan!$B$5:$B$44,MATCH(B112,Plan!$A$5:$A$44,0))&amp;"","Kategori yok"))</f>
        <v/>
      </c>
    </row>
    <row r="113" customFormat="false" ht="15" hidden="false" customHeight="false" outlineLevel="0" collapsed="false">
      <c r="A113" s="12"/>
      <c r="B113" s="13"/>
      <c r="C113" s="14"/>
      <c r="D113" s="13"/>
      <c r="E113" s="15" t="str">
        <f aca="false">IF(B113="","",IFERROR(INDEX(Plan!$B$5:$B$44,MATCH(B113,Plan!$A$5:$A$44,0))&amp;"","Kategori yok"))</f>
        <v/>
      </c>
    </row>
    <row r="114" customFormat="false" ht="15" hidden="false" customHeight="false" outlineLevel="0" collapsed="false">
      <c r="A114" s="12"/>
      <c r="B114" s="13"/>
      <c r="C114" s="14"/>
      <c r="D114" s="13"/>
      <c r="E114" s="15" t="str">
        <f aca="false">IF(B114="","",IFERROR(INDEX(Plan!$B$5:$B$44,MATCH(B114,Plan!$A$5:$A$44,0))&amp;"","Kategori yok"))</f>
        <v/>
      </c>
    </row>
    <row r="115" customFormat="false" ht="15" hidden="false" customHeight="false" outlineLevel="0" collapsed="false">
      <c r="A115" s="12"/>
      <c r="B115" s="13"/>
      <c r="C115" s="14"/>
      <c r="D115" s="13"/>
      <c r="E115" s="15" t="str">
        <f aca="false">IF(B115="","",IFERROR(INDEX(Plan!$B$5:$B$44,MATCH(B115,Plan!$A$5:$A$44,0))&amp;"","Kategori yok"))</f>
        <v/>
      </c>
    </row>
    <row r="116" customFormat="false" ht="15" hidden="false" customHeight="false" outlineLevel="0" collapsed="false">
      <c r="A116" s="12"/>
      <c r="B116" s="13"/>
      <c r="C116" s="14"/>
      <c r="D116" s="13"/>
      <c r="E116" s="15" t="str">
        <f aca="false">IF(B116="","",IFERROR(INDEX(Plan!$B$5:$B$44,MATCH(B116,Plan!$A$5:$A$44,0))&amp;"","Kategori yok"))</f>
        <v/>
      </c>
    </row>
    <row r="117" customFormat="false" ht="15" hidden="false" customHeight="false" outlineLevel="0" collapsed="false">
      <c r="A117" s="12"/>
      <c r="B117" s="13"/>
      <c r="C117" s="14"/>
      <c r="D117" s="13"/>
      <c r="E117" s="15" t="str">
        <f aca="false">IF(B117="","",IFERROR(INDEX(Plan!$B$5:$B$44,MATCH(B117,Plan!$A$5:$A$44,0))&amp;"","Kategori yok"))</f>
        <v/>
      </c>
    </row>
    <row r="118" customFormat="false" ht="15" hidden="false" customHeight="false" outlineLevel="0" collapsed="false">
      <c r="A118" s="12"/>
      <c r="B118" s="13"/>
      <c r="C118" s="14"/>
      <c r="D118" s="13"/>
      <c r="E118" s="15" t="str">
        <f aca="false">IF(B118="","",IFERROR(INDEX(Plan!$B$5:$B$44,MATCH(B118,Plan!$A$5:$A$44,0))&amp;"","Kategori yok"))</f>
        <v/>
      </c>
    </row>
    <row r="119" customFormat="false" ht="15" hidden="false" customHeight="false" outlineLevel="0" collapsed="false">
      <c r="A119" s="12"/>
      <c r="B119" s="13"/>
      <c r="C119" s="14"/>
      <c r="D119" s="13"/>
      <c r="E119" s="15" t="str">
        <f aca="false">IF(B119="","",IFERROR(INDEX(Plan!$B$5:$B$44,MATCH(B119,Plan!$A$5:$A$44,0))&amp;"","Kategori yok"))</f>
        <v/>
      </c>
    </row>
    <row r="120" customFormat="false" ht="15" hidden="false" customHeight="false" outlineLevel="0" collapsed="false">
      <c r="A120" s="12"/>
      <c r="B120" s="13"/>
      <c r="C120" s="14"/>
      <c r="D120" s="13"/>
      <c r="E120" s="15" t="str">
        <f aca="false">IF(B120="","",IFERROR(INDEX(Plan!$B$5:$B$44,MATCH(B120,Plan!$A$5:$A$44,0))&amp;"","Kategori yok"))</f>
        <v/>
      </c>
    </row>
    <row r="121" customFormat="false" ht="15" hidden="false" customHeight="false" outlineLevel="0" collapsed="false">
      <c r="A121" s="12"/>
      <c r="B121" s="13"/>
      <c r="C121" s="14"/>
      <c r="D121" s="13"/>
      <c r="E121" s="15" t="str">
        <f aca="false">IF(B121="","",IFERROR(INDEX(Plan!$B$5:$B$44,MATCH(B121,Plan!$A$5:$A$44,0))&amp;"","Kategori yok"))</f>
        <v/>
      </c>
    </row>
    <row r="122" customFormat="false" ht="15" hidden="false" customHeight="false" outlineLevel="0" collapsed="false">
      <c r="A122" s="12"/>
      <c r="B122" s="13"/>
      <c r="C122" s="14"/>
      <c r="D122" s="13"/>
      <c r="E122" s="15" t="str">
        <f aca="false">IF(B122="","",IFERROR(INDEX(Plan!$B$5:$B$44,MATCH(B122,Plan!$A$5:$A$44,0))&amp;"","Kategori yok"))</f>
        <v/>
      </c>
    </row>
    <row r="123" customFormat="false" ht="15" hidden="false" customHeight="false" outlineLevel="0" collapsed="false">
      <c r="A123" s="12"/>
      <c r="B123" s="13"/>
      <c r="C123" s="14"/>
      <c r="D123" s="13"/>
      <c r="E123" s="15" t="str">
        <f aca="false">IF(B123="","",IFERROR(INDEX(Plan!$B$5:$B$44,MATCH(B123,Plan!$A$5:$A$44,0))&amp;"","Kategori yok"))</f>
        <v/>
      </c>
    </row>
    <row r="124" customFormat="false" ht="15" hidden="false" customHeight="false" outlineLevel="0" collapsed="false">
      <c r="A124" s="12"/>
      <c r="B124" s="13"/>
      <c r="C124" s="14"/>
      <c r="D124" s="13"/>
      <c r="E124" s="15" t="str">
        <f aca="false">IF(B124="","",IFERROR(INDEX(Plan!$B$5:$B$44,MATCH(B124,Plan!$A$5:$A$44,0))&amp;"","Kategori yok"))</f>
        <v/>
      </c>
    </row>
    <row r="125" customFormat="false" ht="15" hidden="false" customHeight="false" outlineLevel="0" collapsed="false">
      <c r="A125" s="12"/>
      <c r="B125" s="13"/>
      <c r="C125" s="14"/>
      <c r="D125" s="13"/>
      <c r="E125" s="15" t="str">
        <f aca="false">IF(B125="","",IFERROR(INDEX(Plan!$B$5:$B$44,MATCH(B125,Plan!$A$5:$A$44,0))&amp;"","Kategori yok"))</f>
        <v/>
      </c>
    </row>
    <row r="126" customFormat="false" ht="15" hidden="false" customHeight="false" outlineLevel="0" collapsed="false">
      <c r="A126" s="12"/>
      <c r="B126" s="13"/>
      <c r="C126" s="14"/>
      <c r="D126" s="13"/>
      <c r="E126" s="15" t="str">
        <f aca="false">IF(B126="","",IFERROR(INDEX(Plan!$B$5:$B$44,MATCH(B126,Plan!$A$5:$A$44,0))&amp;"","Kategori yok"))</f>
        <v/>
      </c>
    </row>
    <row r="127" customFormat="false" ht="15" hidden="false" customHeight="false" outlineLevel="0" collapsed="false">
      <c r="A127" s="12"/>
      <c r="B127" s="13"/>
      <c r="C127" s="14"/>
      <c r="D127" s="13"/>
      <c r="E127" s="15" t="str">
        <f aca="false">IF(B127="","",IFERROR(INDEX(Plan!$B$5:$B$44,MATCH(B127,Plan!$A$5:$A$44,0))&amp;"","Kategori yok"))</f>
        <v/>
      </c>
    </row>
    <row r="128" customFormat="false" ht="15" hidden="false" customHeight="false" outlineLevel="0" collapsed="false">
      <c r="A128" s="12"/>
      <c r="B128" s="13"/>
      <c r="C128" s="14"/>
      <c r="D128" s="13"/>
      <c r="E128" s="15" t="str">
        <f aca="false">IF(B128="","",IFERROR(INDEX(Plan!$B$5:$B$44,MATCH(B128,Plan!$A$5:$A$44,0))&amp;"","Kategori yok"))</f>
        <v/>
      </c>
    </row>
    <row r="129" customFormat="false" ht="15" hidden="false" customHeight="false" outlineLevel="0" collapsed="false">
      <c r="A129" s="12"/>
      <c r="B129" s="13"/>
      <c r="C129" s="14"/>
      <c r="D129" s="13"/>
      <c r="E129" s="15" t="str">
        <f aca="false">IF(B129="","",IFERROR(INDEX(Plan!$B$5:$B$44,MATCH(B129,Plan!$A$5:$A$44,0))&amp;"","Kategori yok"))</f>
        <v/>
      </c>
    </row>
    <row r="130" customFormat="false" ht="15" hidden="false" customHeight="false" outlineLevel="0" collapsed="false">
      <c r="A130" s="12"/>
      <c r="B130" s="13"/>
      <c r="C130" s="14"/>
      <c r="D130" s="13"/>
      <c r="E130" s="15" t="str">
        <f aca="false">IF(B130="","",IFERROR(INDEX(Plan!$B$5:$B$44,MATCH(B130,Plan!$A$5:$A$44,0))&amp;"","Kategori yok"))</f>
        <v/>
      </c>
    </row>
    <row r="131" customFormat="false" ht="15" hidden="false" customHeight="false" outlineLevel="0" collapsed="false">
      <c r="A131" s="12"/>
      <c r="B131" s="13"/>
      <c r="C131" s="14"/>
      <c r="D131" s="13"/>
      <c r="E131" s="15" t="str">
        <f aca="false">IF(B131="","",IFERROR(INDEX(Plan!$B$5:$B$44,MATCH(B131,Plan!$A$5:$A$44,0))&amp;"","Kategori yok"))</f>
        <v/>
      </c>
    </row>
    <row r="132" customFormat="false" ht="15" hidden="false" customHeight="false" outlineLevel="0" collapsed="false">
      <c r="A132" s="12"/>
      <c r="B132" s="13"/>
      <c r="C132" s="14"/>
      <c r="D132" s="13"/>
      <c r="E132" s="15" t="str">
        <f aca="false">IF(B132="","",IFERROR(INDEX(Plan!$B$5:$B$44,MATCH(B132,Plan!$A$5:$A$44,0))&amp;"","Kategori yok"))</f>
        <v/>
      </c>
    </row>
    <row r="133" customFormat="false" ht="15" hidden="false" customHeight="false" outlineLevel="0" collapsed="false">
      <c r="A133" s="12"/>
      <c r="B133" s="13"/>
      <c r="C133" s="14"/>
      <c r="D133" s="13"/>
      <c r="E133" s="15" t="str">
        <f aca="false">IF(B133="","",IFERROR(INDEX(Plan!$B$5:$B$44,MATCH(B133,Plan!$A$5:$A$44,0))&amp;"","Kategori yok"))</f>
        <v/>
      </c>
    </row>
    <row r="134" customFormat="false" ht="15" hidden="false" customHeight="false" outlineLevel="0" collapsed="false">
      <c r="A134" s="12"/>
      <c r="B134" s="13"/>
      <c r="C134" s="14"/>
      <c r="D134" s="13"/>
      <c r="E134" s="15" t="str">
        <f aca="false">IF(B134="","",IFERROR(INDEX(Plan!$B$5:$B$44,MATCH(B134,Plan!$A$5:$A$44,0))&amp;"","Kategori yok"))</f>
        <v/>
      </c>
    </row>
    <row r="135" customFormat="false" ht="15" hidden="false" customHeight="false" outlineLevel="0" collapsed="false">
      <c r="A135" s="12"/>
      <c r="B135" s="13"/>
      <c r="C135" s="14"/>
      <c r="D135" s="13"/>
      <c r="E135" s="15" t="str">
        <f aca="false">IF(B135="","",IFERROR(INDEX(Plan!$B$5:$B$44,MATCH(B135,Plan!$A$5:$A$44,0))&amp;"","Kategori yok"))</f>
        <v/>
      </c>
    </row>
    <row r="136" customFormat="false" ht="15" hidden="false" customHeight="false" outlineLevel="0" collapsed="false">
      <c r="A136" s="12"/>
      <c r="B136" s="13"/>
      <c r="C136" s="14"/>
      <c r="D136" s="13"/>
      <c r="E136" s="15" t="str">
        <f aca="false">IF(B136="","",IFERROR(INDEX(Plan!$B$5:$B$44,MATCH(B136,Plan!$A$5:$A$44,0))&amp;"","Kategori yok"))</f>
        <v/>
      </c>
    </row>
    <row r="137" customFormat="false" ht="15" hidden="false" customHeight="false" outlineLevel="0" collapsed="false">
      <c r="A137" s="12"/>
      <c r="B137" s="13"/>
      <c r="C137" s="14"/>
      <c r="D137" s="13"/>
      <c r="E137" s="15" t="str">
        <f aca="false">IF(B137="","",IFERROR(INDEX(Plan!$B$5:$B$44,MATCH(B137,Plan!$A$5:$A$44,0))&amp;"","Kategori yok"))</f>
        <v/>
      </c>
    </row>
    <row r="138" customFormat="false" ht="15" hidden="false" customHeight="false" outlineLevel="0" collapsed="false">
      <c r="A138" s="12"/>
      <c r="B138" s="13"/>
      <c r="C138" s="14"/>
      <c r="D138" s="13"/>
      <c r="E138" s="15" t="str">
        <f aca="false">IF(B138="","",IFERROR(INDEX(Plan!$B$5:$B$44,MATCH(B138,Plan!$A$5:$A$44,0))&amp;"","Kategori yok"))</f>
        <v/>
      </c>
    </row>
    <row r="139" customFormat="false" ht="15" hidden="false" customHeight="false" outlineLevel="0" collapsed="false">
      <c r="A139" s="12"/>
      <c r="B139" s="13"/>
      <c r="C139" s="14"/>
      <c r="D139" s="13"/>
      <c r="E139" s="15" t="str">
        <f aca="false">IF(B139="","",IFERROR(INDEX(Plan!$B$5:$B$44,MATCH(B139,Plan!$A$5:$A$44,0))&amp;"","Kategori yok"))</f>
        <v/>
      </c>
    </row>
    <row r="140" customFormat="false" ht="15" hidden="false" customHeight="false" outlineLevel="0" collapsed="false">
      <c r="A140" s="12"/>
      <c r="B140" s="13"/>
      <c r="C140" s="14"/>
      <c r="D140" s="13"/>
      <c r="E140" s="15" t="str">
        <f aca="false">IF(B140="","",IFERROR(INDEX(Plan!$B$5:$B$44,MATCH(B140,Plan!$A$5:$A$44,0))&amp;"","Kategori yok"))</f>
        <v/>
      </c>
    </row>
    <row r="141" customFormat="false" ht="15" hidden="false" customHeight="false" outlineLevel="0" collapsed="false">
      <c r="A141" s="12"/>
      <c r="B141" s="13"/>
      <c r="C141" s="14"/>
      <c r="D141" s="13"/>
      <c r="E141" s="15" t="str">
        <f aca="false">IF(B141="","",IFERROR(INDEX(Plan!$B$5:$B$44,MATCH(B141,Plan!$A$5:$A$44,0))&amp;"","Kategori yok"))</f>
        <v/>
      </c>
    </row>
    <row r="142" customFormat="false" ht="15" hidden="false" customHeight="false" outlineLevel="0" collapsed="false">
      <c r="A142" s="12"/>
      <c r="B142" s="13"/>
      <c r="C142" s="14"/>
      <c r="D142" s="13"/>
      <c r="E142" s="15" t="str">
        <f aca="false">IF(B142="","",IFERROR(INDEX(Plan!$B$5:$B$44,MATCH(B142,Plan!$A$5:$A$44,0))&amp;"","Kategori yok"))</f>
        <v/>
      </c>
    </row>
    <row r="143" customFormat="false" ht="15" hidden="false" customHeight="false" outlineLevel="0" collapsed="false">
      <c r="A143" s="12"/>
      <c r="B143" s="13"/>
      <c r="C143" s="14"/>
      <c r="D143" s="13"/>
      <c r="E143" s="15" t="str">
        <f aca="false">IF(B143="","",IFERROR(INDEX(Plan!$B$5:$B$44,MATCH(B143,Plan!$A$5:$A$44,0))&amp;"","Kategori yok"))</f>
        <v/>
      </c>
    </row>
    <row r="144" customFormat="false" ht="15" hidden="false" customHeight="false" outlineLevel="0" collapsed="false">
      <c r="A144" s="12"/>
      <c r="B144" s="13"/>
      <c r="C144" s="14"/>
      <c r="D144" s="13"/>
      <c r="E144" s="15" t="str">
        <f aca="false">IF(B144="","",IFERROR(INDEX(Plan!$B$5:$B$44,MATCH(B144,Plan!$A$5:$A$44,0))&amp;"","Kategori yok"))</f>
        <v/>
      </c>
    </row>
    <row r="145" customFormat="false" ht="15" hidden="false" customHeight="false" outlineLevel="0" collapsed="false">
      <c r="A145" s="12"/>
      <c r="B145" s="13"/>
      <c r="C145" s="14"/>
      <c r="D145" s="13"/>
      <c r="E145" s="15" t="str">
        <f aca="false">IF(B145="","",IFERROR(INDEX(Plan!$B$5:$B$44,MATCH(B145,Plan!$A$5:$A$44,0))&amp;"","Kategori yok"))</f>
        <v/>
      </c>
    </row>
    <row r="146" customFormat="false" ht="15" hidden="false" customHeight="false" outlineLevel="0" collapsed="false">
      <c r="A146" s="12"/>
      <c r="B146" s="13"/>
      <c r="C146" s="14"/>
      <c r="D146" s="13"/>
      <c r="E146" s="15" t="str">
        <f aca="false">IF(B146="","",IFERROR(INDEX(Plan!$B$5:$B$44,MATCH(B146,Plan!$A$5:$A$44,0))&amp;"","Kategori yok"))</f>
        <v/>
      </c>
    </row>
    <row r="147" customFormat="false" ht="15" hidden="false" customHeight="false" outlineLevel="0" collapsed="false">
      <c r="A147" s="12"/>
      <c r="B147" s="13"/>
      <c r="C147" s="14"/>
      <c r="D147" s="13"/>
      <c r="E147" s="15" t="str">
        <f aca="false">IF(B147="","",IFERROR(INDEX(Plan!$B$5:$B$44,MATCH(B147,Plan!$A$5:$A$44,0))&amp;"","Kategori yok"))</f>
        <v/>
      </c>
    </row>
    <row r="148" customFormat="false" ht="15" hidden="false" customHeight="false" outlineLevel="0" collapsed="false">
      <c r="A148" s="12"/>
      <c r="B148" s="13"/>
      <c r="C148" s="14"/>
      <c r="D148" s="13"/>
      <c r="E148" s="15" t="str">
        <f aca="false">IF(B148="","",IFERROR(INDEX(Plan!$B$5:$B$44,MATCH(B148,Plan!$A$5:$A$44,0))&amp;"","Kategori yok"))</f>
        <v/>
      </c>
    </row>
    <row r="149" customFormat="false" ht="15" hidden="false" customHeight="false" outlineLevel="0" collapsed="false">
      <c r="A149" s="12"/>
      <c r="B149" s="13"/>
      <c r="C149" s="14"/>
      <c r="D149" s="13"/>
      <c r="E149" s="15" t="str">
        <f aca="false">IF(B149="","",IFERROR(INDEX(Plan!$B$5:$B$44,MATCH(B149,Plan!$A$5:$A$44,0))&amp;"","Kategori yok"))</f>
        <v/>
      </c>
    </row>
    <row r="150" customFormat="false" ht="15" hidden="false" customHeight="false" outlineLevel="0" collapsed="false">
      <c r="A150" s="12"/>
      <c r="B150" s="13"/>
      <c r="C150" s="14"/>
      <c r="D150" s="13"/>
      <c r="E150" s="15" t="str">
        <f aca="false">IF(B150="","",IFERROR(INDEX(Plan!$B$5:$B$44,MATCH(B150,Plan!$A$5:$A$44,0))&amp;"","Kategori yok"))</f>
        <v/>
      </c>
    </row>
    <row r="151" customFormat="false" ht="15" hidden="false" customHeight="false" outlineLevel="0" collapsed="false">
      <c r="A151" s="12"/>
      <c r="B151" s="13"/>
      <c r="C151" s="14"/>
      <c r="D151" s="13"/>
      <c r="E151" s="15" t="str">
        <f aca="false">IF(B151="","",IFERROR(INDEX(Plan!$B$5:$B$44,MATCH(B151,Plan!$A$5:$A$44,0))&amp;"","Kategori yok"))</f>
        <v/>
      </c>
    </row>
    <row r="152" customFormat="false" ht="15" hidden="false" customHeight="false" outlineLevel="0" collapsed="false">
      <c r="A152" s="12"/>
      <c r="B152" s="13"/>
      <c r="C152" s="14"/>
      <c r="D152" s="13"/>
      <c r="E152" s="15" t="str">
        <f aca="false">IF(B152="","",IFERROR(INDEX(Plan!$B$5:$B$44,MATCH(B152,Plan!$A$5:$A$44,0))&amp;"","Kategori yok"))</f>
        <v/>
      </c>
    </row>
    <row r="153" customFormat="false" ht="15" hidden="false" customHeight="false" outlineLevel="0" collapsed="false">
      <c r="A153" s="12"/>
      <c r="B153" s="13"/>
      <c r="C153" s="14"/>
      <c r="D153" s="13"/>
      <c r="E153" s="15" t="str">
        <f aca="false">IF(B153="","",IFERROR(INDEX(Plan!$B$5:$B$44,MATCH(B153,Plan!$A$5:$A$44,0))&amp;"","Kategori yok"))</f>
        <v/>
      </c>
    </row>
    <row r="154" customFormat="false" ht="15" hidden="false" customHeight="false" outlineLevel="0" collapsed="false">
      <c r="A154" s="12"/>
      <c r="B154" s="13"/>
      <c r="C154" s="14"/>
      <c r="D154" s="13"/>
      <c r="E154" s="15" t="str">
        <f aca="false">IF(B154="","",IFERROR(INDEX(Plan!$B$5:$B$44,MATCH(B154,Plan!$A$5:$A$44,0))&amp;"","Kategori yok"))</f>
        <v/>
      </c>
    </row>
    <row r="155" customFormat="false" ht="15" hidden="false" customHeight="false" outlineLevel="0" collapsed="false">
      <c r="A155" s="12"/>
      <c r="B155" s="13"/>
      <c r="C155" s="14"/>
      <c r="D155" s="13"/>
      <c r="E155" s="15" t="str">
        <f aca="false">IF(B155="","",IFERROR(INDEX(Plan!$B$5:$B$44,MATCH(B155,Plan!$A$5:$A$44,0))&amp;"","Kategori yok"))</f>
        <v/>
      </c>
    </row>
    <row r="156" customFormat="false" ht="15" hidden="false" customHeight="false" outlineLevel="0" collapsed="false">
      <c r="A156" s="12"/>
      <c r="B156" s="13"/>
      <c r="C156" s="14"/>
      <c r="D156" s="13"/>
      <c r="E156" s="15" t="str">
        <f aca="false">IF(B156="","",IFERROR(INDEX(Plan!$B$5:$B$44,MATCH(B156,Plan!$A$5:$A$44,0))&amp;"","Kategori yok"))</f>
        <v/>
      </c>
    </row>
    <row r="157" customFormat="false" ht="15" hidden="false" customHeight="false" outlineLevel="0" collapsed="false">
      <c r="A157" s="12"/>
      <c r="B157" s="13"/>
      <c r="C157" s="14"/>
      <c r="D157" s="13"/>
      <c r="E157" s="15" t="str">
        <f aca="false">IF(B157="","",IFERROR(INDEX(Plan!$B$5:$B$44,MATCH(B157,Plan!$A$5:$A$44,0))&amp;"","Kategori yok"))</f>
        <v/>
      </c>
    </row>
    <row r="158" customFormat="false" ht="15" hidden="false" customHeight="false" outlineLevel="0" collapsed="false">
      <c r="A158" s="12"/>
      <c r="B158" s="13"/>
      <c r="C158" s="14"/>
      <c r="D158" s="13"/>
      <c r="E158" s="15" t="str">
        <f aca="false">IF(B158="","",IFERROR(INDEX(Plan!$B$5:$B$44,MATCH(B158,Plan!$A$5:$A$44,0))&amp;"","Kategori yok"))</f>
        <v/>
      </c>
    </row>
    <row r="159" customFormat="false" ht="15" hidden="false" customHeight="false" outlineLevel="0" collapsed="false">
      <c r="A159" s="12"/>
      <c r="B159" s="13"/>
      <c r="C159" s="14"/>
      <c r="D159" s="13"/>
      <c r="E159" s="15" t="str">
        <f aca="false">IF(B159="","",IFERROR(INDEX(Plan!$B$5:$B$44,MATCH(B159,Plan!$A$5:$A$44,0))&amp;"","Kategori yok"))</f>
        <v/>
      </c>
    </row>
    <row r="160" customFormat="false" ht="15" hidden="false" customHeight="false" outlineLevel="0" collapsed="false">
      <c r="A160" s="12"/>
      <c r="B160" s="13"/>
      <c r="C160" s="14"/>
      <c r="D160" s="13"/>
      <c r="E160" s="15" t="str">
        <f aca="false">IF(B160="","",IFERROR(INDEX(Plan!$B$5:$B$44,MATCH(B160,Plan!$A$5:$A$44,0))&amp;"","Kategori yok"))</f>
        <v/>
      </c>
    </row>
    <row r="161" customFormat="false" ht="15" hidden="false" customHeight="false" outlineLevel="0" collapsed="false">
      <c r="A161" s="12"/>
      <c r="B161" s="13"/>
      <c r="C161" s="14"/>
      <c r="D161" s="13"/>
      <c r="E161" s="15" t="str">
        <f aca="false">IF(B161="","",IFERROR(INDEX(Plan!$B$5:$B$44,MATCH(B161,Plan!$A$5:$A$44,0))&amp;"","Kategori yok"))</f>
        <v/>
      </c>
    </row>
    <row r="162" customFormat="false" ht="15" hidden="false" customHeight="false" outlineLevel="0" collapsed="false">
      <c r="A162" s="12"/>
      <c r="B162" s="13"/>
      <c r="C162" s="14"/>
      <c r="D162" s="13"/>
      <c r="E162" s="15" t="str">
        <f aca="false">IF(B162="","",IFERROR(INDEX(Plan!$B$5:$B$44,MATCH(B162,Plan!$A$5:$A$44,0))&amp;"","Kategori yok"))</f>
        <v/>
      </c>
    </row>
    <row r="163" customFormat="false" ht="15" hidden="false" customHeight="false" outlineLevel="0" collapsed="false">
      <c r="A163" s="12"/>
      <c r="B163" s="13"/>
      <c r="C163" s="14"/>
      <c r="D163" s="13"/>
      <c r="E163" s="15" t="str">
        <f aca="false">IF(B163="","",IFERROR(INDEX(Plan!$B$5:$B$44,MATCH(B163,Plan!$A$5:$A$44,0))&amp;"","Kategori yok"))</f>
        <v/>
      </c>
    </row>
    <row r="164" customFormat="false" ht="15" hidden="false" customHeight="false" outlineLevel="0" collapsed="false">
      <c r="A164" s="12"/>
      <c r="B164" s="13"/>
      <c r="C164" s="14"/>
      <c r="D164" s="13"/>
      <c r="E164" s="15" t="str">
        <f aca="false">IF(B164="","",IFERROR(INDEX(Plan!$B$5:$B$44,MATCH(B164,Plan!$A$5:$A$44,0))&amp;"","Kategori yok"))</f>
        <v/>
      </c>
    </row>
    <row r="165" customFormat="false" ht="15" hidden="false" customHeight="false" outlineLevel="0" collapsed="false">
      <c r="A165" s="12"/>
      <c r="B165" s="13"/>
      <c r="C165" s="14"/>
      <c r="D165" s="13"/>
      <c r="E165" s="15" t="str">
        <f aca="false">IF(B165="","",IFERROR(INDEX(Plan!$B$5:$B$44,MATCH(B165,Plan!$A$5:$A$44,0))&amp;"","Kategori yok"))</f>
        <v/>
      </c>
    </row>
    <row r="166" customFormat="false" ht="15" hidden="false" customHeight="false" outlineLevel="0" collapsed="false">
      <c r="A166" s="12"/>
      <c r="B166" s="13"/>
      <c r="C166" s="14"/>
      <c r="D166" s="13"/>
      <c r="E166" s="15" t="str">
        <f aca="false">IF(B166="","",IFERROR(INDEX(Plan!$B$5:$B$44,MATCH(B166,Plan!$A$5:$A$44,0))&amp;"","Kategori yok"))</f>
        <v/>
      </c>
    </row>
    <row r="167" customFormat="false" ht="15" hidden="false" customHeight="false" outlineLevel="0" collapsed="false">
      <c r="A167" s="12"/>
      <c r="B167" s="13"/>
      <c r="C167" s="14"/>
      <c r="D167" s="13"/>
      <c r="E167" s="15" t="str">
        <f aca="false">IF(B167="","",IFERROR(INDEX(Plan!$B$5:$B$44,MATCH(B167,Plan!$A$5:$A$44,0))&amp;"","Kategori yok"))</f>
        <v/>
      </c>
    </row>
    <row r="168" customFormat="false" ht="15" hidden="false" customHeight="false" outlineLevel="0" collapsed="false">
      <c r="A168" s="12"/>
      <c r="B168" s="13"/>
      <c r="C168" s="14"/>
      <c r="D168" s="13"/>
      <c r="E168" s="15" t="str">
        <f aca="false">IF(B168="","",IFERROR(INDEX(Plan!$B$5:$B$44,MATCH(B168,Plan!$A$5:$A$44,0))&amp;"","Kategori yok"))</f>
        <v/>
      </c>
    </row>
    <row r="169" customFormat="false" ht="15" hidden="false" customHeight="false" outlineLevel="0" collapsed="false">
      <c r="A169" s="12"/>
      <c r="B169" s="13"/>
      <c r="C169" s="14"/>
      <c r="D169" s="13"/>
      <c r="E169" s="15" t="str">
        <f aca="false">IF(B169="","",IFERROR(INDEX(Plan!$B$5:$B$44,MATCH(B169,Plan!$A$5:$A$44,0))&amp;"","Kategori yok"))</f>
        <v/>
      </c>
    </row>
    <row r="170" customFormat="false" ht="15" hidden="false" customHeight="false" outlineLevel="0" collapsed="false">
      <c r="A170" s="12"/>
      <c r="B170" s="13"/>
      <c r="C170" s="14"/>
      <c r="D170" s="13"/>
      <c r="E170" s="15" t="str">
        <f aca="false">IF(B170="","",IFERROR(INDEX(Plan!$B$5:$B$44,MATCH(B170,Plan!$A$5:$A$44,0))&amp;"","Kategori yok"))</f>
        <v/>
      </c>
    </row>
    <row r="171" customFormat="false" ht="15" hidden="false" customHeight="false" outlineLevel="0" collapsed="false">
      <c r="A171" s="12"/>
      <c r="B171" s="13"/>
      <c r="C171" s="14"/>
      <c r="D171" s="13"/>
      <c r="E171" s="15" t="str">
        <f aca="false">IF(B171="","",IFERROR(INDEX(Plan!$B$5:$B$44,MATCH(B171,Plan!$A$5:$A$44,0))&amp;"","Kategori yok"))</f>
        <v/>
      </c>
    </row>
    <row r="172" customFormat="false" ht="15" hidden="false" customHeight="false" outlineLevel="0" collapsed="false">
      <c r="A172" s="12"/>
      <c r="B172" s="13"/>
      <c r="C172" s="14"/>
      <c r="D172" s="13"/>
      <c r="E172" s="15" t="str">
        <f aca="false">IF(B172="","",IFERROR(INDEX(Plan!$B$5:$B$44,MATCH(B172,Plan!$A$5:$A$44,0))&amp;"","Kategori yok"))</f>
        <v/>
      </c>
    </row>
    <row r="173" customFormat="false" ht="15" hidden="false" customHeight="false" outlineLevel="0" collapsed="false">
      <c r="A173" s="12"/>
      <c r="B173" s="13"/>
      <c r="C173" s="14"/>
      <c r="D173" s="13"/>
      <c r="E173" s="15" t="str">
        <f aca="false">IF(B173="","",IFERROR(INDEX(Plan!$B$5:$B$44,MATCH(B173,Plan!$A$5:$A$44,0))&amp;"","Kategori yok"))</f>
        <v/>
      </c>
    </row>
    <row r="174" customFormat="false" ht="15" hidden="false" customHeight="false" outlineLevel="0" collapsed="false">
      <c r="A174" s="12"/>
      <c r="B174" s="13"/>
      <c r="C174" s="14"/>
      <c r="D174" s="13"/>
      <c r="E174" s="15" t="str">
        <f aca="false">IF(B174="","",IFERROR(INDEX(Plan!$B$5:$B$44,MATCH(B174,Plan!$A$5:$A$44,0))&amp;"","Kategori yok"))</f>
        <v/>
      </c>
    </row>
    <row r="175" customFormat="false" ht="15" hidden="false" customHeight="false" outlineLevel="0" collapsed="false">
      <c r="A175" s="12"/>
      <c r="B175" s="13"/>
      <c r="C175" s="14"/>
      <c r="D175" s="13"/>
      <c r="E175" s="15" t="str">
        <f aca="false">IF(B175="","",IFERROR(INDEX(Plan!$B$5:$B$44,MATCH(B175,Plan!$A$5:$A$44,0))&amp;"","Kategori yok"))</f>
        <v/>
      </c>
    </row>
    <row r="176" customFormat="false" ht="15" hidden="false" customHeight="false" outlineLevel="0" collapsed="false">
      <c r="A176" s="12"/>
      <c r="B176" s="13"/>
      <c r="C176" s="14"/>
      <c r="D176" s="13"/>
      <c r="E176" s="15" t="str">
        <f aca="false">IF(B176="","",IFERROR(INDEX(Plan!$B$5:$B$44,MATCH(B176,Plan!$A$5:$A$44,0))&amp;"","Kategori yok"))</f>
        <v/>
      </c>
    </row>
    <row r="177" customFormat="false" ht="15" hidden="false" customHeight="false" outlineLevel="0" collapsed="false">
      <c r="A177" s="12"/>
      <c r="B177" s="13"/>
      <c r="C177" s="14"/>
      <c r="D177" s="13"/>
      <c r="E177" s="15" t="str">
        <f aca="false">IF(B177="","",IFERROR(INDEX(Plan!$B$5:$B$44,MATCH(B177,Plan!$A$5:$A$44,0))&amp;"","Kategori yok"))</f>
        <v/>
      </c>
    </row>
    <row r="178" customFormat="false" ht="15" hidden="false" customHeight="false" outlineLevel="0" collapsed="false">
      <c r="A178" s="12"/>
      <c r="B178" s="13"/>
      <c r="C178" s="14"/>
      <c r="D178" s="13"/>
      <c r="E178" s="15" t="str">
        <f aca="false">IF(B178="","",IFERROR(INDEX(Plan!$B$5:$B$44,MATCH(B178,Plan!$A$5:$A$44,0))&amp;"","Kategori yok"))</f>
        <v/>
      </c>
    </row>
    <row r="179" customFormat="false" ht="15" hidden="false" customHeight="false" outlineLevel="0" collapsed="false">
      <c r="A179" s="12"/>
      <c r="B179" s="13"/>
      <c r="C179" s="14"/>
      <c r="D179" s="13"/>
      <c r="E179" s="15" t="str">
        <f aca="false">IF(B179="","",IFERROR(INDEX(Plan!$B$5:$B$44,MATCH(B179,Plan!$A$5:$A$44,0))&amp;"","Kategori yok"))</f>
        <v/>
      </c>
    </row>
    <row r="180" customFormat="false" ht="15" hidden="false" customHeight="false" outlineLevel="0" collapsed="false">
      <c r="A180" s="12"/>
      <c r="B180" s="13"/>
      <c r="C180" s="14"/>
      <c r="D180" s="13"/>
      <c r="E180" s="15" t="str">
        <f aca="false">IF(B180="","",IFERROR(INDEX(Plan!$B$5:$B$44,MATCH(B180,Plan!$A$5:$A$44,0))&amp;"","Kategori yok"))</f>
        <v/>
      </c>
    </row>
    <row r="181" customFormat="false" ht="15" hidden="false" customHeight="false" outlineLevel="0" collapsed="false">
      <c r="A181" s="12"/>
      <c r="B181" s="13"/>
      <c r="C181" s="14"/>
      <c r="D181" s="13"/>
      <c r="E181" s="15" t="str">
        <f aca="false">IF(B181="","",IFERROR(INDEX(Plan!$B$5:$B$44,MATCH(B181,Plan!$A$5:$A$44,0))&amp;"","Kategori yok"))</f>
        <v/>
      </c>
    </row>
    <row r="182" customFormat="false" ht="15" hidden="false" customHeight="false" outlineLevel="0" collapsed="false">
      <c r="A182" s="12"/>
      <c r="B182" s="13"/>
      <c r="C182" s="14"/>
      <c r="D182" s="13"/>
      <c r="E182" s="15" t="str">
        <f aca="false">IF(B182="","",IFERROR(INDEX(Plan!$B$5:$B$44,MATCH(B182,Plan!$A$5:$A$44,0))&amp;"","Kategori yok"))</f>
        <v/>
      </c>
    </row>
    <row r="183" customFormat="false" ht="15" hidden="false" customHeight="false" outlineLevel="0" collapsed="false">
      <c r="A183" s="12"/>
      <c r="B183" s="13"/>
      <c r="C183" s="14"/>
      <c r="D183" s="13"/>
      <c r="E183" s="15" t="str">
        <f aca="false">IF(B183="","",IFERROR(INDEX(Plan!$B$5:$B$44,MATCH(B183,Plan!$A$5:$A$44,0))&amp;"","Kategori yok"))</f>
        <v/>
      </c>
    </row>
    <row r="184" customFormat="false" ht="15" hidden="false" customHeight="false" outlineLevel="0" collapsed="false">
      <c r="A184" s="12"/>
      <c r="B184" s="13"/>
      <c r="C184" s="14"/>
      <c r="D184" s="13"/>
      <c r="E184" s="15" t="str">
        <f aca="false">IF(B184="","",IFERROR(INDEX(Plan!$B$5:$B$44,MATCH(B184,Plan!$A$5:$A$44,0))&amp;"","Kategori yok"))</f>
        <v/>
      </c>
    </row>
    <row r="185" customFormat="false" ht="15" hidden="false" customHeight="false" outlineLevel="0" collapsed="false">
      <c r="A185" s="12"/>
      <c r="B185" s="13"/>
      <c r="C185" s="14"/>
      <c r="D185" s="13"/>
      <c r="E185" s="15" t="str">
        <f aca="false">IF(B185="","",IFERROR(INDEX(Plan!$B$5:$B$44,MATCH(B185,Plan!$A$5:$A$44,0))&amp;"","Kategori yok"))</f>
        <v/>
      </c>
    </row>
    <row r="186" customFormat="false" ht="15" hidden="false" customHeight="false" outlineLevel="0" collapsed="false">
      <c r="A186" s="12"/>
      <c r="B186" s="13"/>
      <c r="C186" s="14"/>
      <c r="D186" s="13"/>
      <c r="E186" s="15" t="str">
        <f aca="false">IF(B186="","",IFERROR(INDEX(Plan!$B$5:$B$44,MATCH(B186,Plan!$A$5:$A$44,0))&amp;"","Kategori yok"))</f>
        <v/>
      </c>
    </row>
    <row r="187" customFormat="false" ht="15" hidden="false" customHeight="false" outlineLevel="0" collapsed="false">
      <c r="A187" s="12"/>
      <c r="B187" s="13"/>
      <c r="C187" s="14"/>
      <c r="D187" s="13"/>
      <c r="E187" s="15" t="str">
        <f aca="false">IF(B187="","",IFERROR(INDEX(Plan!$B$5:$B$44,MATCH(B187,Plan!$A$5:$A$44,0))&amp;"","Kategori yok"))</f>
        <v/>
      </c>
    </row>
    <row r="188" customFormat="false" ht="15" hidden="false" customHeight="false" outlineLevel="0" collapsed="false">
      <c r="A188" s="12"/>
      <c r="B188" s="13"/>
      <c r="C188" s="14"/>
      <c r="D188" s="13"/>
      <c r="E188" s="15" t="str">
        <f aca="false">IF(B188="","",IFERROR(INDEX(Plan!$B$5:$B$44,MATCH(B188,Plan!$A$5:$A$44,0))&amp;"","Kategori yok"))</f>
        <v/>
      </c>
    </row>
    <row r="189" customFormat="false" ht="15" hidden="false" customHeight="false" outlineLevel="0" collapsed="false">
      <c r="A189" s="12"/>
      <c r="B189" s="13"/>
      <c r="C189" s="14"/>
      <c r="D189" s="13"/>
      <c r="E189" s="15" t="str">
        <f aca="false">IF(B189="","",IFERROR(INDEX(Plan!$B$5:$B$44,MATCH(B189,Plan!$A$5:$A$44,0))&amp;"","Kategori yok"))</f>
        <v/>
      </c>
    </row>
    <row r="190" customFormat="false" ht="15" hidden="false" customHeight="false" outlineLevel="0" collapsed="false">
      <c r="A190" s="12"/>
      <c r="B190" s="13"/>
      <c r="C190" s="14"/>
      <c r="D190" s="13"/>
      <c r="E190" s="15" t="str">
        <f aca="false">IF(B190="","",IFERROR(INDEX(Plan!$B$5:$B$44,MATCH(B190,Plan!$A$5:$A$44,0))&amp;"","Kategori yok"))</f>
        <v/>
      </c>
    </row>
    <row r="191" customFormat="false" ht="15" hidden="false" customHeight="false" outlineLevel="0" collapsed="false">
      <c r="A191" s="12"/>
      <c r="B191" s="13"/>
      <c r="C191" s="14"/>
      <c r="D191" s="13"/>
      <c r="E191" s="15" t="str">
        <f aca="false">IF(B191="","",IFERROR(INDEX(Plan!$B$5:$B$44,MATCH(B191,Plan!$A$5:$A$44,0))&amp;"","Kategori yok"))</f>
        <v/>
      </c>
    </row>
    <row r="192" customFormat="false" ht="15" hidden="false" customHeight="false" outlineLevel="0" collapsed="false">
      <c r="A192" s="12"/>
      <c r="B192" s="13"/>
      <c r="C192" s="14"/>
      <c r="D192" s="13"/>
      <c r="E192" s="15" t="str">
        <f aca="false">IF(B192="","",IFERROR(INDEX(Plan!$B$5:$B$44,MATCH(B192,Plan!$A$5:$A$44,0))&amp;"","Kategori yok"))</f>
        <v/>
      </c>
    </row>
    <row r="193" customFormat="false" ht="15" hidden="false" customHeight="false" outlineLevel="0" collapsed="false">
      <c r="A193" s="12"/>
      <c r="B193" s="13"/>
      <c r="C193" s="14"/>
      <c r="D193" s="13"/>
      <c r="E193" s="15" t="str">
        <f aca="false">IF(B193="","",IFERROR(INDEX(Plan!$B$5:$B$44,MATCH(B193,Plan!$A$5:$A$44,0))&amp;"","Kategori yok"))</f>
        <v/>
      </c>
    </row>
    <row r="194" customFormat="false" ht="15" hidden="false" customHeight="false" outlineLevel="0" collapsed="false">
      <c r="A194" s="12"/>
      <c r="B194" s="13"/>
      <c r="C194" s="14"/>
      <c r="D194" s="13"/>
      <c r="E194" s="15" t="str">
        <f aca="false">IF(B194="","",IFERROR(INDEX(Plan!$B$5:$B$44,MATCH(B194,Plan!$A$5:$A$44,0))&amp;"","Kategori yok"))</f>
        <v/>
      </c>
    </row>
    <row r="195" customFormat="false" ht="15" hidden="false" customHeight="false" outlineLevel="0" collapsed="false">
      <c r="A195" s="12"/>
      <c r="B195" s="13"/>
      <c r="C195" s="14"/>
      <c r="D195" s="13"/>
      <c r="E195" s="15" t="str">
        <f aca="false">IF(B195="","",IFERROR(INDEX(Plan!$B$5:$B$44,MATCH(B195,Plan!$A$5:$A$44,0))&amp;"","Kategori yok"))</f>
        <v/>
      </c>
    </row>
    <row r="196" customFormat="false" ht="15" hidden="false" customHeight="false" outlineLevel="0" collapsed="false">
      <c r="A196" s="12"/>
      <c r="B196" s="13"/>
      <c r="C196" s="14"/>
      <c r="D196" s="13"/>
      <c r="E196" s="15" t="str">
        <f aca="false">IF(B196="","",IFERROR(INDEX(Plan!$B$5:$B$44,MATCH(B196,Plan!$A$5:$A$44,0))&amp;"","Kategori yok"))</f>
        <v/>
      </c>
    </row>
    <row r="197" customFormat="false" ht="15" hidden="false" customHeight="false" outlineLevel="0" collapsed="false">
      <c r="A197" s="12"/>
      <c r="B197" s="13"/>
      <c r="C197" s="14"/>
      <c r="D197" s="13"/>
      <c r="E197" s="15" t="str">
        <f aca="false">IF(B197="","",IFERROR(INDEX(Plan!$B$5:$B$44,MATCH(B197,Plan!$A$5:$A$44,0))&amp;"","Kategori yok"))</f>
        <v/>
      </c>
    </row>
    <row r="198" customFormat="false" ht="15" hidden="false" customHeight="false" outlineLevel="0" collapsed="false">
      <c r="A198" s="12"/>
      <c r="B198" s="13"/>
      <c r="C198" s="14"/>
      <c r="D198" s="13"/>
      <c r="E198" s="15" t="str">
        <f aca="false">IF(B198="","",IFERROR(INDEX(Plan!$B$5:$B$44,MATCH(B198,Plan!$A$5:$A$44,0))&amp;"","Kategori yok"))</f>
        <v/>
      </c>
    </row>
    <row r="199" customFormat="false" ht="15" hidden="false" customHeight="false" outlineLevel="0" collapsed="false">
      <c r="A199" s="12"/>
      <c r="B199" s="13"/>
      <c r="C199" s="14"/>
      <c r="D199" s="13"/>
      <c r="E199" s="15" t="str">
        <f aca="false">IF(B199="","",IFERROR(INDEX(Plan!$B$5:$B$44,MATCH(B199,Plan!$A$5:$A$44,0))&amp;"","Kategori yok"))</f>
        <v/>
      </c>
    </row>
    <row r="200" customFormat="false" ht="15" hidden="false" customHeight="false" outlineLevel="0" collapsed="false">
      <c r="A200" s="12"/>
      <c r="B200" s="13"/>
      <c r="C200" s="14"/>
      <c r="D200" s="13"/>
      <c r="E200" s="15" t="str">
        <f aca="false">IF(B200="","",IFERROR(INDEX(Plan!$B$5:$B$44,MATCH(B200,Plan!$A$5:$A$44,0))&amp;"","Kategori yok"))</f>
        <v/>
      </c>
    </row>
    <row r="201" customFormat="false" ht="15" hidden="false" customHeight="false" outlineLevel="0" collapsed="false">
      <c r="A201" s="12"/>
      <c r="B201" s="13"/>
      <c r="C201" s="14"/>
      <c r="D201" s="13"/>
      <c r="E201" s="15" t="str">
        <f aca="false">IF(B201="","",IFERROR(INDEX(Plan!$B$5:$B$44,MATCH(B201,Plan!$A$5:$A$44,0))&amp;"","Kategori yok"))</f>
        <v/>
      </c>
    </row>
    <row r="202" customFormat="false" ht="15" hidden="false" customHeight="false" outlineLevel="0" collapsed="false">
      <c r="A202" s="12"/>
      <c r="B202" s="13"/>
      <c r="C202" s="14"/>
      <c r="D202" s="13"/>
      <c r="E202" s="15" t="str">
        <f aca="false">IF(B202="","",IFERROR(INDEX(Plan!$B$5:$B$44,MATCH(B202,Plan!$A$5:$A$44,0))&amp;"","Kategori yok"))</f>
        <v/>
      </c>
    </row>
    <row r="203" customFormat="false" ht="15" hidden="false" customHeight="false" outlineLevel="0" collapsed="false">
      <c r="A203" s="12"/>
      <c r="B203" s="13"/>
      <c r="C203" s="14"/>
      <c r="D203" s="13"/>
      <c r="E203" s="15" t="str">
        <f aca="false">IF(B203="","",IFERROR(INDEX(Plan!$B$5:$B$44,MATCH(B203,Plan!$A$5:$A$44,0))&amp;"","Kategori yok"))</f>
        <v/>
      </c>
    </row>
    <row r="204" customFormat="false" ht="15" hidden="false" customHeight="false" outlineLevel="0" collapsed="false">
      <c r="A204" s="12"/>
      <c r="B204" s="13"/>
      <c r="C204" s="14"/>
      <c r="D204" s="13"/>
      <c r="E204" s="15" t="str">
        <f aca="false">IF(B204="","",IFERROR(INDEX(Plan!$B$5:$B$44,MATCH(B204,Plan!$A$5:$A$44,0))&amp;"","Kategori yok"))</f>
        <v/>
      </c>
    </row>
    <row r="205" customFormat="false" ht="15" hidden="false" customHeight="false" outlineLevel="0" collapsed="false">
      <c r="A205" s="12"/>
      <c r="B205" s="13"/>
      <c r="C205" s="14"/>
      <c r="D205" s="13"/>
      <c r="E205" s="15" t="str">
        <f aca="false">IF(B205="","",IFERROR(INDEX(Plan!$B$5:$B$44,MATCH(B205,Plan!$A$5:$A$44,0))&amp;"","Kategori yok"))</f>
        <v/>
      </c>
    </row>
    <row r="206" customFormat="false" ht="15" hidden="false" customHeight="false" outlineLevel="0" collapsed="false">
      <c r="A206" s="12"/>
      <c r="B206" s="13"/>
      <c r="C206" s="14"/>
      <c r="D206" s="13"/>
      <c r="E206" s="15" t="str">
        <f aca="false">IF(B206="","",IFERROR(INDEX(Plan!$B$5:$B$44,MATCH(B206,Plan!$A$5:$A$44,0))&amp;"","Kategori yok"))</f>
        <v/>
      </c>
    </row>
    <row r="207" customFormat="false" ht="15" hidden="false" customHeight="false" outlineLevel="0" collapsed="false">
      <c r="A207" s="12"/>
      <c r="B207" s="13"/>
      <c r="C207" s="14"/>
      <c r="D207" s="13"/>
      <c r="E207" s="15" t="str">
        <f aca="false">IF(B207="","",IFERROR(INDEX(Plan!$B$5:$B$44,MATCH(B207,Plan!$A$5:$A$44,0))&amp;"","Kategori yok"))</f>
        <v/>
      </c>
    </row>
    <row r="208" customFormat="false" ht="15" hidden="false" customHeight="false" outlineLevel="0" collapsed="false">
      <c r="A208" s="12"/>
      <c r="B208" s="13"/>
      <c r="C208" s="14"/>
      <c r="D208" s="13"/>
      <c r="E208" s="15" t="str">
        <f aca="false">IF(B208="","",IFERROR(INDEX(Plan!$B$5:$B$44,MATCH(B208,Plan!$A$5:$A$44,0))&amp;"","Kategori yok"))</f>
        <v/>
      </c>
    </row>
    <row r="209" customFormat="false" ht="15" hidden="false" customHeight="false" outlineLevel="0" collapsed="false">
      <c r="A209" s="12"/>
      <c r="B209" s="13"/>
      <c r="C209" s="14"/>
      <c r="D209" s="13"/>
      <c r="E209" s="15" t="str">
        <f aca="false">IF(B209="","",IFERROR(INDEX(Plan!$B$5:$B$44,MATCH(B209,Plan!$A$5:$A$44,0))&amp;"","Kategori yok"))</f>
        <v/>
      </c>
    </row>
    <row r="210" customFormat="false" ht="15" hidden="false" customHeight="false" outlineLevel="0" collapsed="false">
      <c r="A210" s="12"/>
      <c r="B210" s="13"/>
      <c r="C210" s="14"/>
      <c r="D210" s="13"/>
      <c r="E210" s="15" t="str">
        <f aca="false">IF(B210="","",IFERROR(INDEX(Plan!$B$5:$B$44,MATCH(B210,Plan!$A$5:$A$44,0))&amp;"","Kategori yok"))</f>
        <v/>
      </c>
    </row>
    <row r="211" customFormat="false" ht="15" hidden="false" customHeight="false" outlineLevel="0" collapsed="false">
      <c r="A211" s="12"/>
      <c r="B211" s="13"/>
      <c r="C211" s="14"/>
      <c r="D211" s="13"/>
      <c r="E211" s="15" t="str">
        <f aca="false">IF(B211="","",IFERROR(INDEX(Plan!$B$5:$B$44,MATCH(B211,Plan!$A$5:$A$44,0))&amp;"","Kategori yok"))</f>
        <v/>
      </c>
    </row>
    <row r="212" customFormat="false" ht="15" hidden="false" customHeight="false" outlineLevel="0" collapsed="false">
      <c r="A212" s="12"/>
      <c r="B212" s="13"/>
      <c r="C212" s="14"/>
      <c r="D212" s="13"/>
      <c r="E212" s="15" t="str">
        <f aca="false">IF(B212="","",IFERROR(INDEX(Plan!$B$5:$B$44,MATCH(B212,Plan!$A$5:$A$44,0))&amp;"","Kategori yok"))</f>
        <v/>
      </c>
    </row>
    <row r="213" customFormat="false" ht="15" hidden="false" customHeight="false" outlineLevel="0" collapsed="false">
      <c r="A213" s="12"/>
      <c r="B213" s="13"/>
      <c r="C213" s="14"/>
      <c r="D213" s="13"/>
      <c r="E213" s="15" t="str">
        <f aca="false">IF(B213="","",IFERROR(INDEX(Plan!$B$5:$B$44,MATCH(B213,Plan!$A$5:$A$44,0))&amp;"","Kategori yok"))</f>
        <v/>
      </c>
    </row>
    <row r="214" customFormat="false" ht="15" hidden="false" customHeight="false" outlineLevel="0" collapsed="false">
      <c r="A214" s="12"/>
      <c r="B214" s="13"/>
      <c r="C214" s="14"/>
      <c r="D214" s="13"/>
      <c r="E214" s="15" t="str">
        <f aca="false">IF(B214="","",IFERROR(INDEX(Plan!$B$5:$B$44,MATCH(B214,Plan!$A$5:$A$44,0))&amp;"","Kategori yok"))</f>
        <v/>
      </c>
    </row>
    <row r="215" customFormat="false" ht="15" hidden="false" customHeight="false" outlineLevel="0" collapsed="false">
      <c r="A215" s="12"/>
      <c r="B215" s="13"/>
      <c r="C215" s="14"/>
      <c r="D215" s="13"/>
      <c r="E215" s="15" t="str">
        <f aca="false">IF(B215="","",IFERROR(INDEX(Plan!$B$5:$B$44,MATCH(B215,Plan!$A$5:$A$44,0))&amp;"","Kategori yok"))</f>
        <v/>
      </c>
    </row>
    <row r="216" customFormat="false" ht="15" hidden="false" customHeight="false" outlineLevel="0" collapsed="false">
      <c r="A216" s="12"/>
      <c r="B216" s="13"/>
      <c r="C216" s="14"/>
      <c r="D216" s="13"/>
      <c r="E216" s="15" t="str">
        <f aca="false">IF(B216="","",IFERROR(INDEX(Plan!$B$5:$B$44,MATCH(B216,Plan!$A$5:$A$44,0))&amp;"","Kategori yok"))</f>
        <v/>
      </c>
    </row>
    <row r="217" customFormat="false" ht="15" hidden="false" customHeight="false" outlineLevel="0" collapsed="false">
      <c r="A217" s="12"/>
      <c r="B217" s="13"/>
      <c r="C217" s="14"/>
      <c r="D217" s="13"/>
      <c r="E217" s="15" t="str">
        <f aca="false">IF(B217="","",IFERROR(INDEX(Plan!$B$5:$B$44,MATCH(B217,Plan!$A$5:$A$44,0))&amp;"","Kategori yok"))</f>
        <v/>
      </c>
    </row>
    <row r="218" customFormat="false" ht="15" hidden="false" customHeight="false" outlineLevel="0" collapsed="false">
      <c r="A218" s="12"/>
      <c r="B218" s="13"/>
      <c r="C218" s="14"/>
      <c r="D218" s="13"/>
      <c r="E218" s="15" t="str">
        <f aca="false">IF(B218="","",IFERROR(INDEX(Plan!$B$5:$B$44,MATCH(B218,Plan!$A$5:$A$44,0))&amp;"","Kategori yok"))</f>
        <v/>
      </c>
    </row>
    <row r="219" customFormat="false" ht="15" hidden="false" customHeight="false" outlineLevel="0" collapsed="false">
      <c r="A219" s="12"/>
      <c r="B219" s="13"/>
      <c r="C219" s="14"/>
      <c r="D219" s="13"/>
      <c r="E219" s="15" t="str">
        <f aca="false">IF(B219="","",IFERROR(INDEX(Plan!$B$5:$B$44,MATCH(B219,Plan!$A$5:$A$44,0))&amp;"","Kategori yok"))</f>
        <v/>
      </c>
    </row>
    <row r="220" customFormat="false" ht="15" hidden="false" customHeight="false" outlineLevel="0" collapsed="false">
      <c r="A220" s="12"/>
      <c r="B220" s="13"/>
      <c r="C220" s="14"/>
      <c r="D220" s="13"/>
      <c r="E220" s="15" t="str">
        <f aca="false">IF(B220="","",IFERROR(INDEX(Plan!$B$5:$B$44,MATCH(B220,Plan!$A$5:$A$44,0))&amp;"","Kategori yok"))</f>
        <v/>
      </c>
    </row>
    <row r="221" customFormat="false" ht="15" hidden="false" customHeight="false" outlineLevel="0" collapsed="false">
      <c r="A221" s="12"/>
      <c r="B221" s="13"/>
      <c r="C221" s="14"/>
      <c r="D221" s="13"/>
      <c r="E221" s="15" t="str">
        <f aca="false">IF(B221="","",IFERROR(INDEX(Plan!$B$5:$B$44,MATCH(B221,Plan!$A$5:$A$44,0))&amp;"","Kategori yok"))</f>
        <v/>
      </c>
    </row>
    <row r="222" customFormat="false" ht="15" hidden="false" customHeight="false" outlineLevel="0" collapsed="false">
      <c r="A222" s="12"/>
      <c r="B222" s="13"/>
      <c r="C222" s="14"/>
      <c r="D222" s="13"/>
      <c r="E222" s="15" t="str">
        <f aca="false">IF(B222="","",IFERROR(INDEX(Plan!$B$5:$B$44,MATCH(B222,Plan!$A$5:$A$44,0))&amp;"","Kategori yok"))</f>
        <v/>
      </c>
    </row>
    <row r="223" customFormat="false" ht="15" hidden="false" customHeight="false" outlineLevel="0" collapsed="false">
      <c r="A223" s="12"/>
      <c r="B223" s="13"/>
      <c r="C223" s="14"/>
      <c r="D223" s="13"/>
      <c r="E223" s="15" t="str">
        <f aca="false">IF(B223="","",IFERROR(INDEX(Plan!$B$5:$B$44,MATCH(B223,Plan!$A$5:$A$44,0))&amp;"","Kategori yok"))</f>
        <v/>
      </c>
    </row>
    <row r="224" customFormat="false" ht="15" hidden="false" customHeight="false" outlineLevel="0" collapsed="false">
      <c r="A224" s="12"/>
      <c r="B224" s="13"/>
      <c r="C224" s="14"/>
      <c r="D224" s="13"/>
      <c r="E224" s="15" t="str">
        <f aca="false">IF(B224="","",IFERROR(INDEX(Plan!$B$5:$B$44,MATCH(B224,Plan!$A$5:$A$44,0))&amp;"","Kategori yok"))</f>
        <v/>
      </c>
    </row>
    <row r="225" customFormat="false" ht="15" hidden="false" customHeight="false" outlineLevel="0" collapsed="false">
      <c r="A225" s="12"/>
      <c r="B225" s="13"/>
      <c r="C225" s="14"/>
      <c r="D225" s="13"/>
      <c r="E225" s="15" t="str">
        <f aca="false">IF(B225="","",IFERROR(INDEX(Plan!$B$5:$B$44,MATCH(B225,Plan!$A$5:$A$44,0))&amp;"","Kategori yok"))</f>
        <v/>
      </c>
    </row>
    <row r="226" customFormat="false" ht="15" hidden="false" customHeight="false" outlineLevel="0" collapsed="false">
      <c r="A226" s="12"/>
      <c r="B226" s="13"/>
      <c r="C226" s="14"/>
      <c r="D226" s="13"/>
      <c r="E226" s="15" t="str">
        <f aca="false">IF(B226="","",IFERROR(INDEX(Plan!$B$5:$B$44,MATCH(B226,Plan!$A$5:$A$44,0))&amp;"","Kategori yok"))</f>
        <v/>
      </c>
    </row>
    <row r="227" customFormat="false" ht="15" hidden="false" customHeight="false" outlineLevel="0" collapsed="false">
      <c r="A227" s="12"/>
      <c r="B227" s="13"/>
      <c r="C227" s="14"/>
      <c r="D227" s="13"/>
      <c r="E227" s="15" t="str">
        <f aca="false">IF(B227="","",IFERROR(INDEX(Plan!$B$5:$B$44,MATCH(B227,Plan!$A$5:$A$44,0))&amp;"","Kategori yok"))</f>
        <v/>
      </c>
    </row>
    <row r="228" customFormat="false" ht="15" hidden="false" customHeight="false" outlineLevel="0" collapsed="false">
      <c r="A228" s="12"/>
      <c r="B228" s="13"/>
      <c r="C228" s="14"/>
      <c r="D228" s="13"/>
      <c r="E228" s="15" t="str">
        <f aca="false">IF(B228="","",IFERROR(INDEX(Plan!$B$5:$B$44,MATCH(B228,Plan!$A$5:$A$44,0))&amp;"","Kategori yok"))</f>
        <v/>
      </c>
    </row>
    <row r="229" customFormat="false" ht="15" hidden="false" customHeight="false" outlineLevel="0" collapsed="false">
      <c r="A229" s="12"/>
      <c r="B229" s="13"/>
      <c r="C229" s="14"/>
      <c r="D229" s="13"/>
      <c r="E229" s="15" t="str">
        <f aca="false">IF(B229="","",IFERROR(INDEX(Plan!$B$5:$B$44,MATCH(B229,Plan!$A$5:$A$44,0))&amp;"","Kategori yok"))</f>
        <v/>
      </c>
    </row>
    <row r="230" customFormat="false" ht="15" hidden="false" customHeight="false" outlineLevel="0" collapsed="false">
      <c r="A230" s="12"/>
      <c r="B230" s="13"/>
      <c r="C230" s="14"/>
      <c r="D230" s="13"/>
      <c r="E230" s="15" t="str">
        <f aca="false">IF(B230="","",IFERROR(INDEX(Plan!$B$5:$B$44,MATCH(B230,Plan!$A$5:$A$44,0))&amp;"","Kategori yok"))</f>
        <v/>
      </c>
    </row>
    <row r="231" customFormat="false" ht="15" hidden="false" customHeight="false" outlineLevel="0" collapsed="false">
      <c r="A231" s="12"/>
      <c r="B231" s="13"/>
      <c r="C231" s="14"/>
      <c r="D231" s="13"/>
      <c r="E231" s="15" t="str">
        <f aca="false">IF(B231="","",IFERROR(INDEX(Plan!$B$5:$B$44,MATCH(B231,Plan!$A$5:$A$44,0))&amp;"","Kategori yok"))</f>
        <v/>
      </c>
    </row>
    <row r="232" customFormat="false" ht="15" hidden="false" customHeight="false" outlineLevel="0" collapsed="false">
      <c r="A232" s="12"/>
      <c r="B232" s="13"/>
      <c r="C232" s="14"/>
      <c r="D232" s="13"/>
      <c r="E232" s="15" t="str">
        <f aca="false">IF(B232="","",IFERROR(INDEX(Plan!$B$5:$B$44,MATCH(B232,Plan!$A$5:$A$44,0))&amp;"","Kategori yok"))</f>
        <v/>
      </c>
    </row>
    <row r="233" customFormat="false" ht="15" hidden="false" customHeight="false" outlineLevel="0" collapsed="false">
      <c r="A233" s="12"/>
      <c r="B233" s="13"/>
      <c r="C233" s="14"/>
      <c r="D233" s="13"/>
      <c r="E233" s="15" t="str">
        <f aca="false">IF(B233="","",IFERROR(INDEX(Plan!$B$5:$B$44,MATCH(B233,Plan!$A$5:$A$44,0))&amp;"","Kategori yok"))</f>
        <v/>
      </c>
    </row>
    <row r="234" customFormat="false" ht="15" hidden="false" customHeight="false" outlineLevel="0" collapsed="false">
      <c r="A234" s="12"/>
      <c r="B234" s="13"/>
      <c r="C234" s="14"/>
      <c r="D234" s="13"/>
      <c r="E234" s="15" t="str">
        <f aca="false">IF(B234="","",IFERROR(INDEX(Plan!$B$5:$B$44,MATCH(B234,Plan!$A$5:$A$44,0))&amp;"","Kategori yok"))</f>
        <v/>
      </c>
    </row>
    <row r="235" customFormat="false" ht="15" hidden="false" customHeight="false" outlineLevel="0" collapsed="false">
      <c r="A235" s="12"/>
      <c r="B235" s="13"/>
      <c r="C235" s="14"/>
      <c r="D235" s="13"/>
      <c r="E235" s="15" t="str">
        <f aca="false">IF(B235="","",IFERROR(INDEX(Plan!$B$5:$B$44,MATCH(B235,Plan!$A$5:$A$44,0))&amp;"","Kategori yok"))</f>
        <v/>
      </c>
    </row>
    <row r="236" customFormat="false" ht="15" hidden="false" customHeight="false" outlineLevel="0" collapsed="false">
      <c r="A236" s="12"/>
      <c r="B236" s="13"/>
      <c r="C236" s="14"/>
      <c r="D236" s="13"/>
      <c r="E236" s="15" t="str">
        <f aca="false">IF(B236="","",IFERROR(INDEX(Plan!$B$5:$B$44,MATCH(B236,Plan!$A$5:$A$44,0))&amp;"","Kategori yok"))</f>
        <v/>
      </c>
    </row>
    <row r="237" customFormat="false" ht="15" hidden="false" customHeight="false" outlineLevel="0" collapsed="false">
      <c r="A237" s="12"/>
      <c r="B237" s="13"/>
      <c r="C237" s="14"/>
      <c r="D237" s="13"/>
      <c r="E237" s="15" t="str">
        <f aca="false">IF(B237="","",IFERROR(INDEX(Plan!$B$5:$B$44,MATCH(B237,Plan!$A$5:$A$44,0))&amp;"","Kategori yok"))</f>
        <v/>
      </c>
    </row>
    <row r="238" customFormat="false" ht="15" hidden="false" customHeight="false" outlineLevel="0" collapsed="false">
      <c r="A238" s="12"/>
      <c r="B238" s="13"/>
      <c r="C238" s="14"/>
      <c r="D238" s="13"/>
      <c r="E238" s="15" t="str">
        <f aca="false">IF(B238="","",IFERROR(INDEX(Plan!$B$5:$B$44,MATCH(B238,Plan!$A$5:$A$44,0))&amp;"","Kategori yok"))</f>
        <v/>
      </c>
    </row>
    <row r="239" customFormat="false" ht="15" hidden="false" customHeight="false" outlineLevel="0" collapsed="false">
      <c r="A239" s="12"/>
      <c r="B239" s="13"/>
      <c r="C239" s="14"/>
      <c r="D239" s="13"/>
      <c r="E239" s="15" t="str">
        <f aca="false">IF(B239="","",IFERROR(INDEX(Plan!$B$5:$B$44,MATCH(B239,Plan!$A$5:$A$44,0))&amp;"","Kategori yok"))</f>
        <v/>
      </c>
    </row>
    <row r="240" customFormat="false" ht="15" hidden="false" customHeight="false" outlineLevel="0" collapsed="false">
      <c r="A240" s="12"/>
      <c r="B240" s="13"/>
      <c r="C240" s="14"/>
      <c r="D240" s="13"/>
      <c r="E240" s="15" t="str">
        <f aca="false">IF(B240="","",IFERROR(INDEX(Plan!$B$5:$B$44,MATCH(B240,Plan!$A$5:$A$44,0))&amp;"","Kategori yok"))</f>
        <v/>
      </c>
    </row>
    <row r="241" customFormat="false" ht="15" hidden="false" customHeight="false" outlineLevel="0" collapsed="false">
      <c r="A241" s="12"/>
      <c r="B241" s="13"/>
      <c r="C241" s="14"/>
      <c r="D241" s="13"/>
      <c r="E241" s="15" t="str">
        <f aca="false">IF(B241="","",IFERROR(INDEX(Plan!$B$5:$B$44,MATCH(B241,Plan!$A$5:$A$44,0))&amp;"","Kategori yok"))</f>
        <v/>
      </c>
    </row>
    <row r="242" customFormat="false" ht="15" hidden="false" customHeight="false" outlineLevel="0" collapsed="false">
      <c r="A242" s="12"/>
      <c r="B242" s="13"/>
      <c r="C242" s="14"/>
      <c r="D242" s="13"/>
      <c r="E242" s="15" t="str">
        <f aca="false">IF(B242="","",IFERROR(INDEX(Plan!$B$5:$B$44,MATCH(B242,Plan!$A$5:$A$44,0))&amp;"","Kategori yok"))</f>
        <v/>
      </c>
    </row>
    <row r="243" customFormat="false" ht="15" hidden="false" customHeight="false" outlineLevel="0" collapsed="false">
      <c r="A243" s="12"/>
      <c r="B243" s="13"/>
      <c r="C243" s="14"/>
      <c r="D243" s="13"/>
      <c r="E243" s="15" t="str">
        <f aca="false">IF(B243="","",IFERROR(INDEX(Plan!$B$5:$B$44,MATCH(B243,Plan!$A$5:$A$44,0))&amp;"","Kategori yok"))</f>
        <v/>
      </c>
    </row>
    <row r="244" customFormat="false" ht="15" hidden="false" customHeight="false" outlineLevel="0" collapsed="false">
      <c r="A244" s="12"/>
      <c r="B244" s="13"/>
      <c r="C244" s="14"/>
      <c r="D244" s="13"/>
      <c r="E244" s="15" t="str">
        <f aca="false">IF(B244="","",IFERROR(INDEX(Plan!$B$5:$B$44,MATCH(B244,Plan!$A$5:$A$44,0))&amp;"","Kategori yok"))</f>
        <v/>
      </c>
    </row>
    <row r="245" customFormat="false" ht="15" hidden="false" customHeight="false" outlineLevel="0" collapsed="false">
      <c r="A245" s="12"/>
      <c r="B245" s="13"/>
      <c r="C245" s="14"/>
      <c r="D245" s="13"/>
      <c r="E245" s="15" t="str">
        <f aca="false">IF(B245="","",IFERROR(INDEX(Plan!$B$5:$B$44,MATCH(B245,Plan!$A$5:$A$44,0))&amp;"","Kategori yok"))</f>
        <v/>
      </c>
    </row>
    <row r="246" customFormat="false" ht="15" hidden="false" customHeight="false" outlineLevel="0" collapsed="false">
      <c r="A246" s="12"/>
      <c r="B246" s="13"/>
      <c r="C246" s="14"/>
      <c r="D246" s="13"/>
      <c r="E246" s="15" t="str">
        <f aca="false">IF(B246="","",IFERROR(INDEX(Plan!$B$5:$B$44,MATCH(B246,Plan!$A$5:$A$44,0))&amp;"","Kategori yok"))</f>
        <v/>
      </c>
    </row>
    <row r="247" customFormat="false" ht="15" hidden="false" customHeight="false" outlineLevel="0" collapsed="false">
      <c r="A247" s="12"/>
      <c r="B247" s="13"/>
      <c r="C247" s="14"/>
      <c r="D247" s="13"/>
      <c r="E247" s="15" t="str">
        <f aca="false">IF(B247="","",IFERROR(INDEX(Plan!$B$5:$B$44,MATCH(B247,Plan!$A$5:$A$44,0))&amp;"","Kategori yok"))</f>
        <v/>
      </c>
    </row>
    <row r="248" customFormat="false" ht="15" hidden="false" customHeight="false" outlineLevel="0" collapsed="false">
      <c r="A248" s="12"/>
      <c r="B248" s="13"/>
      <c r="C248" s="14"/>
      <c r="D248" s="13"/>
      <c r="E248" s="15" t="str">
        <f aca="false">IF(B248="","",IFERROR(INDEX(Plan!$B$5:$B$44,MATCH(B248,Plan!$A$5:$A$44,0))&amp;"","Kategori yok"))</f>
        <v/>
      </c>
    </row>
    <row r="249" customFormat="false" ht="15" hidden="false" customHeight="false" outlineLevel="0" collapsed="false">
      <c r="A249" s="12"/>
      <c r="B249" s="13"/>
      <c r="C249" s="14"/>
      <c r="D249" s="13"/>
      <c r="E249" s="15" t="str">
        <f aca="false">IF(B249="","",IFERROR(INDEX(Plan!$B$5:$B$44,MATCH(B249,Plan!$A$5:$A$44,0))&amp;"","Kategori yok"))</f>
        <v/>
      </c>
    </row>
    <row r="250" customFormat="false" ht="15" hidden="false" customHeight="false" outlineLevel="0" collapsed="false">
      <c r="A250" s="12"/>
      <c r="B250" s="13"/>
      <c r="C250" s="14"/>
      <c r="D250" s="13"/>
      <c r="E250" s="15" t="str">
        <f aca="false">IF(B250="","",IFERROR(INDEX(Plan!$B$5:$B$44,MATCH(B250,Plan!$A$5:$A$44,0))&amp;"","Kategori yok"))</f>
        <v/>
      </c>
    </row>
    <row r="251" customFormat="false" ht="15" hidden="false" customHeight="false" outlineLevel="0" collapsed="false">
      <c r="A251" s="12"/>
      <c r="B251" s="13"/>
      <c r="C251" s="14"/>
      <c r="D251" s="13"/>
      <c r="E251" s="15" t="str">
        <f aca="false">IF(B251="","",IFERROR(INDEX(Plan!$B$5:$B$44,MATCH(B251,Plan!$A$5:$A$44,0))&amp;"","Kategori yok"))</f>
        <v/>
      </c>
    </row>
    <row r="252" customFormat="false" ht="15" hidden="false" customHeight="false" outlineLevel="0" collapsed="false">
      <c r="A252" s="12"/>
      <c r="B252" s="13"/>
      <c r="C252" s="14"/>
      <c r="D252" s="13"/>
      <c r="E252" s="15" t="str">
        <f aca="false">IF(B252="","",IFERROR(INDEX(Plan!$B$5:$B$44,MATCH(B252,Plan!$A$5:$A$44,0))&amp;"","Kategori yok"))</f>
        <v/>
      </c>
    </row>
    <row r="253" customFormat="false" ht="15" hidden="false" customHeight="false" outlineLevel="0" collapsed="false">
      <c r="A253" s="12"/>
      <c r="B253" s="13"/>
      <c r="C253" s="14"/>
      <c r="D253" s="13"/>
      <c r="E253" s="15" t="str">
        <f aca="false">IF(B253="","",IFERROR(INDEX(Plan!$B$5:$B$44,MATCH(B253,Plan!$A$5:$A$44,0))&amp;"","Kategori yok"))</f>
        <v/>
      </c>
    </row>
    <row r="254" customFormat="false" ht="15" hidden="false" customHeight="false" outlineLevel="0" collapsed="false">
      <c r="A254" s="12"/>
      <c r="B254" s="13"/>
      <c r="C254" s="14"/>
      <c r="D254" s="13"/>
      <c r="E254" s="15" t="str">
        <f aca="false">IF(B254="","",IFERROR(INDEX(Plan!$B$5:$B$44,MATCH(B254,Plan!$A$5:$A$44,0))&amp;"","Kategori yok"))</f>
        <v/>
      </c>
    </row>
    <row r="255" customFormat="false" ht="15" hidden="false" customHeight="false" outlineLevel="0" collapsed="false">
      <c r="A255" s="12"/>
      <c r="B255" s="13"/>
      <c r="C255" s="14"/>
      <c r="D255" s="13"/>
      <c r="E255" s="15" t="str">
        <f aca="false">IF(B255="","",IFERROR(INDEX(Plan!$B$5:$B$44,MATCH(B255,Plan!$A$5:$A$44,0))&amp;"","Kategori yok"))</f>
        <v/>
      </c>
    </row>
    <row r="256" customFormat="false" ht="15" hidden="false" customHeight="false" outlineLevel="0" collapsed="false">
      <c r="A256" s="12"/>
      <c r="B256" s="13"/>
      <c r="C256" s="14"/>
      <c r="D256" s="13"/>
      <c r="E256" s="15" t="str">
        <f aca="false">IF(B256="","",IFERROR(INDEX(Plan!$B$5:$B$44,MATCH(B256,Plan!$A$5:$A$44,0))&amp;"","Kategori yok"))</f>
        <v/>
      </c>
    </row>
    <row r="257" customFormat="false" ht="15" hidden="false" customHeight="false" outlineLevel="0" collapsed="false">
      <c r="A257" s="12"/>
      <c r="B257" s="13"/>
      <c r="C257" s="14"/>
      <c r="D257" s="13"/>
      <c r="E257" s="15" t="str">
        <f aca="false">IF(B257="","",IFERROR(INDEX(Plan!$B$5:$B$44,MATCH(B257,Plan!$A$5:$A$44,0))&amp;"","Kategori yok"))</f>
        <v/>
      </c>
    </row>
    <row r="258" customFormat="false" ht="15" hidden="false" customHeight="false" outlineLevel="0" collapsed="false">
      <c r="A258" s="12"/>
      <c r="B258" s="13"/>
      <c r="C258" s="14"/>
      <c r="D258" s="13"/>
      <c r="E258" s="15" t="str">
        <f aca="false">IF(B258="","",IFERROR(INDEX(Plan!$B$5:$B$44,MATCH(B258,Plan!$A$5:$A$44,0))&amp;"","Kategori yok"))</f>
        <v/>
      </c>
    </row>
    <row r="259" customFormat="false" ht="15" hidden="false" customHeight="false" outlineLevel="0" collapsed="false">
      <c r="A259" s="12"/>
      <c r="B259" s="13"/>
      <c r="C259" s="14"/>
      <c r="D259" s="13"/>
      <c r="E259" s="15" t="str">
        <f aca="false">IF(B259="","",IFERROR(INDEX(Plan!$B$5:$B$44,MATCH(B259,Plan!$A$5:$A$44,0))&amp;"","Kategori yok"))</f>
        <v/>
      </c>
    </row>
    <row r="260" customFormat="false" ht="15" hidden="false" customHeight="false" outlineLevel="0" collapsed="false">
      <c r="A260" s="12"/>
      <c r="B260" s="13"/>
      <c r="C260" s="14"/>
      <c r="D260" s="13"/>
      <c r="E260" s="15" t="str">
        <f aca="false">IF(B260="","",IFERROR(INDEX(Plan!$B$5:$B$44,MATCH(B260,Plan!$A$5:$A$44,0))&amp;"","Kategori yok"))</f>
        <v/>
      </c>
    </row>
    <row r="261" customFormat="false" ht="15" hidden="false" customHeight="false" outlineLevel="0" collapsed="false">
      <c r="A261" s="12"/>
      <c r="B261" s="13"/>
      <c r="C261" s="14"/>
      <c r="D261" s="13"/>
      <c r="E261" s="15" t="str">
        <f aca="false">IF(B261="","",IFERROR(INDEX(Plan!$B$5:$B$44,MATCH(B261,Plan!$A$5:$A$44,0))&amp;"","Kategori yok"))</f>
        <v/>
      </c>
    </row>
    <row r="262" customFormat="false" ht="15" hidden="false" customHeight="false" outlineLevel="0" collapsed="false">
      <c r="A262" s="12"/>
      <c r="B262" s="13"/>
      <c r="C262" s="14"/>
      <c r="D262" s="13"/>
      <c r="E262" s="15" t="str">
        <f aca="false">IF(B262="","",IFERROR(INDEX(Plan!$B$5:$B$44,MATCH(B262,Plan!$A$5:$A$44,0))&amp;"","Kategori yok"))</f>
        <v/>
      </c>
    </row>
    <row r="263" customFormat="false" ht="15" hidden="false" customHeight="false" outlineLevel="0" collapsed="false">
      <c r="A263" s="12"/>
      <c r="B263" s="13"/>
      <c r="C263" s="14"/>
      <c r="D263" s="13"/>
      <c r="E263" s="15" t="str">
        <f aca="false">IF(B263="","",IFERROR(INDEX(Plan!$B$5:$B$44,MATCH(B263,Plan!$A$5:$A$44,0))&amp;"","Kategori yok"))</f>
        <v/>
      </c>
    </row>
    <row r="264" customFormat="false" ht="15" hidden="false" customHeight="false" outlineLevel="0" collapsed="false">
      <c r="A264" s="12"/>
      <c r="B264" s="13"/>
      <c r="C264" s="14"/>
      <c r="D264" s="13"/>
      <c r="E264" s="15" t="str">
        <f aca="false">IF(B264="","",IFERROR(INDEX(Plan!$B$5:$B$44,MATCH(B264,Plan!$A$5:$A$44,0))&amp;"","Kategori yok"))</f>
        <v/>
      </c>
    </row>
    <row r="265" customFormat="false" ht="15" hidden="false" customHeight="false" outlineLevel="0" collapsed="false">
      <c r="A265" s="12"/>
      <c r="B265" s="13"/>
      <c r="C265" s="14"/>
      <c r="D265" s="13"/>
      <c r="E265" s="15" t="str">
        <f aca="false">IF(B265="","",IFERROR(INDEX(Plan!$B$5:$B$44,MATCH(B265,Plan!$A$5:$A$44,0))&amp;"","Kategori yok"))</f>
        <v/>
      </c>
    </row>
    <row r="266" customFormat="false" ht="15" hidden="false" customHeight="false" outlineLevel="0" collapsed="false">
      <c r="A266" s="12"/>
      <c r="B266" s="13"/>
      <c r="C266" s="14"/>
      <c r="D266" s="13"/>
      <c r="E266" s="15" t="str">
        <f aca="false">IF(B266="","",IFERROR(INDEX(Plan!$B$5:$B$44,MATCH(B266,Plan!$A$5:$A$44,0))&amp;"","Kategori yok"))</f>
        <v/>
      </c>
    </row>
    <row r="267" customFormat="false" ht="15" hidden="false" customHeight="false" outlineLevel="0" collapsed="false">
      <c r="A267" s="12"/>
      <c r="B267" s="13"/>
      <c r="C267" s="14"/>
      <c r="D267" s="13"/>
      <c r="E267" s="15" t="str">
        <f aca="false">IF(B267="","",IFERROR(INDEX(Plan!$B$5:$B$44,MATCH(B267,Plan!$A$5:$A$44,0))&amp;"","Kategori yok"))</f>
        <v/>
      </c>
    </row>
    <row r="268" customFormat="false" ht="15" hidden="false" customHeight="false" outlineLevel="0" collapsed="false">
      <c r="A268" s="12"/>
      <c r="B268" s="13"/>
      <c r="C268" s="14"/>
      <c r="D268" s="13"/>
      <c r="E268" s="15" t="str">
        <f aca="false">IF(B268="","",IFERROR(INDEX(Plan!$B$5:$B$44,MATCH(B268,Plan!$A$5:$A$44,0))&amp;"","Kategori yok"))</f>
        <v/>
      </c>
    </row>
    <row r="269" customFormat="false" ht="15" hidden="false" customHeight="false" outlineLevel="0" collapsed="false">
      <c r="A269" s="12"/>
      <c r="B269" s="13"/>
      <c r="C269" s="14"/>
      <c r="D269" s="13"/>
      <c r="E269" s="15" t="str">
        <f aca="false">IF(B269="","",IFERROR(INDEX(Plan!$B$5:$B$44,MATCH(B269,Plan!$A$5:$A$44,0))&amp;"","Kategori yok"))</f>
        <v/>
      </c>
    </row>
    <row r="270" customFormat="false" ht="15" hidden="false" customHeight="false" outlineLevel="0" collapsed="false">
      <c r="A270" s="12"/>
      <c r="B270" s="13"/>
      <c r="C270" s="14"/>
      <c r="D270" s="13"/>
      <c r="E270" s="15" t="str">
        <f aca="false">IF(B270="","",IFERROR(INDEX(Plan!$B$5:$B$44,MATCH(B270,Plan!$A$5:$A$44,0))&amp;"","Kategori yok"))</f>
        <v/>
      </c>
    </row>
    <row r="271" customFormat="false" ht="15" hidden="false" customHeight="false" outlineLevel="0" collapsed="false">
      <c r="A271" s="12"/>
      <c r="B271" s="13"/>
      <c r="C271" s="14"/>
      <c r="D271" s="13"/>
      <c r="E271" s="15" t="str">
        <f aca="false">IF(B271="","",IFERROR(INDEX(Plan!$B$5:$B$44,MATCH(B271,Plan!$A$5:$A$44,0))&amp;"","Kategori yok"))</f>
        <v/>
      </c>
    </row>
    <row r="272" customFormat="false" ht="15" hidden="false" customHeight="false" outlineLevel="0" collapsed="false">
      <c r="A272" s="12"/>
      <c r="B272" s="13"/>
      <c r="C272" s="14"/>
      <c r="D272" s="13"/>
      <c r="E272" s="15" t="str">
        <f aca="false">IF(B272="","",IFERROR(INDEX(Plan!$B$5:$B$44,MATCH(B272,Plan!$A$5:$A$44,0))&amp;"","Kategori yok"))</f>
        <v/>
      </c>
    </row>
    <row r="273" customFormat="false" ht="15" hidden="false" customHeight="false" outlineLevel="0" collapsed="false">
      <c r="A273" s="12"/>
      <c r="B273" s="13"/>
      <c r="C273" s="14"/>
      <c r="D273" s="13"/>
      <c r="E273" s="15" t="str">
        <f aca="false">IF(B273="","",IFERROR(INDEX(Plan!$B$5:$B$44,MATCH(B273,Plan!$A$5:$A$44,0))&amp;"","Kategori yok"))</f>
        <v/>
      </c>
    </row>
    <row r="274" customFormat="false" ht="15" hidden="false" customHeight="false" outlineLevel="0" collapsed="false">
      <c r="A274" s="12"/>
      <c r="B274" s="13"/>
      <c r="C274" s="14"/>
      <c r="D274" s="13"/>
      <c r="E274" s="15" t="str">
        <f aca="false">IF(B274="","",IFERROR(INDEX(Plan!$B$5:$B$44,MATCH(B274,Plan!$A$5:$A$44,0))&amp;"","Kategori yok"))</f>
        <v/>
      </c>
    </row>
    <row r="275" customFormat="false" ht="15" hidden="false" customHeight="false" outlineLevel="0" collapsed="false">
      <c r="A275" s="12"/>
      <c r="B275" s="13"/>
      <c r="C275" s="14"/>
      <c r="D275" s="13"/>
      <c r="E275" s="15" t="str">
        <f aca="false">IF(B275="","",IFERROR(INDEX(Plan!$B$5:$B$44,MATCH(B275,Plan!$A$5:$A$44,0))&amp;"","Kategori yok"))</f>
        <v/>
      </c>
    </row>
    <row r="276" customFormat="false" ht="15" hidden="false" customHeight="false" outlineLevel="0" collapsed="false">
      <c r="A276" s="12"/>
      <c r="B276" s="13"/>
      <c r="C276" s="14"/>
      <c r="D276" s="13"/>
      <c r="E276" s="15" t="str">
        <f aca="false">IF(B276="","",IFERROR(INDEX(Plan!$B$5:$B$44,MATCH(B276,Plan!$A$5:$A$44,0))&amp;"","Kategori yok"))</f>
        <v/>
      </c>
    </row>
    <row r="277" customFormat="false" ht="15" hidden="false" customHeight="false" outlineLevel="0" collapsed="false">
      <c r="A277" s="12"/>
      <c r="B277" s="13"/>
      <c r="C277" s="14"/>
      <c r="D277" s="13"/>
      <c r="E277" s="15" t="str">
        <f aca="false">IF(B277="","",IFERROR(INDEX(Plan!$B$5:$B$44,MATCH(B277,Plan!$A$5:$A$44,0))&amp;"","Kategori yok"))</f>
        <v/>
      </c>
    </row>
    <row r="278" customFormat="false" ht="15" hidden="false" customHeight="false" outlineLevel="0" collapsed="false">
      <c r="A278" s="12"/>
      <c r="B278" s="13"/>
      <c r="C278" s="14"/>
      <c r="D278" s="13"/>
      <c r="E278" s="15" t="str">
        <f aca="false">IF(B278="","",IFERROR(INDEX(Plan!$B$5:$B$44,MATCH(B278,Plan!$A$5:$A$44,0))&amp;"","Kategori yok"))</f>
        <v/>
      </c>
    </row>
    <row r="279" customFormat="false" ht="15" hidden="false" customHeight="false" outlineLevel="0" collapsed="false">
      <c r="A279" s="12"/>
      <c r="B279" s="13"/>
      <c r="C279" s="14"/>
      <c r="D279" s="13"/>
      <c r="E279" s="15" t="str">
        <f aca="false">IF(B279="","",IFERROR(INDEX(Plan!$B$5:$B$44,MATCH(B279,Plan!$A$5:$A$44,0))&amp;"","Kategori yok"))</f>
        <v/>
      </c>
    </row>
    <row r="280" customFormat="false" ht="15" hidden="false" customHeight="false" outlineLevel="0" collapsed="false">
      <c r="A280" s="12"/>
      <c r="B280" s="13"/>
      <c r="C280" s="14"/>
      <c r="D280" s="13"/>
      <c r="E280" s="15" t="str">
        <f aca="false">IF(B280="","",IFERROR(INDEX(Plan!$B$5:$B$44,MATCH(B280,Plan!$A$5:$A$44,0))&amp;"","Kategori yok"))</f>
        <v/>
      </c>
    </row>
    <row r="281" customFormat="false" ht="15" hidden="false" customHeight="false" outlineLevel="0" collapsed="false">
      <c r="A281" s="12"/>
      <c r="B281" s="13"/>
      <c r="C281" s="14"/>
      <c r="D281" s="13"/>
      <c r="E281" s="15" t="str">
        <f aca="false">IF(B281="","",IFERROR(INDEX(Plan!$B$5:$B$44,MATCH(B281,Plan!$A$5:$A$44,0))&amp;"","Kategori yok"))</f>
        <v/>
      </c>
    </row>
    <row r="282" customFormat="false" ht="15" hidden="false" customHeight="false" outlineLevel="0" collapsed="false">
      <c r="A282" s="12"/>
      <c r="B282" s="13"/>
      <c r="C282" s="14"/>
      <c r="D282" s="13"/>
      <c r="E282" s="15" t="str">
        <f aca="false">IF(B282="","",IFERROR(INDEX(Plan!$B$5:$B$44,MATCH(B282,Plan!$A$5:$A$44,0))&amp;"","Kategori yok"))</f>
        <v/>
      </c>
    </row>
    <row r="283" customFormat="false" ht="15" hidden="false" customHeight="false" outlineLevel="0" collapsed="false">
      <c r="A283" s="12"/>
      <c r="B283" s="13"/>
      <c r="C283" s="14"/>
      <c r="D283" s="13"/>
      <c r="E283" s="15" t="str">
        <f aca="false">IF(B283="","",IFERROR(INDEX(Plan!$B$5:$B$44,MATCH(B283,Plan!$A$5:$A$44,0))&amp;"","Kategori yok"))</f>
        <v/>
      </c>
    </row>
    <row r="284" customFormat="false" ht="15" hidden="false" customHeight="false" outlineLevel="0" collapsed="false">
      <c r="A284" s="12"/>
      <c r="B284" s="13"/>
      <c r="C284" s="14"/>
      <c r="D284" s="13"/>
      <c r="E284" s="15" t="str">
        <f aca="false">IF(B284="","",IFERROR(INDEX(Plan!$B$5:$B$44,MATCH(B284,Plan!$A$5:$A$44,0))&amp;"","Kategori yok"))</f>
        <v/>
      </c>
    </row>
    <row r="285" customFormat="false" ht="15" hidden="false" customHeight="false" outlineLevel="0" collapsed="false">
      <c r="A285" s="12"/>
      <c r="B285" s="13"/>
      <c r="C285" s="14"/>
      <c r="D285" s="13"/>
      <c r="E285" s="15" t="str">
        <f aca="false">IF(B285="","",IFERROR(INDEX(Plan!$B$5:$B$44,MATCH(B285,Plan!$A$5:$A$44,0))&amp;"","Kategori yok"))</f>
        <v/>
      </c>
    </row>
    <row r="286" customFormat="false" ht="15" hidden="false" customHeight="false" outlineLevel="0" collapsed="false">
      <c r="A286" s="12"/>
      <c r="B286" s="13"/>
      <c r="C286" s="14"/>
      <c r="D286" s="13"/>
      <c r="E286" s="15" t="str">
        <f aca="false">IF(B286="","",IFERROR(INDEX(Plan!$B$5:$B$44,MATCH(B286,Plan!$A$5:$A$44,0))&amp;"","Kategori yok"))</f>
        <v/>
      </c>
    </row>
    <row r="287" customFormat="false" ht="15" hidden="false" customHeight="false" outlineLevel="0" collapsed="false">
      <c r="A287" s="12"/>
      <c r="B287" s="13"/>
      <c r="C287" s="14"/>
      <c r="D287" s="13"/>
      <c r="E287" s="15" t="str">
        <f aca="false">IF(B287="","",IFERROR(INDEX(Plan!$B$5:$B$44,MATCH(B287,Plan!$A$5:$A$44,0))&amp;"","Kategori yok"))</f>
        <v/>
      </c>
    </row>
    <row r="288" customFormat="false" ht="15" hidden="false" customHeight="false" outlineLevel="0" collapsed="false">
      <c r="A288" s="12"/>
      <c r="B288" s="13"/>
      <c r="C288" s="14"/>
      <c r="D288" s="13"/>
      <c r="E288" s="15" t="str">
        <f aca="false">IF(B288="","",IFERROR(INDEX(Plan!$B$5:$B$44,MATCH(B288,Plan!$A$5:$A$44,0))&amp;"","Kategori yok"))</f>
        <v/>
      </c>
    </row>
    <row r="289" customFormat="false" ht="15" hidden="false" customHeight="false" outlineLevel="0" collapsed="false">
      <c r="A289" s="12"/>
      <c r="B289" s="13"/>
      <c r="C289" s="14"/>
      <c r="D289" s="13"/>
      <c r="E289" s="15" t="str">
        <f aca="false">IF(B289="","",IFERROR(INDEX(Plan!$B$5:$B$44,MATCH(B289,Plan!$A$5:$A$44,0))&amp;"","Kategori yok"))</f>
        <v/>
      </c>
    </row>
    <row r="290" customFormat="false" ht="15" hidden="false" customHeight="false" outlineLevel="0" collapsed="false">
      <c r="A290" s="12"/>
      <c r="B290" s="13"/>
      <c r="C290" s="14"/>
      <c r="D290" s="13"/>
      <c r="E290" s="15" t="str">
        <f aca="false">IF(B290="","",IFERROR(INDEX(Plan!$B$5:$B$44,MATCH(B290,Plan!$A$5:$A$44,0))&amp;"","Kategori yok"))</f>
        <v/>
      </c>
    </row>
    <row r="291" customFormat="false" ht="15" hidden="false" customHeight="false" outlineLevel="0" collapsed="false">
      <c r="A291" s="12"/>
      <c r="B291" s="13"/>
      <c r="C291" s="14"/>
      <c r="D291" s="13"/>
      <c r="E291" s="15" t="str">
        <f aca="false">IF(B291="","",IFERROR(INDEX(Plan!$B$5:$B$44,MATCH(B291,Plan!$A$5:$A$44,0))&amp;"","Kategori yok"))</f>
        <v/>
      </c>
    </row>
    <row r="292" customFormat="false" ht="15" hidden="false" customHeight="false" outlineLevel="0" collapsed="false">
      <c r="A292" s="12"/>
      <c r="B292" s="13"/>
      <c r="C292" s="14"/>
      <c r="D292" s="13"/>
      <c r="E292" s="15" t="str">
        <f aca="false">IF(B292="","",IFERROR(INDEX(Plan!$B$5:$B$44,MATCH(B292,Plan!$A$5:$A$44,0))&amp;"","Kategori yok"))</f>
        <v/>
      </c>
    </row>
    <row r="293" customFormat="false" ht="15" hidden="false" customHeight="false" outlineLevel="0" collapsed="false">
      <c r="A293" s="12"/>
      <c r="B293" s="13"/>
      <c r="C293" s="14"/>
      <c r="D293" s="13"/>
      <c r="E293" s="15" t="str">
        <f aca="false">IF(B293="","",IFERROR(INDEX(Plan!$B$5:$B$44,MATCH(B293,Plan!$A$5:$A$44,0))&amp;"","Kategori yok"))</f>
        <v/>
      </c>
    </row>
    <row r="294" customFormat="false" ht="15" hidden="false" customHeight="false" outlineLevel="0" collapsed="false">
      <c r="A294" s="12"/>
      <c r="B294" s="13"/>
      <c r="C294" s="14"/>
      <c r="D294" s="13"/>
      <c r="E294" s="15" t="str">
        <f aca="false">IF(B294="","",IFERROR(INDEX(Plan!$B$5:$B$44,MATCH(B294,Plan!$A$5:$A$44,0))&amp;"","Kategori yok"))</f>
        <v/>
      </c>
    </row>
    <row r="295" customFormat="false" ht="15" hidden="false" customHeight="false" outlineLevel="0" collapsed="false">
      <c r="A295" s="12"/>
      <c r="B295" s="13"/>
      <c r="C295" s="14"/>
      <c r="D295" s="13"/>
      <c r="E295" s="15" t="str">
        <f aca="false">IF(B295="","",IFERROR(INDEX(Plan!$B$5:$B$44,MATCH(B295,Plan!$A$5:$A$44,0))&amp;"","Kategori yok"))</f>
        <v/>
      </c>
    </row>
    <row r="296" customFormat="false" ht="15" hidden="false" customHeight="false" outlineLevel="0" collapsed="false">
      <c r="A296" s="12"/>
      <c r="B296" s="13"/>
      <c r="C296" s="14"/>
      <c r="D296" s="13"/>
      <c r="E296" s="15" t="str">
        <f aca="false">IF(B296="","",IFERROR(INDEX(Plan!$B$5:$B$44,MATCH(B296,Plan!$A$5:$A$44,0))&amp;"","Kategori yok"))</f>
        <v/>
      </c>
    </row>
    <row r="297" customFormat="false" ht="15" hidden="false" customHeight="false" outlineLevel="0" collapsed="false">
      <c r="A297" s="12"/>
      <c r="B297" s="13"/>
      <c r="C297" s="14"/>
      <c r="D297" s="13"/>
      <c r="E297" s="15" t="str">
        <f aca="false">IF(B297="","",IFERROR(INDEX(Plan!$B$5:$B$44,MATCH(B297,Plan!$A$5:$A$44,0))&amp;"","Kategori yok"))</f>
        <v/>
      </c>
    </row>
    <row r="298" customFormat="false" ht="15" hidden="false" customHeight="false" outlineLevel="0" collapsed="false">
      <c r="A298" s="12"/>
      <c r="B298" s="13"/>
      <c r="C298" s="14"/>
      <c r="D298" s="13"/>
      <c r="E298" s="15" t="str">
        <f aca="false">IF(B298="","",IFERROR(INDEX(Plan!$B$5:$B$44,MATCH(B298,Plan!$A$5:$A$44,0))&amp;"","Kategori yok"))</f>
        <v/>
      </c>
    </row>
    <row r="299" customFormat="false" ht="15" hidden="false" customHeight="false" outlineLevel="0" collapsed="false">
      <c r="A299" s="12"/>
      <c r="B299" s="13"/>
      <c r="C299" s="14"/>
      <c r="D299" s="13"/>
      <c r="E299" s="15" t="str">
        <f aca="false">IF(B299="","",IFERROR(INDEX(Plan!$B$5:$B$44,MATCH(B299,Plan!$A$5:$A$44,0))&amp;"","Kategori yok"))</f>
        <v/>
      </c>
    </row>
    <row r="300" customFormat="false" ht="15" hidden="false" customHeight="false" outlineLevel="0" collapsed="false">
      <c r="A300" s="12"/>
      <c r="B300" s="13"/>
      <c r="C300" s="14"/>
      <c r="D300" s="13"/>
      <c r="E300" s="15" t="str">
        <f aca="false">IF(B300="","",IFERROR(INDEX(Plan!$B$5:$B$44,MATCH(B300,Plan!$A$5:$A$44,0))&amp;"","Kategori yok"))</f>
        <v/>
      </c>
    </row>
    <row r="301" customFormat="false" ht="15" hidden="false" customHeight="false" outlineLevel="0" collapsed="false">
      <c r="A301" s="12"/>
      <c r="B301" s="13"/>
      <c r="C301" s="14"/>
      <c r="D301" s="13"/>
      <c r="E301" s="15" t="str">
        <f aca="false">IF(B301="","",IFERROR(INDEX(Plan!$B$5:$B$44,MATCH(B301,Plan!$A$5:$A$44,0))&amp;"","Kategori yok"))</f>
        <v/>
      </c>
    </row>
    <row r="302" customFormat="false" ht="15" hidden="false" customHeight="false" outlineLevel="0" collapsed="false">
      <c r="A302" s="12"/>
      <c r="B302" s="13"/>
      <c r="C302" s="14"/>
      <c r="D302" s="13"/>
      <c r="E302" s="15" t="str">
        <f aca="false">IF(B302="","",IFERROR(INDEX(Plan!$B$5:$B$44,MATCH(B302,Plan!$A$5:$A$44,0))&amp;"","Kategori yok"))</f>
        <v/>
      </c>
    </row>
    <row r="303" customFormat="false" ht="15" hidden="false" customHeight="false" outlineLevel="0" collapsed="false">
      <c r="A303" s="12"/>
      <c r="B303" s="13"/>
      <c r="C303" s="14"/>
      <c r="D303" s="13"/>
      <c r="E303" s="15" t="str">
        <f aca="false">IF(B303="","",IFERROR(INDEX(Plan!$B$5:$B$44,MATCH(B303,Plan!$A$5:$A$44,0))&amp;"","Kategori yok"))</f>
        <v/>
      </c>
    </row>
    <row r="304" customFormat="false" ht="15" hidden="false" customHeight="false" outlineLevel="0" collapsed="false">
      <c r="A304" s="12"/>
      <c r="B304" s="13"/>
      <c r="C304" s="14"/>
      <c r="D304" s="13"/>
      <c r="E304" s="15" t="str">
        <f aca="false">IF(B304="","",IFERROR(INDEX(Plan!$B$5:$B$44,MATCH(B304,Plan!$A$5:$A$44,0))&amp;"","Kategori yok"))</f>
        <v/>
      </c>
    </row>
    <row r="305" customFormat="false" ht="15" hidden="false" customHeight="false" outlineLevel="0" collapsed="false">
      <c r="A305" s="12"/>
      <c r="B305" s="13"/>
      <c r="C305" s="14"/>
      <c r="D305" s="13"/>
      <c r="E305" s="15" t="str">
        <f aca="false">IF(B305="","",IFERROR(INDEX(Plan!$B$5:$B$44,MATCH(B305,Plan!$A$5:$A$44,0))&amp;"","Kategori yok"))</f>
        <v/>
      </c>
    </row>
    <row r="306" customFormat="false" ht="15" hidden="false" customHeight="false" outlineLevel="0" collapsed="false">
      <c r="A306" s="12"/>
      <c r="B306" s="13"/>
      <c r="C306" s="14"/>
      <c r="D306" s="13"/>
      <c r="E306" s="15" t="str">
        <f aca="false">IF(B306="","",IFERROR(INDEX(Plan!$B$5:$B$44,MATCH(B306,Plan!$A$5:$A$44,0))&amp;"","Kategori yok"))</f>
        <v/>
      </c>
    </row>
    <row r="307" customFormat="false" ht="15" hidden="false" customHeight="false" outlineLevel="0" collapsed="false">
      <c r="A307" s="12"/>
      <c r="B307" s="13"/>
      <c r="C307" s="14"/>
      <c r="D307" s="13"/>
      <c r="E307" s="15" t="str">
        <f aca="false">IF(B307="","",IFERROR(INDEX(Plan!$B$5:$B$44,MATCH(B307,Plan!$A$5:$A$44,0))&amp;"","Kategori yok"))</f>
        <v/>
      </c>
    </row>
    <row r="308" customFormat="false" ht="15" hidden="false" customHeight="false" outlineLevel="0" collapsed="false">
      <c r="A308" s="12"/>
      <c r="B308" s="13"/>
      <c r="C308" s="14"/>
      <c r="D308" s="13"/>
      <c r="E308" s="15" t="str">
        <f aca="false">IF(B308="","",IFERROR(INDEX(Plan!$B$5:$B$44,MATCH(B308,Plan!$A$5:$A$44,0))&amp;"","Kategori yok"))</f>
        <v/>
      </c>
    </row>
    <row r="309" customFormat="false" ht="15" hidden="false" customHeight="false" outlineLevel="0" collapsed="false">
      <c r="A309" s="12"/>
      <c r="B309" s="13"/>
      <c r="C309" s="14"/>
      <c r="D309" s="13"/>
      <c r="E309" s="15" t="str">
        <f aca="false">IF(B309="","",IFERROR(INDEX(Plan!$B$5:$B$44,MATCH(B309,Plan!$A$5:$A$44,0))&amp;"","Kategori yok"))</f>
        <v/>
      </c>
    </row>
    <row r="310" customFormat="false" ht="15" hidden="false" customHeight="false" outlineLevel="0" collapsed="false">
      <c r="A310" s="12"/>
      <c r="B310" s="13"/>
      <c r="C310" s="14"/>
      <c r="D310" s="13"/>
      <c r="E310" s="15" t="str">
        <f aca="false">IF(B310="","",IFERROR(INDEX(Plan!$B$5:$B$44,MATCH(B310,Plan!$A$5:$A$44,0))&amp;"","Kategori yok"))</f>
        <v/>
      </c>
    </row>
    <row r="311" customFormat="false" ht="15" hidden="false" customHeight="false" outlineLevel="0" collapsed="false">
      <c r="A311" s="12"/>
      <c r="B311" s="13"/>
      <c r="C311" s="14"/>
      <c r="D311" s="13"/>
      <c r="E311" s="15" t="str">
        <f aca="false">IF(B311="","",IFERROR(INDEX(Plan!$B$5:$B$44,MATCH(B311,Plan!$A$5:$A$44,0))&amp;"","Kategori yok"))</f>
        <v/>
      </c>
    </row>
    <row r="312" customFormat="false" ht="15" hidden="false" customHeight="false" outlineLevel="0" collapsed="false">
      <c r="A312" s="12"/>
      <c r="B312" s="13"/>
      <c r="C312" s="14"/>
      <c r="D312" s="13"/>
      <c r="E312" s="15" t="str">
        <f aca="false">IF(B312="","",IFERROR(INDEX(Plan!$B$5:$B$44,MATCH(B312,Plan!$A$5:$A$44,0))&amp;"","Kategori yok"))</f>
        <v/>
      </c>
    </row>
    <row r="313" customFormat="false" ht="15" hidden="false" customHeight="false" outlineLevel="0" collapsed="false">
      <c r="A313" s="12"/>
      <c r="B313" s="13"/>
      <c r="C313" s="14"/>
      <c r="D313" s="13"/>
      <c r="E313" s="15" t="str">
        <f aca="false">IF(B313="","",IFERROR(INDEX(Plan!$B$5:$B$44,MATCH(B313,Plan!$A$5:$A$44,0))&amp;"","Kategori yok"))</f>
        <v/>
      </c>
    </row>
    <row r="314" customFormat="false" ht="15" hidden="false" customHeight="false" outlineLevel="0" collapsed="false">
      <c r="A314" s="12"/>
      <c r="B314" s="13"/>
      <c r="C314" s="14"/>
      <c r="D314" s="13"/>
      <c r="E314" s="15" t="str">
        <f aca="false">IF(B314="","",IFERROR(INDEX(Plan!$B$5:$B$44,MATCH(B314,Plan!$A$5:$A$44,0))&amp;"","Kategori yok"))</f>
        <v/>
      </c>
    </row>
    <row r="315" customFormat="false" ht="15" hidden="false" customHeight="false" outlineLevel="0" collapsed="false">
      <c r="A315" s="12"/>
      <c r="B315" s="13"/>
      <c r="C315" s="14"/>
      <c r="D315" s="13"/>
      <c r="E315" s="15" t="str">
        <f aca="false">IF(B315="","",IFERROR(INDEX(Plan!$B$5:$B$44,MATCH(B315,Plan!$A$5:$A$44,0))&amp;"","Kategori yok"))</f>
        <v/>
      </c>
    </row>
    <row r="316" customFormat="false" ht="15" hidden="false" customHeight="false" outlineLevel="0" collapsed="false">
      <c r="A316" s="12"/>
      <c r="B316" s="13"/>
      <c r="C316" s="14"/>
      <c r="D316" s="13"/>
      <c r="E316" s="15" t="str">
        <f aca="false">IF(B316="","",IFERROR(INDEX(Plan!$B$5:$B$44,MATCH(B316,Plan!$A$5:$A$44,0))&amp;"","Kategori yok"))</f>
        <v/>
      </c>
    </row>
    <row r="317" customFormat="false" ht="15" hidden="false" customHeight="false" outlineLevel="0" collapsed="false">
      <c r="A317" s="12"/>
      <c r="B317" s="13"/>
      <c r="C317" s="14"/>
      <c r="D317" s="13"/>
      <c r="E317" s="15" t="str">
        <f aca="false">IF(B317="","",IFERROR(INDEX(Plan!$B$5:$B$44,MATCH(B317,Plan!$A$5:$A$44,0))&amp;"","Kategori yok"))</f>
        <v/>
      </c>
    </row>
    <row r="318" customFormat="false" ht="15" hidden="false" customHeight="false" outlineLevel="0" collapsed="false">
      <c r="A318" s="12"/>
      <c r="B318" s="13"/>
      <c r="C318" s="14"/>
      <c r="D318" s="13"/>
      <c r="E318" s="15" t="str">
        <f aca="false">IF(B318="","",IFERROR(INDEX(Plan!$B$5:$B$44,MATCH(B318,Plan!$A$5:$A$44,0))&amp;"","Kategori yok"))</f>
        <v/>
      </c>
    </row>
    <row r="319" customFormat="false" ht="15" hidden="false" customHeight="false" outlineLevel="0" collapsed="false">
      <c r="A319" s="12"/>
      <c r="B319" s="13"/>
      <c r="C319" s="14"/>
      <c r="D319" s="13"/>
      <c r="E319" s="15" t="str">
        <f aca="false">IF(B319="","",IFERROR(INDEX(Plan!$B$5:$B$44,MATCH(B319,Plan!$A$5:$A$44,0))&amp;"","Kategori yok"))</f>
        <v/>
      </c>
    </row>
    <row r="320" customFormat="false" ht="15" hidden="false" customHeight="false" outlineLevel="0" collapsed="false">
      <c r="A320" s="12"/>
      <c r="B320" s="13"/>
      <c r="C320" s="14"/>
      <c r="D320" s="13"/>
      <c r="E320" s="15" t="str">
        <f aca="false">IF(B320="","",IFERROR(INDEX(Plan!$B$5:$B$44,MATCH(B320,Plan!$A$5:$A$44,0))&amp;"","Kategori yok"))</f>
        <v/>
      </c>
    </row>
    <row r="321" customFormat="false" ht="15" hidden="false" customHeight="false" outlineLevel="0" collapsed="false">
      <c r="A321" s="12"/>
      <c r="B321" s="13"/>
      <c r="C321" s="14"/>
      <c r="D321" s="13"/>
      <c r="E321" s="15" t="str">
        <f aca="false">IF(B321="","",IFERROR(INDEX(Plan!$B$5:$B$44,MATCH(B321,Plan!$A$5:$A$44,0))&amp;"","Kategori yok"))</f>
        <v/>
      </c>
    </row>
    <row r="322" customFormat="false" ht="15" hidden="false" customHeight="false" outlineLevel="0" collapsed="false">
      <c r="A322" s="12"/>
      <c r="B322" s="13"/>
      <c r="C322" s="14"/>
      <c r="D322" s="13"/>
      <c r="E322" s="15" t="str">
        <f aca="false">IF(B322="","",IFERROR(INDEX(Plan!$B$5:$B$44,MATCH(B322,Plan!$A$5:$A$44,0))&amp;"","Kategori yok"))</f>
        <v/>
      </c>
    </row>
    <row r="323" customFormat="false" ht="15" hidden="false" customHeight="false" outlineLevel="0" collapsed="false">
      <c r="A323" s="12"/>
      <c r="B323" s="13"/>
      <c r="C323" s="14"/>
      <c r="D323" s="13"/>
      <c r="E323" s="15" t="str">
        <f aca="false">IF(B323="","",IFERROR(INDEX(Plan!$B$5:$B$44,MATCH(B323,Plan!$A$5:$A$44,0))&amp;"","Kategori yok"))</f>
        <v/>
      </c>
    </row>
    <row r="324" customFormat="false" ht="15" hidden="false" customHeight="false" outlineLevel="0" collapsed="false">
      <c r="A324" s="12"/>
      <c r="B324" s="13"/>
      <c r="C324" s="14"/>
      <c r="D324" s="13"/>
      <c r="E324" s="15" t="str">
        <f aca="false">IF(B324="","",IFERROR(INDEX(Plan!$B$5:$B$44,MATCH(B324,Plan!$A$5:$A$44,0))&amp;"","Kategori yok"))</f>
        <v/>
      </c>
    </row>
    <row r="325" customFormat="false" ht="15" hidden="false" customHeight="false" outlineLevel="0" collapsed="false">
      <c r="A325" s="12"/>
      <c r="B325" s="13"/>
      <c r="C325" s="14"/>
      <c r="D325" s="13"/>
      <c r="E325" s="15" t="str">
        <f aca="false">IF(B325="","",IFERROR(INDEX(Plan!$B$5:$B$44,MATCH(B325,Plan!$A$5:$A$44,0))&amp;"","Kategori yok"))</f>
        <v/>
      </c>
    </row>
    <row r="326" customFormat="false" ht="15" hidden="false" customHeight="false" outlineLevel="0" collapsed="false">
      <c r="A326" s="12"/>
      <c r="B326" s="13"/>
      <c r="C326" s="14"/>
      <c r="D326" s="13"/>
      <c r="E326" s="15" t="str">
        <f aca="false">IF(B326="","",IFERROR(INDEX(Plan!$B$5:$B$44,MATCH(B326,Plan!$A$5:$A$44,0))&amp;"","Kategori yok"))</f>
        <v/>
      </c>
    </row>
    <row r="327" customFormat="false" ht="15" hidden="false" customHeight="false" outlineLevel="0" collapsed="false">
      <c r="A327" s="12"/>
      <c r="B327" s="13"/>
      <c r="C327" s="14"/>
      <c r="D327" s="13"/>
      <c r="E327" s="15" t="str">
        <f aca="false">IF(B327="","",IFERROR(INDEX(Plan!$B$5:$B$44,MATCH(B327,Plan!$A$5:$A$44,0))&amp;"","Kategori yok"))</f>
        <v/>
      </c>
    </row>
    <row r="328" customFormat="false" ht="15" hidden="false" customHeight="false" outlineLevel="0" collapsed="false">
      <c r="A328" s="12"/>
      <c r="B328" s="13"/>
      <c r="C328" s="14"/>
      <c r="D328" s="13"/>
      <c r="E328" s="15" t="str">
        <f aca="false">IF(B328="","",IFERROR(INDEX(Plan!$B$5:$B$44,MATCH(B328,Plan!$A$5:$A$44,0))&amp;"","Kategori yok"))</f>
        <v/>
      </c>
    </row>
    <row r="329" customFormat="false" ht="15" hidden="false" customHeight="false" outlineLevel="0" collapsed="false">
      <c r="A329" s="12"/>
      <c r="B329" s="13"/>
      <c r="C329" s="14"/>
      <c r="D329" s="13"/>
      <c r="E329" s="15" t="str">
        <f aca="false">IF(B329="","",IFERROR(INDEX(Plan!$B$5:$B$44,MATCH(B329,Plan!$A$5:$A$44,0))&amp;"","Kategori yok"))</f>
        <v/>
      </c>
    </row>
    <row r="330" customFormat="false" ht="15" hidden="false" customHeight="false" outlineLevel="0" collapsed="false">
      <c r="A330" s="12"/>
      <c r="B330" s="13"/>
      <c r="C330" s="14"/>
      <c r="D330" s="13"/>
      <c r="E330" s="15" t="str">
        <f aca="false">IF(B330="","",IFERROR(INDEX(Plan!$B$5:$B$44,MATCH(B330,Plan!$A$5:$A$44,0))&amp;"","Kategori yok"))</f>
        <v/>
      </c>
    </row>
    <row r="331" customFormat="false" ht="15" hidden="false" customHeight="false" outlineLevel="0" collapsed="false">
      <c r="A331" s="12"/>
      <c r="B331" s="13"/>
      <c r="C331" s="14"/>
      <c r="D331" s="13"/>
      <c r="E331" s="15" t="str">
        <f aca="false">IF(B331="","",IFERROR(INDEX(Plan!$B$5:$B$44,MATCH(B331,Plan!$A$5:$A$44,0))&amp;"","Kategori yok"))</f>
        <v/>
      </c>
    </row>
    <row r="332" customFormat="false" ht="15" hidden="false" customHeight="false" outlineLevel="0" collapsed="false">
      <c r="A332" s="12"/>
      <c r="B332" s="13"/>
      <c r="C332" s="14"/>
      <c r="D332" s="13"/>
      <c r="E332" s="15" t="str">
        <f aca="false">IF(B332="","",IFERROR(INDEX(Plan!$B$5:$B$44,MATCH(B332,Plan!$A$5:$A$44,0))&amp;"","Kategori yok"))</f>
        <v/>
      </c>
    </row>
    <row r="333" customFormat="false" ht="15" hidden="false" customHeight="false" outlineLevel="0" collapsed="false">
      <c r="A333" s="12"/>
      <c r="B333" s="13"/>
      <c r="C333" s="14"/>
      <c r="D333" s="13"/>
      <c r="E333" s="15" t="str">
        <f aca="false">IF(B333="","",IFERROR(INDEX(Plan!$B$5:$B$44,MATCH(B333,Plan!$A$5:$A$44,0))&amp;"","Kategori yok"))</f>
        <v/>
      </c>
    </row>
    <row r="334" customFormat="false" ht="15" hidden="false" customHeight="false" outlineLevel="0" collapsed="false">
      <c r="A334" s="12"/>
      <c r="B334" s="13"/>
      <c r="C334" s="14"/>
      <c r="D334" s="13"/>
      <c r="E334" s="15" t="str">
        <f aca="false">IF(B334="","",IFERROR(INDEX(Plan!$B$5:$B$44,MATCH(B334,Plan!$A$5:$A$44,0))&amp;"","Kategori yok"))</f>
        <v/>
      </c>
    </row>
    <row r="335" customFormat="false" ht="15" hidden="false" customHeight="false" outlineLevel="0" collapsed="false">
      <c r="A335" s="12"/>
      <c r="B335" s="13"/>
      <c r="C335" s="14"/>
      <c r="D335" s="13"/>
      <c r="E335" s="15" t="str">
        <f aca="false">IF(B335="","",IFERROR(INDEX(Plan!$B$5:$B$44,MATCH(B335,Plan!$A$5:$A$44,0))&amp;"","Kategori yok"))</f>
        <v/>
      </c>
    </row>
    <row r="336" customFormat="false" ht="15" hidden="false" customHeight="false" outlineLevel="0" collapsed="false">
      <c r="A336" s="12"/>
      <c r="B336" s="13"/>
      <c r="C336" s="14"/>
      <c r="D336" s="13"/>
      <c r="E336" s="15" t="str">
        <f aca="false">IF(B336="","",IFERROR(INDEX(Plan!$B$5:$B$44,MATCH(B336,Plan!$A$5:$A$44,0))&amp;"","Kategori yok"))</f>
        <v/>
      </c>
    </row>
    <row r="337" customFormat="false" ht="15" hidden="false" customHeight="false" outlineLevel="0" collapsed="false">
      <c r="A337" s="12"/>
      <c r="B337" s="13"/>
      <c r="C337" s="14"/>
      <c r="D337" s="13"/>
      <c r="E337" s="15" t="str">
        <f aca="false">IF(B337="","",IFERROR(INDEX(Plan!$B$5:$B$44,MATCH(B337,Plan!$A$5:$A$44,0))&amp;"","Kategori yok"))</f>
        <v/>
      </c>
    </row>
    <row r="338" customFormat="false" ht="15" hidden="false" customHeight="false" outlineLevel="0" collapsed="false">
      <c r="A338" s="12"/>
      <c r="B338" s="13"/>
      <c r="C338" s="14"/>
      <c r="D338" s="13"/>
      <c r="E338" s="15" t="str">
        <f aca="false">IF(B338="","",IFERROR(INDEX(Plan!$B$5:$B$44,MATCH(B338,Plan!$A$5:$A$44,0))&amp;"","Kategori yok"))</f>
        <v/>
      </c>
    </row>
    <row r="339" customFormat="false" ht="15" hidden="false" customHeight="false" outlineLevel="0" collapsed="false">
      <c r="A339" s="12"/>
      <c r="B339" s="13"/>
      <c r="C339" s="14"/>
      <c r="D339" s="13"/>
      <c r="E339" s="15" t="str">
        <f aca="false">IF(B339="","",IFERROR(INDEX(Plan!$B$5:$B$44,MATCH(B339,Plan!$A$5:$A$44,0))&amp;"","Kategori yok"))</f>
        <v/>
      </c>
    </row>
    <row r="340" customFormat="false" ht="15" hidden="false" customHeight="false" outlineLevel="0" collapsed="false">
      <c r="A340" s="12"/>
      <c r="B340" s="13"/>
      <c r="C340" s="14"/>
      <c r="D340" s="13"/>
      <c r="E340" s="15" t="str">
        <f aca="false">IF(B340="","",IFERROR(INDEX(Plan!$B$5:$B$44,MATCH(B340,Plan!$A$5:$A$44,0))&amp;"","Kategori yok"))</f>
        <v/>
      </c>
    </row>
    <row r="341" customFormat="false" ht="15" hidden="false" customHeight="false" outlineLevel="0" collapsed="false">
      <c r="A341" s="12"/>
      <c r="B341" s="13"/>
      <c r="C341" s="14"/>
      <c r="D341" s="13"/>
      <c r="E341" s="15" t="str">
        <f aca="false">IF(B341="","",IFERROR(INDEX(Plan!$B$5:$B$44,MATCH(B341,Plan!$A$5:$A$44,0))&amp;"","Kategori yok"))</f>
        <v/>
      </c>
    </row>
    <row r="342" customFormat="false" ht="15" hidden="false" customHeight="false" outlineLevel="0" collapsed="false">
      <c r="A342" s="12"/>
      <c r="B342" s="13"/>
      <c r="C342" s="14"/>
      <c r="D342" s="13"/>
      <c r="E342" s="15" t="str">
        <f aca="false">IF(B342="","",IFERROR(INDEX(Plan!$B$5:$B$44,MATCH(B342,Plan!$A$5:$A$44,0))&amp;"","Kategori yok"))</f>
        <v/>
      </c>
    </row>
    <row r="343" customFormat="false" ht="15" hidden="false" customHeight="false" outlineLevel="0" collapsed="false">
      <c r="A343" s="12"/>
      <c r="B343" s="13"/>
      <c r="C343" s="14"/>
      <c r="D343" s="13"/>
      <c r="E343" s="15" t="str">
        <f aca="false">IF(B343="","",IFERROR(INDEX(Plan!$B$5:$B$44,MATCH(B343,Plan!$A$5:$A$44,0))&amp;"","Kategori yok"))</f>
        <v/>
      </c>
    </row>
    <row r="344" customFormat="false" ht="15" hidden="false" customHeight="false" outlineLevel="0" collapsed="false">
      <c r="A344" s="12"/>
      <c r="B344" s="13"/>
      <c r="C344" s="14"/>
      <c r="D344" s="13"/>
      <c r="E344" s="15" t="str">
        <f aca="false">IF(B344="","",IFERROR(INDEX(Plan!$B$5:$B$44,MATCH(B344,Plan!$A$5:$A$44,0))&amp;"","Kategori yok"))</f>
        <v/>
      </c>
    </row>
    <row r="345" customFormat="false" ht="15" hidden="false" customHeight="false" outlineLevel="0" collapsed="false">
      <c r="A345" s="12"/>
      <c r="B345" s="13"/>
      <c r="C345" s="14"/>
      <c r="D345" s="13"/>
      <c r="E345" s="15" t="str">
        <f aca="false">IF(B345="","",IFERROR(INDEX(Plan!$B$5:$B$44,MATCH(B345,Plan!$A$5:$A$44,0))&amp;"","Kategori yok"))</f>
        <v/>
      </c>
    </row>
    <row r="346" customFormat="false" ht="15" hidden="false" customHeight="false" outlineLevel="0" collapsed="false">
      <c r="A346" s="12"/>
      <c r="B346" s="13"/>
      <c r="C346" s="14"/>
      <c r="D346" s="13"/>
      <c r="E346" s="15" t="str">
        <f aca="false">IF(B346="","",IFERROR(INDEX(Plan!$B$5:$B$44,MATCH(B346,Plan!$A$5:$A$44,0))&amp;"","Kategori yok"))</f>
        <v/>
      </c>
    </row>
    <row r="347" customFormat="false" ht="15" hidden="false" customHeight="false" outlineLevel="0" collapsed="false">
      <c r="A347" s="12"/>
      <c r="B347" s="13"/>
      <c r="C347" s="14"/>
      <c r="D347" s="13"/>
      <c r="E347" s="15" t="str">
        <f aca="false">IF(B347="","",IFERROR(INDEX(Plan!$B$5:$B$44,MATCH(B347,Plan!$A$5:$A$44,0))&amp;"","Kategori yok"))</f>
        <v/>
      </c>
    </row>
    <row r="348" customFormat="false" ht="15" hidden="false" customHeight="false" outlineLevel="0" collapsed="false">
      <c r="A348" s="12"/>
      <c r="B348" s="13"/>
      <c r="C348" s="14"/>
      <c r="D348" s="13"/>
      <c r="E348" s="15" t="str">
        <f aca="false">IF(B348="","",IFERROR(INDEX(Plan!$B$5:$B$44,MATCH(B348,Plan!$A$5:$A$44,0))&amp;"","Kategori yok"))</f>
        <v/>
      </c>
    </row>
    <row r="349" customFormat="false" ht="15" hidden="false" customHeight="false" outlineLevel="0" collapsed="false">
      <c r="A349" s="12"/>
      <c r="B349" s="13"/>
      <c r="C349" s="14"/>
      <c r="D349" s="13"/>
      <c r="E349" s="15" t="str">
        <f aca="false">IF(B349="","",IFERROR(INDEX(Plan!$B$5:$B$44,MATCH(B349,Plan!$A$5:$A$44,0))&amp;"","Kategori yok"))</f>
        <v/>
      </c>
    </row>
    <row r="350" customFormat="false" ht="15" hidden="false" customHeight="false" outlineLevel="0" collapsed="false">
      <c r="A350" s="12"/>
      <c r="B350" s="13"/>
      <c r="C350" s="14"/>
      <c r="D350" s="13"/>
      <c r="E350" s="15" t="str">
        <f aca="false">IF(B350="","",IFERROR(INDEX(Plan!$B$5:$B$44,MATCH(B350,Plan!$A$5:$A$44,0))&amp;"","Kategori yok"))</f>
        <v/>
      </c>
    </row>
    <row r="351" customFormat="false" ht="15" hidden="false" customHeight="false" outlineLevel="0" collapsed="false">
      <c r="A351" s="12"/>
      <c r="B351" s="13"/>
      <c r="C351" s="14"/>
      <c r="D351" s="13"/>
      <c r="E351" s="15" t="str">
        <f aca="false">IF(B351="","",IFERROR(INDEX(Plan!$B$5:$B$44,MATCH(B351,Plan!$A$5:$A$44,0))&amp;"","Kategori yok"))</f>
        <v/>
      </c>
    </row>
    <row r="352" customFormat="false" ht="15" hidden="false" customHeight="false" outlineLevel="0" collapsed="false">
      <c r="A352" s="12"/>
      <c r="B352" s="13"/>
      <c r="C352" s="14"/>
      <c r="D352" s="13"/>
      <c r="E352" s="15" t="str">
        <f aca="false">IF(B352="","",IFERROR(INDEX(Plan!$B$5:$B$44,MATCH(B352,Plan!$A$5:$A$44,0))&amp;"","Kategori yok"))</f>
        <v/>
      </c>
    </row>
    <row r="353" customFormat="false" ht="15" hidden="false" customHeight="false" outlineLevel="0" collapsed="false">
      <c r="A353" s="12"/>
      <c r="B353" s="13"/>
      <c r="C353" s="14"/>
      <c r="D353" s="13"/>
      <c r="E353" s="15" t="str">
        <f aca="false">IF(B353="","",IFERROR(INDEX(Plan!$B$5:$B$44,MATCH(B353,Plan!$A$5:$A$44,0))&amp;"","Kategori yok"))</f>
        <v/>
      </c>
    </row>
    <row r="354" customFormat="false" ht="15" hidden="false" customHeight="false" outlineLevel="0" collapsed="false">
      <c r="A354" s="12"/>
      <c r="B354" s="13"/>
      <c r="C354" s="14"/>
      <c r="D354" s="13"/>
      <c r="E354" s="15" t="str">
        <f aca="false">IF(B354="","",IFERROR(INDEX(Plan!$B$5:$B$44,MATCH(B354,Plan!$A$5:$A$44,0))&amp;"","Kategori yok"))</f>
        <v/>
      </c>
    </row>
    <row r="355" customFormat="false" ht="15" hidden="false" customHeight="false" outlineLevel="0" collapsed="false">
      <c r="A355" s="12"/>
      <c r="B355" s="13"/>
      <c r="C355" s="14"/>
      <c r="D355" s="13"/>
      <c r="E355" s="15" t="str">
        <f aca="false">IF(B355="","",IFERROR(INDEX(Plan!$B$5:$B$44,MATCH(B355,Plan!$A$5:$A$44,0))&amp;"","Kategori yok"))</f>
        <v/>
      </c>
    </row>
    <row r="356" customFormat="false" ht="15" hidden="false" customHeight="false" outlineLevel="0" collapsed="false">
      <c r="A356" s="12"/>
      <c r="B356" s="13"/>
      <c r="C356" s="14"/>
      <c r="D356" s="13"/>
      <c r="E356" s="15" t="str">
        <f aca="false">IF(B356="","",IFERROR(INDEX(Plan!$B$5:$B$44,MATCH(B356,Plan!$A$5:$A$44,0))&amp;"","Kategori yok"))</f>
        <v/>
      </c>
    </row>
    <row r="357" customFormat="false" ht="15" hidden="false" customHeight="false" outlineLevel="0" collapsed="false">
      <c r="A357" s="12"/>
      <c r="B357" s="13"/>
      <c r="C357" s="14"/>
      <c r="D357" s="13"/>
      <c r="E357" s="15" t="str">
        <f aca="false">IF(B357="","",IFERROR(INDEX(Plan!$B$5:$B$44,MATCH(B357,Plan!$A$5:$A$44,0))&amp;"","Kategori yok"))</f>
        <v/>
      </c>
    </row>
    <row r="358" customFormat="false" ht="15" hidden="false" customHeight="false" outlineLevel="0" collapsed="false">
      <c r="A358" s="12"/>
      <c r="B358" s="13"/>
      <c r="C358" s="14"/>
      <c r="D358" s="13"/>
      <c r="E358" s="15" t="str">
        <f aca="false">IF(B358="","",IFERROR(INDEX(Plan!$B$5:$B$44,MATCH(B358,Plan!$A$5:$A$44,0))&amp;"","Kategori yok"))</f>
        <v/>
      </c>
    </row>
    <row r="359" customFormat="false" ht="15" hidden="false" customHeight="false" outlineLevel="0" collapsed="false">
      <c r="A359" s="12"/>
      <c r="B359" s="13"/>
      <c r="C359" s="14"/>
      <c r="D359" s="13"/>
      <c r="E359" s="15" t="str">
        <f aca="false">IF(B359="","",IFERROR(INDEX(Plan!$B$5:$B$44,MATCH(B359,Plan!$A$5:$A$44,0))&amp;"","Kategori yok"))</f>
        <v/>
      </c>
    </row>
    <row r="360" customFormat="false" ht="15" hidden="false" customHeight="false" outlineLevel="0" collapsed="false">
      <c r="A360" s="12"/>
      <c r="B360" s="13"/>
      <c r="C360" s="14"/>
      <c r="D360" s="13"/>
      <c r="E360" s="15" t="str">
        <f aca="false">IF(B360="","",IFERROR(INDEX(Plan!$B$5:$B$44,MATCH(B360,Plan!$A$5:$A$44,0))&amp;"","Kategori yok"))</f>
        <v/>
      </c>
    </row>
    <row r="361" customFormat="false" ht="15" hidden="false" customHeight="false" outlineLevel="0" collapsed="false">
      <c r="A361" s="12"/>
      <c r="B361" s="13"/>
      <c r="C361" s="14"/>
      <c r="D361" s="13"/>
      <c r="E361" s="15" t="str">
        <f aca="false">IF(B361="","",IFERROR(INDEX(Plan!$B$5:$B$44,MATCH(B361,Plan!$A$5:$A$44,0))&amp;"","Kategori yok"))</f>
        <v/>
      </c>
    </row>
    <row r="362" customFormat="false" ht="15" hidden="false" customHeight="false" outlineLevel="0" collapsed="false">
      <c r="A362" s="12"/>
      <c r="B362" s="13"/>
      <c r="C362" s="14"/>
      <c r="D362" s="13"/>
      <c r="E362" s="15" t="str">
        <f aca="false">IF(B362="","",IFERROR(INDEX(Plan!$B$5:$B$44,MATCH(B362,Plan!$A$5:$A$44,0))&amp;"","Kategori yok"))</f>
        <v/>
      </c>
    </row>
    <row r="363" customFormat="false" ht="15" hidden="false" customHeight="false" outlineLevel="0" collapsed="false">
      <c r="A363" s="12"/>
      <c r="B363" s="13"/>
      <c r="C363" s="14"/>
      <c r="D363" s="13"/>
      <c r="E363" s="15" t="str">
        <f aca="false">IF(B363="","",IFERROR(INDEX(Plan!$B$5:$B$44,MATCH(B363,Plan!$A$5:$A$44,0))&amp;"","Kategori yok"))</f>
        <v/>
      </c>
    </row>
    <row r="364" customFormat="false" ht="15" hidden="false" customHeight="false" outlineLevel="0" collapsed="false">
      <c r="A364" s="12"/>
      <c r="B364" s="13"/>
      <c r="C364" s="14"/>
      <c r="D364" s="13"/>
      <c r="E364" s="15" t="str">
        <f aca="false">IF(B364="","",IFERROR(INDEX(Plan!$B$5:$B$44,MATCH(B364,Plan!$A$5:$A$44,0))&amp;"","Kategori yok"))</f>
        <v/>
      </c>
    </row>
    <row r="365" customFormat="false" ht="15" hidden="false" customHeight="false" outlineLevel="0" collapsed="false">
      <c r="A365" s="12"/>
      <c r="B365" s="13"/>
      <c r="C365" s="14"/>
      <c r="D365" s="13"/>
      <c r="E365" s="15" t="str">
        <f aca="false">IF(B365="","",IFERROR(INDEX(Plan!$B$5:$B$44,MATCH(B365,Plan!$A$5:$A$44,0))&amp;"","Kategori yok"))</f>
        <v/>
      </c>
    </row>
    <row r="366" customFormat="false" ht="15" hidden="false" customHeight="false" outlineLevel="0" collapsed="false">
      <c r="A366" s="12"/>
      <c r="B366" s="13"/>
      <c r="C366" s="14"/>
      <c r="D366" s="13"/>
      <c r="E366" s="15" t="str">
        <f aca="false">IF(B366="","",IFERROR(INDEX(Plan!$B$5:$B$44,MATCH(B366,Plan!$A$5:$A$44,0))&amp;"","Kategori yok"))</f>
        <v/>
      </c>
    </row>
    <row r="367" customFormat="false" ht="15" hidden="false" customHeight="false" outlineLevel="0" collapsed="false">
      <c r="A367" s="12"/>
      <c r="B367" s="13"/>
      <c r="C367" s="14"/>
      <c r="D367" s="13"/>
      <c r="E367" s="15" t="str">
        <f aca="false">IF(B367="","",IFERROR(INDEX(Plan!$B$5:$B$44,MATCH(B367,Plan!$A$5:$A$44,0))&amp;"","Kategori yok"))</f>
        <v/>
      </c>
    </row>
    <row r="368" customFormat="false" ht="15" hidden="false" customHeight="false" outlineLevel="0" collapsed="false">
      <c r="A368" s="12"/>
      <c r="B368" s="13"/>
      <c r="C368" s="14"/>
      <c r="D368" s="13"/>
      <c r="E368" s="15" t="str">
        <f aca="false">IF(B368="","",IFERROR(INDEX(Plan!$B$5:$B$44,MATCH(B368,Plan!$A$5:$A$44,0))&amp;"","Kategori yok"))</f>
        <v/>
      </c>
    </row>
    <row r="369" customFormat="false" ht="15" hidden="false" customHeight="false" outlineLevel="0" collapsed="false">
      <c r="A369" s="12"/>
      <c r="B369" s="13"/>
      <c r="C369" s="14"/>
      <c r="D369" s="13"/>
      <c r="E369" s="15" t="str">
        <f aca="false">IF(B369="","",IFERROR(INDEX(Plan!$B$5:$B$44,MATCH(B369,Plan!$A$5:$A$44,0))&amp;"","Kategori yok"))</f>
        <v/>
      </c>
    </row>
    <row r="370" customFormat="false" ht="15" hidden="false" customHeight="false" outlineLevel="0" collapsed="false">
      <c r="A370" s="12"/>
      <c r="B370" s="13"/>
      <c r="C370" s="14"/>
      <c r="D370" s="13"/>
      <c r="E370" s="15" t="str">
        <f aca="false">IF(B370="","",IFERROR(INDEX(Plan!$B$5:$B$44,MATCH(B370,Plan!$A$5:$A$44,0))&amp;"","Kategori yok"))</f>
        <v/>
      </c>
    </row>
    <row r="371" customFormat="false" ht="15" hidden="false" customHeight="false" outlineLevel="0" collapsed="false">
      <c r="A371" s="12"/>
      <c r="B371" s="13"/>
      <c r="C371" s="14"/>
      <c r="D371" s="13"/>
      <c r="E371" s="15" t="str">
        <f aca="false">IF(B371="","",IFERROR(INDEX(Plan!$B$5:$B$44,MATCH(B371,Plan!$A$5:$A$44,0))&amp;"","Kategori yok"))</f>
        <v/>
      </c>
    </row>
    <row r="372" customFormat="false" ht="15" hidden="false" customHeight="false" outlineLevel="0" collapsed="false">
      <c r="A372" s="12"/>
      <c r="B372" s="13"/>
      <c r="C372" s="14"/>
      <c r="D372" s="13"/>
      <c r="E372" s="15" t="str">
        <f aca="false">IF(B372="","",IFERROR(INDEX(Plan!$B$5:$B$44,MATCH(B372,Plan!$A$5:$A$44,0))&amp;"","Kategori yok"))</f>
        <v/>
      </c>
    </row>
    <row r="373" customFormat="false" ht="15" hidden="false" customHeight="false" outlineLevel="0" collapsed="false">
      <c r="A373" s="12"/>
      <c r="B373" s="13"/>
      <c r="C373" s="14"/>
      <c r="D373" s="13"/>
      <c r="E373" s="15" t="str">
        <f aca="false">IF(B373="","",IFERROR(INDEX(Plan!$B$5:$B$44,MATCH(B373,Plan!$A$5:$A$44,0))&amp;"","Kategori yok"))</f>
        <v/>
      </c>
    </row>
    <row r="374" customFormat="false" ht="15" hidden="false" customHeight="false" outlineLevel="0" collapsed="false">
      <c r="A374" s="12"/>
      <c r="B374" s="13"/>
      <c r="C374" s="14"/>
      <c r="D374" s="13"/>
      <c r="E374" s="15" t="str">
        <f aca="false">IF(B374="","",IFERROR(INDEX(Plan!$B$5:$B$44,MATCH(B374,Plan!$A$5:$A$44,0))&amp;"","Kategori yok"))</f>
        <v/>
      </c>
    </row>
    <row r="375" customFormat="false" ht="15" hidden="false" customHeight="false" outlineLevel="0" collapsed="false">
      <c r="A375" s="12"/>
      <c r="B375" s="13"/>
      <c r="C375" s="14"/>
      <c r="D375" s="13"/>
      <c r="E375" s="15" t="str">
        <f aca="false">IF(B375="","",IFERROR(INDEX(Plan!$B$5:$B$44,MATCH(B375,Plan!$A$5:$A$44,0))&amp;"","Kategori yok"))</f>
        <v/>
      </c>
    </row>
    <row r="376" customFormat="false" ht="15" hidden="false" customHeight="false" outlineLevel="0" collapsed="false">
      <c r="A376" s="12"/>
      <c r="B376" s="13"/>
      <c r="C376" s="14"/>
      <c r="D376" s="13"/>
      <c r="E376" s="15" t="str">
        <f aca="false">IF(B376="","",IFERROR(INDEX(Plan!$B$5:$B$44,MATCH(B376,Plan!$A$5:$A$44,0))&amp;"","Kategori yok"))</f>
        <v/>
      </c>
    </row>
    <row r="377" customFormat="false" ht="15" hidden="false" customHeight="false" outlineLevel="0" collapsed="false">
      <c r="A377" s="12"/>
      <c r="B377" s="13"/>
      <c r="C377" s="14"/>
      <c r="D377" s="13"/>
      <c r="E377" s="15" t="str">
        <f aca="false">IF(B377="","",IFERROR(INDEX(Plan!$B$5:$B$44,MATCH(B377,Plan!$A$5:$A$44,0))&amp;"","Kategori yok"))</f>
        <v/>
      </c>
    </row>
    <row r="378" customFormat="false" ht="15" hidden="false" customHeight="false" outlineLevel="0" collapsed="false">
      <c r="A378" s="12"/>
      <c r="B378" s="13"/>
      <c r="C378" s="14"/>
      <c r="D378" s="13"/>
      <c r="E378" s="15" t="str">
        <f aca="false">IF(B378="","",IFERROR(INDEX(Plan!$B$5:$B$44,MATCH(B378,Plan!$A$5:$A$44,0))&amp;"","Kategori yok"))</f>
        <v/>
      </c>
    </row>
    <row r="379" customFormat="false" ht="15" hidden="false" customHeight="false" outlineLevel="0" collapsed="false">
      <c r="A379" s="12"/>
      <c r="B379" s="13"/>
      <c r="C379" s="14"/>
      <c r="D379" s="13"/>
      <c r="E379" s="15" t="str">
        <f aca="false">IF(B379="","",IFERROR(INDEX(Plan!$B$5:$B$44,MATCH(B379,Plan!$A$5:$A$44,0))&amp;"","Kategori yok"))</f>
        <v/>
      </c>
    </row>
    <row r="380" customFormat="false" ht="15" hidden="false" customHeight="false" outlineLevel="0" collapsed="false">
      <c r="A380" s="12"/>
      <c r="B380" s="13"/>
      <c r="C380" s="14"/>
      <c r="D380" s="13"/>
      <c r="E380" s="15" t="str">
        <f aca="false">IF(B380="","",IFERROR(INDEX(Plan!$B$5:$B$44,MATCH(B380,Plan!$A$5:$A$44,0))&amp;"","Kategori yok"))</f>
        <v/>
      </c>
    </row>
    <row r="381" customFormat="false" ht="15" hidden="false" customHeight="false" outlineLevel="0" collapsed="false">
      <c r="A381" s="12"/>
      <c r="B381" s="13"/>
      <c r="C381" s="14"/>
      <c r="D381" s="13"/>
      <c r="E381" s="15" t="str">
        <f aca="false">IF(B381="","",IFERROR(INDEX(Plan!$B$5:$B$44,MATCH(B381,Plan!$A$5:$A$44,0))&amp;"","Kategori yok"))</f>
        <v/>
      </c>
    </row>
    <row r="382" customFormat="false" ht="15" hidden="false" customHeight="false" outlineLevel="0" collapsed="false">
      <c r="A382" s="12"/>
      <c r="B382" s="13"/>
      <c r="C382" s="14"/>
      <c r="D382" s="13"/>
      <c r="E382" s="15" t="str">
        <f aca="false">IF(B382="","",IFERROR(INDEX(Plan!$B$5:$B$44,MATCH(B382,Plan!$A$5:$A$44,0))&amp;"","Kategori yok"))</f>
        <v/>
      </c>
    </row>
    <row r="383" customFormat="false" ht="15" hidden="false" customHeight="false" outlineLevel="0" collapsed="false">
      <c r="A383" s="12"/>
      <c r="B383" s="13"/>
      <c r="C383" s="14"/>
      <c r="D383" s="13"/>
      <c r="E383" s="15" t="str">
        <f aca="false">IF(B383="","",IFERROR(INDEX(Plan!$B$5:$B$44,MATCH(B383,Plan!$A$5:$A$44,0))&amp;"","Kategori yok"))</f>
        <v/>
      </c>
    </row>
    <row r="384" customFormat="false" ht="15" hidden="false" customHeight="false" outlineLevel="0" collapsed="false">
      <c r="A384" s="12"/>
      <c r="B384" s="13"/>
      <c r="C384" s="14"/>
      <c r="D384" s="13"/>
      <c r="E384" s="15" t="str">
        <f aca="false">IF(B384="","",IFERROR(INDEX(Plan!$B$5:$B$44,MATCH(B384,Plan!$A$5:$A$44,0))&amp;"","Kategori yok"))</f>
        <v/>
      </c>
    </row>
    <row r="385" customFormat="false" ht="15" hidden="false" customHeight="false" outlineLevel="0" collapsed="false">
      <c r="A385" s="12"/>
      <c r="B385" s="13"/>
      <c r="C385" s="14"/>
      <c r="D385" s="13"/>
      <c r="E385" s="15" t="str">
        <f aca="false">IF(B385="","",IFERROR(INDEX(Plan!$B$5:$B$44,MATCH(B385,Plan!$A$5:$A$44,0))&amp;"","Kategori yok"))</f>
        <v/>
      </c>
    </row>
    <row r="386" customFormat="false" ht="15" hidden="false" customHeight="false" outlineLevel="0" collapsed="false">
      <c r="A386" s="12"/>
      <c r="B386" s="13"/>
      <c r="C386" s="14"/>
      <c r="D386" s="13"/>
      <c r="E386" s="15" t="str">
        <f aca="false">IF(B386="","",IFERROR(INDEX(Plan!$B$5:$B$44,MATCH(B386,Plan!$A$5:$A$44,0))&amp;"","Kategori yok"))</f>
        <v/>
      </c>
    </row>
    <row r="387" customFormat="false" ht="15" hidden="false" customHeight="false" outlineLevel="0" collapsed="false">
      <c r="A387" s="12"/>
      <c r="B387" s="13"/>
      <c r="C387" s="14"/>
      <c r="D387" s="13"/>
      <c r="E387" s="15" t="str">
        <f aca="false">IF(B387="","",IFERROR(INDEX(Plan!$B$5:$B$44,MATCH(B387,Plan!$A$5:$A$44,0))&amp;"","Kategori yok"))</f>
        <v/>
      </c>
    </row>
    <row r="388" customFormat="false" ht="15" hidden="false" customHeight="false" outlineLevel="0" collapsed="false">
      <c r="A388" s="12"/>
      <c r="B388" s="13"/>
      <c r="C388" s="14"/>
      <c r="D388" s="13"/>
      <c r="E388" s="15" t="str">
        <f aca="false">IF(B388="","",IFERROR(INDEX(Plan!$B$5:$B$44,MATCH(B388,Plan!$A$5:$A$44,0))&amp;"","Kategori yok"))</f>
        <v/>
      </c>
    </row>
    <row r="389" customFormat="false" ht="15" hidden="false" customHeight="false" outlineLevel="0" collapsed="false">
      <c r="A389" s="12"/>
      <c r="B389" s="13"/>
      <c r="C389" s="14"/>
      <c r="D389" s="13"/>
      <c r="E389" s="15" t="str">
        <f aca="false">IF(B389="","",IFERROR(INDEX(Plan!$B$5:$B$44,MATCH(B389,Plan!$A$5:$A$44,0))&amp;"","Kategori yok"))</f>
        <v/>
      </c>
    </row>
    <row r="390" customFormat="false" ht="15" hidden="false" customHeight="false" outlineLevel="0" collapsed="false">
      <c r="A390" s="12"/>
      <c r="B390" s="13"/>
      <c r="C390" s="14"/>
      <c r="D390" s="13"/>
      <c r="E390" s="15" t="str">
        <f aca="false">IF(B390="","",IFERROR(INDEX(Plan!$B$5:$B$44,MATCH(B390,Plan!$A$5:$A$44,0))&amp;"","Kategori yok"))</f>
        <v/>
      </c>
    </row>
    <row r="391" customFormat="false" ht="15" hidden="false" customHeight="false" outlineLevel="0" collapsed="false">
      <c r="A391" s="12"/>
      <c r="B391" s="13"/>
      <c r="C391" s="14"/>
      <c r="D391" s="13"/>
      <c r="E391" s="15" t="str">
        <f aca="false">IF(B391="","",IFERROR(INDEX(Plan!$B$5:$B$44,MATCH(B391,Plan!$A$5:$A$44,0))&amp;"","Kategori yok"))</f>
        <v/>
      </c>
    </row>
    <row r="392" customFormat="false" ht="15" hidden="false" customHeight="false" outlineLevel="0" collapsed="false">
      <c r="A392" s="12"/>
      <c r="B392" s="13"/>
      <c r="C392" s="14"/>
      <c r="D392" s="13"/>
      <c r="E392" s="15" t="str">
        <f aca="false">IF(B392="","",IFERROR(INDEX(Plan!$B$5:$B$44,MATCH(B392,Plan!$A$5:$A$44,0))&amp;"","Kategori yok"))</f>
        <v/>
      </c>
    </row>
    <row r="393" customFormat="false" ht="15" hidden="false" customHeight="false" outlineLevel="0" collapsed="false">
      <c r="A393" s="12"/>
      <c r="B393" s="13"/>
      <c r="C393" s="14"/>
      <c r="D393" s="13"/>
      <c r="E393" s="15" t="str">
        <f aca="false">IF(B393="","",IFERROR(INDEX(Plan!$B$5:$B$44,MATCH(B393,Plan!$A$5:$A$44,0))&amp;"","Kategori yok"))</f>
        <v/>
      </c>
    </row>
    <row r="394" customFormat="false" ht="15" hidden="false" customHeight="false" outlineLevel="0" collapsed="false">
      <c r="A394" s="12"/>
      <c r="B394" s="13"/>
      <c r="C394" s="14"/>
      <c r="D394" s="13"/>
      <c r="E394" s="15" t="str">
        <f aca="false">IF(B394="","",IFERROR(INDEX(Plan!$B$5:$B$44,MATCH(B394,Plan!$A$5:$A$44,0))&amp;"","Kategori yok"))</f>
        <v/>
      </c>
    </row>
    <row r="395" customFormat="false" ht="15" hidden="false" customHeight="false" outlineLevel="0" collapsed="false">
      <c r="A395" s="12"/>
      <c r="B395" s="13"/>
      <c r="C395" s="14"/>
      <c r="D395" s="13"/>
      <c r="E395" s="15" t="str">
        <f aca="false">IF(B395="","",IFERROR(INDEX(Plan!$B$5:$B$44,MATCH(B395,Plan!$A$5:$A$44,0))&amp;"","Kategori yok"))</f>
        <v/>
      </c>
    </row>
    <row r="396" customFormat="false" ht="15" hidden="false" customHeight="false" outlineLevel="0" collapsed="false">
      <c r="A396" s="12"/>
      <c r="B396" s="13"/>
      <c r="C396" s="14"/>
      <c r="D396" s="13"/>
      <c r="E396" s="15" t="str">
        <f aca="false">IF(B396="","",IFERROR(INDEX(Plan!$B$5:$B$44,MATCH(B396,Plan!$A$5:$A$44,0))&amp;"","Kategori yok"))</f>
        <v/>
      </c>
    </row>
    <row r="397" customFormat="false" ht="15" hidden="false" customHeight="false" outlineLevel="0" collapsed="false">
      <c r="A397" s="12"/>
      <c r="B397" s="13"/>
      <c r="C397" s="14"/>
      <c r="D397" s="13"/>
      <c r="E397" s="15" t="str">
        <f aca="false">IF(B397="","",IFERROR(INDEX(Plan!$B$5:$B$44,MATCH(B397,Plan!$A$5:$A$44,0))&amp;"","Kategori yok"))</f>
        <v/>
      </c>
    </row>
    <row r="398" customFormat="false" ht="15" hidden="false" customHeight="false" outlineLevel="0" collapsed="false">
      <c r="A398" s="12"/>
      <c r="B398" s="13"/>
      <c r="C398" s="14"/>
      <c r="D398" s="13"/>
      <c r="E398" s="15" t="str">
        <f aca="false">IF(B398="","",IFERROR(INDEX(Plan!$B$5:$B$44,MATCH(B398,Plan!$A$5:$A$44,0))&amp;"","Kategori yok"))</f>
        <v/>
      </c>
    </row>
    <row r="399" customFormat="false" ht="15" hidden="false" customHeight="false" outlineLevel="0" collapsed="false">
      <c r="A399" s="12"/>
      <c r="B399" s="13"/>
      <c r="C399" s="14"/>
      <c r="D399" s="13"/>
      <c r="E399" s="15" t="str">
        <f aca="false">IF(B399="","",IFERROR(INDEX(Plan!$B$5:$B$44,MATCH(B399,Plan!$A$5:$A$44,0))&amp;"","Kategori yok"))</f>
        <v/>
      </c>
    </row>
    <row r="400" customFormat="false" ht="15" hidden="false" customHeight="false" outlineLevel="0" collapsed="false">
      <c r="A400" s="12"/>
      <c r="B400" s="13"/>
      <c r="C400" s="14"/>
      <c r="D400" s="13"/>
      <c r="E400" s="15" t="str">
        <f aca="false">IF(B400="","",IFERROR(INDEX(Plan!$B$5:$B$44,MATCH(B400,Plan!$A$5:$A$44,0))&amp;"","Kategori yok"))</f>
        <v/>
      </c>
    </row>
    <row r="401" customFormat="false" ht="15" hidden="false" customHeight="false" outlineLevel="0" collapsed="false">
      <c r="A401" s="12"/>
      <c r="B401" s="13"/>
      <c r="C401" s="14"/>
      <c r="D401" s="13"/>
      <c r="E401" s="15" t="str">
        <f aca="false">IF(B401="","",IFERROR(INDEX(Plan!$B$5:$B$44,MATCH(B401,Plan!$A$5:$A$44,0))&amp;"","Kategori yok"))</f>
        <v/>
      </c>
    </row>
    <row r="402" customFormat="false" ht="15" hidden="false" customHeight="false" outlineLevel="0" collapsed="false">
      <c r="A402" s="12"/>
      <c r="B402" s="13"/>
      <c r="C402" s="14"/>
      <c r="D402" s="13"/>
      <c r="E402" s="15" t="str">
        <f aca="false">IF(B402="","",IFERROR(INDEX(Plan!$B$5:$B$44,MATCH(B402,Plan!$A$5:$A$44,0))&amp;"","Kategori yok"))</f>
        <v/>
      </c>
    </row>
    <row r="403" customFormat="false" ht="15" hidden="false" customHeight="false" outlineLevel="0" collapsed="false">
      <c r="A403" s="12"/>
      <c r="B403" s="13"/>
      <c r="C403" s="14"/>
      <c r="D403" s="13"/>
      <c r="E403" s="15" t="str">
        <f aca="false">IF(B403="","",IFERROR(INDEX(Plan!$B$5:$B$44,MATCH(B403,Plan!$A$5:$A$44,0))&amp;"","Kategori yok"))</f>
        <v/>
      </c>
    </row>
    <row r="404" customFormat="false" ht="15" hidden="false" customHeight="false" outlineLevel="0" collapsed="false">
      <c r="A404" s="12"/>
      <c r="B404" s="13"/>
      <c r="C404" s="14"/>
      <c r="D404" s="13"/>
      <c r="E404" s="15" t="str">
        <f aca="false">IF(B404="","",IFERROR(INDEX(Plan!$B$5:$B$44,MATCH(B404,Plan!$A$5:$A$44,0))&amp;"","Kategori yok"))</f>
        <v/>
      </c>
    </row>
    <row r="405" customFormat="false" ht="15" hidden="false" customHeight="false" outlineLevel="0" collapsed="false">
      <c r="A405" s="12"/>
      <c r="B405" s="13"/>
      <c r="C405" s="14"/>
      <c r="D405" s="13"/>
      <c r="E405" s="15" t="str">
        <f aca="false">IF(B405="","",IFERROR(INDEX(Plan!$B$5:$B$44,MATCH(B405,Plan!$A$5:$A$44,0))&amp;"","Kategori yok"))</f>
        <v/>
      </c>
    </row>
    <row r="406" customFormat="false" ht="15" hidden="false" customHeight="false" outlineLevel="0" collapsed="false">
      <c r="A406" s="12"/>
      <c r="B406" s="13"/>
      <c r="C406" s="14"/>
      <c r="D406" s="13"/>
      <c r="E406" s="15" t="str">
        <f aca="false">IF(B406="","",IFERROR(INDEX(Plan!$B$5:$B$44,MATCH(B406,Plan!$A$5:$A$44,0))&amp;"","Kategori yok"))</f>
        <v/>
      </c>
    </row>
    <row r="407" customFormat="false" ht="15" hidden="false" customHeight="false" outlineLevel="0" collapsed="false">
      <c r="A407" s="12"/>
      <c r="B407" s="13"/>
      <c r="C407" s="14"/>
      <c r="D407" s="13"/>
      <c r="E407" s="15" t="str">
        <f aca="false">IF(B407="","",IFERROR(INDEX(Plan!$B$5:$B$44,MATCH(B407,Plan!$A$5:$A$44,0))&amp;"","Kategori yok"))</f>
        <v/>
      </c>
    </row>
    <row r="408" customFormat="false" ht="15" hidden="false" customHeight="false" outlineLevel="0" collapsed="false">
      <c r="A408" s="12"/>
      <c r="B408" s="13"/>
      <c r="C408" s="14"/>
      <c r="D408" s="13"/>
      <c r="E408" s="15" t="str">
        <f aca="false">IF(B408="","",IFERROR(INDEX(Plan!$B$5:$B$44,MATCH(B408,Plan!$A$5:$A$44,0))&amp;"","Kategori yok"))</f>
        <v/>
      </c>
    </row>
    <row r="409" customFormat="false" ht="15" hidden="false" customHeight="false" outlineLevel="0" collapsed="false">
      <c r="A409" s="12"/>
      <c r="B409" s="13"/>
      <c r="C409" s="14"/>
      <c r="D409" s="13"/>
      <c r="E409" s="15" t="str">
        <f aca="false">IF(B409="","",IFERROR(INDEX(Plan!$B$5:$B$44,MATCH(B409,Plan!$A$5:$A$44,0))&amp;"","Kategori yok"))</f>
        <v/>
      </c>
    </row>
    <row r="410" customFormat="false" ht="15" hidden="false" customHeight="false" outlineLevel="0" collapsed="false">
      <c r="A410" s="12"/>
      <c r="B410" s="13"/>
      <c r="C410" s="14"/>
      <c r="D410" s="13"/>
      <c r="E410" s="15" t="str">
        <f aca="false">IF(B410="","",IFERROR(INDEX(Plan!$B$5:$B$44,MATCH(B410,Plan!$A$5:$A$44,0))&amp;"","Kategori yok"))</f>
        <v/>
      </c>
    </row>
    <row r="411" customFormat="false" ht="15" hidden="false" customHeight="false" outlineLevel="0" collapsed="false">
      <c r="A411" s="12"/>
      <c r="B411" s="13"/>
      <c r="C411" s="14"/>
      <c r="D411" s="13"/>
      <c r="E411" s="15" t="str">
        <f aca="false">IF(B411="","",IFERROR(INDEX(Plan!$B$5:$B$44,MATCH(B411,Plan!$A$5:$A$44,0))&amp;"","Kategori yok"))</f>
        <v/>
      </c>
    </row>
    <row r="412" customFormat="false" ht="15" hidden="false" customHeight="false" outlineLevel="0" collapsed="false">
      <c r="A412" s="12"/>
      <c r="B412" s="13"/>
      <c r="C412" s="14"/>
      <c r="D412" s="13"/>
      <c r="E412" s="15" t="str">
        <f aca="false">IF(B412="","",IFERROR(INDEX(Plan!$B$5:$B$44,MATCH(B412,Plan!$A$5:$A$44,0))&amp;"","Kategori yok"))</f>
        <v/>
      </c>
    </row>
    <row r="413" customFormat="false" ht="15" hidden="false" customHeight="false" outlineLevel="0" collapsed="false">
      <c r="A413" s="12"/>
      <c r="B413" s="13"/>
      <c r="C413" s="14"/>
      <c r="D413" s="13"/>
      <c r="E413" s="15" t="str">
        <f aca="false">IF(B413="","",IFERROR(INDEX(Plan!$B$5:$B$44,MATCH(B413,Plan!$A$5:$A$44,0))&amp;"","Kategori yok"))</f>
        <v/>
      </c>
    </row>
    <row r="414" customFormat="false" ht="15" hidden="false" customHeight="false" outlineLevel="0" collapsed="false">
      <c r="A414" s="12"/>
      <c r="B414" s="13"/>
      <c r="C414" s="14"/>
      <c r="D414" s="13"/>
      <c r="E414" s="15" t="str">
        <f aca="false">IF(B414="","",IFERROR(INDEX(Plan!$B$5:$B$44,MATCH(B414,Plan!$A$5:$A$44,0))&amp;"","Kategori yok"))</f>
        <v/>
      </c>
    </row>
    <row r="415" customFormat="false" ht="15" hidden="false" customHeight="false" outlineLevel="0" collapsed="false">
      <c r="A415" s="12"/>
      <c r="B415" s="13"/>
      <c r="C415" s="14"/>
      <c r="D415" s="13"/>
      <c r="E415" s="15" t="str">
        <f aca="false">IF(B415="","",IFERROR(INDEX(Plan!$B$5:$B$44,MATCH(B415,Plan!$A$5:$A$44,0))&amp;"","Kategori yok"))</f>
        <v/>
      </c>
    </row>
    <row r="416" customFormat="false" ht="15" hidden="false" customHeight="false" outlineLevel="0" collapsed="false">
      <c r="A416" s="12"/>
      <c r="B416" s="13"/>
      <c r="C416" s="14"/>
      <c r="D416" s="13"/>
      <c r="E416" s="15" t="str">
        <f aca="false">IF(B416="","",IFERROR(INDEX(Plan!$B$5:$B$44,MATCH(B416,Plan!$A$5:$A$44,0))&amp;"","Kategori yok"))</f>
        <v/>
      </c>
    </row>
    <row r="417" customFormat="false" ht="15" hidden="false" customHeight="false" outlineLevel="0" collapsed="false">
      <c r="A417" s="12"/>
      <c r="B417" s="13"/>
      <c r="C417" s="14"/>
      <c r="D417" s="13"/>
      <c r="E417" s="15" t="str">
        <f aca="false">IF(B417="","",IFERROR(INDEX(Plan!$B$5:$B$44,MATCH(B417,Plan!$A$5:$A$44,0))&amp;"","Kategori yok"))</f>
        <v/>
      </c>
    </row>
    <row r="418" customFormat="false" ht="15" hidden="false" customHeight="false" outlineLevel="0" collapsed="false">
      <c r="A418" s="12"/>
      <c r="B418" s="13"/>
      <c r="C418" s="14"/>
      <c r="D418" s="13"/>
      <c r="E418" s="15" t="str">
        <f aca="false">IF(B418="","",IFERROR(INDEX(Plan!$B$5:$B$44,MATCH(B418,Plan!$A$5:$A$44,0))&amp;"","Kategori yok"))</f>
        <v/>
      </c>
    </row>
    <row r="419" customFormat="false" ht="15" hidden="false" customHeight="false" outlineLevel="0" collapsed="false">
      <c r="A419" s="12"/>
      <c r="B419" s="13"/>
      <c r="C419" s="14"/>
      <c r="D419" s="13"/>
      <c r="E419" s="15" t="str">
        <f aca="false">IF(B419="","",IFERROR(INDEX(Plan!$B$5:$B$44,MATCH(B419,Plan!$A$5:$A$44,0))&amp;"","Kategori yok"))</f>
        <v/>
      </c>
    </row>
    <row r="420" customFormat="false" ht="15" hidden="false" customHeight="false" outlineLevel="0" collapsed="false">
      <c r="A420" s="12"/>
      <c r="B420" s="13"/>
      <c r="C420" s="14"/>
      <c r="D420" s="13"/>
      <c r="E420" s="15" t="str">
        <f aca="false">IF(B420="","",IFERROR(INDEX(Plan!$B$5:$B$44,MATCH(B420,Plan!$A$5:$A$44,0))&amp;"","Kategori yok"))</f>
        <v/>
      </c>
    </row>
    <row r="421" customFormat="false" ht="15" hidden="false" customHeight="false" outlineLevel="0" collapsed="false">
      <c r="A421" s="12"/>
      <c r="B421" s="13"/>
      <c r="C421" s="14"/>
      <c r="D421" s="13"/>
      <c r="E421" s="15" t="str">
        <f aca="false">IF(B421="","",IFERROR(INDEX(Plan!$B$5:$B$44,MATCH(B421,Plan!$A$5:$A$44,0))&amp;"","Kategori yok"))</f>
        <v/>
      </c>
    </row>
    <row r="422" customFormat="false" ht="15" hidden="false" customHeight="false" outlineLevel="0" collapsed="false">
      <c r="A422" s="12"/>
      <c r="B422" s="13"/>
      <c r="C422" s="14"/>
      <c r="D422" s="13"/>
      <c r="E422" s="15" t="str">
        <f aca="false">IF(B422="","",IFERROR(INDEX(Plan!$B$5:$B$44,MATCH(B422,Plan!$A$5:$A$44,0))&amp;"","Kategori yok"))</f>
        <v/>
      </c>
    </row>
    <row r="423" customFormat="false" ht="15" hidden="false" customHeight="false" outlineLevel="0" collapsed="false">
      <c r="A423" s="12"/>
      <c r="B423" s="13"/>
      <c r="C423" s="14"/>
      <c r="D423" s="13"/>
      <c r="E423" s="15" t="str">
        <f aca="false">IF(B423="","",IFERROR(INDEX(Plan!$B$5:$B$44,MATCH(B423,Plan!$A$5:$A$44,0))&amp;"","Kategori yok"))</f>
        <v/>
      </c>
    </row>
    <row r="424" customFormat="false" ht="15" hidden="false" customHeight="false" outlineLevel="0" collapsed="false">
      <c r="A424" s="12"/>
      <c r="B424" s="13"/>
      <c r="C424" s="14"/>
      <c r="D424" s="13"/>
      <c r="E424" s="15" t="str">
        <f aca="false">IF(B424="","",IFERROR(INDEX(Plan!$B$5:$B$44,MATCH(B424,Plan!$A$5:$A$44,0))&amp;"","Kategori yok"))</f>
        <v/>
      </c>
    </row>
    <row r="425" customFormat="false" ht="15" hidden="false" customHeight="false" outlineLevel="0" collapsed="false">
      <c r="A425" s="12"/>
      <c r="B425" s="13"/>
      <c r="C425" s="14"/>
      <c r="D425" s="13"/>
      <c r="E425" s="15" t="str">
        <f aca="false">IF(B425="","",IFERROR(INDEX(Plan!$B$5:$B$44,MATCH(B425,Plan!$A$5:$A$44,0))&amp;"","Kategori yok"))</f>
        <v/>
      </c>
    </row>
    <row r="426" customFormat="false" ht="15" hidden="false" customHeight="false" outlineLevel="0" collapsed="false">
      <c r="A426" s="12"/>
      <c r="B426" s="13"/>
      <c r="C426" s="14"/>
      <c r="D426" s="13"/>
      <c r="E426" s="15" t="str">
        <f aca="false">IF(B426="","",IFERROR(INDEX(Plan!$B$5:$B$44,MATCH(B426,Plan!$A$5:$A$44,0))&amp;"","Kategori yok"))</f>
        <v/>
      </c>
    </row>
    <row r="427" customFormat="false" ht="15" hidden="false" customHeight="false" outlineLevel="0" collapsed="false">
      <c r="A427" s="12"/>
      <c r="B427" s="13"/>
      <c r="C427" s="14"/>
      <c r="D427" s="13"/>
      <c r="E427" s="15" t="str">
        <f aca="false">IF(B427="","",IFERROR(INDEX(Plan!$B$5:$B$44,MATCH(B427,Plan!$A$5:$A$44,0))&amp;"","Kategori yok"))</f>
        <v/>
      </c>
    </row>
    <row r="428" customFormat="false" ht="15" hidden="false" customHeight="false" outlineLevel="0" collapsed="false">
      <c r="A428" s="12"/>
      <c r="B428" s="13"/>
      <c r="C428" s="14"/>
      <c r="D428" s="13"/>
      <c r="E428" s="15" t="str">
        <f aca="false">IF(B428="","",IFERROR(INDEX(Plan!$B$5:$B$44,MATCH(B428,Plan!$A$5:$A$44,0))&amp;"","Kategori yok"))</f>
        <v/>
      </c>
    </row>
    <row r="429" customFormat="false" ht="15" hidden="false" customHeight="false" outlineLevel="0" collapsed="false">
      <c r="A429" s="12"/>
      <c r="B429" s="13"/>
      <c r="C429" s="14"/>
      <c r="D429" s="13"/>
      <c r="E429" s="15" t="str">
        <f aca="false">IF(B429="","",IFERROR(INDEX(Plan!$B$5:$B$44,MATCH(B429,Plan!$A$5:$A$44,0))&amp;"","Kategori yok"))</f>
        <v/>
      </c>
    </row>
    <row r="430" customFormat="false" ht="15" hidden="false" customHeight="false" outlineLevel="0" collapsed="false">
      <c r="A430" s="12"/>
      <c r="B430" s="13"/>
      <c r="C430" s="14"/>
      <c r="D430" s="13"/>
      <c r="E430" s="15" t="str">
        <f aca="false">IF(B430="","",IFERROR(INDEX(Plan!$B$5:$B$44,MATCH(B430,Plan!$A$5:$A$44,0))&amp;"","Kategori yok"))</f>
        <v/>
      </c>
    </row>
    <row r="431" customFormat="false" ht="15" hidden="false" customHeight="false" outlineLevel="0" collapsed="false">
      <c r="A431" s="12"/>
      <c r="B431" s="13"/>
      <c r="C431" s="14"/>
      <c r="D431" s="13"/>
      <c r="E431" s="15" t="str">
        <f aca="false">IF(B431="","",IFERROR(INDEX(Plan!$B$5:$B$44,MATCH(B431,Plan!$A$5:$A$44,0))&amp;"","Kategori yok"))</f>
        <v/>
      </c>
    </row>
    <row r="432" customFormat="false" ht="15" hidden="false" customHeight="false" outlineLevel="0" collapsed="false">
      <c r="A432" s="12"/>
      <c r="B432" s="13"/>
      <c r="C432" s="14"/>
      <c r="D432" s="13"/>
      <c r="E432" s="15" t="str">
        <f aca="false">IF(B432="","",IFERROR(INDEX(Plan!$B$5:$B$44,MATCH(B432,Plan!$A$5:$A$44,0))&amp;"","Kategori yok"))</f>
        <v/>
      </c>
    </row>
    <row r="433" customFormat="false" ht="15" hidden="false" customHeight="false" outlineLevel="0" collapsed="false">
      <c r="A433" s="12"/>
      <c r="B433" s="13"/>
      <c r="C433" s="14"/>
      <c r="D433" s="13"/>
      <c r="E433" s="15" t="str">
        <f aca="false">IF(B433="","",IFERROR(INDEX(Plan!$B$5:$B$44,MATCH(B433,Plan!$A$5:$A$44,0))&amp;"","Kategori yok"))</f>
        <v/>
      </c>
    </row>
    <row r="434" customFormat="false" ht="15" hidden="false" customHeight="false" outlineLevel="0" collapsed="false">
      <c r="A434" s="12"/>
      <c r="B434" s="13"/>
      <c r="C434" s="14"/>
      <c r="D434" s="13"/>
      <c r="E434" s="15" t="str">
        <f aca="false">IF(B434="","",IFERROR(INDEX(Plan!$B$5:$B$44,MATCH(B434,Plan!$A$5:$A$44,0))&amp;"","Kategori yok"))</f>
        <v/>
      </c>
    </row>
    <row r="435" customFormat="false" ht="15" hidden="false" customHeight="false" outlineLevel="0" collapsed="false">
      <c r="A435" s="12"/>
      <c r="B435" s="13"/>
      <c r="C435" s="14"/>
      <c r="D435" s="13"/>
      <c r="E435" s="15" t="str">
        <f aca="false">IF(B435="","",IFERROR(INDEX(Plan!$B$5:$B$44,MATCH(B435,Plan!$A$5:$A$44,0))&amp;"","Kategori yok"))</f>
        <v/>
      </c>
    </row>
    <row r="436" customFormat="false" ht="15" hidden="false" customHeight="false" outlineLevel="0" collapsed="false">
      <c r="A436" s="12"/>
      <c r="B436" s="13"/>
      <c r="C436" s="14"/>
      <c r="D436" s="13"/>
      <c r="E436" s="15" t="str">
        <f aca="false">IF(B436="","",IFERROR(INDEX(Plan!$B$5:$B$44,MATCH(B436,Plan!$A$5:$A$44,0))&amp;"","Kategori yok"))</f>
        <v/>
      </c>
    </row>
    <row r="437" customFormat="false" ht="15" hidden="false" customHeight="false" outlineLevel="0" collapsed="false">
      <c r="A437" s="12"/>
      <c r="B437" s="13"/>
      <c r="C437" s="14"/>
      <c r="D437" s="13"/>
      <c r="E437" s="15" t="str">
        <f aca="false">IF(B437="","",IFERROR(INDEX(Plan!$B$5:$B$44,MATCH(B437,Plan!$A$5:$A$44,0))&amp;"","Kategori yok"))</f>
        <v/>
      </c>
    </row>
    <row r="438" customFormat="false" ht="15" hidden="false" customHeight="false" outlineLevel="0" collapsed="false">
      <c r="A438" s="12"/>
      <c r="B438" s="13"/>
      <c r="C438" s="14"/>
      <c r="D438" s="13"/>
      <c r="E438" s="15" t="str">
        <f aca="false">IF(B438="","",IFERROR(INDEX(Plan!$B$5:$B$44,MATCH(B438,Plan!$A$5:$A$44,0))&amp;"","Kategori yok"))</f>
        <v/>
      </c>
    </row>
    <row r="439" customFormat="false" ht="15" hidden="false" customHeight="false" outlineLevel="0" collapsed="false">
      <c r="A439" s="12"/>
      <c r="B439" s="13"/>
      <c r="C439" s="14"/>
      <c r="D439" s="13"/>
      <c r="E439" s="15" t="str">
        <f aca="false">IF(B439="","",IFERROR(INDEX(Plan!$B$5:$B$44,MATCH(B439,Plan!$A$5:$A$44,0))&amp;"","Kategori yok"))</f>
        <v/>
      </c>
    </row>
    <row r="440" customFormat="false" ht="15" hidden="false" customHeight="false" outlineLevel="0" collapsed="false">
      <c r="A440" s="12"/>
      <c r="B440" s="13"/>
      <c r="C440" s="14"/>
      <c r="D440" s="13"/>
      <c r="E440" s="15" t="str">
        <f aca="false">IF(B440="","",IFERROR(INDEX(Plan!$B$5:$B$44,MATCH(B440,Plan!$A$5:$A$44,0))&amp;"","Kategori yok"))</f>
        <v/>
      </c>
    </row>
    <row r="441" customFormat="false" ht="15" hidden="false" customHeight="false" outlineLevel="0" collapsed="false">
      <c r="A441" s="12"/>
      <c r="B441" s="13"/>
      <c r="C441" s="14"/>
      <c r="D441" s="13"/>
      <c r="E441" s="15" t="str">
        <f aca="false">IF(B441="","",IFERROR(INDEX(Plan!$B$5:$B$44,MATCH(B441,Plan!$A$5:$A$44,0))&amp;"","Kategori yok"))</f>
        <v/>
      </c>
    </row>
    <row r="442" customFormat="false" ht="15" hidden="false" customHeight="false" outlineLevel="0" collapsed="false">
      <c r="A442" s="12"/>
      <c r="B442" s="13"/>
      <c r="C442" s="14"/>
      <c r="D442" s="13"/>
      <c r="E442" s="15" t="str">
        <f aca="false">IF(B442="","",IFERROR(INDEX(Plan!$B$5:$B$44,MATCH(B442,Plan!$A$5:$A$44,0))&amp;"","Kategori yok"))</f>
        <v/>
      </c>
    </row>
    <row r="443" customFormat="false" ht="15" hidden="false" customHeight="false" outlineLevel="0" collapsed="false">
      <c r="A443" s="12"/>
      <c r="B443" s="13"/>
      <c r="C443" s="14"/>
      <c r="D443" s="13"/>
      <c r="E443" s="15" t="str">
        <f aca="false">IF(B443="","",IFERROR(INDEX(Plan!$B$5:$B$44,MATCH(B443,Plan!$A$5:$A$44,0))&amp;"","Kategori yok"))</f>
        <v/>
      </c>
    </row>
    <row r="444" customFormat="false" ht="15" hidden="false" customHeight="false" outlineLevel="0" collapsed="false">
      <c r="A444" s="12"/>
      <c r="B444" s="13"/>
      <c r="C444" s="14"/>
      <c r="D444" s="13"/>
      <c r="E444" s="15" t="str">
        <f aca="false">IF(B444="","",IFERROR(INDEX(Plan!$B$5:$B$44,MATCH(B444,Plan!$A$5:$A$44,0))&amp;"","Kategori yok"))</f>
        <v/>
      </c>
    </row>
    <row r="445" customFormat="false" ht="15" hidden="false" customHeight="false" outlineLevel="0" collapsed="false">
      <c r="A445" s="12"/>
      <c r="B445" s="13"/>
      <c r="C445" s="14"/>
      <c r="D445" s="13"/>
      <c r="E445" s="15" t="str">
        <f aca="false">IF(B445="","",IFERROR(INDEX(Plan!$B$5:$B$44,MATCH(B445,Plan!$A$5:$A$44,0))&amp;"","Kategori yok"))</f>
        <v/>
      </c>
    </row>
    <row r="446" customFormat="false" ht="15" hidden="false" customHeight="false" outlineLevel="0" collapsed="false">
      <c r="A446" s="12"/>
      <c r="B446" s="13"/>
      <c r="C446" s="14"/>
      <c r="D446" s="13"/>
      <c r="E446" s="15" t="str">
        <f aca="false">IF(B446="","",IFERROR(INDEX(Plan!$B$5:$B$44,MATCH(B446,Plan!$A$5:$A$44,0))&amp;"","Kategori yok"))</f>
        <v/>
      </c>
    </row>
    <row r="447" customFormat="false" ht="15" hidden="false" customHeight="false" outlineLevel="0" collapsed="false">
      <c r="A447" s="12"/>
      <c r="B447" s="13"/>
      <c r="C447" s="14"/>
      <c r="D447" s="13"/>
      <c r="E447" s="15" t="str">
        <f aca="false">IF(B447="","",IFERROR(INDEX(Plan!$B$5:$B$44,MATCH(B447,Plan!$A$5:$A$44,0))&amp;"","Kategori yok"))</f>
        <v/>
      </c>
    </row>
    <row r="448" customFormat="false" ht="15" hidden="false" customHeight="false" outlineLevel="0" collapsed="false">
      <c r="A448" s="12"/>
      <c r="B448" s="13"/>
      <c r="C448" s="14"/>
      <c r="D448" s="13"/>
      <c r="E448" s="15" t="str">
        <f aca="false">IF(B448="","",IFERROR(INDEX(Plan!$B$5:$B$44,MATCH(B448,Plan!$A$5:$A$44,0))&amp;"","Kategori yok"))</f>
        <v/>
      </c>
    </row>
    <row r="449" customFormat="false" ht="15" hidden="false" customHeight="false" outlineLevel="0" collapsed="false">
      <c r="A449" s="12"/>
      <c r="B449" s="13"/>
      <c r="C449" s="14"/>
      <c r="D449" s="13"/>
      <c r="E449" s="15" t="str">
        <f aca="false">IF(B449="","",IFERROR(INDEX(Plan!$B$5:$B$44,MATCH(B449,Plan!$A$5:$A$44,0))&amp;"","Kategori yok"))</f>
        <v/>
      </c>
    </row>
    <row r="450" customFormat="false" ht="15" hidden="false" customHeight="false" outlineLevel="0" collapsed="false">
      <c r="A450" s="12"/>
      <c r="B450" s="13"/>
      <c r="C450" s="14"/>
      <c r="D450" s="13"/>
      <c r="E450" s="15" t="str">
        <f aca="false">IF(B450="","",IFERROR(INDEX(Plan!$B$5:$B$44,MATCH(B450,Plan!$A$5:$A$44,0))&amp;"","Kategori yok"))</f>
        <v/>
      </c>
    </row>
    <row r="451" customFormat="false" ht="15" hidden="false" customHeight="false" outlineLevel="0" collapsed="false">
      <c r="A451" s="12"/>
      <c r="B451" s="13"/>
      <c r="C451" s="14"/>
      <c r="D451" s="13"/>
      <c r="E451" s="15" t="str">
        <f aca="false">IF(B451="","",IFERROR(INDEX(Plan!$B$5:$B$44,MATCH(B451,Plan!$A$5:$A$44,0))&amp;"","Kategori yok"))</f>
        <v/>
      </c>
    </row>
    <row r="452" customFormat="false" ht="15" hidden="false" customHeight="false" outlineLevel="0" collapsed="false">
      <c r="A452" s="12"/>
      <c r="B452" s="13"/>
      <c r="C452" s="14"/>
      <c r="D452" s="13"/>
      <c r="E452" s="15" t="str">
        <f aca="false">IF(B452="","",IFERROR(INDEX(Plan!$B$5:$B$44,MATCH(B452,Plan!$A$5:$A$44,0))&amp;"","Kategori yok"))</f>
        <v/>
      </c>
    </row>
    <row r="453" customFormat="false" ht="15" hidden="false" customHeight="false" outlineLevel="0" collapsed="false">
      <c r="A453" s="12"/>
      <c r="B453" s="13"/>
      <c r="C453" s="14"/>
      <c r="D453" s="13"/>
      <c r="E453" s="15" t="str">
        <f aca="false">IF(B453="","",IFERROR(INDEX(Plan!$B$5:$B$44,MATCH(B453,Plan!$A$5:$A$44,0))&amp;"","Kategori yok"))</f>
        <v/>
      </c>
    </row>
    <row r="454" customFormat="false" ht="15" hidden="false" customHeight="false" outlineLevel="0" collapsed="false">
      <c r="A454" s="12"/>
      <c r="B454" s="13"/>
      <c r="C454" s="14"/>
      <c r="D454" s="13"/>
      <c r="E454" s="15" t="str">
        <f aca="false">IF(B454="","",IFERROR(INDEX(Plan!$B$5:$B$44,MATCH(B454,Plan!$A$5:$A$44,0))&amp;"","Kategori yok"))</f>
        <v/>
      </c>
    </row>
    <row r="455" customFormat="false" ht="15" hidden="false" customHeight="false" outlineLevel="0" collapsed="false">
      <c r="A455" s="12"/>
      <c r="B455" s="13"/>
      <c r="C455" s="14"/>
      <c r="D455" s="13"/>
      <c r="E455" s="15" t="str">
        <f aca="false">IF(B455="","",IFERROR(INDEX(Plan!$B$5:$B$44,MATCH(B455,Plan!$A$5:$A$44,0))&amp;"","Kategori yok"))</f>
        <v/>
      </c>
    </row>
    <row r="456" customFormat="false" ht="15" hidden="false" customHeight="false" outlineLevel="0" collapsed="false">
      <c r="A456" s="12"/>
      <c r="B456" s="13"/>
      <c r="C456" s="14"/>
      <c r="D456" s="13"/>
      <c r="E456" s="15" t="str">
        <f aca="false">IF(B456="","",IFERROR(INDEX(Plan!$B$5:$B$44,MATCH(B456,Plan!$A$5:$A$44,0))&amp;"","Kategori yok"))</f>
        <v/>
      </c>
    </row>
    <row r="457" customFormat="false" ht="15" hidden="false" customHeight="false" outlineLevel="0" collapsed="false">
      <c r="A457" s="12"/>
      <c r="B457" s="13"/>
      <c r="C457" s="14"/>
      <c r="D457" s="13"/>
      <c r="E457" s="15" t="str">
        <f aca="false">IF(B457="","",IFERROR(INDEX(Plan!$B$5:$B$44,MATCH(B457,Plan!$A$5:$A$44,0))&amp;"","Kategori yok"))</f>
        <v/>
      </c>
    </row>
    <row r="458" customFormat="false" ht="15" hidden="false" customHeight="false" outlineLevel="0" collapsed="false">
      <c r="A458" s="12"/>
      <c r="B458" s="13"/>
      <c r="C458" s="14"/>
      <c r="D458" s="13"/>
      <c r="E458" s="15" t="str">
        <f aca="false">IF(B458="","",IFERROR(INDEX(Plan!$B$5:$B$44,MATCH(B458,Plan!$A$5:$A$44,0))&amp;"","Kategori yok"))</f>
        <v/>
      </c>
    </row>
    <row r="459" customFormat="false" ht="15" hidden="false" customHeight="false" outlineLevel="0" collapsed="false">
      <c r="A459" s="12"/>
      <c r="B459" s="13"/>
      <c r="C459" s="14"/>
      <c r="D459" s="13"/>
      <c r="E459" s="15" t="str">
        <f aca="false">IF(B459="","",IFERROR(INDEX(Plan!$B$5:$B$44,MATCH(B459,Plan!$A$5:$A$44,0))&amp;"","Kategori yok"))</f>
        <v/>
      </c>
    </row>
    <row r="460" customFormat="false" ht="15" hidden="false" customHeight="false" outlineLevel="0" collapsed="false">
      <c r="A460" s="12"/>
      <c r="B460" s="13"/>
      <c r="C460" s="14"/>
      <c r="D460" s="13"/>
      <c r="E460" s="15" t="str">
        <f aca="false">IF(B460="","",IFERROR(INDEX(Plan!$B$5:$B$44,MATCH(B460,Plan!$A$5:$A$44,0))&amp;"","Kategori yok"))</f>
        <v/>
      </c>
    </row>
    <row r="461" customFormat="false" ht="15" hidden="false" customHeight="false" outlineLevel="0" collapsed="false">
      <c r="A461" s="12"/>
      <c r="B461" s="13"/>
      <c r="C461" s="14"/>
      <c r="D461" s="13"/>
      <c r="E461" s="15" t="str">
        <f aca="false">IF(B461="","",IFERROR(INDEX(Plan!$B$5:$B$44,MATCH(B461,Plan!$A$5:$A$44,0))&amp;"","Kategori yok"))</f>
        <v/>
      </c>
    </row>
    <row r="462" customFormat="false" ht="15" hidden="false" customHeight="false" outlineLevel="0" collapsed="false">
      <c r="A462" s="12"/>
      <c r="B462" s="13"/>
      <c r="C462" s="14"/>
      <c r="D462" s="13"/>
      <c r="E462" s="15" t="str">
        <f aca="false">IF(B462="","",IFERROR(INDEX(Plan!$B$5:$B$44,MATCH(B462,Plan!$A$5:$A$44,0))&amp;"","Kategori yok"))</f>
        <v/>
      </c>
    </row>
    <row r="463" customFormat="false" ht="15" hidden="false" customHeight="false" outlineLevel="0" collapsed="false">
      <c r="A463" s="12"/>
      <c r="B463" s="13"/>
      <c r="C463" s="14"/>
      <c r="D463" s="13"/>
      <c r="E463" s="15" t="str">
        <f aca="false">IF(B463="","",IFERROR(INDEX(Plan!$B$5:$B$44,MATCH(B463,Plan!$A$5:$A$44,0))&amp;"","Kategori yok"))</f>
        <v/>
      </c>
    </row>
    <row r="464" customFormat="false" ht="15" hidden="false" customHeight="false" outlineLevel="0" collapsed="false">
      <c r="A464" s="12"/>
      <c r="B464" s="13"/>
      <c r="C464" s="14"/>
      <c r="D464" s="13"/>
      <c r="E464" s="15" t="str">
        <f aca="false">IF(B464="","",IFERROR(INDEX(Plan!$B$5:$B$44,MATCH(B464,Plan!$A$5:$A$44,0))&amp;"","Kategori yok"))</f>
        <v/>
      </c>
    </row>
    <row r="465" customFormat="false" ht="15" hidden="false" customHeight="false" outlineLevel="0" collapsed="false">
      <c r="A465" s="12"/>
      <c r="B465" s="13"/>
      <c r="C465" s="14"/>
      <c r="D465" s="13"/>
      <c r="E465" s="15" t="str">
        <f aca="false">IF(B465="","",IFERROR(INDEX(Plan!$B$5:$B$44,MATCH(B465,Plan!$A$5:$A$44,0))&amp;"","Kategori yok"))</f>
        <v/>
      </c>
    </row>
    <row r="466" customFormat="false" ht="15" hidden="false" customHeight="false" outlineLevel="0" collapsed="false">
      <c r="A466" s="12"/>
      <c r="B466" s="13"/>
      <c r="C466" s="14"/>
      <c r="D466" s="13"/>
      <c r="E466" s="15" t="str">
        <f aca="false">IF(B466="","",IFERROR(INDEX(Plan!$B$5:$B$44,MATCH(B466,Plan!$A$5:$A$44,0))&amp;"","Kategori yok"))</f>
        <v/>
      </c>
    </row>
    <row r="467" customFormat="false" ht="15" hidden="false" customHeight="false" outlineLevel="0" collapsed="false">
      <c r="A467" s="12"/>
      <c r="B467" s="13"/>
      <c r="C467" s="14"/>
      <c r="D467" s="13"/>
      <c r="E467" s="15" t="str">
        <f aca="false">IF(B467="","",IFERROR(INDEX(Plan!$B$5:$B$44,MATCH(B467,Plan!$A$5:$A$44,0))&amp;"","Kategori yok"))</f>
        <v/>
      </c>
    </row>
    <row r="468" customFormat="false" ht="15" hidden="false" customHeight="false" outlineLevel="0" collapsed="false">
      <c r="A468" s="12"/>
      <c r="B468" s="13"/>
      <c r="C468" s="14"/>
      <c r="D468" s="13"/>
      <c r="E468" s="15" t="str">
        <f aca="false">IF(B468="","",IFERROR(INDEX(Plan!$B$5:$B$44,MATCH(B468,Plan!$A$5:$A$44,0))&amp;"","Kategori yok"))</f>
        <v/>
      </c>
    </row>
    <row r="469" customFormat="false" ht="15" hidden="false" customHeight="false" outlineLevel="0" collapsed="false">
      <c r="A469" s="12"/>
      <c r="B469" s="13"/>
      <c r="C469" s="14"/>
      <c r="D469" s="13"/>
      <c r="E469" s="15" t="str">
        <f aca="false">IF(B469="","",IFERROR(INDEX(Plan!$B$5:$B$44,MATCH(B469,Plan!$A$5:$A$44,0))&amp;"","Kategori yok"))</f>
        <v/>
      </c>
    </row>
    <row r="470" customFormat="false" ht="15" hidden="false" customHeight="false" outlineLevel="0" collapsed="false">
      <c r="A470" s="12"/>
      <c r="B470" s="13"/>
      <c r="C470" s="14"/>
      <c r="D470" s="13"/>
      <c r="E470" s="15" t="str">
        <f aca="false">IF(B470="","",IFERROR(INDEX(Plan!$B$5:$B$44,MATCH(B470,Plan!$A$5:$A$44,0))&amp;"","Kategori yok"))</f>
        <v/>
      </c>
    </row>
    <row r="471" customFormat="false" ht="15" hidden="false" customHeight="false" outlineLevel="0" collapsed="false">
      <c r="A471" s="12"/>
      <c r="B471" s="13"/>
      <c r="C471" s="14"/>
      <c r="D471" s="13"/>
      <c r="E471" s="15" t="str">
        <f aca="false">IF(B471="","",IFERROR(INDEX(Plan!$B$5:$B$44,MATCH(B471,Plan!$A$5:$A$44,0))&amp;"","Kategori yok"))</f>
        <v/>
      </c>
    </row>
    <row r="472" customFormat="false" ht="15" hidden="false" customHeight="false" outlineLevel="0" collapsed="false">
      <c r="A472" s="12"/>
      <c r="B472" s="13"/>
      <c r="C472" s="14"/>
      <c r="D472" s="13"/>
      <c r="E472" s="15" t="str">
        <f aca="false">IF(B472="","",IFERROR(INDEX(Plan!$B$5:$B$44,MATCH(B472,Plan!$A$5:$A$44,0))&amp;"","Kategori yok"))</f>
        <v/>
      </c>
    </row>
    <row r="473" customFormat="false" ht="15" hidden="false" customHeight="false" outlineLevel="0" collapsed="false">
      <c r="A473" s="12"/>
      <c r="B473" s="13"/>
      <c r="C473" s="14"/>
      <c r="D473" s="13"/>
      <c r="E473" s="15" t="str">
        <f aca="false">IF(B473="","",IFERROR(INDEX(Plan!$B$5:$B$44,MATCH(B473,Plan!$A$5:$A$44,0))&amp;"","Kategori yok"))</f>
        <v/>
      </c>
    </row>
    <row r="474" customFormat="false" ht="15" hidden="false" customHeight="false" outlineLevel="0" collapsed="false">
      <c r="A474" s="12"/>
      <c r="B474" s="13"/>
      <c r="C474" s="14"/>
      <c r="D474" s="13"/>
      <c r="E474" s="15" t="str">
        <f aca="false">IF(B474="","",IFERROR(INDEX(Plan!$B$5:$B$44,MATCH(B474,Plan!$A$5:$A$44,0))&amp;"","Kategori yok"))</f>
        <v/>
      </c>
    </row>
    <row r="475" customFormat="false" ht="15" hidden="false" customHeight="false" outlineLevel="0" collapsed="false">
      <c r="A475" s="12"/>
      <c r="B475" s="13"/>
      <c r="C475" s="14"/>
      <c r="D475" s="13"/>
      <c r="E475" s="15" t="str">
        <f aca="false">IF(B475="","",IFERROR(INDEX(Plan!$B$5:$B$44,MATCH(B475,Plan!$A$5:$A$44,0))&amp;"","Kategori yok"))</f>
        <v/>
      </c>
    </row>
    <row r="476" customFormat="false" ht="15" hidden="false" customHeight="false" outlineLevel="0" collapsed="false">
      <c r="A476" s="12"/>
      <c r="B476" s="13"/>
      <c r="C476" s="14"/>
      <c r="D476" s="13"/>
      <c r="E476" s="15" t="str">
        <f aca="false">IF(B476="","",IFERROR(INDEX(Plan!$B$5:$B$44,MATCH(B476,Plan!$A$5:$A$44,0))&amp;"","Kategori yok"))</f>
        <v/>
      </c>
    </row>
    <row r="477" customFormat="false" ht="15" hidden="false" customHeight="false" outlineLevel="0" collapsed="false">
      <c r="A477" s="12"/>
      <c r="B477" s="13"/>
      <c r="C477" s="14"/>
      <c r="D477" s="13"/>
      <c r="E477" s="15" t="str">
        <f aca="false">IF(B477="","",IFERROR(INDEX(Plan!$B$5:$B$44,MATCH(B477,Plan!$A$5:$A$44,0))&amp;"","Kategori yok"))</f>
        <v/>
      </c>
    </row>
    <row r="478" customFormat="false" ht="15" hidden="false" customHeight="false" outlineLevel="0" collapsed="false">
      <c r="A478" s="12"/>
      <c r="B478" s="13"/>
      <c r="C478" s="14"/>
      <c r="D478" s="13"/>
      <c r="E478" s="15" t="str">
        <f aca="false">IF(B478="","",IFERROR(INDEX(Plan!$B$5:$B$44,MATCH(B478,Plan!$A$5:$A$44,0))&amp;"","Kategori yok"))</f>
        <v/>
      </c>
    </row>
    <row r="479" customFormat="false" ht="15" hidden="false" customHeight="false" outlineLevel="0" collapsed="false">
      <c r="A479" s="12"/>
      <c r="B479" s="13"/>
      <c r="C479" s="14"/>
      <c r="D479" s="13"/>
      <c r="E479" s="15" t="str">
        <f aca="false">IF(B479="","",IFERROR(INDEX(Plan!$B$5:$B$44,MATCH(B479,Plan!$A$5:$A$44,0))&amp;"","Kategori yok"))</f>
        <v/>
      </c>
    </row>
    <row r="480" customFormat="false" ht="15" hidden="false" customHeight="false" outlineLevel="0" collapsed="false">
      <c r="A480" s="12"/>
      <c r="B480" s="13"/>
      <c r="C480" s="14"/>
      <c r="D480" s="13"/>
      <c r="E480" s="15" t="str">
        <f aca="false">IF(B480="","",IFERROR(INDEX(Plan!$B$5:$B$44,MATCH(B480,Plan!$A$5:$A$44,0))&amp;"","Kategori yok"))</f>
        <v/>
      </c>
    </row>
    <row r="481" customFormat="false" ht="15" hidden="false" customHeight="false" outlineLevel="0" collapsed="false">
      <c r="A481" s="12"/>
      <c r="B481" s="13"/>
      <c r="C481" s="14"/>
      <c r="D481" s="13"/>
      <c r="E481" s="15" t="str">
        <f aca="false">IF(B481="","",IFERROR(INDEX(Plan!$B$5:$B$44,MATCH(B481,Plan!$A$5:$A$44,0))&amp;"","Kategori yok"))</f>
        <v/>
      </c>
    </row>
    <row r="482" customFormat="false" ht="15" hidden="false" customHeight="false" outlineLevel="0" collapsed="false">
      <c r="A482" s="12"/>
      <c r="B482" s="13"/>
      <c r="C482" s="14"/>
      <c r="D482" s="13"/>
      <c r="E482" s="15" t="str">
        <f aca="false">IF(B482="","",IFERROR(INDEX(Plan!$B$5:$B$44,MATCH(B482,Plan!$A$5:$A$44,0))&amp;"","Kategori yok"))</f>
        <v/>
      </c>
    </row>
    <row r="483" customFormat="false" ht="15" hidden="false" customHeight="false" outlineLevel="0" collapsed="false">
      <c r="A483" s="12"/>
      <c r="B483" s="13"/>
      <c r="C483" s="14"/>
      <c r="D483" s="13"/>
      <c r="E483" s="15" t="str">
        <f aca="false">IF(B483="","",IFERROR(INDEX(Plan!$B$5:$B$44,MATCH(B483,Plan!$A$5:$A$44,0))&amp;"","Kategori yok"))</f>
        <v/>
      </c>
    </row>
    <row r="484" customFormat="false" ht="15" hidden="false" customHeight="false" outlineLevel="0" collapsed="false">
      <c r="A484" s="12"/>
      <c r="B484" s="13"/>
      <c r="C484" s="14"/>
      <c r="D484" s="13"/>
      <c r="E484" s="15" t="str">
        <f aca="false">IF(B484="","",IFERROR(INDEX(Plan!$B$5:$B$44,MATCH(B484,Plan!$A$5:$A$44,0))&amp;"","Kategori yok"))</f>
        <v/>
      </c>
    </row>
    <row r="485" customFormat="false" ht="15" hidden="false" customHeight="false" outlineLevel="0" collapsed="false">
      <c r="A485" s="12"/>
      <c r="B485" s="13"/>
      <c r="C485" s="14"/>
      <c r="D485" s="13"/>
      <c r="E485" s="15" t="str">
        <f aca="false">IF(B485="","",IFERROR(INDEX(Plan!$B$5:$B$44,MATCH(B485,Plan!$A$5:$A$44,0))&amp;"","Kategori yok"))</f>
        <v/>
      </c>
    </row>
    <row r="486" customFormat="false" ht="15" hidden="false" customHeight="false" outlineLevel="0" collapsed="false">
      <c r="A486" s="12"/>
      <c r="B486" s="13"/>
      <c r="C486" s="14"/>
      <c r="D486" s="13"/>
      <c r="E486" s="15" t="str">
        <f aca="false">IF(B486="","",IFERROR(INDEX(Plan!$B$5:$B$44,MATCH(B486,Plan!$A$5:$A$44,0))&amp;"","Kategori yok"))</f>
        <v/>
      </c>
    </row>
    <row r="487" customFormat="false" ht="15" hidden="false" customHeight="false" outlineLevel="0" collapsed="false">
      <c r="A487" s="12"/>
      <c r="B487" s="13"/>
      <c r="C487" s="14"/>
      <c r="D487" s="13"/>
      <c r="E487" s="15" t="str">
        <f aca="false">IF(B487="","",IFERROR(INDEX(Plan!$B$5:$B$44,MATCH(B487,Plan!$A$5:$A$44,0))&amp;"","Kategori yok"))</f>
        <v/>
      </c>
    </row>
    <row r="488" customFormat="false" ht="15" hidden="false" customHeight="false" outlineLevel="0" collapsed="false">
      <c r="A488" s="12"/>
      <c r="B488" s="13"/>
      <c r="C488" s="14"/>
      <c r="D488" s="13"/>
      <c r="E488" s="15" t="str">
        <f aca="false">IF(B488="","",IFERROR(INDEX(Plan!$B$5:$B$44,MATCH(B488,Plan!$A$5:$A$44,0))&amp;"","Kategori yok"))</f>
        <v/>
      </c>
    </row>
    <row r="489" customFormat="false" ht="15" hidden="false" customHeight="false" outlineLevel="0" collapsed="false">
      <c r="A489" s="12"/>
      <c r="B489" s="13"/>
      <c r="C489" s="14"/>
      <c r="D489" s="13"/>
      <c r="E489" s="15" t="str">
        <f aca="false">IF(B489="","",IFERROR(INDEX(Plan!$B$5:$B$44,MATCH(B489,Plan!$A$5:$A$44,0))&amp;"","Kategori yok"))</f>
        <v/>
      </c>
    </row>
    <row r="490" customFormat="false" ht="15" hidden="false" customHeight="false" outlineLevel="0" collapsed="false">
      <c r="A490" s="12"/>
      <c r="B490" s="13"/>
      <c r="C490" s="14"/>
      <c r="D490" s="13"/>
      <c r="E490" s="15" t="str">
        <f aca="false">IF(B490="","",IFERROR(INDEX(Plan!$B$5:$B$44,MATCH(B490,Plan!$A$5:$A$44,0))&amp;"","Kategori yok"))</f>
        <v/>
      </c>
    </row>
    <row r="491" customFormat="false" ht="15" hidden="false" customHeight="false" outlineLevel="0" collapsed="false">
      <c r="A491" s="12"/>
      <c r="B491" s="13"/>
      <c r="C491" s="14"/>
      <c r="D491" s="13"/>
      <c r="E491" s="15" t="str">
        <f aca="false">IF(B491="","",IFERROR(INDEX(Plan!$B$5:$B$44,MATCH(B491,Plan!$A$5:$A$44,0))&amp;"","Kategori yok"))</f>
        <v/>
      </c>
    </row>
    <row r="492" customFormat="false" ht="15" hidden="false" customHeight="false" outlineLevel="0" collapsed="false">
      <c r="A492" s="12"/>
      <c r="B492" s="13"/>
      <c r="C492" s="14"/>
      <c r="D492" s="13"/>
      <c r="E492" s="15" t="str">
        <f aca="false">IF(B492="","",IFERROR(INDEX(Plan!$B$5:$B$44,MATCH(B492,Plan!$A$5:$A$44,0))&amp;"","Kategori yok"))</f>
        <v/>
      </c>
    </row>
    <row r="493" customFormat="false" ht="15" hidden="false" customHeight="false" outlineLevel="0" collapsed="false">
      <c r="A493" s="12"/>
      <c r="B493" s="13"/>
      <c r="C493" s="14"/>
      <c r="D493" s="13"/>
      <c r="E493" s="15" t="str">
        <f aca="false">IF(B493="","",IFERROR(INDEX(Plan!$B$5:$B$44,MATCH(B493,Plan!$A$5:$A$44,0))&amp;"","Kategori yok"))</f>
        <v/>
      </c>
    </row>
    <row r="494" customFormat="false" ht="15" hidden="false" customHeight="false" outlineLevel="0" collapsed="false">
      <c r="A494" s="12"/>
      <c r="B494" s="13"/>
      <c r="C494" s="14"/>
      <c r="D494" s="13"/>
      <c r="E494" s="15" t="str">
        <f aca="false">IF(B494="","",IFERROR(INDEX(Plan!$B$5:$B$44,MATCH(B494,Plan!$A$5:$A$44,0))&amp;"","Kategori yok"))</f>
        <v/>
      </c>
    </row>
    <row r="495" customFormat="false" ht="15" hidden="false" customHeight="false" outlineLevel="0" collapsed="false">
      <c r="A495" s="12"/>
      <c r="B495" s="13"/>
      <c r="C495" s="14"/>
      <c r="D495" s="13"/>
      <c r="E495" s="15" t="str">
        <f aca="false">IF(B495="","",IFERROR(INDEX(Plan!$B$5:$B$44,MATCH(B495,Plan!$A$5:$A$44,0))&amp;"","Kategori yok"))</f>
        <v/>
      </c>
    </row>
    <row r="496" customFormat="false" ht="15" hidden="false" customHeight="false" outlineLevel="0" collapsed="false">
      <c r="A496" s="12"/>
      <c r="B496" s="13"/>
      <c r="C496" s="14"/>
      <c r="D496" s="13"/>
      <c r="E496" s="15" t="str">
        <f aca="false">IF(B496="","",IFERROR(INDEX(Plan!$B$5:$B$44,MATCH(B496,Plan!$A$5:$A$44,0))&amp;"","Kategori yok"))</f>
        <v/>
      </c>
    </row>
    <row r="497" customFormat="false" ht="15" hidden="false" customHeight="false" outlineLevel="0" collapsed="false">
      <c r="A497" s="12"/>
      <c r="B497" s="13"/>
      <c r="C497" s="14"/>
      <c r="D497" s="13"/>
      <c r="E497" s="15" t="str">
        <f aca="false">IF(B497="","",IFERROR(INDEX(Plan!$B$5:$B$44,MATCH(B497,Plan!$A$5:$A$44,0))&amp;"","Kategori yok"))</f>
        <v/>
      </c>
    </row>
    <row r="498" customFormat="false" ht="15" hidden="false" customHeight="false" outlineLevel="0" collapsed="false">
      <c r="A498" s="12"/>
      <c r="B498" s="13"/>
      <c r="C498" s="14"/>
      <c r="D498" s="13"/>
      <c r="E498" s="15" t="str">
        <f aca="false">IF(B498="","",IFERROR(INDEX(Plan!$B$5:$B$44,MATCH(B498,Plan!$A$5:$A$44,0))&amp;"","Kategori yok"))</f>
        <v/>
      </c>
    </row>
    <row r="499" customFormat="false" ht="15" hidden="false" customHeight="false" outlineLevel="0" collapsed="false">
      <c r="A499" s="12"/>
      <c r="B499" s="13"/>
      <c r="C499" s="14"/>
      <c r="D499" s="13"/>
      <c r="E499" s="15" t="str">
        <f aca="false">IF(B499="","",IFERROR(INDEX(Plan!$B$5:$B$44,MATCH(B499,Plan!$A$5:$A$44,0))&amp;"","Kategori yok"))</f>
        <v/>
      </c>
    </row>
    <row r="500" customFormat="false" ht="15" hidden="false" customHeight="false" outlineLevel="0" collapsed="false">
      <c r="A500" s="12"/>
      <c r="B500" s="13"/>
      <c r="C500" s="14"/>
      <c r="D500" s="13"/>
      <c r="E500" s="15" t="str">
        <f aca="false">IF(B500="","",IFERROR(INDEX(Plan!$B$5:$B$44,MATCH(B500,Plan!$A$5:$A$44,0))&amp;"","Kategori yok"))</f>
        <v/>
      </c>
    </row>
    <row r="501" customFormat="false" ht="15" hidden="false" customHeight="false" outlineLevel="0" collapsed="false">
      <c r="A501" s="12"/>
      <c r="B501" s="13"/>
      <c r="C501" s="14"/>
      <c r="D501" s="13"/>
      <c r="E501" s="15" t="str">
        <f aca="false">IF(B501="","",IFERROR(INDEX(Plan!$B$5:$B$44,MATCH(B501,Plan!$A$5:$A$44,0))&amp;"","Kategori yok"))</f>
        <v/>
      </c>
    </row>
    <row r="502" customFormat="false" ht="15" hidden="false" customHeight="false" outlineLevel="0" collapsed="false">
      <c r="A502" s="12"/>
      <c r="B502" s="13"/>
      <c r="C502" s="14"/>
      <c r="D502" s="13"/>
      <c r="E502" s="15" t="str">
        <f aca="false">IF(B502="","",IFERROR(INDEX(Plan!$B$5:$B$44,MATCH(B502,Plan!$A$5:$A$44,0))&amp;"","Kategori yok"))</f>
        <v/>
      </c>
    </row>
    <row r="503" customFormat="false" ht="15" hidden="false" customHeight="false" outlineLevel="0" collapsed="false">
      <c r="A503" s="12"/>
      <c r="B503" s="13"/>
      <c r="C503" s="14"/>
      <c r="D503" s="13"/>
      <c r="E503" s="15" t="str">
        <f aca="false">IF(B503="","",IFERROR(INDEX(Plan!$B$5:$B$44,MATCH(B503,Plan!$A$5:$A$44,0))&amp;"","Kategori yok"))</f>
        <v/>
      </c>
    </row>
    <row r="504" customFormat="false" ht="15" hidden="false" customHeight="false" outlineLevel="0" collapsed="false">
      <c r="A504" s="12"/>
      <c r="B504" s="13"/>
      <c r="C504" s="14"/>
      <c r="D504" s="13"/>
      <c r="E504" s="15" t="str">
        <f aca="false">IF(B504="","",IFERROR(INDEX(Plan!$B$5:$B$44,MATCH(B504,Plan!$A$5:$A$44,0))&amp;"","Kategori yok"))</f>
        <v/>
      </c>
    </row>
    <row r="505" customFormat="false" ht="15" hidden="false" customHeight="false" outlineLevel="0" collapsed="false">
      <c r="A505" s="12"/>
      <c r="B505" s="13"/>
      <c r="C505" s="14"/>
      <c r="D505" s="13"/>
      <c r="E505" s="15" t="str">
        <f aca="false">IF(B505="","",IFERROR(INDEX(Plan!$B$5:$B$44,MATCH(B505,Plan!$A$5:$A$44,0))&amp;"","Kategori yok"))</f>
        <v/>
      </c>
    </row>
    <row r="506" customFormat="false" ht="15" hidden="false" customHeight="false" outlineLevel="0" collapsed="false">
      <c r="A506" s="12"/>
      <c r="B506" s="13"/>
      <c r="C506" s="14"/>
      <c r="D506" s="13"/>
      <c r="E506" s="15" t="str">
        <f aca="false">IF(B506="","",IFERROR(INDEX(Plan!$B$5:$B$44,MATCH(B506,Plan!$A$5:$A$44,0))&amp;"","Kategori yok"))</f>
        <v/>
      </c>
    </row>
    <row r="507" customFormat="false" ht="15" hidden="false" customHeight="false" outlineLevel="0" collapsed="false">
      <c r="A507" s="12"/>
      <c r="B507" s="13"/>
      <c r="C507" s="14"/>
      <c r="D507" s="13"/>
      <c r="E507" s="15" t="str">
        <f aca="false">IF(B507="","",IFERROR(INDEX(Plan!$B$5:$B$44,MATCH(B507,Plan!$A$5:$A$44,0))&amp;"","Kategori yok"))</f>
        <v/>
      </c>
    </row>
    <row r="508" customFormat="false" ht="15" hidden="false" customHeight="false" outlineLevel="0" collapsed="false">
      <c r="A508" s="12"/>
      <c r="B508" s="13"/>
      <c r="C508" s="14"/>
      <c r="D508" s="13"/>
      <c r="E508" s="15" t="str">
        <f aca="false">IF(B508="","",IFERROR(INDEX(Plan!$B$5:$B$44,MATCH(B508,Plan!$A$5:$A$44,0))&amp;"","Kategori yok"))</f>
        <v/>
      </c>
    </row>
    <row r="509" customFormat="false" ht="15" hidden="false" customHeight="false" outlineLevel="0" collapsed="false">
      <c r="A509" s="12"/>
      <c r="B509" s="13"/>
      <c r="C509" s="14"/>
      <c r="D509" s="13"/>
      <c r="E509" s="15" t="str">
        <f aca="false">IF(B509="","",IFERROR(INDEX(Plan!$B$5:$B$44,MATCH(B509,Plan!$A$5:$A$44,0))&amp;"","Kategori yok"))</f>
        <v/>
      </c>
    </row>
    <row r="510" customFormat="false" ht="15" hidden="false" customHeight="false" outlineLevel="0" collapsed="false">
      <c r="A510" s="12"/>
      <c r="B510" s="13"/>
      <c r="C510" s="14"/>
      <c r="D510" s="13"/>
      <c r="E510" s="15" t="str">
        <f aca="false">IF(B510="","",IFERROR(INDEX(Plan!$B$5:$B$44,MATCH(B510,Plan!$A$5:$A$44,0))&amp;"","Kategori yok"))</f>
        <v/>
      </c>
    </row>
    <row r="511" customFormat="false" ht="15" hidden="false" customHeight="false" outlineLevel="0" collapsed="false">
      <c r="A511" s="12"/>
      <c r="B511" s="13"/>
      <c r="C511" s="14"/>
      <c r="D511" s="13"/>
      <c r="E511" s="15" t="str">
        <f aca="false">IF(B511="","",IFERROR(INDEX(Plan!$B$5:$B$44,MATCH(B511,Plan!$A$5:$A$44,0))&amp;"","Kategori yok"))</f>
        <v/>
      </c>
    </row>
    <row r="512" customFormat="false" ht="15" hidden="false" customHeight="false" outlineLevel="0" collapsed="false">
      <c r="A512" s="12"/>
      <c r="B512" s="13"/>
      <c r="C512" s="14"/>
      <c r="D512" s="13"/>
      <c r="E512" s="15" t="str">
        <f aca="false">IF(B512="","",IFERROR(INDEX(Plan!$B$5:$B$44,MATCH(B512,Plan!$A$5:$A$44,0))&amp;"","Kategori yok"))</f>
        <v/>
      </c>
    </row>
    <row r="513" customFormat="false" ht="15" hidden="false" customHeight="false" outlineLevel="0" collapsed="false">
      <c r="A513" s="12"/>
      <c r="B513" s="13"/>
      <c r="C513" s="14"/>
      <c r="D513" s="13"/>
      <c r="E513" s="15" t="str">
        <f aca="false">IF(B513="","",IFERROR(INDEX(Plan!$B$5:$B$44,MATCH(B513,Plan!$A$5:$A$44,0))&amp;"","Kategori yok"))</f>
        <v/>
      </c>
    </row>
    <row r="514" customFormat="false" ht="15" hidden="false" customHeight="false" outlineLevel="0" collapsed="false">
      <c r="A514" s="12"/>
      <c r="B514" s="13"/>
      <c r="C514" s="14"/>
      <c r="D514" s="13"/>
      <c r="E514" s="15" t="str">
        <f aca="false">IF(B514="","",IFERROR(INDEX(Plan!$B$5:$B$44,MATCH(B514,Plan!$A$5:$A$44,0))&amp;"","Kategori yok"))</f>
        <v/>
      </c>
    </row>
    <row r="515" customFormat="false" ht="15" hidden="false" customHeight="false" outlineLevel="0" collapsed="false">
      <c r="A515" s="12"/>
      <c r="B515" s="13"/>
      <c r="C515" s="14"/>
      <c r="D515" s="13"/>
      <c r="E515" s="15" t="str">
        <f aca="false">IF(B515="","",IFERROR(INDEX(Plan!$B$5:$B$44,MATCH(B515,Plan!$A$5:$A$44,0))&amp;"","Kategori yok"))</f>
        <v/>
      </c>
    </row>
    <row r="516" customFormat="false" ht="15" hidden="false" customHeight="false" outlineLevel="0" collapsed="false">
      <c r="A516" s="12"/>
      <c r="B516" s="13"/>
      <c r="C516" s="14"/>
      <c r="D516" s="13"/>
      <c r="E516" s="15" t="str">
        <f aca="false">IF(B516="","",IFERROR(INDEX(Plan!$B$5:$B$44,MATCH(B516,Plan!$A$5:$A$44,0))&amp;"","Kategori yok"))</f>
        <v/>
      </c>
    </row>
    <row r="517" customFormat="false" ht="15" hidden="false" customHeight="false" outlineLevel="0" collapsed="false">
      <c r="A517" s="12"/>
      <c r="B517" s="13"/>
      <c r="C517" s="14"/>
      <c r="D517" s="13"/>
      <c r="E517" s="15" t="str">
        <f aca="false">IF(B517="","",IFERROR(INDEX(Plan!$B$5:$B$44,MATCH(B517,Plan!$A$5:$A$44,0))&amp;"","Kategori yok"))</f>
        <v/>
      </c>
    </row>
    <row r="518" customFormat="false" ht="15" hidden="false" customHeight="false" outlineLevel="0" collapsed="false">
      <c r="A518" s="12"/>
      <c r="B518" s="13"/>
      <c r="C518" s="14"/>
      <c r="D518" s="13"/>
      <c r="E518" s="15" t="str">
        <f aca="false">IF(B518="","",IFERROR(INDEX(Plan!$B$5:$B$44,MATCH(B518,Plan!$A$5:$A$44,0))&amp;"","Kategori yok"))</f>
        <v/>
      </c>
    </row>
    <row r="519" customFormat="false" ht="15" hidden="false" customHeight="false" outlineLevel="0" collapsed="false">
      <c r="A519" s="12"/>
      <c r="B519" s="13"/>
      <c r="C519" s="14"/>
      <c r="D519" s="13"/>
      <c r="E519" s="15" t="str">
        <f aca="false">IF(B519="","",IFERROR(INDEX(Plan!$B$5:$B$44,MATCH(B519,Plan!$A$5:$A$44,0))&amp;"","Kategori yok"))</f>
        <v/>
      </c>
    </row>
    <row r="520" customFormat="false" ht="15" hidden="false" customHeight="false" outlineLevel="0" collapsed="false">
      <c r="A520" s="12"/>
      <c r="B520" s="13"/>
      <c r="C520" s="14"/>
      <c r="D520" s="13"/>
      <c r="E520" s="15" t="str">
        <f aca="false">IF(B520="","",IFERROR(INDEX(Plan!$B$5:$B$44,MATCH(B520,Plan!$A$5:$A$44,0))&amp;"","Kategori yok"))</f>
        <v/>
      </c>
    </row>
    <row r="521" customFormat="false" ht="15" hidden="false" customHeight="false" outlineLevel="0" collapsed="false">
      <c r="A521" s="12"/>
      <c r="B521" s="13"/>
      <c r="C521" s="14"/>
      <c r="D521" s="13"/>
      <c r="E521" s="15" t="str">
        <f aca="false">IF(B521="","",IFERROR(INDEX(Plan!$B$5:$B$44,MATCH(B521,Plan!$A$5:$A$44,0))&amp;"","Kategori yok"))</f>
        <v/>
      </c>
    </row>
    <row r="522" customFormat="false" ht="15" hidden="false" customHeight="false" outlineLevel="0" collapsed="false">
      <c r="A522" s="12"/>
      <c r="B522" s="13"/>
      <c r="C522" s="14"/>
      <c r="D522" s="13"/>
      <c r="E522" s="15" t="str">
        <f aca="false">IF(B522="","",IFERROR(INDEX(Plan!$B$5:$B$44,MATCH(B522,Plan!$A$5:$A$44,0))&amp;"","Kategori yok"))</f>
        <v/>
      </c>
    </row>
    <row r="523" customFormat="false" ht="15" hidden="false" customHeight="false" outlineLevel="0" collapsed="false">
      <c r="A523" s="12"/>
      <c r="B523" s="13"/>
      <c r="C523" s="14"/>
      <c r="D523" s="13"/>
      <c r="E523" s="15" t="str">
        <f aca="false">IF(B523="","",IFERROR(INDEX(Plan!$B$5:$B$44,MATCH(B523,Plan!$A$5:$A$44,0))&amp;"","Kategori yok"))</f>
        <v/>
      </c>
    </row>
    <row r="524" customFormat="false" ht="15" hidden="false" customHeight="false" outlineLevel="0" collapsed="false">
      <c r="A524" s="12"/>
      <c r="B524" s="13"/>
      <c r="C524" s="14"/>
      <c r="D524" s="13"/>
      <c r="E524" s="15" t="str">
        <f aca="false">IF(B524="","",IFERROR(INDEX(Plan!$B$5:$B$44,MATCH(B524,Plan!$A$5:$A$44,0))&amp;"","Kategori yok"))</f>
        <v/>
      </c>
    </row>
    <row r="525" customFormat="false" ht="15" hidden="false" customHeight="false" outlineLevel="0" collapsed="false">
      <c r="A525" s="12"/>
      <c r="B525" s="13"/>
      <c r="C525" s="14"/>
      <c r="D525" s="13"/>
      <c r="E525" s="15" t="str">
        <f aca="false">IF(B525="","",IFERROR(INDEX(Plan!$B$5:$B$44,MATCH(B525,Plan!$A$5:$A$44,0))&amp;"","Kategori yok"))</f>
        <v/>
      </c>
    </row>
    <row r="526" customFormat="false" ht="15" hidden="false" customHeight="false" outlineLevel="0" collapsed="false">
      <c r="A526" s="12"/>
      <c r="B526" s="13"/>
      <c r="C526" s="14"/>
      <c r="D526" s="13"/>
      <c r="E526" s="15" t="str">
        <f aca="false">IF(B526="","",IFERROR(INDEX(Plan!$B$5:$B$44,MATCH(B526,Plan!$A$5:$A$44,0))&amp;"","Kategori yok"))</f>
        <v/>
      </c>
    </row>
    <row r="527" customFormat="false" ht="15" hidden="false" customHeight="false" outlineLevel="0" collapsed="false">
      <c r="A527" s="12"/>
      <c r="B527" s="13"/>
      <c r="C527" s="14"/>
      <c r="D527" s="13"/>
      <c r="E527" s="15" t="str">
        <f aca="false">IF(B527="","",IFERROR(INDEX(Plan!$B$5:$B$44,MATCH(B527,Plan!$A$5:$A$44,0))&amp;"","Kategori yok"))</f>
        <v/>
      </c>
    </row>
    <row r="528" customFormat="false" ht="15" hidden="false" customHeight="false" outlineLevel="0" collapsed="false">
      <c r="A528" s="12"/>
      <c r="B528" s="13"/>
      <c r="C528" s="14"/>
      <c r="D528" s="13"/>
      <c r="E528" s="15" t="str">
        <f aca="false">IF(B528="","",IFERROR(INDEX(Plan!$B$5:$B$44,MATCH(B528,Plan!$A$5:$A$44,0))&amp;"","Kategori yok"))</f>
        <v/>
      </c>
    </row>
    <row r="529" customFormat="false" ht="15" hidden="false" customHeight="false" outlineLevel="0" collapsed="false">
      <c r="A529" s="12"/>
      <c r="B529" s="13"/>
      <c r="C529" s="14"/>
      <c r="D529" s="13"/>
      <c r="E529" s="15" t="str">
        <f aca="false">IF(B529="","",IFERROR(INDEX(Plan!$B$5:$B$44,MATCH(B529,Plan!$A$5:$A$44,0))&amp;"","Kategori yok"))</f>
        <v/>
      </c>
    </row>
    <row r="530" customFormat="false" ht="15" hidden="false" customHeight="false" outlineLevel="0" collapsed="false">
      <c r="A530" s="12"/>
      <c r="B530" s="13"/>
      <c r="C530" s="14"/>
      <c r="D530" s="13"/>
      <c r="E530" s="15" t="str">
        <f aca="false">IF(B530="","",IFERROR(INDEX(Plan!$B$5:$B$44,MATCH(B530,Plan!$A$5:$A$44,0))&amp;"","Kategori yok"))</f>
        <v/>
      </c>
    </row>
    <row r="531" customFormat="false" ht="15" hidden="false" customHeight="false" outlineLevel="0" collapsed="false">
      <c r="A531" s="12"/>
      <c r="B531" s="13"/>
      <c r="C531" s="14"/>
      <c r="D531" s="13"/>
      <c r="E531" s="15" t="str">
        <f aca="false">IF(B531="","",IFERROR(INDEX(Plan!$B$5:$B$44,MATCH(B531,Plan!$A$5:$A$44,0))&amp;"","Kategori yok"))</f>
        <v/>
      </c>
    </row>
    <row r="532" customFormat="false" ht="15" hidden="false" customHeight="false" outlineLevel="0" collapsed="false">
      <c r="A532" s="12"/>
      <c r="B532" s="13"/>
      <c r="C532" s="14"/>
      <c r="D532" s="13"/>
      <c r="E532" s="15" t="str">
        <f aca="false">IF(B532="","",IFERROR(INDEX(Plan!$B$5:$B$44,MATCH(B532,Plan!$A$5:$A$44,0))&amp;"","Kategori yok"))</f>
        <v/>
      </c>
    </row>
    <row r="533" customFormat="false" ht="15" hidden="false" customHeight="false" outlineLevel="0" collapsed="false">
      <c r="A533" s="12"/>
      <c r="B533" s="13"/>
      <c r="C533" s="14"/>
      <c r="D533" s="13"/>
      <c r="E533" s="15" t="str">
        <f aca="false">IF(B533="","",IFERROR(INDEX(Plan!$B$5:$B$44,MATCH(B533,Plan!$A$5:$A$44,0))&amp;"","Kategori yok"))</f>
        <v/>
      </c>
    </row>
    <row r="534" customFormat="false" ht="15" hidden="false" customHeight="false" outlineLevel="0" collapsed="false">
      <c r="A534" s="12"/>
      <c r="B534" s="13"/>
      <c r="C534" s="14"/>
      <c r="D534" s="13"/>
      <c r="E534" s="15" t="str">
        <f aca="false">IF(B534="","",IFERROR(INDEX(Plan!$B$5:$B$44,MATCH(B534,Plan!$A$5:$A$44,0))&amp;"","Kategori yok"))</f>
        <v/>
      </c>
    </row>
    <row r="535" customFormat="false" ht="15" hidden="false" customHeight="false" outlineLevel="0" collapsed="false">
      <c r="A535" s="12"/>
      <c r="B535" s="13"/>
      <c r="C535" s="14"/>
      <c r="D535" s="13"/>
      <c r="E535" s="15" t="str">
        <f aca="false">IF(B535="","",IFERROR(INDEX(Plan!$B$5:$B$44,MATCH(B535,Plan!$A$5:$A$44,0))&amp;"","Kategori yok"))</f>
        <v/>
      </c>
    </row>
    <row r="536" customFormat="false" ht="15" hidden="false" customHeight="false" outlineLevel="0" collapsed="false">
      <c r="A536" s="12"/>
      <c r="B536" s="13"/>
      <c r="C536" s="14"/>
      <c r="D536" s="13"/>
      <c r="E536" s="15" t="str">
        <f aca="false">IF(B536="","",IFERROR(INDEX(Plan!$B$5:$B$44,MATCH(B536,Plan!$A$5:$A$44,0))&amp;"","Kategori yok"))</f>
        <v/>
      </c>
    </row>
    <row r="537" customFormat="false" ht="15" hidden="false" customHeight="false" outlineLevel="0" collapsed="false">
      <c r="A537" s="12"/>
      <c r="B537" s="13"/>
      <c r="C537" s="14"/>
      <c r="D537" s="13"/>
      <c r="E537" s="15" t="str">
        <f aca="false">IF(B537="","",IFERROR(INDEX(Plan!$B$5:$B$44,MATCH(B537,Plan!$A$5:$A$44,0))&amp;"","Kategori yok"))</f>
        <v/>
      </c>
    </row>
    <row r="538" customFormat="false" ht="15" hidden="false" customHeight="false" outlineLevel="0" collapsed="false">
      <c r="A538" s="12"/>
      <c r="B538" s="13"/>
      <c r="C538" s="14"/>
      <c r="D538" s="13"/>
      <c r="E538" s="15" t="str">
        <f aca="false">IF(B538="","",IFERROR(INDEX(Plan!$B$5:$B$44,MATCH(B538,Plan!$A$5:$A$44,0))&amp;"","Kategori yok"))</f>
        <v/>
      </c>
    </row>
    <row r="539" customFormat="false" ht="15" hidden="false" customHeight="false" outlineLevel="0" collapsed="false">
      <c r="A539" s="12"/>
      <c r="B539" s="13"/>
      <c r="C539" s="14"/>
      <c r="D539" s="13"/>
      <c r="E539" s="15" t="str">
        <f aca="false">IF(B539="","",IFERROR(INDEX(Plan!$B$5:$B$44,MATCH(B539,Plan!$A$5:$A$44,0))&amp;"","Kategori yok"))</f>
        <v/>
      </c>
    </row>
    <row r="540" customFormat="false" ht="15" hidden="false" customHeight="false" outlineLevel="0" collapsed="false">
      <c r="A540" s="12"/>
      <c r="B540" s="13"/>
      <c r="C540" s="14"/>
      <c r="D540" s="13"/>
      <c r="E540" s="15" t="str">
        <f aca="false">IF(B540="","",IFERROR(INDEX(Plan!$B$5:$B$44,MATCH(B540,Plan!$A$5:$A$44,0))&amp;"","Kategori yok"))</f>
        <v/>
      </c>
    </row>
    <row r="541" customFormat="false" ht="15" hidden="false" customHeight="false" outlineLevel="0" collapsed="false">
      <c r="A541" s="12"/>
      <c r="B541" s="13"/>
      <c r="C541" s="14"/>
      <c r="D541" s="13"/>
      <c r="E541" s="15" t="str">
        <f aca="false">IF(B541="","",IFERROR(INDEX(Plan!$B$5:$B$44,MATCH(B541,Plan!$A$5:$A$44,0))&amp;"","Kategori yok"))</f>
        <v/>
      </c>
    </row>
    <row r="542" customFormat="false" ht="15" hidden="false" customHeight="false" outlineLevel="0" collapsed="false">
      <c r="A542" s="12"/>
      <c r="B542" s="13"/>
      <c r="C542" s="14"/>
      <c r="D542" s="13"/>
      <c r="E542" s="15" t="str">
        <f aca="false">IF(B542="","",IFERROR(INDEX(Plan!$B$5:$B$44,MATCH(B542,Plan!$A$5:$A$44,0))&amp;"","Kategori yok"))</f>
        <v/>
      </c>
    </row>
    <row r="543" customFormat="false" ht="15" hidden="false" customHeight="false" outlineLevel="0" collapsed="false">
      <c r="A543" s="12"/>
      <c r="B543" s="13"/>
      <c r="C543" s="14"/>
      <c r="D543" s="13"/>
      <c r="E543" s="15" t="str">
        <f aca="false">IF(B543="","",IFERROR(INDEX(Plan!$B$5:$B$44,MATCH(B543,Plan!$A$5:$A$44,0))&amp;"","Kategori yok"))</f>
        <v/>
      </c>
    </row>
    <row r="544" customFormat="false" ht="15" hidden="false" customHeight="false" outlineLevel="0" collapsed="false">
      <c r="A544" s="12"/>
      <c r="B544" s="13"/>
      <c r="C544" s="14"/>
      <c r="D544" s="13"/>
      <c r="E544" s="15" t="str">
        <f aca="false">IF(B544="","",IFERROR(INDEX(Plan!$B$5:$B$44,MATCH(B544,Plan!$A$5:$A$44,0))&amp;"","Kategori yok"))</f>
        <v/>
      </c>
    </row>
    <row r="545" customFormat="false" ht="15" hidden="false" customHeight="false" outlineLevel="0" collapsed="false">
      <c r="A545" s="12"/>
      <c r="B545" s="13"/>
      <c r="C545" s="14"/>
      <c r="D545" s="13"/>
      <c r="E545" s="15" t="str">
        <f aca="false">IF(B545="","",IFERROR(INDEX(Plan!$B$5:$B$44,MATCH(B545,Plan!$A$5:$A$44,0))&amp;"","Kategori yok"))</f>
        <v/>
      </c>
    </row>
    <row r="546" customFormat="false" ht="15" hidden="false" customHeight="false" outlineLevel="0" collapsed="false">
      <c r="A546" s="12"/>
      <c r="B546" s="13"/>
      <c r="C546" s="14"/>
      <c r="D546" s="13"/>
      <c r="E546" s="15" t="str">
        <f aca="false">IF(B546="","",IFERROR(INDEX(Plan!$B$5:$B$44,MATCH(B546,Plan!$A$5:$A$44,0))&amp;"","Kategori yok"))</f>
        <v/>
      </c>
    </row>
    <row r="547" customFormat="false" ht="15" hidden="false" customHeight="false" outlineLevel="0" collapsed="false">
      <c r="A547" s="12"/>
      <c r="B547" s="13"/>
      <c r="C547" s="14"/>
      <c r="D547" s="13"/>
      <c r="E547" s="15" t="str">
        <f aca="false">IF(B547="","",IFERROR(INDEX(Plan!$B$5:$B$44,MATCH(B547,Plan!$A$5:$A$44,0))&amp;"","Kategori yok"))</f>
        <v/>
      </c>
    </row>
    <row r="548" customFormat="false" ht="15" hidden="false" customHeight="false" outlineLevel="0" collapsed="false">
      <c r="A548" s="12"/>
      <c r="B548" s="13"/>
      <c r="C548" s="14"/>
      <c r="D548" s="13"/>
      <c r="E548" s="15" t="str">
        <f aca="false">IF(B548="","",IFERROR(INDEX(Plan!$B$5:$B$44,MATCH(B548,Plan!$A$5:$A$44,0))&amp;"","Kategori yok"))</f>
        <v/>
      </c>
    </row>
    <row r="549" customFormat="false" ht="15" hidden="false" customHeight="false" outlineLevel="0" collapsed="false">
      <c r="A549" s="12"/>
      <c r="B549" s="13"/>
      <c r="C549" s="14"/>
      <c r="D549" s="13"/>
      <c r="E549" s="15" t="str">
        <f aca="false">IF(B549="","",IFERROR(INDEX(Plan!$B$5:$B$44,MATCH(B549,Plan!$A$5:$A$44,0))&amp;"","Kategori yok"))</f>
        <v/>
      </c>
    </row>
    <row r="550" customFormat="false" ht="15" hidden="false" customHeight="false" outlineLevel="0" collapsed="false">
      <c r="A550" s="12"/>
      <c r="B550" s="13"/>
      <c r="C550" s="14"/>
      <c r="D550" s="13"/>
      <c r="E550" s="15" t="str">
        <f aca="false">IF(B550="","",IFERROR(INDEX(Plan!$B$5:$B$44,MATCH(B550,Plan!$A$5:$A$44,0))&amp;"","Kategori yok"))</f>
        <v/>
      </c>
    </row>
    <row r="551" customFormat="false" ht="15" hidden="false" customHeight="false" outlineLevel="0" collapsed="false">
      <c r="A551" s="12"/>
      <c r="B551" s="13"/>
      <c r="C551" s="14"/>
      <c r="D551" s="13"/>
      <c r="E551" s="15" t="str">
        <f aca="false">IF(B551="","",IFERROR(INDEX(Plan!$B$5:$B$44,MATCH(B551,Plan!$A$5:$A$44,0))&amp;"","Kategori yok"))</f>
        <v/>
      </c>
    </row>
    <row r="552" customFormat="false" ht="15" hidden="false" customHeight="false" outlineLevel="0" collapsed="false">
      <c r="A552" s="12"/>
      <c r="B552" s="13"/>
      <c r="C552" s="14"/>
      <c r="D552" s="13"/>
      <c r="E552" s="15" t="str">
        <f aca="false">IF(B552="","",IFERROR(INDEX(Plan!$B$5:$B$44,MATCH(B552,Plan!$A$5:$A$44,0))&amp;"","Kategori yok"))</f>
        <v/>
      </c>
    </row>
    <row r="553" customFormat="false" ht="15" hidden="false" customHeight="false" outlineLevel="0" collapsed="false">
      <c r="A553" s="12"/>
      <c r="B553" s="13"/>
      <c r="C553" s="14"/>
      <c r="D553" s="13"/>
      <c r="E553" s="15" t="str">
        <f aca="false">IF(B553="","",IFERROR(INDEX(Plan!$B$5:$B$44,MATCH(B553,Plan!$A$5:$A$44,0))&amp;"","Kategori yok"))</f>
        <v/>
      </c>
    </row>
    <row r="554" customFormat="false" ht="15" hidden="false" customHeight="false" outlineLevel="0" collapsed="false">
      <c r="A554" s="12"/>
      <c r="B554" s="13"/>
      <c r="C554" s="14"/>
      <c r="D554" s="13"/>
      <c r="E554" s="15" t="str">
        <f aca="false">IF(B554="","",IFERROR(INDEX(Plan!$B$5:$B$44,MATCH(B554,Plan!$A$5:$A$44,0))&amp;"","Kategori yok"))</f>
        <v/>
      </c>
    </row>
    <row r="555" customFormat="false" ht="15" hidden="false" customHeight="false" outlineLevel="0" collapsed="false">
      <c r="A555" s="12"/>
      <c r="B555" s="13"/>
      <c r="C555" s="14"/>
      <c r="D555" s="13"/>
      <c r="E555" s="15" t="str">
        <f aca="false">IF(B555="","",IFERROR(INDEX(Plan!$B$5:$B$44,MATCH(B555,Plan!$A$5:$A$44,0))&amp;"","Kategori yok"))</f>
        <v/>
      </c>
    </row>
    <row r="556" customFormat="false" ht="15" hidden="false" customHeight="false" outlineLevel="0" collapsed="false">
      <c r="A556" s="12"/>
      <c r="B556" s="13"/>
      <c r="C556" s="14"/>
      <c r="D556" s="13"/>
      <c r="E556" s="15" t="str">
        <f aca="false">IF(B556="","",IFERROR(INDEX(Plan!$B$5:$B$44,MATCH(B556,Plan!$A$5:$A$44,0))&amp;"","Kategori yok"))</f>
        <v/>
      </c>
    </row>
    <row r="557" customFormat="false" ht="15" hidden="false" customHeight="false" outlineLevel="0" collapsed="false">
      <c r="A557" s="12"/>
      <c r="B557" s="13"/>
      <c r="C557" s="14"/>
      <c r="D557" s="13"/>
      <c r="E557" s="15" t="str">
        <f aca="false">IF(B557="","",IFERROR(INDEX(Plan!$B$5:$B$44,MATCH(B557,Plan!$A$5:$A$44,0))&amp;"","Kategori yok"))</f>
        <v/>
      </c>
    </row>
    <row r="558" customFormat="false" ht="15" hidden="false" customHeight="false" outlineLevel="0" collapsed="false">
      <c r="A558" s="12"/>
      <c r="B558" s="13"/>
      <c r="C558" s="14"/>
      <c r="D558" s="13"/>
      <c r="E558" s="15" t="str">
        <f aca="false">IF(B558="","",IFERROR(INDEX(Plan!$B$5:$B$44,MATCH(B558,Plan!$A$5:$A$44,0))&amp;"","Kategori yok"))</f>
        <v/>
      </c>
    </row>
    <row r="559" customFormat="false" ht="15" hidden="false" customHeight="false" outlineLevel="0" collapsed="false">
      <c r="A559" s="12"/>
      <c r="B559" s="13"/>
      <c r="C559" s="14"/>
      <c r="D559" s="13"/>
      <c r="E559" s="15" t="str">
        <f aca="false">IF(B559="","",IFERROR(INDEX(Plan!$B$5:$B$44,MATCH(B559,Plan!$A$5:$A$44,0))&amp;"","Kategori yok"))</f>
        <v/>
      </c>
    </row>
    <row r="560" customFormat="false" ht="15" hidden="false" customHeight="false" outlineLevel="0" collapsed="false">
      <c r="A560" s="12"/>
      <c r="B560" s="13"/>
      <c r="C560" s="14"/>
      <c r="D560" s="13"/>
      <c r="E560" s="15" t="str">
        <f aca="false">IF(B560="","",IFERROR(INDEX(Plan!$B$5:$B$44,MATCH(B560,Plan!$A$5:$A$44,0))&amp;"","Kategori yok"))</f>
        <v/>
      </c>
    </row>
    <row r="561" customFormat="false" ht="15" hidden="false" customHeight="false" outlineLevel="0" collapsed="false">
      <c r="A561" s="12"/>
      <c r="B561" s="13"/>
      <c r="C561" s="14"/>
      <c r="D561" s="13"/>
      <c r="E561" s="15" t="str">
        <f aca="false">IF(B561="","",IFERROR(INDEX(Plan!$B$5:$B$44,MATCH(B561,Plan!$A$5:$A$44,0))&amp;"","Kategori yok"))</f>
        <v/>
      </c>
    </row>
    <row r="562" customFormat="false" ht="15" hidden="false" customHeight="false" outlineLevel="0" collapsed="false">
      <c r="A562" s="12"/>
      <c r="B562" s="13"/>
      <c r="C562" s="14"/>
      <c r="D562" s="13"/>
      <c r="E562" s="15" t="str">
        <f aca="false">IF(B562="","",IFERROR(INDEX(Plan!$B$5:$B$44,MATCH(B562,Plan!$A$5:$A$44,0))&amp;"","Kategori yok"))</f>
        <v/>
      </c>
    </row>
    <row r="563" customFormat="false" ht="15" hidden="false" customHeight="false" outlineLevel="0" collapsed="false">
      <c r="A563" s="12"/>
      <c r="B563" s="13"/>
      <c r="C563" s="14"/>
      <c r="D563" s="13"/>
      <c r="E563" s="15" t="str">
        <f aca="false">IF(B563="","",IFERROR(INDEX(Plan!$B$5:$B$44,MATCH(B563,Plan!$A$5:$A$44,0))&amp;"","Kategori yok"))</f>
        <v/>
      </c>
    </row>
    <row r="564" customFormat="false" ht="15" hidden="false" customHeight="false" outlineLevel="0" collapsed="false">
      <c r="A564" s="12"/>
      <c r="B564" s="13"/>
      <c r="C564" s="14"/>
      <c r="D564" s="13"/>
      <c r="E564" s="15" t="str">
        <f aca="false">IF(B564="","",IFERROR(INDEX(Plan!$B$5:$B$44,MATCH(B564,Plan!$A$5:$A$44,0))&amp;"","Kategori yok"))</f>
        <v/>
      </c>
    </row>
    <row r="565" customFormat="false" ht="15" hidden="false" customHeight="false" outlineLevel="0" collapsed="false">
      <c r="A565" s="12"/>
      <c r="B565" s="13"/>
      <c r="C565" s="14"/>
      <c r="D565" s="13"/>
      <c r="E565" s="15" t="str">
        <f aca="false">IF(B565="","",IFERROR(INDEX(Plan!$B$5:$B$44,MATCH(B565,Plan!$A$5:$A$44,0))&amp;"","Kategori yok"))</f>
        <v/>
      </c>
    </row>
    <row r="566" customFormat="false" ht="15" hidden="false" customHeight="false" outlineLevel="0" collapsed="false">
      <c r="A566" s="12"/>
      <c r="B566" s="13"/>
      <c r="C566" s="14"/>
      <c r="D566" s="13"/>
      <c r="E566" s="15" t="str">
        <f aca="false">IF(B566="","",IFERROR(INDEX(Plan!$B$5:$B$44,MATCH(B566,Plan!$A$5:$A$44,0))&amp;"","Kategori yok"))</f>
        <v/>
      </c>
    </row>
    <row r="567" customFormat="false" ht="15" hidden="false" customHeight="false" outlineLevel="0" collapsed="false">
      <c r="A567" s="12"/>
      <c r="B567" s="13"/>
      <c r="C567" s="14"/>
      <c r="D567" s="13"/>
      <c r="E567" s="15" t="str">
        <f aca="false">IF(B567="","",IFERROR(INDEX(Plan!$B$5:$B$44,MATCH(B567,Plan!$A$5:$A$44,0))&amp;"","Kategori yok"))</f>
        <v/>
      </c>
    </row>
    <row r="568" customFormat="false" ht="15" hidden="false" customHeight="false" outlineLevel="0" collapsed="false">
      <c r="A568" s="12"/>
      <c r="B568" s="13"/>
      <c r="C568" s="14"/>
      <c r="D568" s="13"/>
      <c r="E568" s="15" t="str">
        <f aca="false">IF(B568="","",IFERROR(INDEX(Plan!$B$5:$B$44,MATCH(B568,Plan!$A$5:$A$44,0))&amp;"","Kategori yok"))</f>
        <v/>
      </c>
    </row>
    <row r="569" customFormat="false" ht="15" hidden="false" customHeight="false" outlineLevel="0" collapsed="false">
      <c r="A569" s="12"/>
      <c r="B569" s="13"/>
      <c r="C569" s="14"/>
      <c r="D569" s="13"/>
      <c r="E569" s="15" t="str">
        <f aca="false">IF(B569="","",IFERROR(INDEX(Plan!$B$5:$B$44,MATCH(B569,Plan!$A$5:$A$44,0))&amp;"","Kategori yok"))</f>
        <v/>
      </c>
    </row>
    <row r="570" customFormat="false" ht="15" hidden="false" customHeight="false" outlineLevel="0" collapsed="false">
      <c r="A570" s="12"/>
      <c r="B570" s="13"/>
      <c r="C570" s="14"/>
      <c r="D570" s="13"/>
      <c r="E570" s="15" t="str">
        <f aca="false">IF(B570="","",IFERROR(INDEX(Plan!$B$5:$B$44,MATCH(B570,Plan!$A$5:$A$44,0))&amp;"","Kategori yok"))</f>
        <v/>
      </c>
    </row>
    <row r="571" customFormat="false" ht="15" hidden="false" customHeight="false" outlineLevel="0" collapsed="false">
      <c r="A571" s="12"/>
      <c r="B571" s="13"/>
      <c r="C571" s="14"/>
      <c r="D571" s="13"/>
      <c r="E571" s="15" t="str">
        <f aca="false">IF(B571="","",IFERROR(INDEX(Plan!$B$5:$B$44,MATCH(B571,Plan!$A$5:$A$44,0))&amp;"","Kategori yok"))</f>
        <v/>
      </c>
    </row>
    <row r="572" customFormat="false" ht="15" hidden="false" customHeight="false" outlineLevel="0" collapsed="false">
      <c r="A572" s="12"/>
      <c r="B572" s="13"/>
      <c r="C572" s="14"/>
      <c r="D572" s="13"/>
      <c r="E572" s="15" t="str">
        <f aca="false">IF(B572="","",IFERROR(INDEX(Plan!$B$5:$B$44,MATCH(B572,Plan!$A$5:$A$44,0))&amp;"","Kategori yok"))</f>
        <v/>
      </c>
    </row>
    <row r="573" customFormat="false" ht="15" hidden="false" customHeight="false" outlineLevel="0" collapsed="false">
      <c r="A573" s="12"/>
      <c r="B573" s="13"/>
      <c r="C573" s="14"/>
      <c r="D573" s="13"/>
      <c r="E573" s="15" t="str">
        <f aca="false">IF(B573="","",IFERROR(INDEX(Plan!$B$5:$B$44,MATCH(B573,Plan!$A$5:$A$44,0))&amp;"","Kategori yok"))</f>
        <v/>
      </c>
    </row>
    <row r="574" customFormat="false" ht="15" hidden="false" customHeight="false" outlineLevel="0" collapsed="false">
      <c r="A574" s="12"/>
      <c r="B574" s="13"/>
      <c r="C574" s="14"/>
      <c r="D574" s="13"/>
      <c r="E574" s="15" t="str">
        <f aca="false">IF(B574="","",IFERROR(INDEX(Plan!$B$5:$B$44,MATCH(B574,Plan!$A$5:$A$44,0))&amp;"","Kategori yok"))</f>
        <v/>
      </c>
    </row>
    <row r="575" customFormat="false" ht="15" hidden="false" customHeight="false" outlineLevel="0" collapsed="false">
      <c r="A575" s="12"/>
      <c r="B575" s="13"/>
      <c r="C575" s="14"/>
      <c r="D575" s="13"/>
      <c r="E575" s="15" t="str">
        <f aca="false">IF(B575="","",IFERROR(INDEX(Plan!$B$5:$B$44,MATCH(B575,Plan!$A$5:$A$44,0))&amp;"","Kategori yok"))</f>
        <v/>
      </c>
    </row>
    <row r="576" customFormat="false" ht="15" hidden="false" customHeight="false" outlineLevel="0" collapsed="false">
      <c r="A576" s="12"/>
      <c r="B576" s="13"/>
      <c r="C576" s="14"/>
      <c r="D576" s="13"/>
      <c r="E576" s="15" t="str">
        <f aca="false">IF(B576="","",IFERROR(INDEX(Plan!$B$5:$B$44,MATCH(B576,Plan!$A$5:$A$44,0))&amp;"","Kategori yok"))</f>
        <v/>
      </c>
    </row>
    <row r="577" customFormat="false" ht="15" hidden="false" customHeight="false" outlineLevel="0" collapsed="false">
      <c r="A577" s="12"/>
      <c r="B577" s="13"/>
      <c r="C577" s="14"/>
      <c r="D577" s="13"/>
      <c r="E577" s="15" t="str">
        <f aca="false">IF(B577="","",IFERROR(INDEX(Plan!$B$5:$B$44,MATCH(B577,Plan!$A$5:$A$44,0))&amp;"","Kategori yok"))</f>
        <v/>
      </c>
    </row>
    <row r="578" customFormat="false" ht="15" hidden="false" customHeight="false" outlineLevel="0" collapsed="false">
      <c r="A578" s="12"/>
      <c r="B578" s="13"/>
      <c r="C578" s="14"/>
      <c r="D578" s="13"/>
      <c r="E578" s="15" t="str">
        <f aca="false">IF(B578="","",IFERROR(INDEX(Plan!$B$5:$B$44,MATCH(B578,Plan!$A$5:$A$44,0))&amp;"","Kategori yok"))</f>
        <v/>
      </c>
    </row>
    <row r="579" customFormat="false" ht="15" hidden="false" customHeight="false" outlineLevel="0" collapsed="false">
      <c r="A579" s="12"/>
      <c r="B579" s="13"/>
      <c r="C579" s="14"/>
      <c r="D579" s="13"/>
      <c r="E579" s="15" t="str">
        <f aca="false">IF(B579="","",IFERROR(INDEX(Plan!$B$5:$B$44,MATCH(B579,Plan!$A$5:$A$44,0))&amp;"","Kategori yok"))</f>
        <v/>
      </c>
    </row>
    <row r="580" customFormat="false" ht="15" hidden="false" customHeight="false" outlineLevel="0" collapsed="false">
      <c r="A580" s="12"/>
      <c r="B580" s="13"/>
      <c r="C580" s="14"/>
      <c r="D580" s="13"/>
      <c r="E580" s="15" t="str">
        <f aca="false">IF(B580="","",IFERROR(INDEX(Plan!$B$5:$B$44,MATCH(B580,Plan!$A$5:$A$44,0))&amp;"","Kategori yok"))</f>
        <v/>
      </c>
    </row>
    <row r="581" customFormat="false" ht="15" hidden="false" customHeight="false" outlineLevel="0" collapsed="false">
      <c r="A581" s="12"/>
      <c r="B581" s="13"/>
      <c r="C581" s="14"/>
      <c r="D581" s="13"/>
      <c r="E581" s="15" t="str">
        <f aca="false">IF(B581="","",IFERROR(INDEX(Plan!$B$5:$B$44,MATCH(B581,Plan!$A$5:$A$44,0))&amp;"","Kategori yok"))</f>
        <v/>
      </c>
    </row>
    <row r="582" customFormat="false" ht="15" hidden="false" customHeight="false" outlineLevel="0" collapsed="false">
      <c r="A582" s="12"/>
      <c r="B582" s="13"/>
      <c r="C582" s="14"/>
      <c r="D582" s="13"/>
      <c r="E582" s="15" t="str">
        <f aca="false">IF(B582="","",IFERROR(INDEX(Plan!$B$5:$B$44,MATCH(B582,Plan!$A$5:$A$44,0))&amp;"","Kategori yok"))</f>
        <v/>
      </c>
    </row>
    <row r="583" customFormat="false" ht="15" hidden="false" customHeight="false" outlineLevel="0" collapsed="false">
      <c r="A583" s="12"/>
      <c r="B583" s="13"/>
      <c r="C583" s="14"/>
      <c r="D583" s="13"/>
      <c r="E583" s="15" t="str">
        <f aca="false">IF(B583="","",IFERROR(INDEX(Plan!$B$5:$B$44,MATCH(B583,Plan!$A$5:$A$44,0))&amp;"","Kategori yok"))</f>
        <v/>
      </c>
    </row>
    <row r="584" customFormat="false" ht="15" hidden="false" customHeight="false" outlineLevel="0" collapsed="false">
      <c r="A584" s="12"/>
      <c r="B584" s="13"/>
      <c r="C584" s="14"/>
      <c r="D584" s="13"/>
      <c r="E584" s="15" t="str">
        <f aca="false">IF(B584="","",IFERROR(INDEX(Plan!$B$5:$B$44,MATCH(B584,Plan!$A$5:$A$44,0))&amp;"","Kategori yok"))</f>
        <v/>
      </c>
    </row>
    <row r="585" customFormat="false" ht="15" hidden="false" customHeight="false" outlineLevel="0" collapsed="false">
      <c r="A585" s="12"/>
      <c r="B585" s="13"/>
      <c r="C585" s="14"/>
      <c r="D585" s="13"/>
      <c r="E585" s="15" t="str">
        <f aca="false">IF(B585="","",IFERROR(INDEX(Plan!$B$5:$B$44,MATCH(B585,Plan!$A$5:$A$44,0))&amp;"","Kategori yok"))</f>
        <v/>
      </c>
    </row>
    <row r="586" customFormat="false" ht="15" hidden="false" customHeight="false" outlineLevel="0" collapsed="false">
      <c r="A586" s="12"/>
      <c r="B586" s="13"/>
      <c r="C586" s="14"/>
      <c r="D586" s="13"/>
      <c r="E586" s="15" t="str">
        <f aca="false">IF(B586="","",IFERROR(INDEX(Plan!$B$5:$B$44,MATCH(B586,Plan!$A$5:$A$44,0))&amp;"","Kategori yok"))</f>
        <v/>
      </c>
    </row>
    <row r="587" customFormat="false" ht="15" hidden="false" customHeight="false" outlineLevel="0" collapsed="false">
      <c r="A587" s="12"/>
      <c r="B587" s="13"/>
      <c r="C587" s="14"/>
      <c r="D587" s="13"/>
      <c r="E587" s="15" t="str">
        <f aca="false">IF(B587="","",IFERROR(INDEX(Plan!$B$5:$B$44,MATCH(B587,Plan!$A$5:$A$44,0))&amp;"","Kategori yok"))</f>
        <v/>
      </c>
    </row>
    <row r="588" customFormat="false" ht="15" hidden="false" customHeight="false" outlineLevel="0" collapsed="false">
      <c r="A588" s="12"/>
      <c r="B588" s="13"/>
      <c r="C588" s="14"/>
      <c r="D588" s="13"/>
      <c r="E588" s="15" t="str">
        <f aca="false">IF(B588="","",IFERROR(INDEX(Plan!$B$5:$B$44,MATCH(B588,Plan!$A$5:$A$44,0))&amp;"","Kategori yok"))</f>
        <v/>
      </c>
    </row>
    <row r="589" customFormat="false" ht="15" hidden="false" customHeight="false" outlineLevel="0" collapsed="false">
      <c r="A589" s="12"/>
      <c r="B589" s="13"/>
      <c r="C589" s="14"/>
      <c r="D589" s="13"/>
      <c r="E589" s="15" t="str">
        <f aca="false">IF(B589="","",IFERROR(INDEX(Plan!$B$5:$B$44,MATCH(B589,Plan!$A$5:$A$44,0))&amp;"","Kategori yok"))</f>
        <v/>
      </c>
    </row>
    <row r="590" customFormat="false" ht="15" hidden="false" customHeight="false" outlineLevel="0" collapsed="false">
      <c r="A590" s="12"/>
      <c r="B590" s="13"/>
      <c r="C590" s="14"/>
      <c r="D590" s="13"/>
      <c r="E590" s="15" t="str">
        <f aca="false">IF(B590="","",IFERROR(INDEX(Plan!$B$5:$B$44,MATCH(B590,Plan!$A$5:$A$44,0))&amp;"","Kategori yok"))</f>
        <v/>
      </c>
    </row>
    <row r="591" customFormat="false" ht="15" hidden="false" customHeight="false" outlineLevel="0" collapsed="false">
      <c r="A591" s="12"/>
      <c r="B591" s="13"/>
      <c r="C591" s="14"/>
      <c r="D591" s="13"/>
      <c r="E591" s="15" t="str">
        <f aca="false">IF(B591="","",IFERROR(INDEX(Plan!$B$5:$B$44,MATCH(B591,Plan!$A$5:$A$44,0))&amp;"","Kategori yok"))</f>
        <v/>
      </c>
    </row>
    <row r="592" customFormat="false" ht="15" hidden="false" customHeight="false" outlineLevel="0" collapsed="false">
      <c r="A592" s="12"/>
      <c r="B592" s="13"/>
      <c r="C592" s="14"/>
      <c r="D592" s="13"/>
      <c r="E592" s="15" t="str">
        <f aca="false">IF(B592="","",IFERROR(INDEX(Plan!$B$5:$B$44,MATCH(B592,Plan!$A$5:$A$44,0))&amp;"","Kategori yok"))</f>
        <v/>
      </c>
    </row>
    <row r="593" customFormat="false" ht="15" hidden="false" customHeight="false" outlineLevel="0" collapsed="false">
      <c r="A593" s="12"/>
      <c r="B593" s="13"/>
      <c r="C593" s="14"/>
      <c r="D593" s="13"/>
      <c r="E593" s="15" t="str">
        <f aca="false">IF(B593="","",IFERROR(INDEX(Plan!$B$5:$B$44,MATCH(B593,Plan!$A$5:$A$44,0))&amp;"","Kategori yok"))</f>
        <v/>
      </c>
    </row>
    <row r="594" customFormat="false" ht="15" hidden="false" customHeight="false" outlineLevel="0" collapsed="false">
      <c r="A594" s="12"/>
      <c r="B594" s="13"/>
      <c r="C594" s="14"/>
      <c r="D594" s="13"/>
      <c r="E594" s="15" t="str">
        <f aca="false">IF(B594="","",IFERROR(INDEX(Plan!$B$5:$B$44,MATCH(B594,Plan!$A$5:$A$44,0))&amp;"","Kategori yok"))</f>
        <v/>
      </c>
    </row>
    <row r="595" customFormat="false" ht="15" hidden="false" customHeight="false" outlineLevel="0" collapsed="false">
      <c r="A595" s="12"/>
      <c r="B595" s="13"/>
      <c r="C595" s="14"/>
      <c r="D595" s="13"/>
      <c r="E595" s="15" t="str">
        <f aca="false">IF(B595="","",IFERROR(INDEX(Plan!$B$5:$B$44,MATCH(B595,Plan!$A$5:$A$44,0))&amp;"","Kategori yok"))</f>
        <v/>
      </c>
    </row>
    <row r="596" customFormat="false" ht="15" hidden="false" customHeight="false" outlineLevel="0" collapsed="false">
      <c r="A596" s="12"/>
      <c r="B596" s="13"/>
      <c r="C596" s="14"/>
      <c r="D596" s="13"/>
      <c r="E596" s="15" t="str">
        <f aca="false">IF(B596="","",IFERROR(INDEX(Plan!$B$5:$B$44,MATCH(B596,Plan!$A$5:$A$44,0))&amp;"","Kategori yok"))</f>
        <v/>
      </c>
    </row>
    <row r="597" customFormat="false" ht="15" hidden="false" customHeight="false" outlineLevel="0" collapsed="false">
      <c r="A597" s="12"/>
      <c r="B597" s="13"/>
      <c r="C597" s="14"/>
      <c r="D597" s="13"/>
      <c r="E597" s="15" t="str">
        <f aca="false">IF(B597="","",IFERROR(INDEX(Plan!$B$5:$B$44,MATCH(B597,Plan!$A$5:$A$44,0))&amp;"","Kategori yok"))</f>
        <v/>
      </c>
    </row>
    <row r="598" customFormat="false" ht="15" hidden="false" customHeight="false" outlineLevel="0" collapsed="false">
      <c r="A598" s="12"/>
      <c r="B598" s="13"/>
      <c r="C598" s="14"/>
      <c r="D598" s="13"/>
      <c r="E598" s="15" t="str">
        <f aca="false">IF(B598="","",IFERROR(INDEX(Plan!$B$5:$B$44,MATCH(B598,Plan!$A$5:$A$44,0))&amp;"","Kategori yok"))</f>
        <v/>
      </c>
    </row>
    <row r="599" customFormat="false" ht="15" hidden="false" customHeight="false" outlineLevel="0" collapsed="false">
      <c r="A599" s="12"/>
      <c r="B599" s="13"/>
      <c r="C599" s="14"/>
      <c r="D599" s="13"/>
      <c r="E599" s="15" t="str">
        <f aca="false">IF(B599="","",IFERROR(INDEX(Plan!$B$5:$B$44,MATCH(B599,Plan!$A$5:$A$44,0))&amp;"","Kategori yok"))</f>
        <v/>
      </c>
    </row>
    <row r="600" customFormat="false" ht="15" hidden="false" customHeight="false" outlineLevel="0" collapsed="false">
      <c r="A600" s="12"/>
      <c r="B600" s="13"/>
      <c r="C600" s="14"/>
      <c r="D600" s="13"/>
      <c r="E600" s="15" t="str">
        <f aca="false">IF(B600="","",IFERROR(INDEX(Plan!$B$5:$B$44,MATCH(B600,Plan!$A$5:$A$44,0))&amp;"","Kategori yok"))</f>
        <v/>
      </c>
    </row>
    <row r="601" customFormat="false" ht="15" hidden="false" customHeight="false" outlineLevel="0" collapsed="false">
      <c r="A601" s="12"/>
      <c r="B601" s="13"/>
      <c r="C601" s="14"/>
      <c r="D601" s="13"/>
      <c r="E601" s="15" t="str">
        <f aca="false">IF(B601="","",IFERROR(INDEX(Plan!$B$5:$B$44,MATCH(B601,Plan!$A$5:$A$44,0))&amp;"","Kategori yok"))</f>
        <v/>
      </c>
    </row>
    <row r="602" customFormat="false" ht="15" hidden="false" customHeight="false" outlineLevel="0" collapsed="false">
      <c r="A602" s="12"/>
      <c r="B602" s="13"/>
      <c r="C602" s="14"/>
      <c r="D602" s="13"/>
      <c r="E602" s="15" t="str">
        <f aca="false">IF(B602="","",IFERROR(INDEX(Plan!$B$5:$B$44,MATCH(B602,Plan!$A$5:$A$44,0))&amp;"","Kategori yok"))</f>
        <v/>
      </c>
    </row>
    <row r="603" customFormat="false" ht="15" hidden="false" customHeight="false" outlineLevel="0" collapsed="false">
      <c r="A603" s="12"/>
      <c r="B603" s="13"/>
      <c r="C603" s="14"/>
      <c r="D603" s="13"/>
      <c r="E603" s="15" t="str">
        <f aca="false">IF(B603="","",IFERROR(INDEX(Plan!$B$5:$B$44,MATCH(B603,Plan!$A$5:$A$44,0))&amp;"","Kategori yok"))</f>
        <v/>
      </c>
    </row>
    <row r="604" customFormat="false" ht="15" hidden="false" customHeight="false" outlineLevel="0" collapsed="false">
      <c r="A604" s="12"/>
      <c r="B604" s="13"/>
      <c r="C604" s="14"/>
      <c r="D604" s="13"/>
      <c r="E604" s="15" t="str">
        <f aca="false">IF(B604="","",IFERROR(INDEX(Plan!$B$5:$B$44,MATCH(B604,Plan!$A$5:$A$44,0))&amp;"","Kategori yok"))</f>
        <v/>
      </c>
    </row>
    <row r="605" customFormat="false" ht="15" hidden="false" customHeight="false" outlineLevel="0" collapsed="false">
      <c r="A605" s="12"/>
      <c r="B605" s="13"/>
      <c r="C605" s="14"/>
      <c r="D605" s="13"/>
      <c r="E605" s="15" t="str">
        <f aca="false">IF(B605="","",IFERROR(INDEX(Plan!$B$5:$B$44,MATCH(B605,Plan!$A$5:$A$44,0))&amp;"","Kategori yok"))</f>
        <v/>
      </c>
    </row>
    <row r="606" customFormat="false" ht="15" hidden="false" customHeight="false" outlineLevel="0" collapsed="false">
      <c r="A606" s="12"/>
      <c r="B606" s="13"/>
      <c r="C606" s="14"/>
      <c r="D606" s="13"/>
      <c r="E606" s="15" t="str">
        <f aca="false">IF(B606="","",IFERROR(INDEX(Plan!$B$5:$B$44,MATCH(B606,Plan!$A$5:$A$44,0))&amp;"","Kategori yok"))</f>
        <v/>
      </c>
    </row>
    <row r="607" customFormat="false" ht="15" hidden="false" customHeight="false" outlineLevel="0" collapsed="false">
      <c r="A607" s="12"/>
      <c r="B607" s="13"/>
      <c r="C607" s="14"/>
      <c r="D607" s="13"/>
      <c r="E607" s="15" t="str">
        <f aca="false">IF(B607="","",IFERROR(INDEX(Plan!$B$5:$B$44,MATCH(B607,Plan!$A$5:$A$44,0))&amp;"","Kategori yok"))</f>
        <v/>
      </c>
    </row>
    <row r="608" customFormat="false" ht="15" hidden="false" customHeight="false" outlineLevel="0" collapsed="false">
      <c r="A608" s="12"/>
      <c r="B608" s="13"/>
      <c r="C608" s="14"/>
      <c r="D608" s="13"/>
      <c r="E608" s="15" t="str">
        <f aca="false">IF(B608="","",IFERROR(INDEX(Plan!$B$5:$B$44,MATCH(B608,Plan!$A$5:$A$44,0))&amp;"","Kategori yok"))</f>
        <v/>
      </c>
    </row>
    <row r="609" customFormat="false" ht="15" hidden="false" customHeight="false" outlineLevel="0" collapsed="false">
      <c r="A609" s="12"/>
      <c r="B609" s="13"/>
      <c r="C609" s="14"/>
      <c r="D609" s="13"/>
      <c r="E609" s="15" t="str">
        <f aca="false">IF(B609="","",IFERROR(INDEX(Plan!$B$5:$B$44,MATCH(B609,Plan!$A$5:$A$44,0))&amp;"","Kategori yok"))</f>
        <v/>
      </c>
    </row>
    <row r="610" customFormat="false" ht="15" hidden="false" customHeight="false" outlineLevel="0" collapsed="false">
      <c r="A610" s="12"/>
      <c r="B610" s="13"/>
      <c r="C610" s="14"/>
      <c r="D610" s="13"/>
      <c r="E610" s="15" t="str">
        <f aca="false">IF(B610="","",IFERROR(INDEX(Plan!$B$5:$B$44,MATCH(B610,Plan!$A$5:$A$44,0))&amp;"","Kategori yok"))</f>
        <v/>
      </c>
    </row>
    <row r="611" customFormat="false" ht="15" hidden="false" customHeight="false" outlineLevel="0" collapsed="false">
      <c r="A611" s="12"/>
      <c r="B611" s="13"/>
      <c r="C611" s="14"/>
      <c r="D611" s="13"/>
      <c r="E611" s="15" t="str">
        <f aca="false">IF(B611="","",IFERROR(INDEX(Plan!$B$5:$B$44,MATCH(B611,Plan!$A$5:$A$44,0))&amp;"","Kategori yok"))</f>
        <v/>
      </c>
    </row>
    <row r="612" customFormat="false" ht="15" hidden="false" customHeight="false" outlineLevel="0" collapsed="false">
      <c r="A612" s="12"/>
      <c r="B612" s="13"/>
      <c r="C612" s="14"/>
      <c r="D612" s="13"/>
      <c r="E612" s="15" t="str">
        <f aca="false">IF(B612="","",IFERROR(INDEX(Plan!$B$5:$B$44,MATCH(B612,Plan!$A$5:$A$44,0))&amp;"","Kategori yok"))</f>
        <v/>
      </c>
    </row>
    <row r="613" customFormat="false" ht="15" hidden="false" customHeight="false" outlineLevel="0" collapsed="false">
      <c r="A613" s="12"/>
      <c r="B613" s="13"/>
      <c r="C613" s="14"/>
      <c r="D613" s="13"/>
      <c r="E613" s="15" t="str">
        <f aca="false">IF(B613="","",IFERROR(INDEX(Plan!$B$5:$B$44,MATCH(B613,Plan!$A$5:$A$44,0))&amp;"","Kategori yok"))</f>
        <v/>
      </c>
    </row>
    <row r="614" customFormat="false" ht="15" hidden="false" customHeight="false" outlineLevel="0" collapsed="false">
      <c r="A614" s="12"/>
      <c r="B614" s="13"/>
      <c r="C614" s="14"/>
      <c r="D614" s="13"/>
      <c r="E614" s="15" t="str">
        <f aca="false">IF(B614="","",IFERROR(INDEX(Plan!$B$5:$B$44,MATCH(B614,Plan!$A$5:$A$44,0))&amp;"","Kategori yok"))</f>
        <v/>
      </c>
    </row>
    <row r="615" customFormat="false" ht="15" hidden="false" customHeight="false" outlineLevel="0" collapsed="false">
      <c r="A615" s="12"/>
      <c r="B615" s="13"/>
      <c r="C615" s="14"/>
      <c r="D615" s="13"/>
      <c r="E615" s="15" t="str">
        <f aca="false">IF(B615="","",IFERROR(INDEX(Plan!$B$5:$B$44,MATCH(B615,Plan!$A$5:$A$44,0))&amp;"","Kategori yok"))</f>
        <v/>
      </c>
    </row>
    <row r="616" customFormat="false" ht="15" hidden="false" customHeight="false" outlineLevel="0" collapsed="false">
      <c r="A616" s="12"/>
      <c r="B616" s="13"/>
      <c r="C616" s="14"/>
      <c r="D616" s="13"/>
      <c r="E616" s="15" t="str">
        <f aca="false">IF(B616="","",IFERROR(INDEX(Plan!$B$5:$B$44,MATCH(B616,Plan!$A$5:$A$44,0))&amp;"","Kategori yok"))</f>
        <v/>
      </c>
    </row>
    <row r="617" customFormat="false" ht="15" hidden="false" customHeight="false" outlineLevel="0" collapsed="false">
      <c r="A617" s="12"/>
      <c r="B617" s="13"/>
      <c r="C617" s="14"/>
      <c r="D617" s="13"/>
      <c r="E617" s="15" t="str">
        <f aca="false">IF(B617="","",IFERROR(INDEX(Plan!$B$5:$B$44,MATCH(B617,Plan!$A$5:$A$44,0))&amp;"","Kategori yok"))</f>
        <v/>
      </c>
    </row>
    <row r="618" customFormat="false" ht="15" hidden="false" customHeight="false" outlineLevel="0" collapsed="false">
      <c r="A618" s="12"/>
      <c r="B618" s="13"/>
      <c r="C618" s="14"/>
      <c r="D618" s="13"/>
      <c r="E618" s="15" t="str">
        <f aca="false">IF(B618="","",IFERROR(INDEX(Plan!$B$5:$B$44,MATCH(B618,Plan!$A$5:$A$44,0))&amp;"","Kategori yok"))</f>
        <v/>
      </c>
    </row>
    <row r="619" customFormat="false" ht="15" hidden="false" customHeight="false" outlineLevel="0" collapsed="false">
      <c r="A619" s="12"/>
      <c r="B619" s="13"/>
      <c r="C619" s="14"/>
      <c r="D619" s="13"/>
      <c r="E619" s="15" t="str">
        <f aca="false">IF(B619="","",IFERROR(INDEX(Plan!$B$5:$B$44,MATCH(B619,Plan!$A$5:$A$44,0))&amp;"","Kategori yok"))</f>
        <v/>
      </c>
    </row>
    <row r="620" customFormat="false" ht="15" hidden="false" customHeight="false" outlineLevel="0" collapsed="false">
      <c r="A620" s="12"/>
      <c r="B620" s="13"/>
      <c r="C620" s="14"/>
      <c r="D620" s="13"/>
      <c r="E620" s="15" t="str">
        <f aca="false">IF(B620="","",IFERROR(INDEX(Plan!$B$5:$B$44,MATCH(B620,Plan!$A$5:$A$44,0))&amp;"","Kategori yok"))</f>
        <v/>
      </c>
    </row>
    <row r="621" customFormat="false" ht="15" hidden="false" customHeight="false" outlineLevel="0" collapsed="false">
      <c r="A621" s="12"/>
      <c r="B621" s="13"/>
      <c r="C621" s="14"/>
      <c r="D621" s="13"/>
      <c r="E621" s="15" t="str">
        <f aca="false">IF(B621="","",IFERROR(INDEX(Plan!$B$5:$B$44,MATCH(B621,Plan!$A$5:$A$44,0))&amp;"","Kategori yok"))</f>
        <v/>
      </c>
    </row>
    <row r="622" customFormat="false" ht="15" hidden="false" customHeight="false" outlineLevel="0" collapsed="false">
      <c r="A622" s="12"/>
      <c r="B622" s="13"/>
      <c r="C622" s="14"/>
      <c r="D622" s="13"/>
      <c r="E622" s="15" t="str">
        <f aca="false">IF(B622="","",IFERROR(INDEX(Plan!$B$5:$B$44,MATCH(B622,Plan!$A$5:$A$44,0))&amp;"","Kategori yok"))</f>
        <v/>
      </c>
    </row>
    <row r="623" customFormat="false" ht="15" hidden="false" customHeight="false" outlineLevel="0" collapsed="false">
      <c r="A623" s="12"/>
      <c r="B623" s="13"/>
      <c r="C623" s="14"/>
      <c r="D623" s="13"/>
      <c r="E623" s="15" t="str">
        <f aca="false">IF(B623="","",IFERROR(INDEX(Plan!$B$5:$B$44,MATCH(B623,Plan!$A$5:$A$44,0))&amp;"","Kategori yok"))</f>
        <v/>
      </c>
    </row>
    <row r="624" customFormat="false" ht="15" hidden="false" customHeight="false" outlineLevel="0" collapsed="false">
      <c r="A624" s="12"/>
      <c r="B624" s="13"/>
      <c r="C624" s="14"/>
      <c r="D624" s="13"/>
      <c r="E624" s="15" t="str">
        <f aca="false">IF(B624="","",IFERROR(INDEX(Plan!$B$5:$B$44,MATCH(B624,Plan!$A$5:$A$44,0))&amp;"","Kategori yok"))</f>
        <v/>
      </c>
    </row>
    <row r="625" customFormat="false" ht="15" hidden="false" customHeight="false" outlineLevel="0" collapsed="false">
      <c r="A625" s="12"/>
      <c r="B625" s="13"/>
      <c r="C625" s="14"/>
      <c r="D625" s="13"/>
      <c r="E625" s="15" t="str">
        <f aca="false">IF(B625="","",IFERROR(INDEX(Plan!$B$5:$B$44,MATCH(B625,Plan!$A$5:$A$44,0))&amp;"","Kategori yok"))</f>
        <v/>
      </c>
    </row>
    <row r="626" customFormat="false" ht="15" hidden="false" customHeight="false" outlineLevel="0" collapsed="false">
      <c r="A626" s="12"/>
      <c r="B626" s="13"/>
      <c r="C626" s="14"/>
      <c r="D626" s="13"/>
      <c r="E626" s="15" t="str">
        <f aca="false">IF(B626="","",IFERROR(INDEX(Plan!$B$5:$B$44,MATCH(B626,Plan!$A$5:$A$44,0))&amp;"","Kategori yok"))</f>
        <v/>
      </c>
    </row>
    <row r="627" customFormat="false" ht="15" hidden="false" customHeight="false" outlineLevel="0" collapsed="false">
      <c r="A627" s="12"/>
      <c r="B627" s="13"/>
      <c r="C627" s="14"/>
      <c r="D627" s="13"/>
      <c r="E627" s="15" t="str">
        <f aca="false">IF(B627="","",IFERROR(INDEX(Plan!$B$5:$B$44,MATCH(B627,Plan!$A$5:$A$44,0))&amp;"","Kategori yok"))</f>
        <v/>
      </c>
    </row>
    <row r="628" customFormat="false" ht="15" hidden="false" customHeight="false" outlineLevel="0" collapsed="false">
      <c r="A628" s="12"/>
      <c r="B628" s="13"/>
      <c r="C628" s="14"/>
      <c r="D628" s="13"/>
      <c r="E628" s="15" t="str">
        <f aca="false">IF(B628="","",IFERROR(INDEX(Plan!$B$5:$B$44,MATCH(B628,Plan!$A$5:$A$44,0))&amp;"","Kategori yok"))</f>
        <v/>
      </c>
    </row>
    <row r="629" customFormat="false" ht="15" hidden="false" customHeight="false" outlineLevel="0" collapsed="false">
      <c r="A629" s="12"/>
      <c r="B629" s="13"/>
      <c r="C629" s="14"/>
      <c r="D629" s="13"/>
      <c r="E629" s="15" t="str">
        <f aca="false">IF(B629="","",IFERROR(INDEX(Plan!$B$5:$B$44,MATCH(B629,Plan!$A$5:$A$44,0))&amp;"","Kategori yok"))</f>
        <v/>
      </c>
    </row>
    <row r="630" customFormat="false" ht="15" hidden="false" customHeight="false" outlineLevel="0" collapsed="false">
      <c r="A630" s="12"/>
      <c r="B630" s="13"/>
      <c r="C630" s="14"/>
      <c r="D630" s="13"/>
      <c r="E630" s="15" t="str">
        <f aca="false">IF(B630="","",IFERROR(INDEX(Plan!$B$5:$B$44,MATCH(B630,Plan!$A$5:$A$44,0))&amp;"","Kategori yok"))</f>
        <v/>
      </c>
    </row>
    <row r="631" customFormat="false" ht="15" hidden="false" customHeight="false" outlineLevel="0" collapsed="false">
      <c r="A631" s="12"/>
      <c r="B631" s="13"/>
      <c r="C631" s="14"/>
      <c r="D631" s="13"/>
      <c r="E631" s="15" t="str">
        <f aca="false">IF(B631="","",IFERROR(INDEX(Plan!$B$5:$B$44,MATCH(B631,Plan!$A$5:$A$44,0))&amp;"","Kategori yok"))</f>
        <v/>
      </c>
    </row>
    <row r="632" customFormat="false" ht="15" hidden="false" customHeight="false" outlineLevel="0" collapsed="false">
      <c r="A632" s="12"/>
      <c r="B632" s="13"/>
      <c r="C632" s="14"/>
      <c r="D632" s="13"/>
      <c r="E632" s="15" t="str">
        <f aca="false">IF(B632="","",IFERROR(INDEX(Plan!$B$5:$B$44,MATCH(B632,Plan!$A$5:$A$44,0))&amp;"","Kategori yok"))</f>
        <v/>
      </c>
    </row>
    <row r="633" customFormat="false" ht="15" hidden="false" customHeight="false" outlineLevel="0" collapsed="false">
      <c r="A633" s="12"/>
      <c r="B633" s="13"/>
      <c r="C633" s="14"/>
      <c r="D633" s="13"/>
      <c r="E633" s="15" t="str">
        <f aca="false">IF(B633="","",IFERROR(INDEX(Plan!$B$5:$B$44,MATCH(B633,Plan!$A$5:$A$44,0))&amp;"","Kategori yok"))</f>
        <v/>
      </c>
    </row>
    <row r="634" customFormat="false" ht="15" hidden="false" customHeight="false" outlineLevel="0" collapsed="false">
      <c r="A634" s="12"/>
      <c r="B634" s="13"/>
      <c r="C634" s="14"/>
      <c r="D634" s="13"/>
      <c r="E634" s="15" t="str">
        <f aca="false">IF(B634="","",IFERROR(INDEX(Plan!$B$5:$B$44,MATCH(B634,Plan!$A$5:$A$44,0))&amp;"","Kategori yok"))</f>
        <v/>
      </c>
    </row>
    <row r="635" customFormat="false" ht="15" hidden="false" customHeight="false" outlineLevel="0" collapsed="false">
      <c r="A635" s="12"/>
      <c r="B635" s="13"/>
      <c r="C635" s="14"/>
      <c r="D635" s="13"/>
      <c r="E635" s="15" t="str">
        <f aca="false">IF(B635="","",IFERROR(INDEX(Plan!$B$5:$B$44,MATCH(B635,Plan!$A$5:$A$44,0))&amp;"","Kategori yok"))</f>
        <v/>
      </c>
    </row>
    <row r="636" customFormat="false" ht="15" hidden="false" customHeight="false" outlineLevel="0" collapsed="false">
      <c r="A636" s="12"/>
      <c r="B636" s="13"/>
      <c r="C636" s="14"/>
      <c r="D636" s="13"/>
      <c r="E636" s="15" t="str">
        <f aca="false">IF(B636="","",IFERROR(INDEX(Plan!$B$5:$B$44,MATCH(B636,Plan!$A$5:$A$44,0))&amp;"","Kategori yok"))</f>
        <v/>
      </c>
    </row>
    <row r="637" customFormat="false" ht="15" hidden="false" customHeight="false" outlineLevel="0" collapsed="false">
      <c r="A637" s="12"/>
      <c r="B637" s="13"/>
      <c r="C637" s="14"/>
      <c r="D637" s="13"/>
      <c r="E637" s="15" t="str">
        <f aca="false">IF(B637="","",IFERROR(INDEX(Plan!$B$5:$B$44,MATCH(B637,Plan!$A$5:$A$44,0))&amp;"","Kategori yok"))</f>
        <v/>
      </c>
    </row>
    <row r="638" customFormat="false" ht="15" hidden="false" customHeight="false" outlineLevel="0" collapsed="false">
      <c r="A638" s="12"/>
      <c r="B638" s="13"/>
      <c r="C638" s="14"/>
      <c r="D638" s="13"/>
      <c r="E638" s="15" t="str">
        <f aca="false">IF(B638="","",IFERROR(INDEX(Plan!$B$5:$B$44,MATCH(B638,Plan!$A$5:$A$44,0))&amp;"","Kategori yok"))</f>
        <v/>
      </c>
    </row>
    <row r="639" customFormat="false" ht="15" hidden="false" customHeight="false" outlineLevel="0" collapsed="false">
      <c r="A639" s="12"/>
      <c r="B639" s="13"/>
      <c r="C639" s="14"/>
      <c r="D639" s="13"/>
      <c r="E639" s="15" t="str">
        <f aca="false">IF(B639="","",IFERROR(INDEX(Plan!$B$5:$B$44,MATCH(B639,Plan!$A$5:$A$44,0))&amp;"","Kategori yok"))</f>
        <v/>
      </c>
    </row>
    <row r="640" customFormat="false" ht="15" hidden="false" customHeight="false" outlineLevel="0" collapsed="false">
      <c r="A640" s="12"/>
      <c r="B640" s="13"/>
      <c r="C640" s="14"/>
      <c r="D640" s="13"/>
      <c r="E640" s="15" t="str">
        <f aca="false">IF(B640="","",IFERROR(INDEX(Plan!$B$5:$B$44,MATCH(B640,Plan!$A$5:$A$44,0))&amp;"","Kategori yok"))</f>
        <v/>
      </c>
    </row>
    <row r="641" customFormat="false" ht="15" hidden="false" customHeight="false" outlineLevel="0" collapsed="false">
      <c r="A641" s="12"/>
      <c r="B641" s="13"/>
      <c r="C641" s="14"/>
      <c r="D641" s="13"/>
      <c r="E641" s="15" t="str">
        <f aca="false">IF(B641="","",IFERROR(INDEX(Plan!$B$5:$B$44,MATCH(B641,Plan!$A$5:$A$44,0))&amp;"","Kategori yok"))</f>
        <v/>
      </c>
    </row>
    <row r="642" customFormat="false" ht="15" hidden="false" customHeight="false" outlineLevel="0" collapsed="false">
      <c r="A642" s="12"/>
      <c r="B642" s="13"/>
      <c r="C642" s="14"/>
      <c r="D642" s="13"/>
      <c r="E642" s="15" t="str">
        <f aca="false">IF(B642="","",IFERROR(INDEX(Plan!$B$5:$B$44,MATCH(B642,Plan!$A$5:$A$44,0))&amp;"","Kategori yok"))</f>
        <v/>
      </c>
    </row>
    <row r="643" customFormat="false" ht="15" hidden="false" customHeight="false" outlineLevel="0" collapsed="false">
      <c r="A643" s="12"/>
      <c r="B643" s="13"/>
      <c r="C643" s="14"/>
      <c r="D643" s="13"/>
      <c r="E643" s="15" t="str">
        <f aca="false">IF(B643="","",IFERROR(INDEX(Plan!$B$5:$B$44,MATCH(B643,Plan!$A$5:$A$44,0))&amp;"","Kategori yok"))</f>
        <v/>
      </c>
    </row>
    <row r="644" customFormat="false" ht="15" hidden="false" customHeight="false" outlineLevel="0" collapsed="false">
      <c r="A644" s="12"/>
      <c r="B644" s="13"/>
      <c r="C644" s="14"/>
      <c r="D644" s="13"/>
      <c r="E644" s="15" t="str">
        <f aca="false">IF(B644="","",IFERROR(INDEX(Plan!$B$5:$B$44,MATCH(B644,Plan!$A$5:$A$44,0))&amp;"","Kategori yok"))</f>
        <v/>
      </c>
    </row>
    <row r="645" customFormat="false" ht="15" hidden="false" customHeight="false" outlineLevel="0" collapsed="false">
      <c r="A645" s="12"/>
      <c r="B645" s="13"/>
      <c r="C645" s="14"/>
      <c r="D645" s="13"/>
      <c r="E645" s="15" t="str">
        <f aca="false">IF(B645="","",IFERROR(INDEX(Plan!$B$5:$B$44,MATCH(B645,Plan!$A$5:$A$44,0))&amp;"","Kategori yok"))</f>
        <v/>
      </c>
    </row>
    <row r="646" customFormat="false" ht="15" hidden="false" customHeight="false" outlineLevel="0" collapsed="false">
      <c r="A646" s="12"/>
      <c r="B646" s="13"/>
      <c r="C646" s="14"/>
      <c r="D646" s="13"/>
      <c r="E646" s="15" t="str">
        <f aca="false">IF(B646="","",IFERROR(INDEX(Plan!$B$5:$B$44,MATCH(B646,Plan!$A$5:$A$44,0))&amp;"","Kategori yok"))</f>
        <v/>
      </c>
    </row>
    <row r="647" customFormat="false" ht="15" hidden="false" customHeight="false" outlineLevel="0" collapsed="false">
      <c r="A647" s="12"/>
      <c r="B647" s="13"/>
      <c r="C647" s="14"/>
      <c r="D647" s="13"/>
      <c r="E647" s="15" t="str">
        <f aca="false">IF(B647="","",IFERROR(INDEX(Plan!$B$5:$B$44,MATCH(B647,Plan!$A$5:$A$44,0))&amp;"","Kategori yok"))</f>
        <v/>
      </c>
    </row>
    <row r="648" customFormat="false" ht="15" hidden="false" customHeight="false" outlineLevel="0" collapsed="false">
      <c r="A648" s="12"/>
      <c r="B648" s="13"/>
      <c r="C648" s="14"/>
      <c r="D648" s="13"/>
      <c r="E648" s="15" t="str">
        <f aca="false">IF(B648="","",IFERROR(INDEX(Plan!$B$5:$B$44,MATCH(B648,Plan!$A$5:$A$44,0))&amp;"","Kategori yok"))</f>
        <v/>
      </c>
    </row>
    <row r="649" customFormat="false" ht="15" hidden="false" customHeight="false" outlineLevel="0" collapsed="false">
      <c r="A649" s="12"/>
      <c r="B649" s="13"/>
      <c r="C649" s="14"/>
      <c r="D649" s="13"/>
      <c r="E649" s="15" t="str">
        <f aca="false">IF(B649="","",IFERROR(INDEX(Plan!$B$5:$B$44,MATCH(B649,Plan!$A$5:$A$44,0))&amp;"","Kategori yok"))</f>
        <v/>
      </c>
    </row>
    <row r="650" customFormat="false" ht="15" hidden="false" customHeight="false" outlineLevel="0" collapsed="false">
      <c r="A650" s="12"/>
      <c r="B650" s="13"/>
      <c r="C650" s="14"/>
      <c r="D650" s="13"/>
      <c r="E650" s="15" t="str">
        <f aca="false">IF(B650="","",IFERROR(INDEX(Plan!$B$5:$B$44,MATCH(B650,Plan!$A$5:$A$44,0))&amp;"","Kategori yok"))</f>
        <v/>
      </c>
    </row>
    <row r="651" customFormat="false" ht="15" hidden="false" customHeight="false" outlineLevel="0" collapsed="false">
      <c r="A651" s="12"/>
      <c r="B651" s="13"/>
      <c r="C651" s="14"/>
      <c r="D651" s="13"/>
      <c r="E651" s="15" t="str">
        <f aca="false">IF(B651="","",IFERROR(INDEX(Plan!$B$5:$B$44,MATCH(B651,Plan!$A$5:$A$44,0))&amp;"","Kategori yok"))</f>
        <v/>
      </c>
    </row>
    <row r="652" customFormat="false" ht="15" hidden="false" customHeight="false" outlineLevel="0" collapsed="false">
      <c r="A652" s="12"/>
      <c r="B652" s="13"/>
      <c r="C652" s="14"/>
      <c r="D652" s="13"/>
      <c r="E652" s="15" t="str">
        <f aca="false">IF(B652="","",IFERROR(INDEX(Plan!$B$5:$B$44,MATCH(B652,Plan!$A$5:$A$44,0))&amp;"","Kategori yok"))</f>
        <v/>
      </c>
    </row>
    <row r="653" customFormat="false" ht="15" hidden="false" customHeight="false" outlineLevel="0" collapsed="false">
      <c r="A653" s="12"/>
      <c r="B653" s="13"/>
      <c r="C653" s="14"/>
      <c r="D653" s="13"/>
      <c r="E653" s="15" t="str">
        <f aca="false">IF(B653="","",IFERROR(INDEX(Plan!$B$5:$B$44,MATCH(B653,Plan!$A$5:$A$44,0))&amp;"","Kategori yok"))</f>
        <v/>
      </c>
    </row>
    <row r="654" customFormat="false" ht="15" hidden="false" customHeight="false" outlineLevel="0" collapsed="false">
      <c r="A654" s="12"/>
      <c r="B654" s="13"/>
      <c r="C654" s="14"/>
      <c r="D654" s="13"/>
      <c r="E654" s="15" t="str">
        <f aca="false">IF(B654="","",IFERROR(INDEX(Plan!$B$5:$B$44,MATCH(B654,Plan!$A$5:$A$44,0))&amp;"","Kategori yok"))</f>
        <v/>
      </c>
    </row>
    <row r="655" customFormat="false" ht="15" hidden="false" customHeight="false" outlineLevel="0" collapsed="false">
      <c r="A655" s="12"/>
      <c r="B655" s="13"/>
      <c r="C655" s="14"/>
      <c r="D655" s="13"/>
      <c r="E655" s="15" t="str">
        <f aca="false">IF(B655="","",IFERROR(INDEX(Plan!$B$5:$B$44,MATCH(B655,Plan!$A$5:$A$44,0))&amp;"","Kategori yok"))</f>
        <v/>
      </c>
    </row>
    <row r="656" customFormat="false" ht="15" hidden="false" customHeight="false" outlineLevel="0" collapsed="false">
      <c r="A656" s="12"/>
      <c r="B656" s="13"/>
      <c r="C656" s="14"/>
      <c r="D656" s="13"/>
      <c r="E656" s="15" t="str">
        <f aca="false">IF(B656="","",IFERROR(INDEX(Plan!$B$5:$B$44,MATCH(B656,Plan!$A$5:$A$44,0))&amp;"","Kategori yok"))</f>
        <v/>
      </c>
    </row>
    <row r="657" customFormat="false" ht="15" hidden="false" customHeight="false" outlineLevel="0" collapsed="false">
      <c r="A657" s="12"/>
      <c r="B657" s="13"/>
      <c r="C657" s="14"/>
      <c r="D657" s="13"/>
      <c r="E657" s="15" t="str">
        <f aca="false">IF(B657="","",IFERROR(INDEX(Plan!$B$5:$B$44,MATCH(B657,Plan!$A$5:$A$44,0))&amp;"","Kategori yok"))</f>
        <v/>
      </c>
    </row>
    <row r="658" customFormat="false" ht="15" hidden="false" customHeight="false" outlineLevel="0" collapsed="false">
      <c r="A658" s="12"/>
      <c r="B658" s="13"/>
      <c r="C658" s="14"/>
      <c r="D658" s="13"/>
      <c r="E658" s="15" t="str">
        <f aca="false">IF(B658="","",IFERROR(INDEX(Plan!$B$5:$B$44,MATCH(B658,Plan!$A$5:$A$44,0))&amp;"","Kategori yok"))</f>
        <v/>
      </c>
    </row>
    <row r="659" customFormat="false" ht="15" hidden="false" customHeight="false" outlineLevel="0" collapsed="false">
      <c r="A659" s="12"/>
      <c r="B659" s="13"/>
      <c r="C659" s="14"/>
      <c r="D659" s="13"/>
      <c r="E659" s="15" t="str">
        <f aca="false">IF(B659="","",IFERROR(INDEX(Plan!$B$5:$B$44,MATCH(B659,Plan!$A$5:$A$44,0))&amp;"","Kategori yok"))</f>
        <v/>
      </c>
    </row>
    <row r="660" customFormat="false" ht="15" hidden="false" customHeight="false" outlineLevel="0" collapsed="false">
      <c r="A660" s="12"/>
      <c r="B660" s="13"/>
      <c r="C660" s="14"/>
      <c r="D660" s="13"/>
      <c r="E660" s="15" t="str">
        <f aca="false">IF(B660="","",IFERROR(INDEX(Plan!$B$5:$B$44,MATCH(B660,Plan!$A$5:$A$44,0))&amp;"","Kategori yok"))</f>
        <v/>
      </c>
    </row>
    <row r="661" customFormat="false" ht="15" hidden="false" customHeight="false" outlineLevel="0" collapsed="false">
      <c r="A661" s="12"/>
      <c r="B661" s="13"/>
      <c r="C661" s="14"/>
      <c r="D661" s="13"/>
      <c r="E661" s="15" t="str">
        <f aca="false">IF(B661="","",IFERROR(INDEX(Plan!$B$5:$B$44,MATCH(B661,Plan!$A$5:$A$44,0))&amp;"","Kategori yok"))</f>
        <v/>
      </c>
    </row>
    <row r="662" customFormat="false" ht="15" hidden="false" customHeight="false" outlineLevel="0" collapsed="false">
      <c r="A662" s="12"/>
      <c r="B662" s="13"/>
      <c r="C662" s="14"/>
      <c r="D662" s="13"/>
      <c r="E662" s="15" t="str">
        <f aca="false">IF(B662="","",IFERROR(INDEX(Plan!$B$5:$B$44,MATCH(B662,Plan!$A$5:$A$44,0))&amp;"","Kategori yok"))</f>
        <v/>
      </c>
    </row>
    <row r="663" customFormat="false" ht="15" hidden="false" customHeight="false" outlineLevel="0" collapsed="false">
      <c r="A663" s="12"/>
      <c r="B663" s="13"/>
      <c r="C663" s="14"/>
      <c r="D663" s="13"/>
      <c r="E663" s="15" t="str">
        <f aca="false">IF(B663="","",IFERROR(INDEX(Plan!$B$5:$B$44,MATCH(B663,Plan!$A$5:$A$44,0))&amp;"","Kategori yok"))</f>
        <v/>
      </c>
    </row>
    <row r="664" customFormat="false" ht="15" hidden="false" customHeight="false" outlineLevel="0" collapsed="false">
      <c r="A664" s="12"/>
      <c r="B664" s="13"/>
      <c r="C664" s="14"/>
      <c r="D664" s="13"/>
      <c r="E664" s="15" t="str">
        <f aca="false">IF(B664="","",IFERROR(INDEX(Plan!$B$5:$B$44,MATCH(B664,Plan!$A$5:$A$44,0))&amp;"","Kategori yok"))</f>
        <v/>
      </c>
    </row>
    <row r="665" customFormat="false" ht="15" hidden="false" customHeight="false" outlineLevel="0" collapsed="false">
      <c r="A665" s="12"/>
      <c r="B665" s="13"/>
      <c r="C665" s="14"/>
      <c r="D665" s="13"/>
      <c r="E665" s="15" t="str">
        <f aca="false">IF(B665="","",IFERROR(INDEX(Plan!$B$5:$B$44,MATCH(B665,Plan!$A$5:$A$44,0))&amp;"","Kategori yok"))</f>
        <v/>
      </c>
    </row>
    <row r="666" customFormat="false" ht="15" hidden="false" customHeight="false" outlineLevel="0" collapsed="false">
      <c r="A666" s="12"/>
      <c r="B666" s="13"/>
      <c r="C666" s="14"/>
      <c r="D666" s="13"/>
      <c r="E666" s="15" t="str">
        <f aca="false">IF(B666="","",IFERROR(INDEX(Plan!$B$5:$B$44,MATCH(B666,Plan!$A$5:$A$44,0))&amp;"","Kategori yok"))</f>
        <v/>
      </c>
    </row>
    <row r="667" customFormat="false" ht="15" hidden="false" customHeight="false" outlineLevel="0" collapsed="false">
      <c r="A667" s="12"/>
      <c r="B667" s="13"/>
      <c r="C667" s="14"/>
      <c r="D667" s="13"/>
      <c r="E667" s="15" t="str">
        <f aca="false">IF(B667="","",IFERROR(INDEX(Plan!$B$5:$B$44,MATCH(B667,Plan!$A$5:$A$44,0))&amp;"","Kategori yok"))</f>
        <v/>
      </c>
    </row>
    <row r="668" customFormat="false" ht="15" hidden="false" customHeight="false" outlineLevel="0" collapsed="false">
      <c r="A668" s="12"/>
      <c r="B668" s="13"/>
      <c r="C668" s="14"/>
      <c r="D668" s="13"/>
      <c r="E668" s="15" t="str">
        <f aca="false">IF(B668="","",IFERROR(INDEX(Plan!$B$5:$B$44,MATCH(B668,Plan!$A$5:$A$44,0))&amp;"","Kategori yok"))</f>
        <v/>
      </c>
    </row>
    <row r="669" customFormat="false" ht="15" hidden="false" customHeight="false" outlineLevel="0" collapsed="false">
      <c r="A669" s="12"/>
      <c r="B669" s="13"/>
      <c r="C669" s="14"/>
      <c r="D669" s="13"/>
      <c r="E669" s="15" t="str">
        <f aca="false">IF(B669="","",IFERROR(INDEX(Plan!$B$5:$B$44,MATCH(B669,Plan!$A$5:$A$44,0))&amp;"","Kategori yok"))</f>
        <v/>
      </c>
    </row>
    <row r="670" customFormat="false" ht="15" hidden="false" customHeight="false" outlineLevel="0" collapsed="false">
      <c r="A670" s="12"/>
      <c r="B670" s="13"/>
      <c r="C670" s="14"/>
      <c r="D670" s="13"/>
      <c r="E670" s="15" t="str">
        <f aca="false">IF(B670="","",IFERROR(INDEX(Plan!$B$5:$B$44,MATCH(B670,Plan!$A$5:$A$44,0))&amp;"","Kategori yok"))</f>
        <v/>
      </c>
    </row>
    <row r="671" customFormat="false" ht="15" hidden="false" customHeight="false" outlineLevel="0" collapsed="false">
      <c r="A671" s="12"/>
      <c r="B671" s="13"/>
      <c r="C671" s="14"/>
      <c r="D671" s="13"/>
      <c r="E671" s="15" t="str">
        <f aca="false">IF(B671="","",IFERROR(INDEX(Plan!$B$5:$B$44,MATCH(B671,Plan!$A$5:$A$44,0))&amp;"","Kategori yok"))</f>
        <v/>
      </c>
    </row>
    <row r="672" customFormat="false" ht="15" hidden="false" customHeight="false" outlineLevel="0" collapsed="false">
      <c r="A672" s="12"/>
      <c r="B672" s="13"/>
      <c r="C672" s="14"/>
      <c r="D672" s="13"/>
      <c r="E672" s="15" t="str">
        <f aca="false">IF(B672="","",IFERROR(INDEX(Plan!$B$5:$B$44,MATCH(B672,Plan!$A$5:$A$44,0))&amp;"","Kategori yok"))</f>
        <v/>
      </c>
    </row>
    <row r="673" customFormat="false" ht="15" hidden="false" customHeight="false" outlineLevel="0" collapsed="false">
      <c r="A673" s="12"/>
      <c r="B673" s="13"/>
      <c r="C673" s="14"/>
      <c r="D673" s="13"/>
      <c r="E673" s="15" t="str">
        <f aca="false">IF(B673="","",IFERROR(INDEX(Plan!$B$5:$B$44,MATCH(B673,Plan!$A$5:$A$44,0))&amp;"","Kategori yok"))</f>
        <v/>
      </c>
    </row>
    <row r="674" customFormat="false" ht="15" hidden="false" customHeight="false" outlineLevel="0" collapsed="false">
      <c r="A674" s="12"/>
      <c r="B674" s="13"/>
      <c r="C674" s="14"/>
      <c r="D674" s="13"/>
      <c r="E674" s="15" t="str">
        <f aca="false">IF(B674="","",IFERROR(INDEX(Plan!$B$5:$B$44,MATCH(B674,Plan!$A$5:$A$44,0))&amp;"","Kategori yok"))</f>
        <v/>
      </c>
    </row>
    <row r="675" customFormat="false" ht="15" hidden="false" customHeight="false" outlineLevel="0" collapsed="false">
      <c r="A675" s="12"/>
      <c r="B675" s="13"/>
      <c r="C675" s="14"/>
      <c r="D675" s="13"/>
      <c r="E675" s="15" t="str">
        <f aca="false">IF(B675="","",IFERROR(INDEX(Plan!$B$5:$B$44,MATCH(B675,Plan!$A$5:$A$44,0))&amp;"","Kategori yok"))</f>
        <v/>
      </c>
    </row>
    <row r="676" customFormat="false" ht="15" hidden="false" customHeight="false" outlineLevel="0" collapsed="false">
      <c r="A676" s="12"/>
      <c r="B676" s="13"/>
      <c r="C676" s="14"/>
      <c r="D676" s="13"/>
      <c r="E676" s="15" t="str">
        <f aca="false">IF(B676="","",IFERROR(INDEX(Plan!$B$5:$B$44,MATCH(B676,Plan!$A$5:$A$44,0))&amp;"","Kategori yok"))</f>
        <v/>
      </c>
    </row>
    <row r="677" customFormat="false" ht="15" hidden="false" customHeight="false" outlineLevel="0" collapsed="false">
      <c r="A677" s="12"/>
      <c r="B677" s="13"/>
      <c r="C677" s="14"/>
      <c r="D677" s="13"/>
      <c r="E677" s="15" t="str">
        <f aca="false">IF(B677="","",IFERROR(INDEX(Plan!$B$5:$B$44,MATCH(B677,Plan!$A$5:$A$44,0))&amp;"","Kategori yok"))</f>
        <v/>
      </c>
    </row>
    <row r="678" customFormat="false" ht="15" hidden="false" customHeight="false" outlineLevel="0" collapsed="false">
      <c r="A678" s="12"/>
      <c r="B678" s="13"/>
      <c r="C678" s="14"/>
      <c r="D678" s="13"/>
      <c r="E678" s="15" t="str">
        <f aca="false">IF(B678="","",IFERROR(INDEX(Plan!$B$5:$B$44,MATCH(B678,Plan!$A$5:$A$44,0))&amp;"","Kategori yok"))</f>
        <v/>
      </c>
    </row>
    <row r="679" customFormat="false" ht="15" hidden="false" customHeight="false" outlineLevel="0" collapsed="false">
      <c r="A679" s="12"/>
      <c r="B679" s="13"/>
      <c r="C679" s="14"/>
      <c r="D679" s="13"/>
      <c r="E679" s="15" t="str">
        <f aca="false">IF(B679="","",IFERROR(INDEX(Plan!$B$5:$B$44,MATCH(B679,Plan!$A$5:$A$44,0))&amp;"","Kategori yok"))</f>
        <v/>
      </c>
    </row>
    <row r="680" customFormat="false" ht="15" hidden="false" customHeight="false" outlineLevel="0" collapsed="false">
      <c r="A680" s="12"/>
      <c r="B680" s="13"/>
      <c r="C680" s="14"/>
      <c r="D680" s="13"/>
      <c r="E680" s="15" t="str">
        <f aca="false">IF(B680="","",IFERROR(INDEX(Plan!$B$5:$B$44,MATCH(B680,Plan!$A$5:$A$44,0))&amp;"","Kategori yok"))</f>
        <v/>
      </c>
    </row>
    <row r="681" customFormat="false" ht="15" hidden="false" customHeight="false" outlineLevel="0" collapsed="false">
      <c r="A681" s="12"/>
      <c r="B681" s="13"/>
      <c r="C681" s="14"/>
      <c r="D681" s="13"/>
      <c r="E681" s="15" t="str">
        <f aca="false">IF(B681="","",IFERROR(INDEX(Plan!$B$5:$B$44,MATCH(B681,Plan!$A$5:$A$44,0))&amp;"","Kategori yok"))</f>
        <v/>
      </c>
    </row>
    <row r="682" customFormat="false" ht="15" hidden="false" customHeight="false" outlineLevel="0" collapsed="false">
      <c r="A682" s="12"/>
      <c r="B682" s="13"/>
      <c r="C682" s="14"/>
      <c r="D682" s="13"/>
      <c r="E682" s="15" t="str">
        <f aca="false">IF(B682="","",IFERROR(INDEX(Plan!$B$5:$B$44,MATCH(B682,Plan!$A$5:$A$44,0))&amp;"","Kategori yok"))</f>
        <v/>
      </c>
    </row>
    <row r="683" customFormat="false" ht="15" hidden="false" customHeight="false" outlineLevel="0" collapsed="false">
      <c r="A683" s="12"/>
      <c r="B683" s="13"/>
      <c r="C683" s="14"/>
      <c r="D683" s="13"/>
      <c r="E683" s="15" t="str">
        <f aca="false">IF(B683="","",IFERROR(INDEX(Plan!$B$5:$B$44,MATCH(B683,Plan!$A$5:$A$44,0))&amp;"","Kategori yok"))</f>
        <v/>
      </c>
    </row>
    <row r="684" customFormat="false" ht="15" hidden="false" customHeight="false" outlineLevel="0" collapsed="false">
      <c r="A684" s="12"/>
      <c r="B684" s="13"/>
      <c r="C684" s="14"/>
      <c r="D684" s="13"/>
      <c r="E684" s="15" t="str">
        <f aca="false">IF(B684="","",IFERROR(INDEX(Plan!$B$5:$B$44,MATCH(B684,Plan!$A$5:$A$44,0))&amp;"","Kategori yok"))</f>
        <v/>
      </c>
    </row>
    <row r="685" customFormat="false" ht="15" hidden="false" customHeight="false" outlineLevel="0" collapsed="false">
      <c r="A685" s="12"/>
      <c r="B685" s="13"/>
      <c r="C685" s="14"/>
      <c r="D685" s="13"/>
      <c r="E685" s="15" t="str">
        <f aca="false">IF(B685="","",IFERROR(INDEX(Plan!$B$5:$B$44,MATCH(B685,Plan!$A$5:$A$44,0))&amp;"","Kategori yok"))</f>
        <v/>
      </c>
    </row>
    <row r="686" customFormat="false" ht="15" hidden="false" customHeight="false" outlineLevel="0" collapsed="false">
      <c r="A686" s="12"/>
      <c r="B686" s="13"/>
      <c r="C686" s="14"/>
      <c r="D686" s="13"/>
      <c r="E686" s="15" t="str">
        <f aca="false">IF(B686="","",IFERROR(INDEX(Plan!$B$5:$B$44,MATCH(B686,Plan!$A$5:$A$44,0))&amp;"","Kategori yok"))</f>
        <v/>
      </c>
    </row>
    <row r="687" customFormat="false" ht="15" hidden="false" customHeight="false" outlineLevel="0" collapsed="false">
      <c r="A687" s="12"/>
      <c r="B687" s="13"/>
      <c r="C687" s="14"/>
      <c r="D687" s="13"/>
      <c r="E687" s="15" t="str">
        <f aca="false">IF(B687="","",IFERROR(INDEX(Plan!$B$5:$B$44,MATCH(B687,Plan!$A$5:$A$44,0))&amp;"","Kategori yok"))</f>
        <v/>
      </c>
    </row>
    <row r="688" customFormat="false" ht="15" hidden="false" customHeight="false" outlineLevel="0" collapsed="false">
      <c r="A688" s="12"/>
      <c r="B688" s="13"/>
      <c r="C688" s="14"/>
      <c r="D688" s="13"/>
      <c r="E688" s="15" t="str">
        <f aca="false">IF(B688="","",IFERROR(INDEX(Plan!$B$5:$B$44,MATCH(B688,Plan!$A$5:$A$44,0))&amp;"","Kategori yok"))</f>
        <v/>
      </c>
    </row>
    <row r="689" customFormat="false" ht="15" hidden="false" customHeight="false" outlineLevel="0" collapsed="false">
      <c r="A689" s="12"/>
      <c r="B689" s="13"/>
      <c r="C689" s="14"/>
      <c r="D689" s="13"/>
      <c r="E689" s="15" t="str">
        <f aca="false">IF(B689="","",IFERROR(INDEX(Plan!$B$5:$B$44,MATCH(B689,Plan!$A$5:$A$44,0))&amp;"","Kategori yok"))</f>
        <v/>
      </c>
    </row>
    <row r="690" customFormat="false" ht="15" hidden="false" customHeight="false" outlineLevel="0" collapsed="false">
      <c r="A690" s="12"/>
      <c r="B690" s="13"/>
      <c r="C690" s="14"/>
      <c r="D690" s="13"/>
      <c r="E690" s="15" t="str">
        <f aca="false">IF(B690="","",IFERROR(INDEX(Plan!$B$5:$B$44,MATCH(B690,Plan!$A$5:$A$44,0))&amp;"","Kategori yok"))</f>
        <v/>
      </c>
    </row>
    <row r="691" customFormat="false" ht="15" hidden="false" customHeight="false" outlineLevel="0" collapsed="false">
      <c r="A691" s="12"/>
      <c r="B691" s="13"/>
      <c r="C691" s="14"/>
      <c r="D691" s="13"/>
      <c r="E691" s="15" t="str">
        <f aca="false">IF(B691="","",IFERROR(INDEX(Plan!$B$5:$B$44,MATCH(B691,Plan!$A$5:$A$44,0))&amp;"","Kategori yok"))</f>
        <v/>
      </c>
    </row>
    <row r="692" customFormat="false" ht="15" hidden="false" customHeight="false" outlineLevel="0" collapsed="false">
      <c r="A692" s="12"/>
      <c r="B692" s="13"/>
      <c r="C692" s="14"/>
      <c r="D692" s="13"/>
      <c r="E692" s="15" t="str">
        <f aca="false">IF(B692="","",IFERROR(INDEX(Plan!$B$5:$B$44,MATCH(B692,Plan!$A$5:$A$44,0))&amp;"","Kategori yok"))</f>
        <v/>
      </c>
    </row>
    <row r="693" customFormat="false" ht="15" hidden="false" customHeight="false" outlineLevel="0" collapsed="false">
      <c r="A693" s="12"/>
      <c r="B693" s="13"/>
      <c r="C693" s="14"/>
      <c r="D693" s="13"/>
      <c r="E693" s="15" t="str">
        <f aca="false">IF(B693="","",IFERROR(INDEX(Plan!$B$5:$B$44,MATCH(B693,Plan!$A$5:$A$44,0))&amp;"","Kategori yok"))</f>
        <v/>
      </c>
    </row>
    <row r="694" customFormat="false" ht="15" hidden="false" customHeight="false" outlineLevel="0" collapsed="false">
      <c r="A694" s="12"/>
      <c r="B694" s="13"/>
      <c r="C694" s="14"/>
      <c r="D694" s="13"/>
      <c r="E694" s="15" t="str">
        <f aca="false">IF(B694="","",IFERROR(INDEX(Plan!$B$5:$B$44,MATCH(B694,Plan!$A$5:$A$44,0))&amp;"","Kategori yok"))</f>
        <v/>
      </c>
    </row>
    <row r="695" customFormat="false" ht="15" hidden="false" customHeight="false" outlineLevel="0" collapsed="false">
      <c r="A695" s="12"/>
      <c r="B695" s="13"/>
      <c r="C695" s="14"/>
      <c r="D695" s="13"/>
      <c r="E695" s="15" t="str">
        <f aca="false">IF(B695="","",IFERROR(INDEX(Plan!$B$5:$B$44,MATCH(B695,Plan!$A$5:$A$44,0))&amp;"","Kategori yok"))</f>
        <v/>
      </c>
    </row>
    <row r="696" customFormat="false" ht="15" hidden="false" customHeight="false" outlineLevel="0" collapsed="false">
      <c r="A696" s="12"/>
      <c r="B696" s="13"/>
      <c r="C696" s="14"/>
      <c r="D696" s="13"/>
      <c r="E696" s="15" t="str">
        <f aca="false">IF(B696="","",IFERROR(INDEX(Plan!$B$5:$B$44,MATCH(B696,Plan!$A$5:$A$44,0))&amp;"","Kategori yok"))</f>
        <v/>
      </c>
    </row>
    <row r="697" customFormat="false" ht="15" hidden="false" customHeight="false" outlineLevel="0" collapsed="false">
      <c r="A697" s="12"/>
      <c r="B697" s="13"/>
      <c r="C697" s="14"/>
      <c r="D697" s="13"/>
      <c r="E697" s="15" t="str">
        <f aca="false">IF(B697="","",IFERROR(INDEX(Plan!$B$5:$B$44,MATCH(B697,Plan!$A$5:$A$44,0))&amp;"","Kategori yok"))</f>
        <v/>
      </c>
    </row>
    <row r="698" customFormat="false" ht="15" hidden="false" customHeight="false" outlineLevel="0" collapsed="false">
      <c r="A698" s="12"/>
      <c r="B698" s="13"/>
      <c r="C698" s="14"/>
      <c r="D698" s="13"/>
      <c r="E698" s="15" t="str">
        <f aca="false">IF(B698="","",IFERROR(INDEX(Plan!$B$5:$B$44,MATCH(B698,Plan!$A$5:$A$44,0))&amp;"","Kategori yok"))</f>
        <v/>
      </c>
    </row>
    <row r="699" customFormat="false" ht="15" hidden="false" customHeight="false" outlineLevel="0" collapsed="false">
      <c r="A699" s="12"/>
      <c r="B699" s="13"/>
      <c r="C699" s="14"/>
      <c r="D699" s="13"/>
      <c r="E699" s="15" t="str">
        <f aca="false">IF(B699="","",IFERROR(INDEX(Plan!$B$5:$B$44,MATCH(B699,Plan!$A$5:$A$44,0))&amp;"","Kategori yok"))</f>
        <v/>
      </c>
    </row>
    <row r="700" customFormat="false" ht="15" hidden="false" customHeight="false" outlineLevel="0" collapsed="false">
      <c r="A700" s="12"/>
      <c r="B700" s="13"/>
      <c r="C700" s="14"/>
      <c r="D700" s="13"/>
      <c r="E700" s="15" t="str">
        <f aca="false">IF(B700="","",IFERROR(INDEX(Plan!$B$5:$B$44,MATCH(B700,Plan!$A$5:$A$44,0))&amp;"","Kategori yok"))</f>
        <v/>
      </c>
    </row>
    <row r="701" customFormat="false" ht="15" hidden="false" customHeight="false" outlineLevel="0" collapsed="false">
      <c r="A701" s="12"/>
      <c r="B701" s="13"/>
      <c r="C701" s="14"/>
      <c r="D701" s="13"/>
      <c r="E701" s="15" t="str">
        <f aca="false">IF(B701="","",IFERROR(INDEX(Plan!$B$5:$B$44,MATCH(B701,Plan!$A$5:$A$44,0))&amp;"","Kategori yok"))</f>
        <v/>
      </c>
    </row>
    <row r="702" customFormat="false" ht="15" hidden="false" customHeight="false" outlineLevel="0" collapsed="false">
      <c r="A702" s="12"/>
      <c r="B702" s="13"/>
      <c r="C702" s="14"/>
      <c r="D702" s="13"/>
      <c r="E702" s="15" t="str">
        <f aca="false">IF(B702="","",IFERROR(INDEX(Plan!$B$5:$B$44,MATCH(B702,Plan!$A$5:$A$44,0))&amp;"","Kategori yok"))</f>
        <v/>
      </c>
    </row>
    <row r="703" customFormat="false" ht="15" hidden="false" customHeight="false" outlineLevel="0" collapsed="false">
      <c r="A703" s="12"/>
      <c r="B703" s="13"/>
      <c r="C703" s="14"/>
      <c r="D703" s="13"/>
      <c r="E703" s="15" t="str">
        <f aca="false">IF(B703="","",IFERROR(INDEX(Plan!$B$5:$B$44,MATCH(B703,Plan!$A$5:$A$44,0))&amp;"","Kategori yok"))</f>
        <v/>
      </c>
    </row>
    <row r="704" customFormat="false" ht="15" hidden="false" customHeight="false" outlineLevel="0" collapsed="false">
      <c r="A704" s="12"/>
      <c r="B704" s="13"/>
      <c r="C704" s="14"/>
      <c r="D704" s="13"/>
      <c r="E704" s="15" t="str">
        <f aca="false">IF(B704="","",IFERROR(INDEX(Plan!$B$5:$B$44,MATCH(B704,Plan!$A$5:$A$44,0))&amp;"","Kategori yok"))</f>
        <v/>
      </c>
    </row>
    <row r="705" customFormat="false" ht="15" hidden="false" customHeight="false" outlineLevel="0" collapsed="false">
      <c r="A705" s="12"/>
      <c r="B705" s="13"/>
      <c r="C705" s="14"/>
      <c r="D705" s="13"/>
      <c r="E705" s="15" t="str">
        <f aca="false">IF(B705="","",IFERROR(INDEX(Plan!$B$5:$B$44,MATCH(B705,Plan!$A$5:$A$44,0))&amp;"","Kategori yok"))</f>
        <v/>
      </c>
    </row>
    <row r="706" customFormat="false" ht="15" hidden="false" customHeight="false" outlineLevel="0" collapsed="false">
      <c r="A706" s="12"/>
      <c r="B706" s="13"/>
      <c r="C706" s="14"/>
      <c r="D706" s="13"/>
      <c r="E706" s="15" t="str">
        <f aca="false">IF(B706="","",IFERROR(INDEX(Plan!$B$5:$B$44,MATCH(B706,Plan!$A$5:$A$44,0))&amp;"","Kategori yok"))</f>
        <v/>
      </c>
    </row>
    <row r="707" customFormat="false" ht="15" hidden="false" customHeight="false" outlineLevel="0" collapsed="false">
      <c r="A707" s="12"/>
      <c r="B707" s="13"/>
      <c r="C707" s="14"/>
      <c r="D707" s="13"/>
      <c r="E707" s="15" t="str">
        <f aca="false">IF(B707="","",IFERROR(INDEX(Plan!$B$5:$B$44,MATCH(B707,Plan!$A$5:$A$44,0))&amp;"","Kategori yok"))</f>
        <v/>
      </c>
    </row>
    <row r="708" customFormat="false" ht="15" hidden="false" customHeight="false" outlineLevel="0" collapsed="false">
      <c r="A708" s="12"/>
      <c r="B708" s="13"/>
      <c r="C708" s="14"/>
      <c r="D708" s="13"/>
      <c r="E708" s="15" t="str">
        <f aca="false">IF(B708="","",IFERROR(INDEX(Plan!$B$5:$B$44,MATCH(B708,Plan!$A$5:$A$44,0))&amp;"","Kategori yok"))</f>
        <v/>
      </c>
    </row>
    <row r="709" customFormat="false" ht="15" hidden="false" customHeight="false" outlineLevel="0" collapsed="false">
      <c r="A709" s="12"/>
      <c r="B709" s="13"/>
      <c r="C709" s="14"/>
      <c r="D709" s="13"/>
      <c r="E709" s="15" t="str">
        <f aca="false">IF(B709="","",IFERROR(INDEX(Plan!$B$5:$B$44,MATCH(B709,Plan!$A$5:$A$44,0))&amp;"","Kategori yok"))</f>
        <v/>
      </c>
    </row>
    <row r="710" customFormat="false" ht="15" hidden="false" customHeight="false" outlineLevel="0" collapsed="false">
      <c r="A710" s="12"/>
      <c r="B710" s="13"/>
      <c r="C710" s="14"/>
      <c r="D710" s="13"/>
      <c r="E710" s="15" t="str">
        <f aca="false">IF(B710="","",IFERROR(INDEX(Plan!$B$5:$B$44,MATCH(B710,Plan!$A$5:$A$44,0))&amp;"","Kategori yok"))</f>
        <v/>
      </c>
    </row>
    <row r="711" customFormat="false" ht="15" hidden="false" customHeight="false" outlineLevel="0" collapsed="false">
      <c r="A711" s="12"/>
      <c r="B711" s="13"/>
      <c r="C711" s="14"/>
      <c r="D711" s="13"/>
      <c r="E711" s="15" t="str">
        <f aca="false">IF(B711="","",IFERROR(INDEX(Plan!$B$5:$B$44,MATCH(B711,Plan!$A$5:$A$44,0))&amp;"","Kategori yok"))</f>
        <v/>
      </c>
    </row>
    <row r="712" customFormat="false" ht="15" hidden="false" customHeight="false" outlineLevel="0" collapsed="false">
      <c r="A712" s="12"/>
      <c r="B712" s="13"/>
      <c r="C712" s="14"/>
      <c r="D712" s="13"/>
      <c r="E712" s="15" t="str">
        <f aca="false">IF(B712="","",IFERROR(INDEX(Plan!$B$5:$B$44,MATCH(B712,Plan!$A$5:$A$44,0))&amp;"","Kategori yok"))</f>
        <v/>
      </c>
    </row>
    <row r="713" customFormat="false" ht="15" hidden="false" customHeight="false" outlineLevel="0" collapsed="false">
      <c r="A713" s="12"/>
      <c r="B713" s="13"/>
      <c r="C713" s="14"/>
      <c r="D713" s="13"/>
      <c r="E713" s="15" t="str">
        <f aca="false">IF(B713="","",IFERROR(INDEX(Plan!$B$5:$B$44,MATCH(B713,Plan!$A$5:$A$44,0))&amp;"","Kategori yok"))</f>
        <v/>
      </c>
    </row>
    <row r="714" customFormat="false" ht="15" hidden="false" customHeight="false" outlineLevel="0" collapsed="false">
      <c r="A714" s="12"/>
      <c r="B714" s="13"/>
      <c r="C714" s="14"/>
      <c r="D714" s="13"/>
      <c r="E714" s="15" t="str">
        <f aca="false">IF(B714="","",IFERROR(INDEX(Plan!$B$5:$B$44,MATCH(B714,Plan!$A$5:$A$44,0))&amp;"","Kategori yok"))</f>
        <v/>
      </c>
    </row>
    <row r="715" customFormat="false" ht="15" hidden="false" customHeight="false" outlineLevel="0" collapsed="false">
      <c r="A715" s="12"/>
      <c r="B715" s="13"/>
      <c r="C715" s="14"/>
      <c r="D715" s="13"/>
      <c r="E715" s="15" t="str">
        <f aca="false">IF(B715="","",IFERROR(INDEX(Plan!$B$5:$B$44,MATCH(B715,Plan!$A$5:$A$44,0))&amp;"","Kategori yok"))</f>
        <v/>
      </c>
    </row>
    <row r="716" customFormat="false" ht="15" hidden="false" customHeight="false" outlineLevel="0" collapsed="false">
      <c r="A716" s="12"/>
      <c r="B716" s="13"/>
      <c r="C716" s="14"/>
      <c r="D716" s="13"/>
      <c r="E716" s="15" t="str">
        <f aca="false">IF(B716="","",IFERROR(INDEX(Plan!$B$5:$B$44,MATCH(B716,Plan!$A$5:$A$44,0))&amp;"","Kategori yok"))</f>
        <v/>
      </c>
    </row>
    <row r="717" customFormat="false" ht="15" hidden="false" customHeight="false" outlineLevel="0" collapsed="false">
      <c r="A717" s="12"/>
      <c r="B717" s="13"/>
      <c r="C717" s="14"/>
      <c r="D717" s="13"/>
      <c r="E717" s="15" t="str">
        <f aca="false">IF(B717="","",IFERROR(INDEX(Plan!$B$5:$B$44,MATCH(B717,Plan!$A$5:$A$44,0))&amp;"","Kategori yok"))</f>
        <v/>
      </c>
    </row>
    <row r="718" customFormat="false" ht="15" hidden="false" customHeight="false" outlineLevel="0" collapsed="false">
      <c r="A718" s="12"/>
      <c r="B718" s="13"/>
      <c r="C718" s="14"/>
      <c r="D718" s="13"/>
      <c r="E718" s="15" t="str">
        <f aca="false">IF(B718="","",IFERROR(INDEX(Plan!$B$5:$B$44,MATCH(B718,Plan!$A$5:$A$44,0))&amp;"","Kategori yok"))</f>
        <v/>
      </c>
    </row>
    <row r="719" customFormat="false" ht="15" hidden="false" customHeight="false" outlineLevel="0" collapsed="false">
      <c r="A719" s="12"/>
      <c r="B719" s="13"/>
      <c r="C719" s="14"/>
      <c r="D719" s="13"/>
      <c r="E719" s="15" t="str">
        <f aca="false">IF(B719="","",IFERROR(INDEX(Plan!$B$5:$B$44,MATCH(B719,Plan!$A$5:$A$44,0))&amp;"","Kategori yok"))</f>
        <v/>
      </c>
    </row>
    <row r="720" customFormat="false" ht="15" hidden="false" customHeight="false" outlineLevel="0" collapsed="false">
      <c r="A720" s="12"/>
      <c r="B720" s="13"/>
      <c r="C720" s="14"/>
      <c r="D720" s="13"/>
      <c r="E720" s="15" t="str">
        <f aca="false">IF(B720="","",IFERROR(INDEX(Plan!$B$5:$B$44,MATCH(B720,Plan!$A$5:$A$44,0))&amp;"","Kategori yok"))</f>
        <v/>
      </c>
    </row>
    <row r="721" customFormat="false" ht="15" hidden="false" customHeight="false" outlineLevel="0" collapsed="false">
      <c r="A721" s="12"/>
      <c r="B721" s="13"/>
      <c r="C721" s="14"/>
      <c r="D721" s="13"/>
      <c r="E721" s="15" t="str">
        <f aca="false">IF(B721="","",IFERROR(INDEX(Plan!$B$5:$B$44,MATCH(B721,Plan!$A$5:$A$44,0))&amp;"","Kategori yok"))</f>
        <v/>
      </c>
    </row>
    <row r="722" customFormat="false" ht="15" hidden="false" customHeight="false" outlineLevel="0" collapsed="false">
      <c r="A722" s="12"/>
      <c r="B722" s="13"/>
      <c r="C722" s="14"/>
      <c r="D722" s="13"/>
      <c r="E722" s="15" t="str">
        <f aca="false">IF(B722="","",IFERROR(INDEX(Plan!$B$5:$B$44,MATCH(B722,Plan!$A$5:$A$44,0))&amp;"","Kategori yok"))</f>
        <v/>
      </c>
    </row>
    <row r="723" customFormat="false" ht="15" hidden="false" customHeight="false" outlineLevel="0" collapsed="false">
      <c r="A723" s="12"/>
      <c r="B723" s="13"/>
      <c r="C723" s="14"/>
      <c r="D723" s="13"/>
      <c r="E723" s="15" t="str">
        <f aca="false">IF(B723="","",IFERROR(INDEX(Plan!$B$5:$B$44,MATCH(B723,Plan!$A$5:$A$44,0))&amp;"","Kategori yok"))</f>
        <v/>
      </c>
    </row>
    <row r="724" customFormat="false" ht="15" hidden="false" customHeight="false" outlineLevel="0" collapsed="false">
      <c r="A724" s="12"/>
      <c r="B724" s="13"/>
      <c r="C724" s="14"/>
      <c r="D724" s="13"/>
      <c r="E724" s="15" t="str">
        <f aca="false">IF(B724="","",IFERROR(INDEX(Plan!$B$5:$B$44,MATCH(B724,Plan!$A$5:$A$44,0))&amp;"","Kategori yok"))</f>
        <v/>
      </c>
    </row>
    <row r="725" customFormat="false" ht="15" hidden="false" customHeight="false" outlineLevel="0" collapsed="false">
      <c r="A725" s="12"/>
      <c r="B725" s="13"/>
      <c r="C725" s="14"/>
      <c r="D725" s="13"/>
      <c r="E725" s="15" t="str">
        <f aca="false">IF(B725="","",IFERROR(INDEX(Plan!$B$5:$B$44,MATCH(B725,Plan!$A$5:$A$44,0))&amp;"","Kategori yok"))</f>
        <v/>
      </c>
    </row>
    <row r="726" customFormat="false" ht="15" hidden="false" customHeight="false" outlineLevel="0" collapsed="false">
      <c r="A726" s="12"/>
      <c r="B726" s="13"/>
      <c r="C726" s="14"/>
      <c r="D726" s="13"/>
      <c r="E726" s="15" t="str">
        <f aca="false">IF(B726="","",IFERROR(INDEX(Plan!$B$5:$B$44,MATCH(B726,Plan!$A$5:$A$44,0))&amp;"","Kategori yok"))</f>
        <v/>
      </c>
    </row>
    <row r="727" customFormat="false" ht="15" hidden="false" customHeight="false" outlineLevel="0" collapsed="false">
      <c r="A727" s="12"/>
      <c r="B727" s="13"/>
      <c r="C727" s="14"/>
      <c r="D727" s="13"/>
      <c r="E727" s="15" t="str">
        <f aca="false">IF(B727="","",IFERROR(INDEX(Plan!$B$5:$B$44,MATCH(B727,Plan!$A$5:$A$44,0))&amp;"","Kategori yok"))</f>
        <v/>
      </c>
    </row>
    <row r="728" customFormat="false" ht="15" hidden="false" customHeight="false" outlineLevel="0" collapsed="false">
      <c r="A728" s="12"/>
      <c r="B728" s="13"/>
      <c r="C728" s="14"/>
      <c r="D728" s="13"/>
      <c r="E728" s="15" t="str">
        <f aca="false">IF(B728="","",IFERROR(INDEX(Plan!$B$5:$B$44,MATCH(B728,Plan!$A$5:$A$44,0))&amp;"","Kategori yok"))</f>
        <v/>
      </c>
    </row>
    <row r="729" customFormat="false" ht="15" hidden="false" customHeight="false" outlineLevel="0" collapsed="false">
      <c r="A729" s="12"/>
      <c r="B729" s="13"/>
      <c r="C729" s="14"/>
      <c r="D729" s="13"/>
      <c r="E729" s="15" t="str">
        <f aca="false">IF(B729="","",IFERROR(INDEX(Plan!$B$5:$B$44,MATCH(B729,Plan!$A$5:$A$44,0))&amp;"","Kategori yok"))</f>
        <v/>
      </c>
    </row>
    <row r="730" customFormat="false" ht="15" hidden="false" customHeight="false" outlineLevel="0" collapsed="false">
      <c r="A730" s="12"/>
      <c r="B730" s="13"/>
      <c r="C730" s="14"/>
      <c r="D730" s="13"/>
      <c r="E730" s="15" t="str">
        <f aca="false">IF(B730="","",IFERROR(INDEX(Plan!$B$5:$B$44,MATCH(B730,Plan!$A$5:$A$44,0))&amp;"","Kategori yok"))</f>
        <v/>
      </c>
    </row>
    <row r="731" customFormat="false" ht="15" hidden="false" customHeight="false" outlineLevel="0" collapsed="false">
      <c r="A731" s="12"/>
      <c r="B731" s="13"/>
      <c r="C731" s="14"/>
      <c r="D731" s="13"/>
      <c r="E731" s="15" t="str">
        <f aca="false">IF(B731="","",IFERROR(INDEX(Plan!$B$5:$B$44,MATCH(B731,Plan!$A$5:$A$44,0))&amp;"","Kategori yok"))</f>
        <v/>
      </c>
    </row>
    <row r="732" customFormat="false" ht="15" hidden="false" customHeight="false" outlineLevel="0" collapsed="false">
      <c r="A732" s="12"/>
      <c r="B732" s="13"/>
      <c r="C732" s="14"/>
      <c r="D732" s="13"/>
      <c r="E732" s="15" t="str">
        <f aca="false">IF(B732="","",IFERROR(INDEX(Plan!$B$5:$B$44,MATCH(B732,Plan!$A$5:$A$44,0))&amp;"","Kategori yok"))</f>
        <v/>
      </c>
    </row>
    <row r="733" customFormat="false" ht="15" hidden="false" customHeight="false" outlineLevel="0" collapsed="false">
      <c r="A733" s="12"/>
      <c r="B733" s="13"/>
      <c r="C733" s="14"/>
      <c r="D733" s="13"/>
      <c r="E733" s="15" t="str">
        <f aca="false">IF(B733="","",IFERROR(INDEX(Plan!$B$5:$B$44,MATCH(B733,Plan!$A$5:$A$44,0))&amp;"","Kategori yok"))</f>
        <v/>
      </c>
    </row>
    <row r="734" customFormat="false" ht="15" hidden="false" customHeight="false" outlineLevel="0" collapsed="false">
      <c r="A734" s="12"/>
      <c r="B734" s="13"/>
      <c r="C734" s="14"/>
      <c r="D734" s="13"/>
      <c r="E734" s="15" t="str">
        <f aca="false">IF(B734="","",IFERROR(INDEX(Plan!$B$5:$B$44,MATCH(B734,Plan!$A$5:$A$44,0))&amp;"","Kategori yok"))</f>
        <v/>
      </c>
    </row>
    <row r="735" customFormat="false" ht="15" hidden="false" customHeight="false" outlineLevel="0" collapsed="false">
      <c r="A735" s="12"/>
      <c r="B735" s="13"/>
      <c r="C735" s="14"/>
      <c r="D735" s="13"/>
      <c r="E735" s="15" t="str">
        <f aca="false">IF(B735="","",IFERROR(INDEX(Plan!$B$5:$B$44,MATCH(B735,Plan!$A$5:$A$44,0))&amp;"","Kategori yok"))</f>
        <v/>
      </c>
    </row>
    <row r="736" customFormat="false" ht="15" hidden="false" customHeight="false" outlineLevel="0" collapsed="false">
      <c r="A736" s="12"/>
      <c r="B736" s="13"/>
      <c r="C736" s="14"/>
      <c r="D736" s="13"/>
      <c r="E736" s="15" t="str">
        <f aca="false">IF(B736="","",IFERROR(INDEX(Plan!$B$5:$B$44,MATCH(B736,Plan!$A$5:$A$44,0))&amp;"","Kategori yok"))</f>
        <v/>
      </c>
    </row>
    <row r="737" customFormat="false" ht="15" hidden="false" customHeight="false" outlineLevel="0" collapsed="false">
      <c r="A737" s="12"/>
      <c r="B737" s="13"/>
      <c r="C737" s="14"/>
      <c r="D737" s="13"/>
      <c r="E737" s="15" t="str">
        <f aca="false">IF(B737="","",IFERROR(INDEX(Plan!$B$5:$B$44,MATCH(B737,Plan!$A$5:$A$44,0))&amp;"","Kategori yok"))</f>
        <v/>
      </c>
    </row>
    <row r="738" customFormat="false" ht="15" hidden="false" customHeight="false" outlineLevel="0" collapsed="false">
      <c r="A738" s="12"/>
      <c r="B738" s="13"/>
      <c r="C738" s="14"/>
      <c r="D738" s="13"/>
      <c r="E738" s="15" t="str">
        <f aca="false">IF(B738="","",IFERROR(INDEX(Plan!$B$5:$B$44,MATCH(B738,Plan!$A$5:$A$44,0))&amp;"","Kategori yok"))</f>
        <v/>
      </c>
    </row>
    <row r="739" customFormat="false" ht="15" hidden="false" customHeight="false" outlineLevel="0" collapsed="false">
      <c r="A739" s="12"/>
      <c r="B739" s="13"/>
      <c r="C739" s="14"/>
      <c r="D739" s="13"/>
      <c r="E739" s="15" t="str">
        <f aca="false">IF(B739="","",IFERROR(INDEX(Plan!$B$5:$B$44,MATCH(B739,Plan!$A$5:$A$44,0))&amp;"","Kategori yok"))</f>
        <v/>
      </c>
    </row>
    <row r="740" customFormat="false" ht="15" hidden="false" customHeight="false" outlineLevel="0" collapsed="false">
      <c r="A740" s="12"/>
      <c r="B740" s="13"/>
      <c r="C740" s="14"/>
      <c r="D740" s="13"/>
      <c r="E740" s="15" t="str">
        <f aca="false">IF(B740="","",IFERROR(INDEX(Plan!$B$5:$B$44,MATCH(B740,Plan!$A$5:$A$44,0))&amp;"","Kategori yok"))</f>
        <v/>
      </c>
    </row>
    <row r="741" customFormat="false" ht="15" hidden="false" customHeight="false" outlineLevel="0" collapsed="false">
      <c r="A741" s="12"/>
      <c r="B741" s="13"/>
      <c r="C741" s="14"/>
      <c r="D741" s="13"/>
      <c r="E741" s="15" t="str">
        <f aca="false">IF(B741="","",IFERROR(INDEX(Plan!$B$5:$B$44,MATCH(B741,Plan!$A$5:$A$44,0))&amp;"","Kategori yok"))</f>
        <v/>
      </c>
    </row>
    <row r="742" customFormat="false" ht="15" hidden="false" customHeight="false" outlineLevel="0" collapsed="false">
      <c r="A742" s="12"/>
      <c r="B742" s="13"/>
      <c r="C742" s="14"/>
      <c r="D742" s="13"/>
      <c r="E742" s="15" t="str">
        <f aca="false">IF(B742="","",IFERROR(INDEX(Plan!$B$5:$B$44,MATCH(B742,Plan!$A$5:$A$44,0))&amp;"","Kategori yok"))</f>
        <v/>
      </c>
    </row>
    <row r="743" customFormat="false" ht="15" hidden="false" customHeight="false" outlineLevel="0" collapsed="false">
      <c r="A743" s="12"/>
      <c r="B743" s="13"/>
      <c r="C743" s="14"/>
      <c r="D743" s="13"/>
      <c r="E743" s="15" t="str">
        <f aca="false">IF(B743="","",IFERROR(INDEX(Plan!$B$5:$B$44,MATCH(B743,Plan!$A$5:$A$44,0))&amp;"","Kategori yok"))</f>
        <v/>
      </c>
    </row>
    <row r="744" customFormat="false" ht="15" hidden="false" customHeight="false" outlineLevel="0" collapsed="false">
      <c r="A744" s="12"/>
      <c r="B744" s="13"/>
      <c r="C744" s="14"/>
      <c r="D744" s="13"/>
      <c r="E744" s="15" t="str">
        <f aca="false">IF(B744="","",IFERROR(INDEX(Plan!$B$5:$B$44,MATCH(B744,Plan!$A$5:$A$44,0))&amp;"","Kategori yok"))</f>
        <v/>
      </c>
    </row>
    <row r="745" customFormat="false" ht="15" hidden="false" customHeight="false" outlineLevel="0" collapsed="false">
      <c r="A745" s="12"/>
      <c r="B745" s="13"/>
      <c r="C745" s="14"/>
      <c r="D745" s="13"/>
      <c r="E745" s="15" t="str">
        <f aca="false">IF(B745="","",IFERROR(INDEX(Plan!$B$5:$B$44,MATCH(B745,Plan!$A$5:$A$44,0))&amp;"","Kategori yok"))</f>
        <v/>
      </c>
    </row>
    <row r="746" customFormat="false" ht="15" hidden="false" customHeight="false" outlineLevel="0" collapsed="false">
      <c r="A746" s="12"/>
      <c r="B746" s="13"/>
      <c r="C746" s="14"/>
      <c r="D746" s="13"/>
      <c r="E746" s="15" t="str">
        <f aca="false">IF(B746="","",IFERROR(INDEX(Plan!$B$5:$B$44,MATCH(B746,Plan!$A$5:$A$44,0))&amp;"","Kategori yok"))</f>
        <v/>
      </c>
    </row>
    <row r="747" customFormat="false" ht="15" hidden="false" customHeight="false" outlineLevel="0" collapsed="false">
      <c r="A747" s="12"/>
      <c r="B747" s="13"/>
      <c r="C747" s="14"/>
      <c r="D747" s="13"/>
      <c r="E747" s="15" t="str">
        <f aca="false">IF(B747="","",IFERROR(INDEX(Plan!$B$5:$B$44,MATCH(B747,Plan!$A$5:$A$44,0))&amp;"","Kategori yok"))</f>
        <v/>
      </c>
    </row>
    <row r="748" customFormat="false" ht="15" hidden="false" customHeight="false" outlineLevel="0" collapsed="false">
      <c r="A748" s="12"/>
      <c r="B748" s="13"/>
      <c r="C748" s="14"/>
      <c r="D748" s="13"/>
      <c r="E748" s="15" t="str">
        <f aca="false">IF(B748="","",IFERROR(INDEX(Plan!$B$5:$B$44,MATCH(B748,Plan!$A$5:$A$44,0))&amp;"","Kategori yok"))</f>
        <v/>
      </c>
    </row>
    <row r="749" customFormat="false" ht="15" hidden="false" customHeight="false" outlineLevel="0" collapsed="false">
      <c r="A749" s="12"/>
      <c r="B749" s="13"/>
      <c r="C749" s="14"/>
      <c r="D749" s="13"/>
      <c r="E749" s="15" t="str">
        <f aca="false">IF(B749="","",IFERROR(INDEX(Plan!$B$5:$B$44,MATCH(B749,Plan!$A$5:$A$44,0))&amp;"","Kategori yok"))</f>
        <v/>
      </c>
    </row>
    <row r="750" customFormat="false" ht="15" hidden="false" customHeight="false" outlineLevel="0" collapsed="false">
      <c r="A750" s="12"/>
      <c r="B750" s="13"/>
      <c r="C750" s="14"/>
      <c r="D750" s="13"/>
      <c r="E750" s="15" t="str">
        <f aca="false">IF(B750="","",IFERROR(INDEX(Plan!$B$5:$B$44,MATCH(B750,Plan!$A$5:$A$44,0))&amp;"","Kategori yok"))</f>
        <v/>
      </c>
    </row>
    <row r="751" customFormat="false" ht="15" hidden="false" customHeight="false" outlineLevel="0" collapsed="false">
      <c r="A751" s="12"/>
      <c r="B751" s="13"/>
      <c r="C751" s="14"/>
      <c r="D751" s="13"/>
      <c r="E751" s="15" t="str">
        <f aca="false">IF(B751="","",IFERROR(INDEX(Plan!$B$5:$B$44,MATCH(B751,Plan!$A$5:$A$44,0))&amp;"","Kategori yok"))</f>
        <v/>
      </c>
    </row>
    <row r="752" customFormat="false" ht="15" hidden="false" customHeight="false" outlineLevel="0" collapsed="false">
      <c r="A752" s="12"/>
      <c r="B752" s="13"/>
      <c r="C752" s="14"/>
      <c r="D752" s="13"/>
      <c r="E752" s="15" t="str">
        <f aca="false">IF(B752="","",IFERROR(INDEX(Plan!$B$5:$B$44,MATCH(B752,Plan!$A$5:$A$44,0))&amp;"","Kategori yok"))</f>
        <v/>
      </c>
    </row>
    <row r="753" customFormat="false" ht="15" hidden="false" customHeight="false" outlineLevel="0" collapsed="false">
      <c r="A753" s="12"/>
      <c r="B753" s="13"/>
      <c r="C753" s="14"/>
      <c r="D753" s="13"/>
      <c r="E753" s="15" t="str">
        <f aca="false">IF(B753="","",IFERROR(INDEX(Plan!$B$5:$B$44,MATCH(B753,Plan!$A$5:$A$44,0))&amp;"","Kategori yok"))</f>
        <v/>
      </c>
    </row>
    <row r="754" customFormat="false" ht="15" hidden="false" customHeight="false" outlineLevel="0" collapsed="false">
      <c r="A754" s="12"/>
      <c r="B754" s="13"/>
      <c r="C754" s="14"/>
      <c r="D754" s="13"/>
      <c r="E754" s="15" t="str">
        <f aca="false">IF(B754="","",IFERROR(INDEX(Plan!$B$5:$B$44,MATCH(B754,Plan!$A$5:$A$44,0))&amp;"","Kategori yok"))</f>
        <v/>
      </c>
    </row>
    <row r="755" customFormat="false" ht="15" hidden="false" customHeight="false" outlineLevel="0" collapsed="false">
      <c r="A755" s="12"/>
      <c r="B755" s="13"/>
      <c r="C755" s="14"/>
      <c r="D755" s="13"/>
      <c r="E755" s="15" t="str">
        <f aca="false">IF(B755="","",IFERROR(INDEX(Plan!$B$5:$B$44,MATCH(B755,Plan!$A$5:$A$44,0))&amp;"","Kategori yok"))</f>
        <v/>
      </c>
    </row>
    <row r="756" customFormat="false" ht="15" hidden="false" customHeight="false" outlineLevel="0" collapsed="false">
      <c r="A756" s="12"/>
      <c r="B756" s="13"/>
      <c r="C756" s="14"/>
      <c r="D756" s="13"/>
      <c r="E756" s="15" t="str">
        <f aca="false">IF(B756="","",IFERROR(INDEX(Plan!$B$5:$B$44,MATCH(B756,Plan!$A$5:$A$44,0))&amp;"","Kategori yok"))</f>
        <v/>
      </c>
    </row>
    <row r="757" customFormat="false" ht="15" hidden="false" customHeight="false" outlineLevel="0" collapsed="false">
      <c r="A757" s="12"/>
      <c r="B757" s="13"/>
      <c r="C757" s="14"/>
      <c r="D757" s="13"/>
      <c r="E757" s="15" t="str">
        <f aca="false">IF(B757="","",IFERROR(INDEX(Plan!$B$5:$B$44,MATCH(B757,Plan!$A$5:$A$44,0))&amp;"","Kategori yok"))</f>
        <v/>
      </c>
    </row>
    <row r="758" customFormat="false" ht="15" hidden="false" customHeight="false" outlineLevel="0" collapsed="false">
      <c r="A758" s="12"/>
      <c r="B758" s="13"/>
      <c r="C758" s="14"/>
      <c r="D758" s="13"/>
      <c r="E758" s="15" t="str">
        <f aca="false">IF(B758="","",IFERROR(INDEX(Plan!$B$5:$B$44,MATCH(B758,Plan!$A$5:$A$44,0))&amp;"","Kategori yok"))</f>
        <v/>
      </c>
    </row>
    <row r="759" customFormat="false" ht="15" hidden="false" customHeight="false" outlineLevel="0" collapsed="false">
      <c r="A759" s="12"/>
      <c r="B759" s="13"/>
      <c r="C759" s="14"/>
      <c r="D759" s="13"/>
      <c r="E759" s="15" t="str">
        <f aca="false">IF(B759="","",IFERROR(INDEX(Plan!$B$5:$B$44,MATCH(B759,Plan!$A$5:$A$44,0))&amp;"","Kategori yok"))</f>
        <v/>
      </c>
    </row>
    <row r="760" customFormat="false" ht="15" hidden="false" customHeight="false" outlineLevel="0" collapsed="false">
      <c r="A760" s="12"/>
      <c r="B760" s="13"/>
      <c r="C760" s="14"/>
      <c r="D760" s="13"/>
      <c r="E760" s="15" t="str">
        <f aca="false">IF(B760="","",IFERROR(INDEX(Plan!$B$5:$B$44,MATCH(B760,Plan!$A$5:$A$44,0))&amp;"","Kategori yok"))</f>
        <v/>
      </c>
    </row>
    <row r="761" customFormat="false" ht="15" hidden="false" customHeight="false" outlineLevel="0" collapsed="false">
      <c r="A761" s="12"/>
      <c r="B761" s="13"/>
      <c r="C761" s="14"/>
      <c r="D761" s="13"/>
      <c r="E761" s="15" t="str">
        <f aca="false">IF(B761="","",IFERROR(INDEX(Plan!$B$5:$B$44,MATCH(B761,Plan!$A$5:$A$44,0))&amp;"","Kategori yok"))</f>
        <v/>
      </c>
    </row>
    <row r="762" customFormat="false" ht="15" hidden="false" customHeight="false" outlineLevel="0" collapsed="false">
      <c r="A762" s="12"/>
      <c r="B762" s="13"/>
      <c r="C762" s="14"/>
      <c r="D762" s="13"/>
      <c r="E762" s="15" t="str">
        <f aca="false">IF(B762="","",IFERROR(INDEX(Plan!$B$5:$B$44,MATCH(B762,Plan!$A$5:$A$44,0))&amp;"","Kategori yok"))</f>
        <v/>
      </c>
    </row>
    <row r="763" customFormat="false" ht="15" hidden="false" customHeight="false" outlineLevel="0" collapsed="false">
      <c r="A763" s="12"/>
      <c r="B763" s="13"/>
      <c r="C763" s="14"/>
      <c r="D763" s="13"/>
      <c r="E763" s="15" t="str">
        <f aca="false">IF(B763="","",IFERROR(INDEX(Plan!$B$5:$B$44,MATCH(B763,Plan!$A$5:$A$44,0))&amp;"","Kategori yok"))</f>
        <v/>
      </c>
    </row>
    <row r="764" customFormat="false" ht="15" hidden="false" customHeight="false" outlineLevel="0" collapsed="false">
      <c r="A764" s="12"/>
      <c r="B764" s="13"/>
      <c r="C764" s="14"/>
      <c r="D764" s="13"/>
      <c r="E764" s="15" t="str">
        <f aca="false">IF(B764="","",IFERROR(INDEX(Plan!$B$5:$B$44,MATCH(B764,Plan!$A$5:$A$44,0))&amp;"","Kategori yok"))</f>
        <v/>
      </c>
    </row>
    <row r="765" customFormat="false" ht="15" hidden="false" customHeight="false" outlineLevel="0" collapsed="false">
      <c r="A765" s="12"/>
      <c r="B765" s="13"/>
      <c r="C765" s="14"/>
      <c r="D765" s="13"/>
      <c r="E765" s="15" t="str">
        <f aca="false">IF(B765="","",IFERROR(INDEX(Plan!$B$5:$B$44,MATCH(B765,Plan!$A$5:$A$44,0))&amp;"","Kategori yok"))</f>
        <v/>
      </c>
    </row>
    <row r="766" customFormat="false" ht="15" hidden="false" customHeight="false" outlineLevel="0" collapsed="false">
      <c r="A766" s="12"/>
      <c r="B766" s="13"/>
      <c r="C766" s="14"/>
      <c r="D766" s="13"/>
      <c r="E766" s="15" t="str">
        <f aca="false">IF(B766="","",IFERROR(INDEX(Plan!$B$5:$B$44,MATCH(B766,Plan!$A$5:$A$44,0))&amp;"","Kategori yok"))</f>
        <v/>
      </c>
    </row>
    <row r="767" customFormat="false" ht="15" hidden="false" customHeight="false" outlineLevel="0" collapsed="false">
      <c r="A767" s="12"/>
      <c r="B767" s="13"/>
      <c r="C767" s="14"/>
      <c r="D767" s="13"/>
      <c r="E767" s="15" t="str">
        <f aca="false">IF(B767="","",IFERROR(INDEX(Plan!$B$5:$B$44,MATCH(B767,Plan!$A$5:$A$44,0))&amp;"","Kategori yok"))</f>
        <v/>
      </c>
    </row>
    <row r="768" customFormat="false" ht="15" hidden="false" customHeight="false" outlineLevel="0" collapsed="false">
      <c r="A768" s="12"/>
      <c r="B768" s="13"/>
      <c r="C768" s="14"/>
      <c r="D768" s="13"/>
      <c r="E768" s="15" t="str">
        <f aca="false">IF(B768="","",IFERROR(INDEX(Plan!$B$5:$B$44,MATCH(B768,Plan!$A$5:$A$44,0))&amp;"","Kategori yok"))</f>
        <v/>
      </c>
    </row>
    <row r="769" customFormat="false" ht="15" hidden="false" customHeight="false" outlineLevel="0" collapsed="false">
      <c r="A769" s="12"/>
      <c r="B769" s="13"/>
      <c r="C769" s="14"/>
      <c r="D769" s="13"/>
      <c r="E769" s="15" t="str">
        <f aca="false">IF(B769="","",IFERROR(INDEX(Plan!$B$5:$B$44,MATCH(B769,Plan!$A$5:$A$44,0))&amp;"","Kategori yok"))</f>
        <v/>
      </c>
    </row>
    <row r="770" customFormat="false" ht="15" hidden="false" customHeight="false" outlineLevel="0" collapsed="false">
      <c r="A770" s="12"/>
      <c r="B770" s="13"/>
      <c r="C770" s="14"/>
      <c r="D770" s="13"/>
      <c r="E770" s="15" t="str">
        <f aca="false">IF(B770="","",IFERROR(INDEX(Plan!$B$5:$B$44,MATCH(B770,Plan!$A$5:$A$44,0))&amp;"","Kategori yok"))</f>
        <v/>
      </c>
    </row>
    <row r="771" customFormat="false" ht="15" hidden="false" customHeight="false" outlineLevel="0" collapsed="false">
      <c r="A771" s="12"/>
      <c r="B771" s="13"/>
      <c r="C771" s="14"/>
      <c r="D771" s="13"/>
      <c r="E771" s="15" t="str">
        <f aca="false">IF(B771="","",IFERROR(INDEX(Plan!$B$5:$B$44,MATCH(B771,Plan!$A$5:$A$44,0))&amp;"","Kategori yok"))</f>
        <v/>
      </c>
    </row>
    <row r="772" customFormat="false" ht="15" hidden="false" customHeight="false" outlineLevel="0" collapsed="false">
      <c r="A772" s="12"/>
      <c r="B772" s="13"/>
      <c r="C772" s="14"/>
      <c r="D772" s="13"/>
      <c r="E772" s="15" t="str">
        <f aca="false">IF(B772="","",IFERROR(INDEX(Plan!$B$5:$B$44,MATCH(B772,Plan!$A$5:$A$44,0))&amp;"","Kategori yok"))</f>
        <v/>
      </c>
    </row>
    <row r="773" customFormat="false" ht="15" hidden="false" customHeight="false" outlineLevel="0" collapsed="false">
      <c r="A773" s="12"/>
      <c r="B773" s="13"/>
      <c r="C773" s="14"/>
      <c r="D773" s="13"/>
      <c r="E773" s="15" t="str">
        <f aca="false">IF(B773="","",IFERROR(INDEX(Plan!$B$5:$B$44,MATCH(B773,Plan!$A$5:$A$44,0))&amp;"","Kategori yok"))</f>
        <v/>
      </c>
    </row>
    <row r="774" customFormat="false" ht="15" hidden="false" customHeight="false" outlineLevel="0" collapsed="false">
      <c r="A774" s="12"/>
      <c r="B774" s="13"/>
      <c r="C774" s="14"/>
      <c r="D774" s="13"/>
      <c r="E774" s="15" t="str">
        <f aca="false">IF(B774="","",IFERROR(INDEX(Plan!$B$5:$B$44,MATCH(B774,Plan!$A$5:$A$44,0))&amp;"","Kategori yok"))</f>
        <v/>
      </c>
    </row>
    <row r="775" customFormat="false" ht="15" hidden="false" customHeight="false" outlineLevel="0" collapsed="false">
      <c r="A775" s="12"/>
      <c r="B775" s="13"/>
      <c r="C775" s="14"/>
      <c r="D775" s="13"/>
      <c r="E775" s="15" t="str">
        <f aca="false">IF(B775="","",IFERROR(INDEX(Plan!$B$5:$B$44,MATCH(B775,Plan!$A$5:$A$44,0))&amp;"","Kategori yok"))</f>
        <v/>
      </c>
    </row>
    <row r="776" customFormat="false" ht="15" hidden="false" customHeight="false" outlineLevel="0" collapsed="false">
      <c r="A776" s="12"/>
      <c r="B776" s="13"/>
      <c r="C776" s="14"/>
      <c r="D776" s="13"/>
      <c r="E776" s="15" t="str">
        <f aca="false">IF(B776="","",IFERROR(INDEX(Plan!$B$5:$B$44,MATCH(B776,Plan!$A$5:$A$44,0))&amp;"","Kategori yok"))</f>
        <v/>
      </c>
    </row>
    <row r="777" customFormat="false" ht="15" hidden="false" customHeight="false" outlineLevel="0" collapsed="false">
      <c r="A777" s="12"/>
      <c r="B777" s="13"/>
      <c r="C777" s="14"/>
      <c r="D777" s="13"/>
      <c r="E777" s="15" t="str">
        <f aca="false">IF(B777="","",IFERROR(INDEX(Plan!$B$5:$B$44,MATCH(B777,Plan!$A$5:$A$44,0))&amp;"","Kategori yok"))</f>
        <v/>
      </c>
    </row>
    <row r="778" customFormat="false" ht="15" hidden="false" customHeight="false" outlineLevel="0" collapsed="false">
      <c r="A778" s="12"/>
      <c r="B778" s="13"/>
      <c r="C778" s="14"/>
      <c r="D778" s="13"/>
      <c r="E778" s="15" t="str">
        <f aca="false">IF(B778="","",IFERROR(INDEX(Plan!$B$5:$B$44,MATCH(B778,Plan!$A$5:$A$44,0))&amp;"","Kategori yok"))</f>
        <v/>
      </c>
    </row>
    <row r="779" customFormat="false" ht="15" hidden="false" customHeight="false" outlineLevel="0" collapsed="false">
      <c r="A779" s="12"/>
      <c r="B779" s="13"/>
      <c r="C779" s="14"/>
      <c r="D779" s="13"/>
      <c r="E779" s="15" t="str">
        <f aca="false">IF(B779="","",IFERROR(INDEX(Plan!$B$5:$B$44,MATCH(B779,Plan!$A$5:$A$44,0))&amp;"","Kategori yok"))</f>
        <v/>
      </c>
    </row>
    <row r="780" customFormat="false" ht="15" hidden="false" customHeight="false" outlineLevel="0" collapsed="false">
      <c r="A780" s="12"/>
      <c r="B780" s="13"/>
      <c r="C780" s="14"/>
      <c r="D780" s="13"/>
      <c r="E780" s="15" t="str">
        <f aca="false">IF(B780="","",IFERROR(INDEX(Plan!$B$5:$B$44,MATCH(B780,Plan!$A$5:$A$44,0))&amp;"","Kategori yok"))</f>
        <v/>
      </c>
    </row>
    <row r="781" customFormat="false" ht="15" hidden="false" customHeight="false" outlineLevel="0" collapsed="false">
      <c r="A781" s="12"/>
      <c r="B781" s="13"/>
      <c r="C781" s="14"/>
      <c r="D781" s="13"/>
      <c r="E781" s="15" t="str">
        <f aca="false">IF(B781="","",IFERROR(INDEX(Plan!$B$5:$B$44,MATCH(B781,Plan!$A$5:$A$44,0))&amp;"","Kategori yok"))</f>
        <v/>
      </c>
    </row>
    <row r="782" customFormat="false" ht="15" hidden="false" customHeight="false" outlineLevel="0" collapsed="false">
      <c r="A782" s="12"/>
      <c r="B782" s="13"/>
      <c r="C782" s="14"/>
      <c r="D782" s="13"/>
      <c r="E782" s="15" t="str">
        <f aca="false">IF(B782="","",IFERROR(INDEX(Plan!$B$5:$B$44,MATCH(B782,Plan!$A$5:$A$44,0))&amp;"","Kategori yok"))</f>
        <v/>
      </c>
    </row>
    <row r="783" customFormat="false" ht="15" hidden="false" customHeight="false" outlineLevel="0" collapsed="false">
      <c r="A783" s="12"/>
      <c r="B783" s="13"/>
      <c r="C783" s="14"/>
      <c r="D783" s="13"/>
      <c r="E783" s="15" t="str">
        <f aca="false">IF(B783="","",IFERROR(INDEX(Plan!$B$5:$B$44,MATCH(B783,Plan!$A$5:$A$44,0))&amp;"","Kategori yok"))</f>
        <v/>
      </c>
    </row>
    <row r="784" customFormat="false" ht="15" hidden="false" customHeight="false" outlineLevel="0" collapsed="false">
      <c r="A784" s="12"/>
      <c r="B784" s="13"/>
      <c r="C784" s="14"/>
      <c r="D784" s="13"/>
      <c r="E784" s="15" t="str">
        <f aca="false">IF(B784="","",IFERROR(INDEX(Plan!$B$5:$B$44,MATCH(B784,Plan!$A$5:$A$44,0))&amp;"","Kategori yok"))</f>
        <v/>
      </c>
    </row>
    <row r="785" customFormat="false" ht="15" hidden="false" customHeight="false" outlineLevel="0" collapsed="false">
      <c r="A785" s="12"/>
      <c r="B785" s="13"/>
      <c r="C785" s="14"/>
      <c r="D785" s="13"/>
      <c r="E785" s="15" t="str">
        <f aca="false">IF(B785="","",IFERROR(INDEX(Plan!$B$5:$B$44,MATCH(B785,Plan!$A$5:$A$44,0))&amp;"","Kategori yok"))</f>
        <v/>
      </c>
    </row>
    <row r="786" customFormat="false" ht="15" hidden="false" customHeight="false" outlineLevel="0" collapsed="false">
      <c r="A786" s="12"/>
      <c r="B786" s="13"/>
      <c r="C786" s="14"/>
      <c r="D786" s="13"/>
      <c r="E786" s="15" t="str">
        <f aca="false">IF(B786="","",IFERROR(INDEX(Plan!$B$5:$B$44,MATCH(B786,Plan!$A$5:$A$44,0))&amp;"","Kategori yok"))</f>
        <v/>
      </c>
    </row>
    <row r="787" customFormat="false" ht="15" hidden="false" customHeight="false" outlineLevel="0" collapsed="false">
      <c r="A787" s="12"/>
      <c r="B787" s="13"/>
      <c r="C787" s="14"/>
      <c r="D787" s="13"/>
      <c r="E787" s="15" t="str">
        <f aca="false">IF(B787="","",IFERROR(INDEX(Plan!$B$5:$B$44,MATCH(B787,Plan!$A$5:$A$44,0))&amp;"","Kategori yok"))</f>
        <v/>
      </c>
    </row>
    <row r="788" customFormat="false" ht="15" hidden="false" customHeight="false" outlineLevel="0" collapsed="false">
      <c r="A788" s="12"/>
      <c r="B788" s="13"/>
      <c r="C788" s="14"/>
      <c r="D788" s="13"/>
      <c r="E788" s="15" t="str">
        <f aca="false">IF(B788="","",IFERROR(INDEX(Plan!$B$5:$B$44,MATCH(B788,Plan!$A$5:$A$44,0))&amp;"","Kategori yok"))</f>
        <v/>
      </c>
    </row>
    <row r="789" customFormat="false" ht="15" hidden="false" customHeight="false" outlineLevel="0" collapsed="false">
      <c r="A789" s="12"/>
      <c r="B789" s="13"/>
      <c r="C789" s="14"/>
      <c r="D789" s="13"/>
      <c r="E789" s="15" t="str">
        <f aca="false">IF(B789="","",IFERROR(INDEX(Plan!$B$5:$B$44,MATCH(B789,Plan!$A$5:$A$44,0))&amp;"","Kategori yok"))</f>
        <v/>
      </c>
    </row>
    <row r="790" customFormat="false" ht="15" hidden="false" customHeight="false" outlineLevel="0" collapsed="false">
      <c r="A790" s="12"/>
      <c r="B790" s="13"/>
      <c r="C790" s="14"/>
      <c r="D790" s="13"/>
      <c r="E790" s="15" t="str">
        <f aca="false">IF(B790="","",IFERROR(INDEX(Plan!$B$5:$B$44,MATCH(B790,Plan!$A$5:$A$44,0))&amp;"","Kategori yok"))</f>
        <v/>
      </c>
    </row>
    <row r="791" customFormat="false" ht="15" hidden="false" customHeight="false" outlineLevel="0" collapsed="false">
      <c r="A791" s="12"/>
      <c r="B791" s="13"/>
      <c r="C791" s="14"/>
      <c r="D791" s="13"/>
      <c r="E791" s="15" t="str">
        <f aca="false">IF(B791="","",IFERROR(INDEX(Plan!$B$5:$B$44,MATCH(B791,Plan!$A$5:$A$44,0))&amp;"","Kategori yok"))</f>
        <v/>
      </c>
    </row>
    <row r="792" customFormat="false" ht="15" hidden="false" customHeight="false" outlineLevel="0" collapsed="false">
      <c r="A792" s="12"/>
      <c r="B792" s="13"/>
      <c r="C792" s="14"/>
      <c r="D792" s="13"/>
      <c r="E792" s="15" t="str">
        <f aca="false">IF(B792="","",IFERROR(INDEX(Plan!$B$5:$B$44,MATCH(B792,Plan!$A$5:$A$44,0))&amp;"","Kategori yok"))</f>
        <v/>
      </c>
    </row>
    <row r="793" customFormat="false" ht="15" hidden="false" customHeight="false" outlineLevel="0" collapsed="false">
      <c r="A793" s="12"/>
      <c r="B793" s="13"/>
      <c r="C793" s="14"/>
      <c r="D793" s="13"/>
      <c r="E793" s="15" t="str">
        <f aca="false">IF(B793="","",IFERROR(INDEX(Plan!$B$5:$B$44,MATCH(B793,Plan!$A$5:$A$44,0))&amp;"","Kategori yok"))</f>
        <v/>
      </c>
    </row>
    <row r="794" customFormat="false" ht="15" hidden="false" customHeight="false" outlineLevel="0" collapsed="false">
      <c r="A794" s="12"/>
      <c r="B794" s="13"/>
      <c r="C794" s="14"/>
      <c r="D794" s="13"/>
      <c r="E794" s="15" t="str">
        <f aca="false">IF(B794="","",IFERROR(INDEX(Plan!$B$5:$B$44,MATCH(B794,Plan!$A$5:$A$44,0))&amp;"","Kategori yok"))</f>
        <v/>
      </c>
    </row>
    <row r="795" customFormat="false" ht="15" hidden="false" customHeight="false" outlineLevel="0" collapsed="false">
      <c r="A795" s="12"/>
      <c r="B795" s="13"/>
      <c r="C795" s="14"/>
      <c r="D795" s="13"/>
      <c r="E795" s="15" t="str">
        <f aca="false">IF(B795="","",IFERROR(INDEX(Plan!$B$5:$B$44,MATCH(B795,Plan!$A$5:$A$44,0))&amp;"","Kategori yok"))</f>
        <v/>
      </c>
    </row>
    <row r="796" customFormat="false" ht="15" hidden="false" customHeight="false" outlineLevel="0" collapsed="false">
      <c r="A796" s="12"/>
      <c r="B796" s="13"/>
      <c r="C796" s="14"/>
      <c r="D796" s="13"/>
      <c r="E796" s="15" t="str">
        <f aca="false">IF(B796="","",IFERROR(INDEX(Plan!$B$5:$B$44,MATCH(B796,Plan!$A$5:$A$44,0))&amp;"","Kategori yok"))</f>
        <v/>
      </c>
    </row>
    <row r="797" customFormat="false" ht="15" hidden="false" customHeight="false" outlineLevel="0" collapsed="false">
      <c r="A797" s="12"/>
      <c r="B797" s="13"/>
      <c r="C797" s="14"/>
      <c r="D797" s="13"/>
      <c r="E797" s="15" t="str">
        <f aca="false">IF(B797="","",IFERROR(INDEX(Plan!$B$5:$B$44,MATCH(B797,Plan!$A$5:$A$44,0))&amp;"","Kategori yok"))</f>
        <v/>
      </c>
    </row>
    <row r="798" customFormat="false" ht="15" hidden="false" customHeight="false" outlineLevel="0" collapsed="false">
      <c r="A798" s="12"/>
      <c r="B798" s="13"/>
      <c r="C798" s="14"/>
      <c r="D798" s="13"/>
      <c r="E798" s="15" t="str">
        <f aca="false">IF(B798="","",IFERROR(INDEX(Plan!$B$5:$B$44,MATCH(B798,Plan!$A$5:$A$44,0))&amp;"","Kategori yok"))</f>
        <v/>
      </c>
    </row>
    <row r="799" customFormat="false" ht="15" hidden="false" customHeight="false" outlineLevel="0" collapsed="false">
      <c r="A799" s="12"/>
      <c r="B799" s="13"/>
      <c r="C799" s="14"/>
      <c r="D799" s="13"/>
      <c r="E799" s="15" t="str">
        <f aca="false">IF(B799="","",IFERROR(INDEX(Plan!$B$5:$B$44,MATCH(B799,Plan!$A$5:$A$44,0))&amp;"","Kategori yok"))</f>
        <v/>
      </c>
    </row>
    <row r="800" customFormat="false" ht="15" hidden="false" customHeight="false" outlineLevel="0" collapsed="false">
      <c r="A800" s="12"/>
      <c r="B800" s="13"/>
      <c r="C800" s="14"/>
      <c r="D800" s="13"/>
      <c r="E800" s="15" t="str">
        <f aca="false">IF(B800="","",IFERROR(INDEX(Plan!$B$5:$B$44,MATCH(B800,Plan!$A$5:$A$44,0))&amp;"","Kategori yok"))</f>
        <v/>
      </c>
    </row>
    <row r="801" customFormat="false" ht="15" hidden="false" customHeight="false" outlineLevel="0" collapsed="false">
      <c r="A801" s="12"/>
      <c r="B801" s="13"/>
      <c r="C801" s="14"/>
      <c r="D801" s="13"/>
      <c r="E801" s="15" t="str">
        <f aca="false">IF(B801="","",IFERROR(INDEX(Plan!$B$5:$B$44,MATCH(B801,Plan!$A$5:$A$44,0))&amp;"","Kategori yok"))</f>
        <v/>
      </c>
    </row>
    <row r="802" customFormat="false" ht="15" hidden="false" customHeight="false" outlineLevel="0" collapsed="false">
      <c r="A802" s="12"/>
      <c r="B802" s="13"/>
      <c r="C802" s="14"/>
      <c r="D802" s="13"/>
      <c r="E802" s="15" t="str">
        <f aca="false">IF(B802="","",IFERROR(INDEX(Plan!$B$5:$B$44,MATCH(B802,Plan!$A$5:$A$44,0))&amp;"","Kategori yok"))</f>
        <v/>
      </c>
    </row>
    <row r="803" customFormat="false" ht="15" hidden="false" customHeight="false" outlineLevel="0" collapsed="false">
      <c r="A803" s="12"/>
      <c r="B803" s="13"/>
      <c r="C803" s="14"/>
      <c r="D803" s="13"/>
      <c r="E803" s="15" t="str">
        <f aca="false">IF(B803="","",IFERROR(INDEX(Plan!$B$5:$B$44,MATCH(B803,Plan!$A$5:$A$44,0))&amp;"","Kategori yok"))</f>
        <v/>
      </c>
    </row>
    <row r="804" customFormat="false" ht="15" hidden="false" customHeight="false" outlineLevel="0" collapsed="false">
      <c r="A804" s="12"/>
      <c r="B804" s="13"/>
      <c r="C804" s="14"/>
      <c r="D804" s="13"/>
      <c r="E804" s="15" t="str">
        <f aca="false">IF(B804="","",IFERROR(INDEX(Plan!$B$5:$B$44,MATCH(B804,Plan!$A$5:$A$44,0))&amp;"","Kategori yok"))</f>
        <v/>
      </c>
    </row>
    <row r="805" customFormat="false" ht="15" hidden="false" customHeight="false" outlineLevel="0" collapsed="false">
      <c r="A805" s="12"/>
      <c r="B805" s="13"/>
      <c r="C805" s="14"/>
      <c r="D805" s="13"/>
      <c r="E805" s="15" t="str">
        <f aca="false">IF(B805="","",IFERROR(INDEX(Plan!$B$5:$B$44,MATCH(B805,Plan!$A$5:$A$44,0))&amp;"","Kategori yok"))</f>
        <v/>
      </c>
    </row>
    <row r="806" customFormat="false" ht="15" hidden="false" customHeight="false" outlineLevel="0" collapsed="false">
      <c r="A806" s="12"/>
      <c r="B806" s="13"/>
      <c r="C806" s="14"/>
      <c r="D806" s="13"/>
      <c r="E806" s="15" t="str">
        <f aca="false">IF(B806="","",IFERROR(INDEX(Plan!$B$5:$B$44,MATCH(B806,Plan!$A$5:$A$44,0))&amp;"","Kategori yok"))</f>
        <v/>
      </c>
    </row>
    <row r="807" customFormat="false" ht="15" hidden="false" customHeight="false" outlineLevel="0" collapsed="false">
      <c r="A807" s="12"/>
      <c r="B807" s="13"/>
      <c r="C807" s="14"/>
      <c r="D807" s="13"/>
      <c r="E807" s="15" t="str">
        <f aca="false">IF(B807="","",IFERROR(INDEX(Plan!$B$5:$B$44,MATCH(B807,Plan!$A$5:$A$44,0))&amp;"","Kategori yok"))</f>
        <v/>
      </c>
    </row>
    <row r="808" customFormat="false" ht="15" hidden="false" customHeight="false" outlineLevel="0" collapsed="false">
      <c r="A808" s="12"/>
      <c r="B808" s="13"/>
      <c r="C808" s="14"/>
      <c r="D808" s="13"/>
      <c r="E808" s="15" t="str">
        <f aca="false">IF(B808="","",IFERROR(INDEX(Plan!$B$5:$B$44,MATCH(B808,Plan!$A$5:$A$44,0))&amp;"","Kategori yok"))</f>
        <v/>
      </c>
    </row>
    <row r="809" customFormat="false" ht="15" hidden="false" customHeight="false" outlineLevel="0" collapsed="false">
      <c r="A809" s="12"/>
      <c r="B809" s="13"/>
      <c r="C809" s="14"/>
      <c r="D809" s="13"/>
      <c r="E809" s="15" t="str">
        <f aca="false">IF(B809="","",IFERROR(INDEX(Plan!$B$5:$B$44,MATCH(B809,Plan!$A$5:$A$44,0))&amp;"","Kategori yok"))</f>
        <v/>
      </c>
    </row>
    <row r="810" customFormat="false" ht="15" hidden="false" customHeight="false" outlineLevel="0" collapsed="false">
      <c r="A810" s="12"/>
      <c r="B810" s="13"/>
      <c r="C810" s="14"/>
      <c r="D810" s="13"/>
      <c r="E810" s="15" t="str">
        <f aca="false">IF(B810="","",IFERROR(INDEX(Plan!$B$5:$B$44,MATCH(B810,Plan!$A$5:$A$44,0))&amp;"","Kategori yok"))</f>
        <v/>
      </c>
    </row>
    <row r="811" customFormat="false" ht="15" hidden="false" customHeight="false" outlineLevel="0" collapsed="false">
      <c r="A811" s="12"/>
      <c r="B811" s="13"/>
      <c r="C811" s="14"/>
      <c r="D811" s="13"/>
      <c r="E811" s="15" t="str">
        <f aca="false">IF(B811="","",IFERROR(INDEX(Plan!$B$5:$B$44,MATCH(B811,Plan!$A$5:$A$44,0))&amp;"","Kategori yok"))</f>
        <v/>
      </c>
    </row>
    <row r="812" customFormat="false" ht="15" hidden="false" customHeight="false" outlineLevel="0" collapsed="false">
      <c r="A812" s="12"/>
      <c r="B812" s="13"/>
      <c r="C812" s="14"/>
      <c r="D812" s="13"/>
      <c r="E812" s="15" t="str">
        <f aca="false">IF(B812="","",IFERROR(INDEX(Plan!$B$5:$B$44,MATCH(B812,Plan!$A$5:$A$44,0))&amp;"","Kategori yok"))</f>
        <v/>
      </c>
    </row>
    <row r="813" customFormat="false" ht="15" hidden="false" customHeight="false" outlineLevel="0" collapsed="false">
      <c r="A813" s="12"/>
      <c r="B813" s="13"/>
      <c r="C813" s="14"/>
      <c r="D813" s="13"/>
      <c r="E813" s="15" t="str">
        <f aca="false">IF(B813="","",IFERROR(INDEX(Plan!$B$5:$B$44,MATCH(B813,Plan!$A$5:$A$44,0))&amp;"","Kategori yok"))</f>
        <v/>
      </c>
    </row>
    <row r="814" customFormat="false" ht="15" hidden="false" customHeight="false" outlineLevel="0" collapsed="false">
      <c r="A814" s="12"/>
      <c r="B814" s="13"/>
      <c r="C814" s="14"/>
      <c r="D814" s="13"/>
      <c r="E814" s="15" t="str">
        <f aca="false">IF(B814="","",IFERROR(INDEX(Plan!$B$5:$B$44,MATCH(B814,Plan!$A$5:$A$44,0))&amp;"","Kategori yok"))</f>
        <v/>
      </c>
    </row>
    <row r="815" customFormat="false" ht="15" hidden="false" customHeight="false" outlineLevel="0" collapsed="false">
      <c r="A815" s="12"/>
      <c r="B815" s="13"/>
      <c r="C815" s="14"/>
      <c r="D815" s="13"/>
      <c r="E815" s="15" t="str">
        <f aca="false">IF(B815="","",IFERROR(INDEX(Plan!$B$5:$B$44,MATCH(B815,Plan!$A$5:$A$44,0))&amp;"","Kategori yok"))</f>
        <v/>
      </c>
    </row>
    <row r="816" customFormat="false" ht="15" hidden="false" customHeight="false" outlineLevel="0" collapsed="false">
      <c r="A816" s="12"/>
      <c r="B816" s="13"/>
      <c r="C816" s="14"/>
      <c r="D816" s="13"/>
      <c r="E816" s="15" t="str">
        <f aca="false">IF(B816="","",IFERROR(INDEX(Plan!$B$5:$B$44,MATCH(B816,Plan!$A$5:$A$44,0))&amp;"","Kategori yok"))</f>
        <v/>
      </c>
    </row>
    <row r="817" customFormat="false" ht="15" hidden="false" customHeight="false" outlineLevel="0" collapsed="false">
      <c r="A817" s="12"/>
      <c r="B817" s="13"/>
      <c r="C817" s="14"/>
      <c r="D817" s="13"/>
      <c r="E817" s="15" t="str">
        <f aca="false">IF(B817="","",IFERROR(INDEX(Plan!$B$5:$B$44,MATCH(B817,Plan!$A$5:$A$44,0))&amp;"","Kategori yok"))</f>
        <v/>
      </c>
    </row>
    <row r="818" customFormat="false" ht="15" hidden="false" customHeight="false" outlineLevel="0" collapsed="false">
      <c r="A818" s="12"/>
      <c r="B818" s="13"/>
      <c r="C818" s="14"/>
      <c r="D818" s="13"/>
      <c r="E818" s="15" t="str">
        <f aca="false">IF(B818="","",IFERROR(INDEX(Plan!$B$5:$B$44,MATCH(B818,Plan!$A$5:$A$44,0))&amp;"","Kategori yok"))</f>
        <v/>
      </c>
    </row>
    <row r="819" customFormat="false" ht="15" hidden="false" customHeight="false" outlineLevel="0" collapsed="false">
      <c r="A819" s="12"/>
      <c r="B819" s="13"/>
      <c r="C819" s="14"/>
      <c r="D819" s="13"/>
      <c r="E819" s="15" t="str">
        <f aca="false">IF(B819="","",IFERROR(INDEX(Plan!$B$5:$B$44,MATCH(B819,Plan!$A$5:$A$44,0))&amp;"","Kategori yok"))</f>
        <v/>
      </c>
    </row>
    <row r="820" customFormat="false" ht="15" hidden="false" customHeight="false" outlineLevel="0" collapsed="false">
      <c r="A820" s="12"/>
      <c r="B820" s="13"/>
      <c r="C820" s="14"/>
      <c r="D820" s="13"/>
      <c r="E820" s="15" t="str">
        <f aca="false">IF(B820="","",IFERROR(INDEX(Plan!$B$5:$B$44,MATCH(B820,Plan!$A$5:$A$44,0))&amp;"","Kategori yok"))</f>
        <v/>
      </c>
    </row>
    <row r="821" customFormat="false" ht="15" hidden="false" customHeight="false" outlineLevel="0" collapsed="false">
      <c r="A821" s="12"/>
      <c r="B821" s="13"/>
      <c r="C821" s="14"/>
      <c r="D821" s="13"/>
      <c r="E821" s="15" t="str">
        <f aca="false">IF(B821="","",IFERROR(INDEX(Plan!$B$5:$B$44,MATCH(B821,Plan!$A$5:$A$44,0))&amp;"","Kategori yok"))</f>
        <v/>
      </c>
    </row>
    <row r="822" customFormat="false" ht="15" hidden="false" customHeight="false" outlineLevel="0" collapsed="false">
      <c r="A822" s="12"/>
      <c r="B822" s="13"/>
      <c r="C822" s="14"/>
      <c r="D822" s="13"/>
      <c r="E822" s="15" t="str">
        <f aca="false">IF(B822="","",IFERROR(INDEX(Plan!$B$5:$B$44,MATCH(B822,Plan!$A$5:$A$44,0))&amp;"","Kategori yok"))</f>
        <v/>
      </c>
    </row>
    <row r="823" customFormat="false" ht="15" hidden="false" customHeight="false" outlineLevel="0" collapsed="false">
      <c r="A823" s="12"/>
      <c r="B823" s="13"/>
      <c r="C823" s="14"/>
      <c r="D823" s="13"/>
      <c r="E823" s="15" t="str">
        <f aca="false">IF(B823="","",IFERROR(INDEX(Plan!$B$5:$B$44,MATCH(B823,Plan!$A$5:$A$44,0))&amp;"","Kategori yok"))</f>
        <v/>
      </c>
    </row>
    <row r="824" customFormat="false" ht="15" hidden="false" customHeight="false" outlineLevel="0" collapsed="false">
      <c r="A824" s="12"/>
      <c r="B824" s="13"/>
      <c r="C824" s="14"/>
      <c r="D824" s="13"/>
      <c r="E824" s="15" t="str">
        <f aca="false">IF(B824="","",IFERROR(INDEX(Plan!$B$5:$B$44,MATCH(B824,Plan!$A$5:$A$44,0))&amp;"","Kategori yok"))</f>
        <v/>
      </c>
    </row>
    <row r="825" customFormat="false" ht="15" hidden="false" customHeight="false" outlineLevel="0" collapsed="false">
      <c r="A825" s="12"/>
      <c r="B825" s="13"/>
      <c r="C825" s="14"/>
      <c r="D825" s="13"/>
      <c r="E825" s="15" t="str">
        <f aca="false">IF(B825="","",IFERROR(INDEX(Plan!$B$5:$B$44,MATCH(B825,Plan!$A$5:$A$44,0))&amp;"","Kategori yok"))</f>
        <v/>
      </c>
    </row>
    <row r="826" customFormat="false" ht="15" hidden="false" customHeight="false" outlineLevel="0" collapsed="false">
      <c r="A826" s="12"/>
      <c r="B826" s="13"/>
      <c r="C826" s="14"/>
      <c r="D826" s="13"/>
      <c r="E826" s="15" t="str">
        <f aca="false">IF(B826="","",IFERROR(INDEX(Plan!$B$5:$B$44,MATCH(B826,Plan!$A$5:$A$44,0))&amp;"","Kategori yok"))</f>
        <v/>
      </c>
    </row>
    <row r="827" customFormat="false" ht="15" hidden="false" customHeight="false" outlineLevel="0" collapsed="false">
      <c r="A827" s="12"/>
      <c r="B827" s="13"/>
      <c r="C827" s="14"/>
      <c r="D827" s="13"/>
      <c r="E827" s="15" t="str">
        <f aca="false">IF(B827="","",IFERROR(INDEX(Plan!$B$5:$B$44,MATCH(B827,Plan!$A$5:$A$44,0))&amp;"","Kategori yok"))</f>
        <v/>
      </c>
    </row>
    <row r="828" customFormat="false" ht="15" hidden="false" customHeight="false" outlineLevel="0" collapsed="false">
      <c r="A828" s="12"/>
      <c r="B828" s="13"/>
      <c r="C828" s="14"/>
      <c r="D828" s="13"/>
      <c r="E828" s="15" t="str">
        <f aca="false">IF(B828="","",IFERROR(INDEX(Plan!$B$5:$B$44,MATCH(B828,Plan!$A$5:$A$44,0))&amp;"","Kategori yok"))</f>
        <v/>
      </c>
    </row>
    <row r="829" customFormat="false" ht="15" hidden="false" customHeight="false" outlineLevel="0" collapsed="false">
      <c r="A829" s="12"/>
      <c r="B829" s="13"/>
      <c r="C829" s="14"/>
      <c r="D829" s="13"/>
      <c r="E829" s="15" t="str">
        <f aca="false">IF(B829="","",IFERROR(INDEX(Plan!$B$5:$B$44,MATCH(B829,Plan!$A$5:$A$44,0))&amp;"","Kategori yok"))</f>
        <v/>
      </c>
    </row>
    <row r="830" customFormat="false" ht="15" hidden="false" customHeight="false" outlineLevel="0" collapsed="false">
      <c r="A830" s="12"/>
      <c r="B830" s="13"/>
      <c r="C830" s="14"/>
      <c r="D830" s="13"/>
      <c r="E830" s="15" t="str">
        <f aca="false">IF(B830="","",IFERROR(INDEX(Plan!$B$5:$B$44,MATCH(B830,Plan!$A$5:$A$44,0))&amp;"","Kategori yok"))</f>
        <v/>
      </c>
    </row>
    <row r="831" customFormat="false" ht="15" hidden="false" customHeight="false" outlineLevel="0" collapsed="false">
      <c r="A831" s="12"/>
      <c r="B831" s="13"/>
      <c r="C831" s="14"/>
      <c r="D831" s="13"/>
      <c r="E831" s="15" t="str">
        <f aca="false">IF(B831="","",IFERROR(INDEX(Plan!$B$5:$B$44,MATCH(B831,Plan!$A$5:$A$44,0))&amp;"","Kategori yok"))</f>
        <v/>
      </c>
    </row>
    <row r="832" customFormat="false" ht="15" hidden="false" customHeight="false" outlineLevel="0" collapsed="false">
      <c r="A832" s="12"/>
      <c r="B832" s="13"/>
      <c r="C832" s="14"/>
      <c r="D832" s="13"/>
      <c r="E832" s="15" t="str">
        <f aca="false">IF(B832="","",IFERROR(INDEX(Plan!$B$5:$B$44,MATCH(B832,Plan!$A$5:$A$44,0))&amp;"","Kategori yok"))</f>
        <v/>
      </c>
    </row>
    <row r="833" customFormat="false" ht="15" hidden="false" customHeight="false" outlineLevel="0" collapsed="false">
      <c r="A833" s="12"/>
      <c r="B833" s="13"/>
      <c r="C833" s="14"/>
      <c r="D833" s="13"/>
      <c r="E833" s="15" t="str">
        <f aca="false">IF(B833="","",IFERROR(INDEX(Plan!$B$5:$B$44,MATCH(B833,Plan!$A$5:$A$44,0))&amp;"","Kategori yok"))</f>
        <v/>
      </c>
    </row>
    <row r="834" customFormat="false" ht="15" hidden="false" customHeight="false" outlineLevel="0" collapsed="false">
      <c r="A834" s="12"/>
      <c r="B834" s="13"/>
      <c r="C834" s="14"/>
      <c r="D834" s="13"/>
      <c r="E834" s="15" t="str">
        <f aca="false">IF(B834="","",IFERROR(INDEX(Plan!$B$5:$B$44,MATCH(B834,Plan!$A$5:$A$44,0))&amp;"","Kategori yok"))</f>
        <v/>
      </c>
    </row>
    <row r="835" customFormat="false" ht="15" hidden="false" customHeight="false" outlineLevel="0" collapsed="false">
      <c r="A835" s="12"/>
      <c r="B835" s="13"/>
      <c r="C835" s="14"/>
      <c r="D835" s="13"/>
      <c r="E835" s="15" t="str">
        <f aca="false">IF(B835="","",IFERROR(INDEX(Plan!$B$5:$B$44,MATCH(B835,Plan!$A$5:$A$44,0))&amp;"","Kategori yok"))</f>
        <v/>
      </c>
    </row>
    <row r="836" customFormat="false" ht="15" hidden="false" customHeight="false" outlineLevel="0" collapsed="false">
      <c r="A836" s="12"/>
      <c r="B836" s="13"/>
      <c r="C836" s="14"/>
      <c r="D836" s="13"/>
      <c r="E836" s="15" t="str">
        <f aca="false">IF(B836="","",IFERROR(INDEX(Plan!$B$5:$B$44,MATCH(B836,Plan!$A$5:$A$44,0))&amp;"","Kategori yok"))</f>
        <v/>
      </c>
    </row>
    <row r="837" customFormat="false" ht="15" hidden="false" customHeight="false" outlineLevel="0" collapsed="false">
      <c r="A837" s="12"/>
      <c r="B837" s="13"/>
      <c r="C837" s="14"/>
      <c r="D837" s="13"/>
      <c r="E837" s="15" t="str">
        <f aca="false">IF(B837="","",IFERROR(INDEX(Plan!$B$5:$B$44,MATCH(B837,Plan!$A$5:$A$44,0))&amp;"","Kategori yok"))</f>
        <v/>
      </c>
    </row>
    <row r="838" customFormat="false" ht="15" hidden="false" customHeight="false" outlineLevel="0" collapsed="false">
      <c r="A838" s="12"/>
      <c r="B838" s="13"/>
      <c r="C838" s="14"/>
      <c r="D838" s="13"/>
      <c r="E838" s="15" t="str">
        <f aca="false">IF(B838="","",IFERROR(INDEX(Plan!$B$5:$B$44,MATCH(B838,Plan!$A$5:$A$44,0))&amp;"","Kategori yok"))</f>
        <v/>
      </c>
    </row>
    <row r="839" customFormat="false" ht="15" hidden="false" customHeight="false" outlineLevel="0" collapsed="false">
      <c r="A839" s="12"/>
      <c r="B839" s="13"/>
      <c r="C839" s="14"/>
      <c r="D839" s="13"/>
      <c r="E839" s="15" t="str">
        <f aca="false">IF(B839="","",IFERROR(INDEX(Plan!$B$5:$B$44,MATCH(B839,Plan!$A$5:$A$44,0))&amp;"","Kategori yok"))</f>
        <v/>
      </c>
    </row>
    <row r="840" customFormat="false" ht="15" hidden="false" customHeight="false" outlineLevel="0" collapsed="false">
      <c r="A840" s="12"/>
      <c r="B840" s="13"/>
      <c r="C840" s="14"/>
      <c r="D840" s="13"/>
      <c r="E840" s="15" t="str">
        <f aca="false">IF(B840="","",IFERROR(INDEX(Plan!$B$5:$B$44,MATCH(B840,Plan!$A$5:$A$44,0))&amp;"","Kategori yok"))</f>
        <v/>
      </c>
    </row>
    <row r="841" customFormat="false" ht="15" hidden="false" customHeight="false" outlineLevel="0" collapsed="false">
      <c r="A841" s="12"/>
      <c r="B841" s="13"/>
      <c r="C841" s="14"/>
      <c r="D841" s="13"/>
      <c r="E841" s="15" t="str">
        <f aca="false">IF(B841="","",IFERROR(INDEX(Plan!$B$5:$B$44,MATCH(B841,Plan!$A$5:$A$44,0))&amp;"","Kategori yok"))</f>
        <v/>
      </c>
    </row>
    <row r="842" customFormat="false" ht="15" hidden="false" customHeight="false" outlineLevel="0" collapsed="false">
      <c r="A842" s="12"/>
      <c r="B842" s="13"/>
      <c r="C842" s="14"/>
      <c r="D842" s="13"/>
      <c r="E842" s="15" t="str">
        <f aca="false">IF(B842="","",IFERROR(INDEX(Plan!$B$5:$B$44,MATCH(B842,Plan!$A$5:$A$44,0))&amp;"","Kategori yok"))</f>
        <v/>
      </c>
    </row>
    <row r="843" customFormat="false" ht="15" hidden="false" customHeight="false" outlineLevel="0" collapsed="false">
      <c r="A843" s="12"/>
      <c r="B843" s="13"/>
      <c r="C843" s="14"/>
      <c r="D843" s="13"/>
      <c r="E843" s="15" t="str">
        <f aca="false">IF(B843="","",IFERROR(INDEX(Plan!$B$5:$B$44,MATCH(B843,Plan!$A$5:$A$44,0))&amp;"","Kategori yok"))</f>
        <v/>
      </c>
    </row>
    <row r="844" customFormat="false" ht="15" hidden="false" customHeight="false" outlineLevel="0" collapsed="false">
      <c r="A844" s="12"/>
      <c r="B844" s="13"/>
      <c r="C844" s="14"/>
      <c r="D844" s="13"/>
      <c r="E844" s="15" t="str">
        <f aca="false">IF(B844="","",IFERROR(INDEX(Plan!$B$5:$B$44,MATCH(B844,Plan!$A$5:$A$44,0))&amp;"","Kategori yok"))</f>
        <v/>
      </c>
    </row>
    <row r="845" customFormat="false" ht="15" hidden="false" customHeight="false" outlineLevel="0" collapsed="false">
      <c r="A845" s="12"/>
      <c r="B845" s="13"/>
      <c r="C845" s="14"/>
      <c r="D845" s="13"/>
      <c r="E845" s="15" t="str">
        <f aca="false">IF(B845="","",IFERROR(INDEX(Plan!$B$5:$B$44,MATCH(B845,Plan!$A$5:$A$44,0))&amp;"","Kategori yok"))</f>
        <v/>
      </c>
    </row>
    <row r="846" customFormat="false" ht="15" hidden="false" customHeight="false" outlineLevel="0" collapsed="false">
      <c r="A846" s="12"/>
      <c r="B846" s="13"/>
      <c r="C846" s="14"/>
      <c r="D846" s="13"/>
      <c r="E846" s="15" t="str">
        <f aca="false">IF(B846="","",IFERROR(INDEX(Plan!$B$5:$B$44,MATCH(B846,Plan!$A$5:$A$44,0))&amp;"","Kategori yok"))</f>
        <v/>
      </c>
    </row>
    <row r="847" customFormat="false" ht="15" hidden="false" customHeight="false" outlineLevel="0" collapsed="false">
      <c r="A847" s="12"/>
      <c r="B847" s="13"/>
      <c r="C847" s="14"/>
      <c r="D847" s="13"/>
      <c r="E847" s="15" t="str">
        <f aca="false">IF(B847="","",IFERROR(INDEX(Plan!$B$5:$B$44,MATCH(B847,Plan!$A$5:$A$44,0))&amp;"","Kategori yok"))</f>
        <v/>
      </c>
    </row>
    <row r="848" customFormat="false" ht="15" hidden="false" customHeight="false" outlineLevel="0" collapsed="false">
      <c r="A848" s="12"/>
      <c r="B848" s="13"/>
      <c r="C848" s="14"/>
      <c r="D848" s="13"/>
      <c r="E848" s="15" t="str">
        <f aca="false">IF(B848="","",IFERROR(INDEX(Plan!$B$5:$B$44,MATCH(B848,Plan!$A$5:$A$44,0))&amp;"","Kategori yok"))</f>
        <v/>
      </c>
    </row>
    <row r="849" customFormat="false" ht="15" hidden="false" customHeight="false" outlineLevel="0" collapsed="false">
      <c r="A849" s="12"/>
      <c r="B849" s="13"/>
      <c r="C849" s="14"/>
      <c r="D849" s="13"/>
      <c r="E849" s="15" t="str">
        <f aca="false">IF(B849="","",IFERROR(INDEX(Plan!$B$5:$B$44,MATCH(B849,Plan!$A$5:$A$44,0))&amp;"","Kategori yok"))</f>
        <v/>
      </c>
    </row>
    <row r="850" customFormat="false" ht="15" hidden="false" customHeight="false" outlineLevel="0" collapsed="false">
      <c r="A850" s="12"/>
      <c r="B850" s="13"/>
      <c r="C850" s="14"/>
      <c r="D850" s="13"/>
      <c r="E850" s="15" t="str">
        <f aca="false">IF(B850="","",IFERROR(INDEX(Plan!$B$5:$B$44,MATCH(B850,Plan!$A$5:$A$44,0))&amp;"","Kategori yok"))</f>
        <v/>
      </c>
    </row>
    <row r="851" customFormat="false" ht="15" hidden="false" customHeight="false" outlineLevel="0" collapsed="false">
      <c r="A851" s="12"/>
      <c r="B851" s="13"/>
      <c r="C851" s="14"/>
      <c r="D851" s="13"/>
      <c r="E851" s="15" t="str">
        <f aca="false">IF(B851="","",IFERROR(INDEX(Plan!$B$5:$B$44,MATCH(B851,Plan!$A$5:$A$44,0))&amp;"","Kategori yok"))</f>
        <v/>
      </c>
    </row>
    <row r="852" customFormat="false" ht="15" hidden="false" customHeight="false" outlineLevel="0" collapsed="false">
      <c r="A852" s="12"/>
      <c r="B852" s="13"/>
      <c r="C852" s="14"/>
      <c r="D852" s="13"/>
      <c r="E852" s="15" t="str">
        <f aca="false">IF(B852="","",IFERROR(INDEX(Plan!$B$5:$B$44,MATCH(B852,Plan!$A$5:$A$44,0))&amp;"","Kategori yok"))</f>
        <v/>
      </c>
    </row>
    <row r="853" customFormat="false" ht="15" hidden="false" customHeight="false" outlineLevel="0" collapsed="false">
      <c r="A853" s="12"/>
      <c r="B853" s="13"/>
      <c r="C853" s="14"/>
      <c r="D853" s="13"/>
      <c r="E853" s="15" t="str">
        <f aca="false">IF(B853="","",IFERROR(INDEX(Plan!$B$5:$B$44,MATCH(B853,Plan!$A$5:$A$44,0))&amp;"","Kategori yok"))</f>
        <v/>
      </c>
    </row>
    <row r="854" customFormat="false" ht="15" hidden="false" customHeight="false" outlineLevel="0" collapsed="false">
      <c r="A854" s="12"/>
      <c r="B854" s="13"/>
      <c r="C854" s="14"/>
      <c r="D854" s="13"/>
      <c r="E854" s="15" t="str">
        <f aca="false">IF(B854="","",IFERROR(INDEX(Plan!$B$5:$B$44,MATCH(B854,Plan!$A$5:$A$44,0))&amp;"","Kategori yok"))</f>
        <v/>
      </c>
    </row>
    <row r="855" customFormat="false" ht="15" hidden="false" customHeight="false" outlineLevel="0" collapsed="false">
      <c r="A855" s="12"/>
      <c r="B855" s="13"/>
      <c r="C855" s="14"/>
      <c r="D855" s="13"/>
      <c r="E855" s="15" t="str">
        <f aca="false">IF(B855="","",IFERROR(INDEX(Plan!$B$5:$B$44,MATCH(B855,Plan!$A$5:$A$44,0))&amp;"","Kategori yok"))</f>
        <v/>
      </c>
    </row>
    <row r="856" customFormat="false" ht="15" hidden="false" customHeight="false" outlineLevel="0" collapsed="false">
      <c r="A856" s="12"/>
      <c r="B856" s="13"/>
      <c r="C856" s="14"/>
      <c r="D856" s="13"/>
      <c r="E856" s="15" t="str">
        <f aca="false">IF(B856="","",IFERROR(INDEX(Plan!$B$5:$B$44,MATCH(B856,Plan!$A$5:$A$44,0))&amp;"","Kategori yok"))</f>
        <v/>
      </c>
    </row>
    <row r="857" customFormat="false" ht="15" hidden="false" customHeight="false" outlineLevel="0" collapsed="false">
      <c r="A857" s="12"/>
      <c r="B857" s="13"/>
      <c r="C857" s="14"/>
      <c r="D857" s="13"/>
      <c r="E857" s="15" t="str">
        <f aca="false">IF(B857="","",IFERROR(INDEX(Plan!$B$5:$B$44,MATCH(B857,Plan!$A$5:$A$44,0))&amp;"","Kategori yok"))</f>
        <v/>
      </c>
    </row>
    <row r="858" customFormat="false" ht="15" hidden="false" customHeight="false" outlineLevel="0" collapsed="false">
      <c r="A858" s="12"/>
      <c r="B858" s="13"/>
      <c r="C858" s="14"/>
      <c r="D858" s="13"/>
      <c r="E858" s="15" t="str">
        <f aca="false">IF(B858="","",IFERROR(INDEX(Plan!$B$5:$B$44,MATCH(B858,Plan!$A$5:$A$44,0))&amp;"","Kategori yok"))</f>
        <v/>
      </c>
    </row>
    <row r="859" customFormat="false" ht="15" hidden="false" customHeight="false" outlineLevel="0" collapsed="false">
      <c r="A859" s="12"/>
      <c r="B859" s="13"/>
      <c r="C859" s="14"/>
      <c r="D859" s="13"/>
      <c r="E859" s="15" t="str">
        <f aca="false">IF(B859="","",IFERROR(INDEX(Plan!$B$5:$B$44,MATCH(B859,Plan!$A$5:$A$44,0))&amp;"","Kategori yok"))</f>
        <v/>
      </c>
    </row>
    <row r="860" customFormat="false" ht="15" hidden="false" customHeight="false" outlineLevel="0" collapsed="false">
      <c r="A860" s="12"/>
      <c r="B860" s="13"/>
      <c r="C860" s="14"/>
      <c r="D860" s="13"/>
      <c r="E860" s="15" t="str">
        <f aca="false">IF(B860="","",IFERROR(INDEX(Plan!$B$5:$B$44,MATCH(B860,Plan!$A$5:$A$44,0))&amp;"","Kategori yok"))</f>
        <v/>
      </c>
    </row>
    <row r="861" customFormat="false" ht="15" hidden="false" customHeight="false" outlineLevel="0" collapsed="false">
      <c r="A861" s="12"/>
      <c r="B861" s="13"/>
      <c r="C861" s="14"/>
      <c r="D861" s="13"/>
      <c r="E861" s="15" t="str">
        <f aca="false">IF(B861="","",IFERROR(INDEX(Plan!$B$5:$B$44,MATCH(B861,Plan!$A$5:$A$44,0))&amp;"","Kategori yok"))</f>
        <v/>
      </c>
    </row>
    <row r="862" customFormat="false" ht="15" hidden="false" customHeight="false" outlineLevel="0" collapsed="false">
      <c r="A862" s="12"/>
      <c r="B862" s="13"/>
      <c r="C862" s="14"/>
      <c r="D862" s="13"/>
      <c r="E862" s="15" t="str">
        <f aca="false">IF(B862="","",IFERROR(INDEX(Plan!$B$5:$B$44,MATCH(B862,Plan!$A$5:$A$44,0))&amp;"","Kategori yok"))</f>
        <v/>
      </c>
    </row>
    <row r="863" customFormat="false" ht="15" hidden="false" customHeight="false" outlineLevel="0" collapsed="false">
      <c r="A863" s="12"/>
      <c r="B863" s="13"/>
      <c r="C863" s="14"/>
      <c r="D863" s="13"/>
      <c r="E863" s="15" t="str">
        <f aca="false">IF(B863="","",IFERROR(INDEX(Plan!$B$5:$B$44,MATCH(B863,Plan!$A$5:$A$44,0))&amp;"","Kategori yok"))</f>
        <v/>
      </c>
    </row>
    <row r="864" customFormat="false" ht="15" hidden="false" customHeight="false" outlineLevel="0" collapsed="false">
      <c r="A864" s="12"/>
      <c r="B864" s="13"/>
      <c r="C864" s="14"/>
      <c r="D864" s="13"/>
      <c r="E864" s="15" t="str">
        <f aca="false">IF(B864="","",IFERROR(INDEX(Plan!$B$5:$B$44,MATCH(B864,Plan!$A$5:$A$44,0))&amp;"","Kategori yok"))</f>
        <v/>
      </c>
    </row>
    <row r="865" customFormat="false" ht="15" hidden="false" customHeight="false" outlineLevel="0" collapsed="false">
      <c r="A865" s="12"/>
      <c r="B865" s="13"/>
      <c r="C865" s="14"/>
      <c r="D865" s="13"/>
      <c r="E865" s="15" t="str">
        <f aca="false">IF(B865="","",IFERROR(INDEX(Plan!$B$5:$B$44,MATCH(B865,Plan!$A$5:$A$44,0))&amp;"","Kategori yok"))</f>
        <v/>
      </c>
    </row>
    <row r="866" customFormat="false" ht="15" hidden="false" customHeight="false" outlineLevel="0" collapsed="false">
      <c r="A866" s="12"/>
      <c r="B866" s="13"/>
      <c r="C866" s="14"/>
      <c r="D866" s="13"/>
      <c r="E866" s="15" t="str">
        <f aca="false">IF(B866="","",IFERROR(INDEX(Plan!$B$5:$B$44,MATCH(B866,Plan!$A$5:$A$44,0))&amp;"","Kategori yok"))</f>
        <v/>
      </c>
    </row>
    <row r="867" customFormat="false" ht="15" hidden="false" customHeight="false" outlineLevel="0" collapsed="false">
      <c r="A867" s="12"/>
      <c r="B867" s="13"/>
      <c r="C867" s="14"/>
      <c r="D867" s="13"/>
      <c r="E867" s="15" t="str">
        <f aca="false">IF(B867="","",IFERROR(INDEX(Plan!$B$5:$B$44,MATCH(B867,Plan!$A$5:$A$44,0))&amp;"","Kategori yok"))</f>
        <v/>
      </c>
    </row>
    <row r="868" customFormat="false" ht="15" hidden="false" customHeight="false" outlineLevel="0" collapsed="false">
      <c r="A868" s="12"/>
      <c r="B868" s="13"/>
      <c r="C868" s="14"/>
      <c r="D868" s="13"/>
      <c r="E868" s="15" t="str">
        <f aca="false">IF(B868="","",IFERROR(INDEX(Plan!$B$5:$B$44,MATCH(B868,Plan!$A$5:$A$44,0))&amp;"","Kategori yok"))</f>
        <v/>
      </c>
    </row>
    <row r="869" customFormat="false" ht="15" hidden="false" customHeight="false" outlineLevel="0" collapsed="false">
      <c r="A869" s="12"/>
      <c r="B869" s="13"/>
      <c r="C869" s="14"/>
      <c r="D869" s="13"/>
      <c r="E869" s="15" t="str">
        <f aca="false">IF(B869="","",IFERROR(INDEX(Plan!$B$5:$B$44,MATCH(B869,Plan!$A$5:$A$44,0))&amp;"","Kategori yok"))</f>
        <v/>
      </c>
    </row>
    <row r="870" customFormat="false" ht="15" hidden="false" customHeight="false" outlineLevel="0" collapsed="false">
      <c r="A870" s="12"/>
      <c r="B870" s="13"/>
      <c r="C870" s="14"/>
      <c r="D870" s="13"/>
      <c r="E870" s="15" t="str">
        <f aca="false">IF(B870="","",IFERROR(INDEX(Plan!$B$5:$B$44,MATCH(B870,Plan!$A$5:$A$44,0))&amp;"","Kategori yok"))</f>
        <v/>
      </c>
    </row>
    <row r="871" customFormat="false" ht="15" hidden="false" customHeight="false" outlineLevel="0" collapsed="false">
      <c r="A871" s="12"/>
      <c r="B871" s="13"/>
      <c r="C871" s="14"/>
      <c r="D871" s="13"/>
      <c r="E871" s="15" t="str">
        <f aca="false">IF(B871="","",IFERROR(INDEX(Plan!$B$5:$B$44,MATCH(B871,Plan!$A$5:$A$44,0))&amp;"","Kategori yok"))</f>
        <v/>
      </c>
    </row>
    <row r="872" customFormat="false" ht="15" hidden="false" customHeight="false" outlineLevel="0" collapsed="false">
      <c r="A872" s="12"/>
      <c r="B872" s="13"/>
      <c r="C872" s="14"/>
      <c r="D872" s="13"/>
      <c r="E872" s="15" t="str">
        <f aca="false">IF(B872="","",IFERROR(INDEX(Plan!$B$5:$B$44,MATCH(B872,Plan!$A$5:$A$44,0))&amp;"","Kategori yok"))</f>
        <v/>
      </c>
    </row>
    <row r="873" customFormat="false" ht="15" hidden="false" customHeight="false" outlineLevel="0" collapsed="false">
      <c r="A873" s="12"/>
      <c r="B873" s="13"/>
      <c r="C873" s="14"/>
      <c r="D873" s="13"/>
      <c r="E873" s="15" t="str">
        <f aca="false">IF(B873="","",IFERROR(INDEX(Plan!$B$5:$B$44,MATCH(B873,Plan!$A$5:$A$44,0))&amp;"","Kategori yok"))</f>
        <v/>
      </c>
    </row>
    <row r="874" customFormat="false" ht="15" hidden="false" customHeight="false" outlineLevel="0" collapsed="false">
      <c r="A874" s="12"/>
      <c r="B874" s="13"/>
      <c r="C874" s="14"/>
      <c r="D874" s="13"/>
      <c r="E874" s="15" t="str">
        <f aca="false">IF(B874="","",IFERROR(INDEX(Plan!$B$5:$B$44,MATCH(B874,Plan!$A$5:$A$44,0))&amp;"","Kategori yok"))</f>
        <v/>
      </c>
    </row>
    <row r="875" customFormat="false" ht="15" hidden="false" customHeight="false" outlineLevel="0" collapsed="false">
      <c r="A875" s="12"/>
      <c r="B875" s="13"/>
      <c r="C875" s="14"/>
      <c r="D875" s="13"/>
      <c r="E875" s="15" t="str">
        <f aca="false">IF(B875="","",IFERROR(INDEX(Plan!$B$5:$B$44,MATCH(B875,Plan!$A$5:$A$44,0))&amp;"","Kategori yok"))</f>
        <v/>
      </c>
    </row>
    <row r="876" customFormat="false" ht="15" hidden="false" customHeight="false" outlineLevel="0" collapsed="false">
      <c r="A876" s="12"/>
      <c r="B876" s="13"/>
      <c r="C876" s="14"/>
      <c r="D876" s="13"/>
      <c r="E876" s="15" t="str">
        <f aca="false">IF(B876="","",IFERROR(INDEX(Plan!$B$5:$B$44,MATCH(B876,Plan!$A$5:$A$44,0))&amp;"","Kategori yok"))</f>
        <v/>
      </c>
    </row>
    <row r="877" customFormat="false" ht="15" hidden="false" customHeight="false" outlineLevel="0" collapsed="false">
      <c r="A877" s="12"/>
      <c r="B877" s="13"/>
      <c r="C877" s="14"/>
      <c r="D877" s="13"/>
      <c r="E877" s="15" t="str">
        <f aca="false">IF(B877="","",IFERROR(INDEX(Plan!$B$5:$B$44,MATCH(B877,Plan!$A$5:$A$44,0))&amp;"","Kategori yok"))</f>
        <v/>
      </c>
    </row>
    <row r="878" customFormat="false" ht="15" hidden="false" customHeight="false" outlineLevel="0" collapsed="false">
      <c r="A878" s="12"/>
      <c r="B878" s="13"/>
      <c r="C878" s="14"/>
      <c r="D878" s="13"/>
      <c r="E878" s="15" t="str">
        <f aca="false">IF(B878="","",IFERROR(INDEX(Plan!$B$5:$B$44,MATCH(B878,Plan!$A$5:$A$44,0))&amp;"","Kategori yok"))</f>
        <v/>
      </c>
    </row>
    <row r="879" customFormat="false" ht="15" hidden="false" customHeight="false" outlineLevel="0" collapsed="false">
      <c r="A879" s="12"/>
      <c r="B879" s="13"/>
      <c r="C879" s="14"/>
      <c r="D879" s="13"/>
      <c r="E879" s="15" t="str">
        <f aca="false">IF(B879="","",IFERROR(INDEX(Plan!$B$5:$B$44,MATCH(B879,Plan!$A$5:$A$44,0))&amp;"","Kategori yok"))</f>
        <v/>
      </c>
    </row>
    <row r="880" customFormat="false" ht="15" hidden="false" customHeight="false" outlineLevel="0" collapsed="false">
      <c r="A880" s="12"/>
      <c r="B880" s="13"/>
      <c r="C880" s="14"/>
      <c r="D880" s="13"/>
      <c r="E880" s="15" t="str">
        <f aca="false">IF(B880="","",IFERROR(INDEX(Plan!$B$5:$B$44,MATCH(B880,Plan!$A$5:$A$44,0))&amp;"","Kategori yok"))</f>
        <v/>
      </c>
    </row>
    <row r="881" customFormat="false" ht="15" hidden="false" customHeight="false" outlineLevel="0" collapsed="false">
      <c r="A881" s="12"/>
      <c r="B881" s="13"/>
      <c r="C881" s="14"/>
      <c r="D881" s="13"/>
      <c r="E881" s="15" t="str">
        <f aca="false">IF(B881="","",IFERROR(INDEX(Plan!$B$5:$B$44,MATCH(B881,Plan!$A$5:$A$44,0))&amp;"","Kategori yok"))</f>
        <v/>
      </c>
    </row>
    <row r="882" customFormat="false" ht="15" hidden="false" customHeight="false" outlineLevel="0" collapsed="false">
      <c r="A882" s="12"/>
      <c r="B882" s="13"/>
      <c r="C882" s="14"/>
      <c r="D882" s="13"/>
      <c r="E882" s="15" t="str">
        <f aca="false">IF(B882="","",IFERROR(INDEX(Plan!$B$5:$B$44,MATCH(B882,Plan!$A$5:$A$44,0))&amp;"","Kategori yok"))</f>
        <v/>
      </c>
    </row>
    <row r="883" customFormat="false" ht="15" hidden="false" customHeight="false" outlineLevel="0" collapsed="false">
      <c r="A883" s="12"/>
      <c r="B883" s="13"/>
      <c r="C883" s="14"/>
      <c r="D883" s="13"/>
      <c r="E883" s="15" t="str">
        <f aca="false">IF(B883="","",IFERROR(INDEX(Plan!$B$5:$B$44,MATCH(B883,Plan!$A$5:$A$44,0))&amp;"","Kategori yok"))</f>
        <v/>
      </c>
    </row>
    <row r="884" customFormat="false" ht="15" hidden="false" customHeight="false" outlineLevel="0" collapsed="false">
      <c r="A884" s="12"/>
      <c r="B884" s="13"/>
      <c r="C884" s="14"/>
      <c r="D884" s="13"/>
      <c r="E884" s="15" t="str">
        <f aca="false">IF(B884="","",IFERROR(INDEX(Plan!$B$5:$B$44,MATCH(B884,Plan!$A$5:$A$44,0))&amp;"","Kategori yok"))</f>
        <v/>
      </c>
    </row>
    <row r="885" customFormat="false" ht="15" hidden="false" customHeight="false" outlineLevel="0" collapsed="false">
      <c r="A885" s="12"/>
      <c r="B885" s="13"/>
      <c r="C885" s="14"/>
      <c r="D885" s="13"/>
      <c r="E885" s="15" t="str">
        <f aca="false">IF(B885="","",IFERROR(INDEX(Plan!$B$5:$B$44,MATCH(B885,Plan!$A$5:$A$44,0))&amp;"","Kategori yok"))</f>
        <v/>
      </c>
    </row>
    <row r="886" customFormat="false" ht="15" hidden="false" customHeight="false" outlineLevel="0" collapsed="false">
      <c r="A886" s="12"/>
      <c r="B886" s="13"/>
      <c r="C886" s="14"/>
      <c r="D886" s="13"/>
      <c r="E886" s="15" t="str">
        <f aca="false">IF(B886="","",IFERROR(INDEX(Plan!$B$5:$B$44,MATCH(B886,Plan!$A$5:$A$44,0))&amp;"","Kategori yok"))</f>
        <v/>
      </c>
    </row>
    <row r="887" customFormat="false" ht="15" hidden="false" customHeight="false" outlineLevel="0" collapsed="false">
      <c r="A887" s="12"/>
      <c r="B887" s="13"/>
      <c r="C887" s="14"/>
      <c r="D887" s="13"/>
      <c r="E887" s="15" t="str">
        <f aca="false">IF(B887="","",IFERROR(INDEX(Plan!$B$5:$B$44,MATCH(B887,Plan!$A$5:$A$44,0))&amp;"","Kategori yok"))</f>
        <v/>
      </c>
    </row>
    <row r="888" customFormat="false" ht="15" hidden="false" customHeight="false" outlineLevel="0" collapsed="false">
      <c r="A888" s="12"/>
      <c r="B888" s="13"/>
      <c r="C888" s="14"/>
      <c r="D888" s="13"/>
      <c r="E888" s="15" t="str">
        <f aca="false">IF(B888="","",IFERROR(INDEX(Plan!$B$5:$B$44,MATCH(B888,Plan!$A$5:$A$44,0))&amp;"","Kategori yok"))</f>
        <v/>
      </c>
    </row>
    <row r="889" customFormat="false" ht="15" hidden="false" customHeight="false" outlineLevel="0" collapsed="false">
      <c r="A889" s="12"/>
      <c r="B889" s="13"/>
      <c r="C889" s="14"/>
      <c r="D889" s="13"/>
      <c r="E889" s="15" t="str">
        <f aca="false">IF(B889="","",IFERROR(INDEX(Plan!$B$5:$B$44,MATCH(B889,Plan!$A$5:$A$44,0))&amp;"","Kategori yok"))</f>
        <v/>
      </c>
    </row>
    <row r="890" customFormat="false" ht="15" hidden="false" customHeight="false" outlineLevel="0" collapsed="false">
      <c r="A890" s="12"/>
      <c r="B890" s="13"/>
      <c r="C890" s="14"/>
      <c r="D890" s="13"/>
      <c r="E890" s="15" t="str">
        <f aca="false">IF(B890="","",IFERROR(INDEX(Plan!$B$5:$B$44,MATCH(B890,Plan!$A$5:$A$44,0))&amp;"","Kategori yok"))</f>
        <v/>
      </c>
    </row>
    <row r="891" customFormat="false" ht="15" hidden="false" customHeight="false" outlineLevel="0" collapsed="false">
      <c r="A891" s="12"/>
      <c r="B891" s="13"/>
      <c r="C891" s="14"/>
      <c r="D891" s="13"/>
      <c r="E891" s="15" t="str">
        <f aca="false">IF(B891="","",IFERROR(INDEX(Plan!$B$5:$B$44,MATCH(B891,Plan!$A$5:$A$44,0))&amp;"","Kategori yok"))</f>
        <v/>
      </c>
    </row>
    <row r="892" customFormat="false" ht="15" hidden="false" customHeight="false" outlineLevel="0" collapsed="false">
      <c r="A892" s="12"/>
      <c r="B892" s="13"/>
      <c r="C892" s="14"/>
      <c r="D892" s="13"/>
      <c r="E892" s="15" t="str">
        <f aca="false">IF(B892="","",IFERROR(INDEX(Plan!$B$5:$B$44,MATCH(B892,Plan!$A$5:$A$44,0))&amp;"","Kategori yok"))</f>
        <v/>
      </c>
    </row>
    <row r="893" customFormat="false" ht="15" hidden="false" customHeight="false" outlineLevel="0" collapsed="false">
      <c r="A893" s="12"/>
      <c r="B893" s="13"/>
      <c r="C893" s="14"/>
      <c r="D893" s="13"/>
      <c r="E893" s="15" t="str">
        <f aca="false">IF(B893="","",IFERROR(INDEX(Plan!$B$5:$B$44,MATCH(B893,Plan!$A$5:$A$44,0))&amp;"","Kategori yok"))</f>
        <v/>
      </c>
    </row>
    <row r="894" customFormat="false" ht="15" hidden="false" customHeight="false" outlineLevel="0" collapsed="false">
      <c r="A894" s="12"/>
      <c r="B894" s="13"/>
      <c r="C894" s="14"/>
      <c r="D894" s="13"/>
      <c r="E894" s="15" t="str">
        <f aca="false">IF(B894="","",IFERROR(INDEX(Plan!$B$5:$B$44,MATCH(B894,Plan!$A$5:$A$44,0))&amp;"","Kategori yok"))</f>
        <v/>
      </c>
    </row>
    <row r="895" customFormat="false" ht="15" hidden="false" customHeight="false" outlineLevel="0" collapsed="false">
      <c r="A895" s="12"/>
      <c r="B895" s="13"/>
      <c r="C895" s="14"/>
      <c r="D895" s="13"/>
      <c r="E895" s="15" t="str">
        <f aca="false">IF(B895="","",IFERROR(INDEX(Plan!$B$5:$B$44,MATCH(B895,Plan!$A$5:$A$44,0))&amp;"","Kategori yok"))</f>
        <v/>
      </c>
    </row>
    <row r="896" customFormat="false" ht="15" hidden="false" customHeight="false" outlineLevel="0" collapsed="false">
      <c r="A896" s="12"/>
      <c r="B896" s="13"/>
      <c r="C896" s="14"/>
      <c r="D896" s="13"/>
      <c r="E896" s="15" t="str">
        <f aca="false">IF(B896="","",IFERROR(INDEX(Plan!$B$5:$B$44,MATCH(B896,Plan!$A$5:$A$44,0))&amp;"","Kategori yok"))</f>
        <v/>
      </c>
    </row>
    <row r="897" customFormat="false" ht="15" hidden="false" customHeight="false" outlineLevel="0" collapsed="false">
      <c r="A897" s="12"/>
      <c r="B897" s="13"/>
      <c r="C897" s="14"/>
      <c r="D897" s="13"/>
      <c r="E897" s="15" t="str">
        <f aca="false">IF(B897="","",IFERROR(INDEX(Plan!$B$5:$B$44,MATCH(B897,Plan!$A$5:$A$44,0))&amp;"","Kategori yok"))</f>
        <v/>
      </c>
    </row>
    <row r="898" customFormat="false" ht="15" hidden="false" customHeight="false" outlineLevel="0" collapsed="false">
      <c r="A898" s="12"/>
      <c r="B898" s="13"/>
      <c r="C898" s="14"/>
      <c r="D898" s="13"/>
      <c r="E898" s="15" t="str">
        <f aca="false">IF(B898="","",IFERROR(INDEX(Plan!$B$5:$B$44,MATCH(B898,Plan!$A$5:$A$44,0))&amp;"","Kategori yok"))</f>
        <v/>
      </c>
    </row>
    <row r="899" customFormat="false" ht="15" hidden="false" customHeight="false" outlineLevel="0" collapsed="false">
      <c r="A899" s="12"/>
      <c r="B899" s="13"/>
      <c r="C899" s="14"/>
      <c r="D899" s="13"/>
      <c r="E899" s="15" t="str">
        <f aca="false">IF(B899="","",IFERROR(INDEX(Plan!$B$5:$B$44,MATCH(B899,Plan!$A$5:$A$44,0))&amp;"","Kategori yok"))</f>
        <v/>
      </c>
    </row>
    <row r="900" customFormat="false" ht="15" hidden="false" customHeight="false" outlineLevel="0" collapsed="false">
      <c r="A900" s="12"/>
      <c r="B900" s="13"/>
      <c r="C900" s="14"/>
      <c r="D900" s="13"/>
      <c r="E900" s="15" t="str">
        <f aca="false">IF(B900="","",IFERROR(INDEX(Plan!$B$5:$B$44,MATCH(B900,Plan!$A$5:$A$44,0))&amp;"","Kategori yok"))</f>
        <v/>
      </c>
    </row>
    <row r="901" customFormat="false" ht="15" hidden="false" customHeight="false" outlineLevel="0" collapsed="false">
      <c r="A901" s="12"/>
      <c r="B901" s="13"/>
      <c r="C901" s="14"/>
      <c r="D901" s="13"/>
      <c r="E901" s="15" t="str">
        <f aca="false">IF(B901="","",IFERROR(INDEX(Plan!$B$5:$B$44,MATCH(B901,Plan!$A$5:$A$44,0))&amp;"","Kategori yok"))</f>
        <v/>
      </c>
    </row>
    <row r="902" customFormat="false" ht="15" hidden="false" customHeight="false" outlineLevel="0" collapsed="false">
      <c r="A902" s="12"/>
      <c r="B902" s="13"/>
      <c r="C902" s="14"/>
      <c r="D902" s="13"/>
      <c r="E902" s="15" t="str">
        <f aca="false">IF(B902="","",IFERROR(INDEX(Plan!$B$5:$B$44,MATCH(B902,Plan!$A$5:$A$44,0))&amp;"","Kategori yok"))</f>
        <v/>
      </c>
    </row>
    <row r="903" customFormat="false" ht="15" hidden="false" customHeight="false" outlineLevel="0" collapsed="false">
      <c r="A903" s="12"/>
      <c r="B903" s="13"/>
      <c r="C903" s="14"/>
      <c r="D903" s="13"/>
      <c r="E903" s="15" t="str">
        <f aca="false">IF(B903="","",IFERROR(INDEX(Plan!$B$5:$B$44,MATCH(B903,Plan!$A$5:$A$44,0))&amp;"","Kategori yok"))</f>
        <v/>
      </c>
    </row>
    <row r="904" customFormat="false" ht="15" hidden="false" customHeight="false" outlineLevel="0" collapsed="false">
      <c r="A904" s="12"/>
      <c r="B904" s="13"/>
      <c r="C904" s="14"/>
      <c r="D904" s="13"/>
      <c r="E904" s="15" t="str">
        <f aca="false">IF(B904="","",IFERROR(INDEX(Plan!$B$5:$B$44,MATCH(B904,Plan!$A$5:$A$44,0))&amp;"","Kategori yok"))</f>
        <v/>
      </c>
    </row>
    <row r="905" customFormat="false" ht="15" hidden="false" customHeight="false" outlineLevel="0" collapsed="false">
      <c r="A905" s="12"/>
      <c r="B905" s="13"/>
      <c r="C905" s="14"/>
      <c r="D905" s="13"/>
      <c r="E905" s="15" t="str">
        <f aca="false">IF(B905="","",IFERROR(INDEX(Plan!$B$5:$B$44,MATCH(B905,Plan!$A$5:$A$44,0))&amp;"","Kategori yok"))</f>
        <v/>
      </c>
    </row>
    <row r="906" customFormat="false" ht="15" hidden="false" customHeight="false" outlineLevel="0" collapsed="false">
      <c r="A906" s="12"/>
      <c r="B906" s="13"/>
      <c r="C906" s="14"/>
      <c r="D906" s="13"/>
      <c r="E906" s="15" t="str">
        <f aca="false">IF(B906="","",IFERROR(INDEX(Plan!$B$5:$B$44,MATCH(B906,Plan!$A$5:$A$44,0))&amp;"","Kategori yok"))</f>
        <v/>
      </c>
    </row>
    <row r="907" customFormat="false" ht="15" hidden="false" customHeight="false" outlineLevel="0" collapsed="false">
      <c r="A907" s="12"/>
      <c r="B907" s="13"/>
      <c r="C907" s="14"/>
      <c r="D907" s="13"/>
      <c r="E907" s="15" t="str">
        <f aca="false">IF(B907="","",IFERROR(INDEX(Plan!$B$5:$B$44,MATCH(B907,Plan!$A$5:$A$44,0))&amp;"","Kategori yok"))</f>
        <v/>
      </c>
    </row>
    <row r="908" customFormat="false" ht="15" hidden="false" customHeight="false" outlineLevel="0" collapsed="false">
      <c r="A908" s="12"/>
      <c r="B908" s="13"/>
      <c r="C908" s="14"/>
      <c r="D908" s="13"/>
      <c r="E908" s="15" t="str">
        <f aca="false">IF(B908="","",IFERROR(INDEX(Plan!$B$5:$B$44,MATCH(B908,Plan!$A$5:$A$44,0))&amp;"","Kategori yok"))</f>
        <v/>
      </c>
    </row>
    <row r="909" customFormat="false" ht="15" hidden="false" customHeight="false" outlineLevel="0" collapsed="false">
      <c r="A909" s="12"/>
      <c r="B909" s="13"/>
      <c r="C909" s="14"/>
      <c r="D909" s="13"/>
      <c r="E909" s="15" t="str">
        <f aca="false">IF(B909="","",IFERROR(INDEX(Plan!$B$5:$B$44,MATCH(B909,Plan!$A$5:$A$44,0))&amp;"","Kategori yok"))</f>
        <v/>
      </c>
    </row>
    <row r="910" customFormat="false" ht="15" hidden="false" customHeight="false" outlineLevel="0" collapsed="false">
      <c r="A910" s="12"/>
      <c r="B910" s="13"/>
      <c r="C910" s="14"/>
      <c r="D910" s="13"/>
      <c r="E910" s="15" t="str">
        <f aca="false">IF(B910="","",IFERROR(INDEX(Plan!$B$5:$B$44,MATCH(B910,Plan!$A$5:$A$44,0))&amp;"","Kategori yok"))</f>
        <v/>
      </c>
    </row>
    <row r="911" customFormat="false" ht="15" hidden="false" customHeight="false" outlineLevel="0" collapsed="false">
      <c r="A911" s="12"/>
      <c r="B911" s="13"/>
      <c r="C911" s="14"/>
      <c r="D911" s="13"/>
      <c r="E911" s="15" t="str">
        <f aca="false">IF(B911="","",IFERROR(INDEX(Plan!$B$5:$B$44,MATCH(B911,Plan!$A$5:$A$44,0))&amp;"","Kategori yok"))</f>
        <v/>
      </c>
    </row>
    <row r="912" customFormat="false" ht="15" hidden="false" customHeight="false" outlineLevel="0" collapsed="false">
      <c r="A912" s="12"/>
      <c r="B912" s="13"/>
      <c r="C912" s="14"/>
      <c r="D912" s="13"/>
      <c r="E912" s="15" t="str">
        <f aca="false">IF(B912="","",IFERROR(INDEX(Plan!$B$5:$B$44,MATCH(B912,Plan!$A$5:$A$44,0))&amp;"","Kategori yok"))</f>
        <v/>
      </c>
    </row>
    <row r="913" customFormat="false" ht="15" hidden="false" customHeight="false" outlineLevel="0" collapsed="false">
      <c r="A913" s="12"/>
      <c r="B913" s="13"/>
      <c r="C913" s="14"/>
      <c r="D913" s="13"/>
      <c r="E913" s="15" t="str">
        <f aca="false">IF(B913="","",IFERROR(INDEX(Plan!$B$5:$B$44,MATCH(B913,Plan!$A$5:$A$44,0))&amp;"","Kategori yok"))</f>
        <v/>
      </c>
    </row>
    <row r="914" customFormat="false" ht="15" hidden="false" customHeight="false" outlineLevel="0" collapsed="false">
      <c r="A914" s="12"/>
      <c r="B914" s="13"/>
      <c r="C914" s="14"/>
      <c r="D914" s="13"/>
      <c r="E914" s="15" t="str">
        <f aca="false">IF(B914="","",IFERROR(INDEX(Plan!$B$5:$B$44,MATCH(B914,Plan!$A$5:$A$44,0))&amp;"","Kategori yok"))</f>
        <v/>
      </c>
    </row>
    <row r="915" customFormat="false" ht="15" hidden="false" customHeight="false" outlineLevel="0" collapsed="false">
      <c r="A915" s="12"/>
      <c r="B915" s="13"/>
      <c r="C915" s="14"/>
      <c r="D915" s="13"/>
      <c r="E915" s="15" t="str">
        <f aca="false">IF(B915="","",IFERROR(INDEX(Plan!$B$5:$B$44,MATCH(B915,Plan!$A$5:$A$44,0))&amp;"","Kategori yok"))</f>
        <v/>
      </c>
    </row>
    <row r="916" customFormat="false" ht="15" hidden="false" customHeight="false" outlineLevel="0" collapsed="false">
      <c r="A916" s="12"/>
      <c r="B916" s="13"/>
      <c r="C916" s="14"/>
      <c r="D916" s="13"/>
      <c r="E916" s="15" t="str">
        <f aca="false">IF(B916="","",IFERROR(INDEX(Plan!$B$5:$B$44,MATCH(B916,Plan!$A$5:$A$44,0))&amp;"","Kategori yok"))</f>
        <v/>
      </c>
    </row>
    <row r="917" customFormat="false" ht="15" hidden="false" customHeight="false" outlineLevel="0" collapsed="false">
      <c r="A917" s="12"/>
      <c r="B917" s="13"/>
      <c r="C917" s="14"/>
      <c r="D917" s="13"/>
      <c r="E917" s="15" t="str">
        <f aca="false">IF(B917="","",IFERROR(INDEX(Plan!$B$5:$B$44,MATCH(B917,Plan!$A$5:$A$44,0))&amp;"","Kategori yok"))</f>
        <v/>
      </c>
    </row>
    <row r="918" customFormat="false" ht="15" hidden="false" customHeight="false" outlineLevel="0" collapsed="false">
      <c r="A918" s="12"/>
      <c r="B918" s="13"/>
      <c r="C918" s="14"/>
      <c r="D918" s="13"/>
      <c r="E918" s="15" t="str">
        <f aca="false">IF(B918="","",IFERROR(INDEX(Plan!$B$5:$B$44,MATCH(B918,Plan!$A$5:$A$44,0))&amp;"","Kategori yok"))</f>
        <v/>
      </c>
    </row>
    <row r="919" customFormat="false" ht="15" hidden="false" customHeight="false" outlineLevel="0" collapsed="false">
      <c r="A919" s="12"/>
      <c r="B919" s="13"/>
      <c r="C919" s="14"/>
      <c r="D919" s="13"/>
      <c r="E919" s="15" t="str">
        <f aca="false">IF(B919="","",IFERROR(INDEX(Plan!$B$5:$B$44,MATCH(B919,Plan!$A$5:$A$44,0))&amp;"","Kategori yok"))</f>
        <v/>
      </c>
    </row>
    <row r="920" customFormat="false" ht="15" hidden="false" customHeight="false" outlineLevel="0" collapsed="false">
      <c r="A920" s="12"/>
      <c r="B920" s="13"/>
      <c r="C920" s="14"/>
      <c r="D920" s="13"/>
      <c r="E920" s="15" t="str">
        <f aca="false">IF(B920="","",IFERROR(INDEX(Plan!$B$5:$B$44,MATCH(B920,Plan!$A$5:$A$44,0))&amp;"","Kategori yok"))</f>
        <v/>
      </c>
    </row>
    <row r="921" customFormat="false" ht="15" hidden="false" customHeight="false" outlineLevel="0" collapsed="false">
      <c r="A921" s="12"/>
      <c r="B921" s="13"/>
      <c r="C921" s="14"/>
      <c r="D921" s="13"/>
      <c r="E921" s="15" t="str">
        <f aca="false">IF(B921="","",IFERROR(INDEX(Plan!$B$5:$B$44,MATCH(B921,Plan!$A$5:$A$44,0))&amp;"","Kategori yok"))</f>
        <v/>
      </c>
    </row>
    <row r="922" customFormat="false" ht="15" hidden="false" customHeight="false" outlineLevel="0" collapsed="false">
      <c r="A922" s="12"/>
      <c r="B922" s="13"/>
      <c r="C922" s="14"/>
      <c r="D922" s="13"/>
      <c r="E922" s="15" t="str">
        <f aca="false">IF(B922="","",IFERROR(INDEX(Plan!$B$5:$B$44,MATCH(B922,Plan!$A$5:$A$44,0))&amp;"","Kategori yok"))</f>
        <v/>
      </c>
    </row>
    <row r="923" customFormat="false" ht="15" hidden="false" customHeight="false" outlineLevel="0" collapsed="false">
      <c r="A923" s="12"/>
      <c r="B923" s="13"/>
      <c r="C923" s="14"/>
      <c r="D923" s="13"/>
      <c r="E923" s="15" t="str">
        <f aca="false">IF(B923="","",IFERROR(INDEX(Plan!$B$5:$B$44,MATCH(B923,Plan!$A$5:$A$44,0))&amp;"","Kategori yok"))</f>
        <v/>
      </c>
    </row>
    <row r="924" customFormat="false" ht="15" hidden="false" customHeight="false" outlineLevel="0" collapsed="false">
      <c r="A924" s="12"/>
      <c r="B924" s="13"/>
      <c r="C924" s="14"/>
      <c r="D924" s="13"/>
      <c r="E924" s="15" t="str">
        <f aca="false">IF(B924="","",IFERROR(INDEX(Plan!$B$5:$B$44,MATCH(B924,Plan!$A$5:$A$44,0))&amp;"","Kategori yok"))</f>
        <v/>
      </c>
    </row>
    <row r="925" customFormat="false" ht="15" hidden="false" customHeight="false" outlineLevel="0" collapsed="false">
      <c r="A925" s="12"/>
      <c r="B925" s="13"/>
      <c r="C925" s="14"/>
      <c r="D925" s="13"/>
      <c r="E925" s="15" t="str">
        <f aca="false">IF(B925="","",IFERROR(INDEX(Plan!$B$5:$B$44,MATCH(B925,Plan!$A$5:$A$44,0))&amp;"","Kategori yok"))</f>
        <v/>
      </c>
    </row>
    <row r="926" customFormat="false" ht="15" hidden="false" customHeight="false" outlineLevel="0" collapsed="false">
      <c r="A926" s="12"/>
      <c r="B926" s="13"/>
      <c r="C926" s="14"/>
      <c r="D926" s="13"/>
      <c r="E926" s="15" t="str">
        <f aca="false">IF(B926="","",IFERROR(INDEX(Plan!$B$5:$B$44,MATCH(B926,Plan!$A$5:$A$44,0))&amp;"","Kategori yok"))</f>
        <v/>
      </c>
    </row>
    <row r="927" customFormat="false" ht="15" hidden="false" customHeight="false" outlineLevel="0" collapsed="false">
      <c r="A927" s="12"/>
      <c r="B927" s="13"/>
      <c r="C927" s="14"/>
      <c r="D927" s="13"/>
      <c r="E927" s="15" t="str">
        <f aca="false">IF(B927="","",IFERROR(INDEX(Plan!$B$5:$B$44,MATCH(B927,Plan!$A$5:$A$44,0))&amp;"","Kategori yok"))</f>
        <v/>
      </c>
    </row>
    <row r="928" customFormat="false" ht="15" hidden="false" customHeight="false" outlineLevel="0" collapsed="false">
      <c r="A928" s="12"/>
      <c r="B928" s="13"/>
      <c r="C928" s="14"/>
      <c r="D928" s="13"/>
      <c r="E928" s="15" t="str">
        <f aca="false">IF(B928="","",IFERROR(INDEX(Plan!$B$5:$B$44,MATCH(B928,Plan!$A$5:$A$44,0))&amp;"","Kategori yok"))</f>
        <v/>
      </c>
    </row>
    <row r="929" customFormat="false" ht="15" hidden="false" customHeight="false" outlineLevel="0" collapsed="false">
      <c r="A929" s="12"/>
      <c r="B929" s="13"/>
      <c r="C929" s="14"/>
      <c r="D929" s="13"/>
      <c r="E929" s="15" t="str">
        <f aca="false">IF(B929="","",IFERROR(INDEX(Plan!$B$5:$B$44,MATCH(B929,Plan!$A$5:$A$44,0))&amp;"","Kategori yok"))</f>
        <v/>
      </c>
    </row>
    <row r="930" customFormat="false" ht="15" hidden="false" customHeight="false" outlineLevel="0" collapsed="false">
      <c r="A930" s="12"/>
      <c r="B930" s="13"/>
      <c r="C930" s="14"/>
      <c r="D930" s="13"/>
      <c r="E930" s="15" t="str">
        <f aca="false">IF(B930="","",IFERROR(INDEX(Plan!$B$5:$B$44,MATCH(B930,Plan!$A$5:$A$44,0))&amp;"","Kategori yok"))</f>
        <v/>
      </c>
    </row>
    <row r="931" customFormat="false" ht="15" hidden="false" customHeight="false" outlineLevel="0" collapsed="false">
      <c r="A931" s="12"/>
      <c r="B931" s="13"/>
      <c r="C931" s="14"/>
      <c r="D931" s="13"/>
      <c r="E931" s="15" t="str">
        <f aca="false">IF(B931="","",IFERROR(INDEX(Plan!$B$5:$B$44,MATCH(B931,Plan!$A$5:$A$44,0))&amp;"","Kategori yok"))</f>
        <v/>
      </c>
    </row>
    <row r="932" customFormat="false" ht="15" hidden="false" customHeight="false" outlineLevel="0" collapsed="false">
      <c r="A932" s="12"/>
      <c r="B932" s="13"/>
      <c r="C932" s="14"/>
      <c r="D932" s="13"/>
      <c r="E932" s="15" t="str">
        <f aca="false">IF(B932="","",IFERROR(INDEX(Plan!$B$5:$B$44,MATCH(B932,Plan!$A$5:$A$44,0))&amp;"","Kategori yok"))</f>
        <v/>
      </c>
    </row>
    <row r="933" customFormat="false" ht="15" hidden="false" customHeight="false" outlineLevel="0" collapsed="false">
      <c r="A933" s="12"/>
      <c r="B933" s="13"/>
      <c r="C933" s="14"/>
      <c r="D933" s="13"/>
      <c r="E933" s="15" t="str">
        <f aca="false">IF(B933="","",IFERROR(INDEX(Plan!$B$5:$B$44,MATCH(B933,Plan!$A$5:$A$44,0))&amp;"","Kategori yok"))</f>
        <v/>
      </c>
    </row>
    <row r="934" customFormat="false" ht="15" hidden="false" customHeight="false" outlineLevel="0" collapsed="false">
      <c r="A934" s="12"/>
      <c r="B934" s="13"/>
      <c r="C934" s="14"/>
      <c r="D934" s="13"/>
      <c r="E934" s="15" t="str">
        <f aca="false">IF(B934="","",IFERROR(INDEX(Plan!$B$5:$B$44,MATCH(B934,Plan!$A$5:$A$44,0))&amp;"","Kategori yok"))</f>
        <v/>
      </c>
    </row>
    <row r="935" customFormat="false" ht="15" hidden="false" customHeight="false" outlineLevel="0" collapsed="false">
      <c r="A935" s="12"/>
      <c r="B935" s="13"/>
      <c r="C935" s="14"/>
      <c r="D935" s="13"/>
      <c r="E935" s="15" t="str">
        <f aca="false">IF(B935="","",IFERROR(INDEX(Plan!$B$5:$B$44,MATCH(B935,Plan!$A$5:$A$44,0))&amp;"","Kategori yok"))</f>
        <v/>
      </c>
    </row>
    <row r="936" customFormat="false" ht="15" hidden="false" customHeight="false" outlineLevel="0" collapsed="false">
      <c r="A936" s="12"/>
      <c r="B936" s="13"/>
      <c r="C936" s="14"/>
      <c r="D936" s="13"/>
      <c r="E936" s="15" t="str">
        <f aca="false">IF(B936="","",IFERROR(INDEX(Plan!$B$5:$B$44,MATCH(B936,Plan!$A$5:$A$44,0))&amp;"","Kategori yok"))</f>
        <v/>
      </c>
    </row>
    <row r="937" customFormat="false" ht="15" hidden="false" customHeight="false" outlineLevel="0" collapsed="false">
      <c r="A937" s="12"/>
      <c r="B937" s="13"/>
      <c r="C937" s="14"/>
      <c r="D937" s="13"/>
      <c r="E937" s="15" t="str">
        <f aca="false">IF(B937="","",IFERROR(INDEX(Plan!$B$5:$B$44,MATCH(B937,Plan!$A$5:$A$44,0))&amp;"","Kategori yok"))</f>
        <v/>
      </c>
    </row>
    <row r="938" customFormat="false" ht="15" hidden="false" customHeight="false" outlineLevel="0" collapsed="false">
      <c r="A938" s="12"/>
      <c r="B938" s="13"/>
      <c r="C938" s="14"/>
      <c r="D938" s="13"/>
      <c r="E938" s="15" t="str">
        <f aca="false">IF(B938="","",IFERROR(INDEX(Plan!$B$5:$B$44,MATCH(B938,Plan!$A$5:$A$44,0))&amp;"","Kategori yok"))</f>
        <v/>
      </c>
    </row>
    <row r="939" customFormat="false" ht="15" hidden="false" customHeight="false" outlineLevel="0" collapsed="false">
      <c r="A939" s="12"/>
      <c r="B939" s="13"/>
      <c r="C939" s="14"/>
      <c r="D939" s="13"/>
      <c r="E939" s="15" t="str">
        <f aca="false">IF(B939="","",IFERROR(INDEX(Plan!$B$5:$B$44,MATCH(B939,Plan!$A$5:$A$44,0))&amp;"","Kategori yok"))</f>
        <v/>
      </c>
    </row>
    <row r="940" customFormat="false" ht="15" hidden="false" customHeight="false" outlineLevel="0" collapsed="false">
      <c r="A940" s="12"/>
      <c r="B940" s="13"/>
      <c r="C940" s="14"/>
      <c r="D940" s="13"/>
      <c r="E940" s="15" t="str">
        <f aca="false">IF(B940="","",IFERROR(INDEX(Plan!$B$5:$B$44,MATCH(B940,Plan!$A$5:$A$44,0))&amp;"","Kategori yok"))</f>
        <v/>
      </c>
    </row>
    <row r="941" customFormat="false" ht="15" hidden="false" customHeight="false" outlineLevel="0" collapsed="false">
      <c r="A941" s="12"/>
      <c r="B941" s="13"/>
      <c r="C941" s="14"/>
      <c r="D941" s="13"/>
      <c r="E941" s="15" t="str">
        <f aca="false">IF(B941="","",IFERROR(INDEX(Plan!$B$5:$B$44,MATCH(B941,Plan!$A$5:$A$44,0))&amp;"","Kategori yok"))</f>
        <v/>
      </c>
    </row>
    <row r="942" customFormat="false" ht="15" hidden="false" customHeight="false" outlineLevel="0" collapsed="false">
      <c r="A942" s="12"/>
      <c r="B942" s="13"/>
      <c r="C942" s="14"/>
      <c r="D942" s="13"/>
      <c r="E942" s="15" t="str">
        <f aca="false">IF(B942="","",IFERROR(INDEX(Plan!$B$5:$B$44,MATCH(B942,Plan!$A$5:$A$44,0))&amp;"","Kategori yok"))</f>
        <v/>
      </c>
    </row>
    <row r="943" customFormat="false" ht="15" hidden="false" customHeight="false" outlineLevel="0" collapsed="false">
      <c r="A943" s="12"/>
      <c r="B943" s="13"/>
      <c r="C943" s="14"/>
      <c r="D943" s="13"/>
      <c r="E943" s="15" t="str">
        <f aca="false">IF(B943="","",IFERROR(INDEX(Plan!$B$5:$B$44,MATCH(B943,Plan!$A$5:$A$44,0))&amp;"","Kategori yok"))</f>
        <v/>
      </c>
    </row>
    <row r="944" customFormat="false" ht="15" hidden="false" customHeight="false" outlineLevel="0" collapsed="false">
      <c r="A944" s="12"/>
      <c r="B944" s="13"/>
      <c r="C944" s="14"/>
      <c r="D944" s="13"/>
      <c r="E944" s="15" t="str">
        <f aca="false">IF(B944="","",IFERROR(INDEX(Plan!$B$5:$B$44,MATCH(B944,Plan!$A$5:$A$44,0))&amp;"","Kategori yok"))</f>
        <v/>
      </c>
    </row>
    <row r="945" customFormat="false" ht="15" hidden="false" customHeight="false" outlineLevel="0" collapsed="false">
      <c r="A945" s="12"/>
      <c r="B945" s="13"/>
      <c r="C945" s="14"/>
      <c r="D945" s="13"/>
      <c r="E945" s="15" t="str">
        <f aca="false">IF(B945="","",IFERROR(INDEX(Plan!$B$5:$B$44,MATCH(B945,Plan!$A$5:$A$44,0))&amp;"","Kategori yok"))</f>
        <v/>
      </c>
    </row>
    <row r="946" customFormat="false" ht="15" hidden="false" customHeight="false" outlineLevel="0" collapsed="false">
      <c r="A946" s="12"/>
      <c r="B946" s="13"/>
      <c r="C946" s="14"/>
      <c r="D946" s="13"/>
      <c r="E946" s="15" t="str">
        <f aca="false">IF(B946="","",IFERROR(INDEX(Plan!$B$5:$B$44,MATCH(B946,Plan!$A$5:$A$44,0))&amp;"","Kategori yok"))</f>
        <v/>
      </c>
    </row>
    <row r="947" customFormat="false" ht="15" hidden="false" customHeight="false" outlineLevel="0" collapsed="false">
      <c r="A947" s="12"/>
      <c r="B947" s="13"/>
      <c r="C947" s="14"/>
      <c r="D947" s="13"/>
      <c r="E947" s="15" t="str">
        <f aca="false">IF(B947="","",IFERROR(INDEX(Plan!$B$5:$B$44,MATCH(B947,Plan!$A$5:$A$44,0))&amp;"","Kategori yok"))</f>
        <v/>
      </c>
    </row>
    <row r="948" customFormat="false" ht="15" hidden="false" customHeight="false" outlineLevel="0" collapsed="false">
      <c r="A948" s="12"/>
      <c r="B948" s="13"/>
      <c r="C948" s="14"/>
      <c r="D948" s="13"/>
      <c r="E948" s="15" t="str">
        <f aca="false">IF(B948="","",IFERROR(INDEX(Plan!$B$5:$B$44,MATCH(B948,Plan!$A$5:$A$44,0))&amp;"","Kategori yok"))</f>
        <v/>
      </c>
    </row>
    <row r="949" customFormat="false" ht="15" hidden="false" customHeight="false" outlineLevel="0" collapsed="false">
      <c r="A949" s="12"/>
      <c r="B949" s="13"/>
      <c r="C949" s="14"/>
      <c r="D949" s="13"/>
      <c r="E949" s="15" t="str">
        <f aca="false">IF(B949="","",IFERROR(INDEX(Plan!$B$5:$B$44,MATCH(B949,Plan!$A$5:$A$44,0))&amp;"","Kategori yok"))</f>
        <v/>
      </c>
    </row>
    <row r="950" customFormat="false" ht="15" hidden="false" customHeight="false" outlineLevel="0" collapsed="false">
      <c r="A950" s="12"/>
      <c r="B950" s="13"/>
      <c r="C950" s="14"/>
      <c r="D950" s="13"/>
      <c r="E950" s="15" t="str">
        <f aca="false">IF(B950="","",IFERROR(INDEX(Plan!$B$5:$B$44,MATCH(B950,Plan!$A$5:$A$44,0))&amp;"","Kategori yok"))</f>
        <v/>
      </c>
    </row>
    <row r="951" customFormat="false" ht="15" hidden="false" customHeight="false" outlineLevel="0" collapsed="false">
      <c r="A951" s="12"/>
      <c r="B951" s="13"/>
      <c r="C951" s="14"/>
      <c r="D951" s="13"/>
      <c r="E951" s="15" t="str">
        <f aca="false">IF(B951="","",IFERROR(INDEX(Plan!$B$5:$B$44,MATCH(B951,Plan!$A$5:$A$44,0))&amp;"","Kategori yok"))</f>
        <v/>
      </c>
    </row>
    <row r="952" customFormat="false" ht="15" hidden="false" customHeight="false" outlineLevel="0" collapsed="false">
      <c r="A952" s="12"/>
      <c r="B952" s="13"/>
      <c r="C952" s="14"/>
      <c r="D952" s="13"/>
      <c r="E952" s="15" t="str">
        <f aca="false">IF(B952="","",IFERROR(INDEX(Plan!$B$5:$B$44,MATCH(B952,Plan!$A$5:$A$44,0))&amp;"","Kategori yok"))</f>
        <v/>
      </c>
    </row>
    <row r="953" customFormat="false" ht="15" hidden="false" customHeight="false" outlineLevel="0" collapsed="false">
      <c r="A953" s="12"/>
      <c r="B953" s="13"/>
      <c r="C953" s="14"/>
      <c r="D953" s="13"/>
      <c r="E953" s="15" t="str">
        <f aca="false">IF(B953="","",IFERROR(INDEX(Plan!$B$5:$B$44,MATCH(B953,Plan!$A$5:$A$44,0))&amp;"","Kategori yok"))</f>
        <v/>
      </c>
    </row>
    <row r="954" customFormat="false" ht="15" hidden="false" customHeight="false" outlineLevel="0" collapsed="false">
      <c r="A954" s="12"/>
      <c r="B954" s="13"/>
      <c r="C954" s="14"/>
      <c r="D954" s="13"/>
      <c r="E954" s="15" t="str">
        <f aca="false">IF(B954="","",IFERROR(INDEX(Plan!$B$5:$B$44,MATCH(B954,Plan!$A$5:$A$44,0))&amp;"","Kategori yok"))</f>
        <v/>
      </c>
    </row>
    <row r="955" customFormat="false" ht="15" hidden="false" customHeight="false" outlineLevel="0" collapsed="false">
      <c r="A955" s="12"/>
      <c r="B955" s="13"/>
      <c r="C955" s="14"/>
      <c r="D955" s="13"/>
      <c r="E955" s="15" t="str">
        <f aca="false">IF(B955="","",IFERROR(INDEX(Plan!$B$5:$B$44,MATCH(B955,Plan!$A$5:$A$44,0))&amp;"","Kategori yok"))</f>
        <v/>
      </c>
    </row>
    <row r="956" customFormat="false" ht="15" hidden="false" customHeight="false" outlineLevel="0" collapsed="false">
      <c r="A956" s="12"/>
      <c r="B956" s="13"/>
      <c r="C956" s="14"/>
      <c r="D956" s="13"/>
      <c r="E956" s="15" t="str">
        <f aca="false">IF(B956="","",IFERROR(INDEX(Plan!$B$5:$B$44,MATCH(B956,Plan!$A$5:$A$44,0))&amp;"","Kategori yok"))</f>
        <v/>
      </c>
    </row>
    <row r="957" customFormat="false" ht="15" hidden="false" customHeight="false" outlineLevel="0" collapsed="false">
      <c r="A957" s="12"/>
      <c r="B957" s="13"/>
      <c r="C957" s="14"/>
      <c r="D957" s="13"/>
      <c r="E957" s="15" t="str">
        <f aca="false">IF(B957="","",IFERROR(INDEX(Plan!$B$5:$B$44,MATCH(B957,Plan!$A$5:$A$44,0))&amp;"","Kategori yok"))</f>
        <v/>
      </c>
    </row>
    <row r="958" customFormat="false" ht="15" hidden="false" customHeight="false" outlineLevel="0" collapsed="false">
      <c r="A958" s="12"/>
      <c r="B958" s="13"/>
      <c r="C958" s="14"/>
      <c r="D958" s="13"/>
      <c r="E958" s="15" t="str">
        <f aca="false">IF(B958="","",IFERROR(INDEX(Plan!$B$5:$B$44,MATCH(B958,Plan!$A$5:$A$44,0))&amp;"","Kategori yok"))</f>
        <v/>
      </c>
    </row>
    <row r="959" customFormat="false" ht="15" hidden="false" customHeight="false" outlineLevel="0" collapsed="false">
      <c r="A959" s="12"/>
      <c r="B959" s="13"/>
      <c r="C959" s="14"/>
      <c r="D959" s="13"/>
      <c r="E959" s="15" t="str">
        <f aca="false">IF(B959="","",IFERROR(INDEX(Plan!$B$5:$B$44,MATCH(B959,Plan!$A$5:$A$44,0))&amp;"","Kategori yok"))</f>
        <v/>
      </c>
    </row>
    <row r="960" customFormat="false" ht="15" hidden="false" customHeight="false" outlineLevel="0" collapsed="false">
      <c r="A960" s="12"/>
      <c r="B960" s="13"/>
      <c r="C960" s="14"/>
      <c r="D960" s="13"/>
      <c r="E960" s="15" t="str">
        <f aca="false">IF(B960="","",IFERROR(INDEX(Plan!$B$5:$B$44,MATCH(B960,Plan!$A$5:$A$44,0))&amp;"","Kategori yok"))</f>
        <v/>
      </c>
    </row>
    <row r="961" customFormat="false" ht="15" hidden="false" customHeight="false" outlineLevel="0" collapsed="false">
      <c r="A961" s="12"/>
      <c r="B961" s="13"/>
      <c r="C961" s="14"/>
      <c r="D961" s="13"/>
      <c r="E961" s="15" t="str">
        <f aca="false">IF(B961="","",IFERROR(INDEX(Plan!$B$5:$B$44,MATCH(B961,Plan!$A$5:$A$44,0))&amp;"","Kategori yok"))</f>
        <v/>
      </c>
    </row>
    <row r="962" customFormat="false" ht="15" hidden="false" customHeight="false" outlineLevel="0" collapsed="false">
      <c r="A962" s="12"/>
      <c r="B962" s="13"/>
      <c r="C962" s="14"/>
      <c r="D962" s="13"/>
      <c r="E962" s="15" t="str">
        <f aca="false">IF(B962="","",IFERROR(INDEX(Plan!$B$5:$B$44,MATCH(B962,Plan!$A$5:$A$44,0))&amp;"","Kategori yok"))</f>
        <v/>
      </c>
    </row>
    <row r="963" customFormat="false" ht="15" hidden="false" customHeight="false" outlineLevel="0" collapsed="false">
      <c r="A963" s="12"/>
      <c r="B963" s="13"/>
      <c r="C963" s="14"/>
      <c r="D963" s="13"/>
      <c r="E963" s="15" t="str">
        <f aca="false">IF(B963="","",IFERROR(INDEX(Plan!$B$5:$B$44,MATCH(B963,Plan!$A$5:$A$44,0))&amp;"","Kategori yok"))</f>
        <v/>
      </c>
    </row>
    <row r="964" customFormat="false" ht="15" hidden="false" customHeight="false" outlineLevel="0" collapsed="false">
      <c r="A964" s="12"/>
      <c r="B964" s="13"/>
      <c r="C964" s="14"/>
      <c r="D964" s="13"/>
      <c r="E964" s="15" t="str">
        <f aca="false">IF(B964="","",IFERROR(INDEX(Plan!$B$5:$B$44,MATCH(B964,Plan!$A$5:$A$44,0))&amp;"","Kategori yok"))</f>
        <v/>
      </c>
    </row>
    <row r="965" customFormat="false" ht="15" hidden="false" customHeight="false" outlineLevel="0" collapsed="false">
      <c r="A965" s="12"/>
      <c r="B965" s="13"/>
      <c r="C965" s="14"/>
      <c r="D965" s="13"/>
      <c r="E965" s="15" t="str">
        <f aca="false">IF(B965="","",IFERROR(INDEX(Plan!$B$5:$B$44,MATCH(B965,Plan!$A$5:$A$44,0))&amp;"","Kategori yok"))</f>
        <v/>
      </c>
    </row>
    <row r="966" customFormat="false" ht="15" hidden="false" customHeight="false" outlineLevel="0" collapsed="false">
      <c r="A966" s="12"/>
      <c r="B966" s="13"/>
      <c r="C966" s="14"/>
      <c r="D966" s="13"/>
      <c r="E966" s="15" t="str">
        <f aca="false">IF(B966="","",IFERROR(INDEX(Plan!$B$5:$B$44,MATCH(B966,Plan!$A$5:$A$44,0))&amp;"","Kategori yok"))</f>
        <v/>
      </c>
    </row>
    <row r="967" customFormat="false" ht="15" hidden="false" customHeight="false" outlineLevel="0" collapsed="false">
      <c r="A967" s="12"/>
      <c r="B967" s="13"/>
      <c r="C967" s="14"/>
      <c r="D967" s="13"/>
      <c r="E967" s="15" t="str">
        <f aca="false">IF(B967="","",IFERROR(INDEX(Plan!$B$5:$B$44,MATCH(B967,Plan!$A$5:$A$44,0))&amp;"","Kategori yok"))</f>
        <v/>
      </c>
    </row>
    <row r="968" customFormat="false" ht="15" hidden="false" customHeight="false" outlineLevel="0" collapsed="false">
      <c r="A968" s="12"/>
      <c r="B968" s="13"/>
      <c r="C968" s="14"/>
      <c r="D968" s="13"/>
      <c r="E968" s="15" t="str">
        <f aca="false">IF(B968="","",IFERROR(INDEX(Plan!$B$5:$B$44,MATCH(B968,Plan!$A$5:$A$44,0))&amp;"","Kategori yok"))</f>
        <v/>
      </c>
    </row>
    <row r="969" customFormat="false" ht="15" hidden="false" customHeight="false" outlineLevel="0" collapsed="false">
      <c r="A969" s="12"/>
      <c r="B969" s="13"/>
      <c r="C969" s="14"/>
      <c r="D969" s="13"/>
      <c r="E969" s="15" t="str">
        <f aca="false">IF(B969="","",IFERROR(INDEX(Plan!$B$5:$B$44,MATCH(B969,Plan!$A$5:$A$44,0))&amp;"","Kategori yok"))</f>
        <v/>
      </c>
    </row>
    <row r="970" customFormat="false" ht="15" hidden="false" customHeight="false" outlineLevel="0" collapsed="false">
      <c r="A970" s="12"/>
      <c r="B970" s="13"/>
      <c r="C970" s="14"/>
      <c r="D970" s="13"/>
      <c r="E970" s="15" t="str">
        <f aca="false">IF(B970="","",IFERROR(INDEX(Plan!$B$5:$B$44,MATCH(B970,Plan!$A$5:$A$44,0))&amp;"","Kategori yok"))</f>
        <v/>
      </c>
    </row>
    <row r="971" customFormat="false" ht="15" hidden="false" customHeight="false" outlineLevel="0" collapsed="false">
      <c r="A971" s="12"/>
      <c r="B971" s="13"/>
      <c r="C971" s="14"/>
      <c r="D971" s="13"/>
      <c r="E971" s="15" t="str">
        <f aca="false">IF(B971="","",IFERROR(INDEX(Plan!$B$5:$B$44,MATCH(B971,Plan!$A$5:$A$44,0))&amp;"","Kategori yok"))</f>
        <v/>
      </c>
    </row>
    <row r="972" customFormat="false" ht="15" hidden="false" customHeight="false" outlineLevel="0" collapsed="false">
      <c r="A972" s="12"/>
      <c r="B972" s="13"/>
      <c r="C972" s="14"/>
      <c r="D972" s="13"/>
      <c r="E972" s="15" t="str">
        <f aca="false">IF(B972="","",IFERROR(INDEX(Plan!$B$5:$B$44,MATCH(B972,Plan!$A$5:$A$44,0))&amp;"","Kategori yok"))</f>
        <v/>
      </c>
    </row>
    <row r="973" customFormat="false" ht="15" hidden="false" customHeight="false" outlineLevel="0" collapsed="false">
      <c r="A973" s="12"/>
      <c r="B973" s="13"/>
      <c r="C973" s="14"/>
      <c r="D973" s="13"/>
      <c r="E973" s="15" t="str">
        <f aca="false">IF(B973="","",IFERROR(INDEX(Plan!$B$5:$B$44,MATCH(B973,Plan!$A$5:$A$44,0))&amp;"","Kategori yok"))</f>
        <v/>
      </c>
    </row>
    <row r="974" customFormat="false" ht="15" hidden="false" customHeight="false" outlineLevel="0" collapsed="false">
      <c r="A974" s="12"/>
      <c r="B974" s="13"/>
      <c r="C974" s="14"/>
      <c r="D974" s="13"/>
      <c r="E974" s="15" t="str">
        <f aca="false">IF(B974="","",IFERROR(INDEX(Plan!$B$5:$B$44,MATCH(B974,Plan!$A$5:$A$44,0))&amp;"","Kategori yok"))</f>
        <v/>
      </c>
    </row>
    <row r="975" customFormat="false" ht="15" hidden="false" customHeight="false" outlineLevel="0" collapsed="false">
      <c r="A975" s="12"/>
      <c r="B975" s="13"/>
      <c r="C975" s="14"/>
      <c r="D975" s="13"/>
      <c r="E975" s="15" t="str">
        <f aca="false">IF(B975="","",IFERROR(INDEX(Plan!$B$5:$B$44,MATCH(B975,Plan!$A$5:$A$44,0))&amp;"","Kategori yok"))</f>
        <v/>
      </c>
    </row>
    <row r="976" customFormat="false" ht="15" hidden="false" customHeight="false" outlineLevel="0" collapsed="false">
      <c r="A976" s="12"/>
      <c r="B976" s="13"/>
      <c r="C976" s="14"/>
      <c r="D976" s="13"/>
      <c r="E976" s="15" t="str">
        <f aca="false">IF(B976="","",IFERROR(INDEX(Plan!$B$5:$B$44,MATCH(B976,Plan!$A$5:$A$44,0))&amp;"","Kategori yok"))</f>
        <v/>
      </c>
    </row>
    <row r="977" customFormat="false" ht="15" hidden="false" customHeight="false" outlineLevel="0" collapsed="false">
      <c r="A977" s="12"/>
      <c r="B977" s="13"/>
      <c r="C977" s="14"/>
      <c r="D977" s="13"/>
      <c r="E977" s="15" t="str">
        <f aca="false">IF(B977="","",IFERROR(INDEX(Plan!$B$5:$B$44,MATCH(B977,Plan!$A$5:$A$44,0))&amp;"","Kategori yok"))</f>
        <v/>
      </c>
    </row>
    <row r="978" customFormat="false" ht="15" hidden="false" customHeight="false" outlineLevel="0" collapsed="false">
      <c r="A978" s="12"/>
      <c r="B978" s="13"/>
      <c r="C978" s="14"/>
      <c r="D978" s="13"/>
      <c r="E978" s="15" t="str">
        <f aca="false">IF(B978="","",IFERROR(INDEX(Plan!$B$5:$B$44,MATCH(B978,Plan!$A$5:$A$44,0))&amp;"","Kategori yok"))</f>
        <v/>
      </c>
    </row>
    <row r="979" customFormat="false" ht="15" hidden="false" customHeight="false" outlineLevel="0" collapsed="false">
      <c r="A979" s="12"/>
      <c r="B979" s="13"/>
      <c r="C979" s="14"/>
      <c r="D979" s="13"/>
      <c r="E979" s="15" t="str">
        <f aca="false">IF(B979="","",IFERROR(INDEX(Plan!$B$5:$B$44,MATCH(B979,Plan!$A$5:$A$44,0))&amp;"","Kategori yok"))</f>
        <v/>
      </c>
    </row>
    <row r="980" customFormat="false" ht="15" hidden="false" customHeight="false" outlineLevel="0" collapsed="false">
      <c r="A980" s="12"/>
      <c r="B980" s="13"/>
      <c r="C980" s="14"/>
      <c r="D980" s="13"/>
      <c r="E980" s="15" t="str">
        <f aca="false">IF(B980="","",IFERROR(INDEX(Plan!$B$5:$B$44,MATCH(B980,Plan!$A$5:$A$44,0))&amp;"","Kategori yok"))</f>
        <v/>
      </c>
    </row>
    <row r="981" customFormat="false" ht="15" hidden="false" customHeight="false" outlineLevel="0" collapsed="false">
      <c r="A981" s="12"/>
      <c r="B981" s="13"/>
      <c r="C981" s="14"/>
      <c r="D981" s="13"/>
      <c r="E981" s="15" t="str">
        <f aca="false">IF(B981="","",IFERROR(INDEX(Plan!$B$5:$B$44,MATCH(B981,Plan!$A$5:$A$44,0))&amp;"","Kategori yok"))</f>
        <v/>
      </c>
    </row>
    <row r="982" customFormat="false" ht="15" hidden="false" customHeight="false" outlineLevel="0" collapsed="false">
      <c r="A982" s="12"/>
      <c r="B982" s="13"/>
      <c r="C982" s="14"/>
      <c r="D982" s="13"/>
      <c r="E982" s="15" t="str">
        <f aca="false">IF(B982="","",IFERROR(INDEX(Plan!$B$5:$B$44,MATCH(B982,Plan!$A$5:$A$44,0))&amp;"","Kategori yok"))</f>
        <v/>
      </c>
    </row>
    <row r="983" customFormat="false" ht="15" hidden="false" customHeight="false" outlineLevel="0" collapsed="false">
      <c r="A983" s="12"/>
      <c r="B983" s="13"/>
      <c r="C983" s="14"/>
      <c r="D983" s="13"/>
      <c r="E983" s="15" t="str">
        <f aca="false">IF(B983="","",IFERROR(INDEX(Plan!$B$5:$B$44,MATCH(B983,Plan!$A$5:$A$44,0))&amp;"","Kategori yok"))</f>
        <v/>
      </c>
    </row>
    <row r="984" customFormat="false" ht="15" hidden="false" customHeight="false" outlineLevel="0" collapsed="false">
      <c r="A984" s="12"/>
      <c r="B984" s="13"/>
      <c r="C984" s="14"/>
      <c r="D984" s="13"/>
      <c r="E984" s="15" t="str">
        <f aca="false">IF(B984="","",IFERROR(INDEX(Plan!$B$5:$B$44,MATCH(B984,Plan!$A$5:$A$44,0))&amp;"","Kategori yok"))</f>
        <v/>
      </c>
    </row>
    <row r="985" customFormat="false" ht="15" hidden="false" customHeight="false" outlineLevel="0" collapsed="false">
      <c r="A985" s="12"/>
      <c r="B985" s="13"/>
      <c r="C985" s="14"/>
      <c r="D985" s="13"/>
      <c r="E985" s="15" t="str">
        <f aca="false">IF(B985="","",IFERROR(INDEX(Plan!$B$5:$B$44,MATCH(B985,Plan!$A$5:$A$44,0))&amp;"","Kategori yok"))</f>
        <v/>
      </c>
    </row>
    <row r="986" customFormat="false" ht="15" hidden="false" customHeight="false" outlineLevel="0" collapsed="false">
      <c r="A986" s="12"/>
      <c r="B986" s="13"/>
      <c r="C986" s="14"/>
      <c r="D986" s="13"/>
      <c r="E986" s="15" t="str">
        <f aca="false">IF(B986="","",IFERROR(INDEX(Plan!$B$5:$B$44,MATCH(B986,Plan!$A$5:$A$44,0))&amp;"","Kategori yok"))</f>
        <v/>
      </c>
    </row>
    <row r="987" customFormat="false" ht="15" hidden="false" customHeight="false" outlineLevel="0" collapsed="false">
      <c r="A987" s="12"/>
      <c r="B987" s="13"/>
      <c r="C987" s="14"/>
      <c r="D987" s="13"/>
      <c r="E987" s="15" t="str">
        <f aca="false">IF(B987="","",IFERROR(INDEX(Plan!$B$5:$B$44,MATCH(B987,Plan!$A$5:$A$44,0))&amp;"","Kategori yok"))</f>
        <v/>
      </c>
    </row>
    <row r="988" customFormat="false" ht="15" hidden="false" customHeight="false" outlineLevel="0" collapsed="false">
      <c r="A988" s="12"/>
      <c r="B988" s="13"/>
      <c r="C988" s="14"/>
      <c r="D988" s="13"/>
      <c r="E988" s="15" t="str">
        <f aca="false">IF(B988="","",IFERROR(INDEX(Plan!$B$5:$B$44,MATCH(B988,Plan!$A$5:$A$44,0))&amp;"","Kategori yok"))</f>
        <v/>
      </c>
    </row>
    <row r="989" customFormat="false" ht="15" hidden="false" customHeight="false" outlineLevel="0" collapsed="false">
      <c r="A989" s="12"/>
      <c r="B989" s="13"/>
      <c r="C989" s="14"/>
      <c r="D989" s="13"/>
      <c r="E989" s="15" t="str">
        <f aca="false">IF(B989="","",IFERROR(INDEX(Plan!$B$5:$B$44,MATCH(B989,Plan!$A$5:$A$44,0))&amp;"","Kategori yok"))</f>
        <v/>
      </c>
    </row>
    <row r="990" customFormat="false" ht="15" hidden="false" customHeight="false" outlineLevel="0" collapsed="false">
      <c r="A990" s="12"/>
      <c r="B990" s="13"/>
      <c r="C990" s="14"/>
      <c r="D990" s="13"/>
      <c r="E990" s="15" t="str">
        <f aca="false">IF(B990="","",IFERROR(INDEX(Plan!$B$5:$B$44,MATCH(B990,Plan!$A$5:$A$44,0))&amp;"","Kategori yok"))</f>
        <v/>
      </c>
    </row>
    <row r="991" customFormat="false" ht="15" hidden="false" customHeight="false" outlineLevel="0" collapsed="false">
      <c r="A991" s="12"/>
      <c r="B991" s="13"/>
      <c r="C991" s="14"/>
      <c r="D991" s="13"/>
      <c r="E991" s="15" t="str">
        <f aca="false">IF(B991="","",IFERROR(INDEX(Plan!$B$5:$B$44,MATCH(B991,Plan!$A$5:$A$44,0))&amp;"","Kategori yok"))</f>
        <v/>
      </c>
    </row>
    <row r="992" customFormat="false" ht="15" hidden="false" customHeight="false" outlineLevel="0" collapsed="false">
      <c r="A992" s="12"/>
      <c r="B992" s="13"/>
      <c r="C992" s="14"/>
      <c r="D992" s="13"/>
      <c r="E992" s="15" t="str">
        <f aca="false">IF(B992="","",IFERROR(INDEX(Plan!$B$5:$B$44,MATCH(B992,Plan!$A$5:$A$44,0))&amp;"","Kategori yok"))</f>
        <v/>
      </c>
    </row>
    <row r="993" customFormat="false" ht="15" hidden="false" customHeight="false" outlineLevel="0" collapsed="false">
      <c r="A993" s="12"/>
      <c r="B993" s="13"/>
      <c r="C993" s="14"/>
      <c r="D993" s="13"/>
      <c r="E993" s="15" t="str">
        <f aca="false">IF(B993="","",IFERROR(INDEX(Plan!$B$5:$B$44,MATCH(B993,Plan!$A$5:$A$44,0))&amp;"","Kategori yok"))</f>
        <v/>
      </c>
    </row>
    <row r="994" customFormat="false" ht="15" hidden="false" customHeight="false" outlineLevel="0" collapsed="false">
      <c r="A994" s="12"/>
      <c r="B994" s="13"/>
      <c r="C994" s="14"/>
      <c r="D994" s="13"/>
      <c r="E994" s="15" t="str">
        <f aca="false">IF(B994="","",IFERROR(INDEX(Plan!$B$5:$B$44,MATCH(B994,Plan!$A$5:$A$44,0))&amp;"","Kategori yok"))</f>
        <v/>
      </c>
    </row>
    <row r="995" customFormat="false" ht="15" hidden="false" customHeight="false" outlineLevel="0" collapsed="false">
      <c r="A995" s="12"/>
      <c r="B995" s="13"/>
      <c r="C995" s="14"/>
      <c r="D995" s="13"/>
      <c r="E995" s="15" t="str">
        <f aca="false">IF(B995="","",IFERROR(INDEX(Plan!$B$5:$B$44,MATCH(B995,Plan!$A$5:$A$44,0))&amp;"","Kategori yok"))</f>
        <v/>
      </c>
    </row>
    <row r="996" customFormat="false" ht="15" hidden="false" customHeight="false" outlineLevel="0" collapsed="false">
      <c r="A996" s="12"/>
      <c r="B996" s="13"/>
      <c r="C996" s="14"/>
      <c r="D996" s="13"/>
      <c r="E996" s="15" t="str">
        <f aca="false">IF(B996="","",IFERROR(INDEX(Plan!$B$5:$B$44,MATCH(B996,Plan!$A$5:$A$44,0))&amp;"","Kategori yok"))</f>
        <v/>
      </c>
    </row>
    <row r="997" customFormat="false" ht="15" hidden="false" customHeight="false" outlineLevel="0" collapsed="false">
      <c r="A997" s="12"/>
      <c r="B997" s="13"/>
      <c r="C997" s="14"/>
      <c r="D997" s="13"/>
      <c r="E997" s="15" t="str">
        <f aca="false">IF(B997="","",IFERROR(INDEX(Plan!$B$5:$B$44,MATCH(B997,Plan!$A$5:$A$44,0))&amp;"","Kategori yok"))</f>
        <v/>
      </c>
    </row>
    <row r="998" customFormat="false" ht="15" hidden="false" customHeight="false" outlineLevel="0" collapsed="false">
      <c r="A998" s="12"/>
      <c r="B998" s="13"/>
      <c r="C998" s="14"/>
      <c r="D998" s="13"/>
      <c r="E998" s="15" t="str">
        <f aca="false">IF(B998="","",IFERROR(INDEX(Plan!$B$5:$B$44,MATCH(B998,Plan!$A$5:$A$44,0))&amp;"","Kategori yok"))</f>
        <v/>
      </c>
    </row>
    <row r="999" customFormat="false" ht="15" hidden="false" customHeight="false" outlineLevel="0" collapsed="false">
      <c r="A999" s="12"/>
      <c r="B999" s="13"/>
      <c r="C999" s="14"/>
      <c r="D999" s="13"/>
      <c r="E999" s="15" t="str">
        <f aca="false">IF(B999="","",IFERROR(INDEX(Plan!$B$5:$B$44,MATCH(B999,Plan!$A$5:$A$44,0))&amp;"","Kategori yok"))</f>
        <v/>
      </c>
    </row>
    <row r="1000" customFormat="false" ht="15" hidden="false" customHeight="false" outlineLevel="0" collapsed="false">
      <c r="A1000" s="12"/>
      <c r="B1000" s="13"/>
      <c r="C1000" s="14"/>
      <c r="D1000" s="13"/>
      <c r="E1000" s="15" t="str">
        <f aca="false">IF(B1000="","",IFERROR(INDEX(Plan!$B$5:$B$44,MATCH(B1000,Plan!$A$5:$A$44,0))&amp;"","Kategori yok"))</f>
        <v/>
      </c>
    </row>
    <row r="1001" customFormat="false" ht="15" hidden="false" customHeight="false" outlineLevel="0" collapsed="false">
      <c r="A1001" s="12"/>
      <c r="B1001" s="13"/>
      <c r="C1001" s="14"/>
      <c r="D1001" s="13"/>
      <c r="E1001" s="15" t="str">
        <f aca="false">IF(B1001="","",IFERROR(INDEX(Plan!$B$5:$B$44,MATCH(B1001,Plan!$A$5:$A$44,0))&amp;"","Kategori yok"))</f>
        <v/>
      </c>
    </row>
    <row r="1002" customFormat="false" ht="15" hidden="false" customHeight="false" outlineLevel="0" collapsed="false">
      <c r="A1002" s="12"/>
      <c r="B1002" s="13"/>
      <c r="C1002" s="14"/>
      <c r="D1002" s="13"/>
      <c r="E1002" s="15" t="str">
        <f aca="false">IF(B1002="","",IFERROR(INDEX(Plan!$B$5:$B$44,MATCH(B1002,Plan!$A$5:$A$44,0))&amp;"","Kategori yok"))</f>
        <v/>
      </c>
    </row>
    <row r="1003" customFormat="false" ht="15" hidden="false" customHeight="false" outlineLevel="0" collapsed="false">
      <c r="A1003" s="12"/>
      <c r="B1003" s="13"/>
      <c r="C1003" s="14"/>
      <c r="D1003" s="13"/>
      <c r="E1003" s="15" t="str">
        <f aca="false">IF(B1003="","",IFERROR(INDEX(Plan!$B$5:$B$44,MATCH(B1003,Plan!$A$5:$A$44,0))&amp;"","Kategori yok"))</f>
        <v/>
      </c>
    </row>
    <row r="1004" customFormat="false" ht="15" hidden="false" customHeight="false" outlineLevel="0" collapsed="false">
      <c r="A1004" s="12"/>
      <c r="B1004" s="13"/>
      <c r="C1004" s="14"/>
      <c r="D1004" s="13"/>
      <c r="E1004" s="15" t="str">
        <f aca="false">IF(B1004="","",IFERROR(INDEX(Plan!$B$5:$B$44,MATCH(B1004,Plan!$A$5:$A$44,0))&amp;"","Kategori yok"))</f>
        <v/>
      </c>
    </row>
    <row r="1005" customFormat="false" ht="15" hidden="false" customHeight="false" outlineLevel="0" collapsed="false">
      <c r="A1005" s="12"/>
      <c r="B1005" s="13"/>
      <c r="C1005" s="14"/>
      <c r="D1005" s="13"/>
      <c r="E1005" s="15" t="str">
        <f aca="false">IF(B1005="","",IFERROR(INDEX(Plan!$B$5:$B$44,MATCH(B1005,Plan!$A$5:$A$44,0))&amp;"","Kategori yok"))</f>
        <v/>
      </c>
    </row>
    <row r="1006" customFormat="false" ht="15" hidden="false" customHeight="false" outlineLevel="0" collapsed="false">
      <c r="A1006" s="12"/>
      <c r="B1006" s="13"/>
      <c r="C1006" s="14"/>
      <c r="D1006" s="13"/>
      <c r="E1006" s="15" t="str">
        <f aca="false">IF(B1006="","",IFERROR(INDEX(Plan!$B$5:$B$44,MATCH(B1006,Plan!$A$5:$A$44,0))&amp;"","Kategori yok"))</f>
        <v/>
      </c>
    </row>
    <row r="1007" customFormat="false" ht="15" hidden="false" customHeight="false" outlineLevel="0" collapsed="false">
      <c r="A1007" s="12"/>
      <c r="B1007" s="13"/>
      <c r="C1007" s="14"/>
      <c r="D1007" s="13"/>
      <c r="E1007" s="15" t="str">
        <f aca="false">IF(B1007="","",IFERROR(INDEX(Plan!$B$5:$B$44,MATCH(B1007,Plan!$A$5:$A$44,0))&amp;"","Kategori yok"))</f>
        <v/>
      </c>
    </row>
    <row r="1008" customFormat="false" ht="15" hidden="false" customHeight="false" outlineLevel="0" collapsed="false">
      <c r="A1008" s="12"/>
      <c r="B1008" s="13"/>
      <c r="C1008" s="14"/>
      <c r="D1008" s="13"/>
      <c r="E1008" s="15" t="str">
        <f aca="false">IF(B1008="","",IFERROR(INDEX(Plan!$B$5:$B$44,MATCH(B1008,Plan!$A$5:$A$44,0))&amp;"","Kategori yok"))</f>
        <v/>
      </c>
    </row>
    <row r="1009" customFormat="false" ht="15" hidden="false" customHeight="false" outlineLevel="0" collapsed="false">
      <c r="A1009" s="12"/>
      <c r="B1009" s="13"/>
      <c r="C1009" s="14"/>
      <c r="D1009" s="13"/>
      <c r="E1009" s="15" t="str">
        <f aca="false">IF(B1009="","",IFERROR(INDEX(Plan!$B$5:$B$44,MATCH(B1009,Plan!$A$5:$A$44,0))&amp;"","Kategori yok"))</f>
        <v/>
      </c>
    </row>
    <row r="1010" customFormat="false" ht="15" hidden="false" customHeight="false" outlineLevel="0" collapsed="false">
      <c r="A1010" s="12"/>
      <c r="B1010" s="13"/>
      <c r="C1010" s="14"/>
      <c r="D1010" s="13"/>
      <c r="E1010" s="15" t="str">
        <f aca="false">IF(B1010="","",IFERROR(INDEX(Plan!$B$5:$B$44,MATCH(B1010,Plan!$A$5:$A$44,0))&amp;"","Kategori yok"))</f>
        <v/>
      </c>
    </row>
    <row r="1011" customFormat="false" ht="15" hidden="false" customHeight="false" outlineLevel="0" collapsed="false">
      <c r="A1011" s="12"/>
      <c r="B1011" s="13"/>
      <c r="C1011" s="14"/>
      <c r="D1011" s="13"/>
      <c r="E1011" s="15" t="str">
        <f aca="false">IF(B1011="","",IFERROR(INDEX(Plan!$B$5:$B$44,MATCH(B1011,Plan!$A$5:$A$44,0))&amp;"","Kategori yok"))</f>
        <v/>
      </c>
    </row>
    <row r="1012" customFormat="false" ht="15" hidden="false" customHeight="false" outlineLevel="0" collapsed="false">
      <c r="A1012" s="12"/>
      <c r="B1012" s="13"/>
      <c r="C1012" s="14"/>
      <c r="D1012" s="13"/>
      <c r="E1012" s="15" t="str">
        <f aca="false">IF(B1012="","",IFERROR(INDEX(Plan!$B$5:$B$44,MATCH(B1012,Plan!$A$5:$A$44,0))&amp;"","Kategori yok"))</f>
        <v/>
      </c>
    </row>
    <row r="1013" customFormat="false" ht="15" hidden="false" customHeight="false" outlineLevel="0" collapsed="false">
      <c r="A1013" s="12"/>
      <c r="B1013" s="13"/>
      <c r="C1013" s="14"/>
      <c r="D1013" s="13"/>
      <c r="E1013" s="15" t="str">
        <f aca="false">IF(B1013="","",IFERROR(INDEX(Plan!$B$5:$B$44,MATCH(B1013,Plan!$A$5:$A$44,0))&amp;"","Kategori yok"))</f>
        <v/>
      </c>
    </row>
    <row r="1014" customFormat="false" ht="15" hidden="false" customHeight="false" outlineLevel="0" collapsed="false">
      <c r="A1014" s="12"/>
      <c r="B1014" s="13"/>
      <c r="C1014" s="14"/>
      <c r="D1014" s="13"/>
      <c r="E1014" s="15" t="str">
        <f aca="false">IF(B1014="","",IFERROR(INDEX(Plan!$B$5:$B$44,MATCH(B1014,Plan!$A$5:$A$44,0))&amp;"","Kategori yok"))</f>
        <v/>
      </c>
    </row>
    <row r="1015" customFormat="false" ht="15" hidden="false" customHeight="false" outlineLevel="0" collapsed="false">
      <c r="A1015" s="12"/>
      <c r="B1015" s="13"/>
      <c r="C1015" s="14"/>
      <c r="D1015" s="13"/>
      <c r="E1015" s="15" t="str">
        <f aca="false">IF(B1015="","",IFERROR(INDEX(Plan!$B$5:$B$44,MATCH(B1015,Plan!$A$5:$A$44,0))&amp;"","Kategori yok"))</f>
        <v/>
      </c>
    </row>
    <row r="1016" customFormat="false" ht="15" hidden="false" customHeight="false" outlineLevel="0" collapsed="false">
      <c r="A1016" s="12"/>
      <c r="B1016" s="13"/>
      <c r="C1016" s="14"/>
      <c r="D1016" s="13"/>
      <c r="E1016" s="15" t="str">
        <f aca="false">IF(B1016="","",IFERROR(INDEX(Plan!$B$5:$B$44,MATCH(B1016,Plan!$A$5:$A$44,0))&amp;"","Kategori yok"))</f>
        <v/>
      </c>
    </row>
    <row r="1017" customFormat="false" ht="15" hidden="false" customHeight="false" outlineLevel="0" collapsed="false">
      <c r="A1017" s="12"/>
      <c r="B1017" s="13"/>
      <c r="C1017" s="14"/>
      <c r="D1017" s="13"/>
      <c r="E1017" s="15" t="str">
        <f aca="false">IF(B1017="","",IFERROR(INDEX(Plan!$B$5:$B$44,MATCH(B1017,Plan!$A$5:$A$44,0))&amp;"","Kategori yok"))</f>
        <v/>
      </c>
    </row>
    <row r="1018" customFormat="false" ht="15" hidden="false" customHeight="false" outlineLevel="0" collapsed="false">
      <c r="A1018" s="12"/>
      <c r="B1018" s="13"/>
      <c r="C1018" s="14"/>
      <c r="D1018" s="13"/>
      <c r="E1018" s="15" t="str">
        <f aca="false">IF(B1018="","",IFERROR(INDEX(Plan!$B$5:$B$44,MATCH(B1018,Plan!$A$5:$A$44,0))&amp;"","Kategori yok"))</f>
        <v/>
      </c>
    </row>
    <row r="1019" customFormat="false" ht="15" hidden="false" customHeight="false" outlineLevel="0" collapsed="false">
      <c r="A1019" s="12"/>
      <c r="B1019" s="13"/>
      <c r="C1019" s="14"/>
      <c r="D1019" s="13"/>
      <c r="E1019" s="15" t="str">
        <f aca="false">IF(B1019="","",IFERROR(INDEX(Plan!$B$5:$B$44,MATCH(B1019,Plan!$A$5:$A$44,0))&amp;"","Kategori yok"))</f>
        <v/>
      </c>
    </row>
    <row r="1020" customFormat="false" ht="15" hidden="false" customHeight="false" outlineLevel="0" collapsed="false">
      <c r="A1020" s="12"/>
      <c r="B1020" s="13"/>
      <c r="C1020" s="14"/>
      <c r="D1020" s="13"/>
      <c r="E1020" s="15" t="str">
        <f aca="false">IF(B1020="","",IFERROR(INDEX(Plan!$B$5:$B$44,MATCH(B1020,Plan!$A$5:$A$44,0))&amp;"","Kategori yok"))</f>
        <v/>
      </c>
    </row>
    <row r="1021" customFormat="false" ht="15" hidden="false" customHeight="false" outlineLevel="0" collapsed="false">
      <c r="A1021" s="12"/>
      <c r="B1021" s="13"/>
      <c r="C1021" s="14"/>
      <c r="D1021" s="13"/>
      <c r="E1021" s="15" t="str">
        <f aca="false">IF(B1021="","",IFERROR(INDEX(Plan!$B$5:$B$44,MATCH(B1021,Plan!$A$5:$A$44,0))&amp;"","Kategori yok"))</f>
        <v/>
      </c>
    </row>
    <row r="1022" customFormat="false" ht="15" hidden="false" customHeight="false" outlineLevel="0" collapsed="false">
      <c r="A1022" s="12"/>
      <c r="B1022" s="13"/>
      <c r="C1022" s="14"/>
      <c r="D1022" s="13"/>
      <c r="E1022" s="15" t="str">
        <f aca="false">IF(B1022="","",IFERROR(INDEX(Plan!$B$5:$B$44,MATCH(B1022,Plan!$A$5:$A$44,0))&amp;"","Kategori yok"))</f>
        <v/>
      </c>
    </row>
    <row r="1023" customFormat="false" ht="15" hidden="false" customHeight="false" outlineLevel="0" collapsed="false">
      <c r="A1023" s="12"/>
      <c r="B1023" s="13"/>
      <c r="C1023" s="14"/>
      <c r="D1023" s="13"/>
      <c r="E1023" s="15" t="str">
        <f aca="false">IF(B1023="","",IFERROR(INDEX(Plan!$B$5:$B$44,MATCH(B1023,Plan!$A$5:$A$44,0))&amp;"","Kategori yok"))</f>
        <v/>
      </c>
    </row>
    <row r="1024" customFormat="false" ht="15" hidden="false" customHeight="false" outlineLevel="0" collapsed="false">
      <c r="A1024" s="12"/>
      <c r="B1024" s="13"/>
      <c r="C1024" s="14"/>
      <c r="D1024" s="13"/>
      <c r="E1024" s="15" t="str">
        <f aca="false">IF(B1024="","",IFERROR(INDEX(Plan!$B$5:$B$44,MATCH(B1024,Plan!$A$5:$A$44,0))&amp;"","Kategori yok"))</f>
        <v/>
      </c>
    </row>
    <row r="1025" customFormat="false" ht="15" hidden="false" customHeight="false" outlineLevel="0" collapsed="false">
      <c r="A1025" s="12"/>
      <c r="B1025" s="13"/>
      <c r="C1025" s="14"/>
      <c r="D1025" s="13"/>
      <c r="E1025" s="15" t="str">
        <f aca="false">IF(B1025="","",IFERROR(INDEX(Plan!$B$5:$B$44,MATCH(B1025,Plan!$A$5:$A$44,0))&amp;"","Kategori yok"))</f>
        <v/>
      </c>
    </row>
    <row r="1026" customFormat="false" ht="15" hidden="false" customHeight="false" outlineLevel="0" collapsed="false">
      <c r="A1026" s="12"/>
      <c r="B1026" s="13"/>
      <c r="C1026" s="14"/>
      <c r="D1026" s="13"/>
      <c r="E1026" s="15" t="str">
        <f aca="false">IF(B1026="","",IFERROR(INDEX(Plan!$B$5:$B$44,MATCH(B1026,Plan!$A$5:$A$44,0))&amp;"","Kategori yok"))</f>
        <v/>
      </c>
    </row>
    <row r="1027" customFormat="false" ht="15" hidden="false" customHeight="false" outlineLevel="0" collapsed="false">
      <c r="A1027" s="12"/>
      <c r="B1027" s="13"/>
      <c r="C1027" s="14"/>
      <c r="D1027" s="13"/>
      <c r="E1027" s="15" t="str">
        <f aca="false">IF(B1027="","",IFERROR(INDEX(Plan!$B$5:$B$44,MATCH(B1027,Plan!$A$5:$A$44,0))&amp;"","Kategori yok"))</f>
        <v/>
      </c>
    </row>
    <row r="1028" customFormat="false" ht="15" hidden="false" customHeight="false" outlineLevel="0" collapsed="false">
      <c r="A1028" s="12"/>
      <c r="B1028" s="13"/>
      <c r="C1028" s="14"/>
      <c r="D1028" s="13"/>
      <c r="E1028" s="15" t="str">
        <f aca="false">IF(B1028="","",IFERROR(INDEX(Plan!$B$5:$B$44,MATCH(B1028,Plan!$A$5:$A$44,0))&amp;"","Kategori yok"))</f>
        <v/>
      </c>
    </row>
    <row r="1029" customFormat="false" ht="15" hidden="false" customHeight="false" outlineLevel="0" collapsed="false">
      <c r="A1029" s="12"/>
      <c r="B1029" s="13"/>
      <c r="C1029" s="14"/>
      <c r="D1029" s="13"/>
      <c r="E1029" s="15" t="str">
        <f aca="false">IF(B1029="","",IFERROR(INDEX(Plan!$B$5:$B$44,MATCH(B1029,Plan!$A$5:$A$44,0))&amp;"","Kategori yok"))</f>
        <v/>
      </c>
    </row>
    <row r="1030" customFormat="false" ht="15" hidden="false" customHeight="false" outlineLevel="0" collapsed="false">
      <c r="A1030" s="12"/>
      <c r="B1030" s="13"/>
      <c r="C1030" s="14"/>
      <c r="D1030" s="13"/>
      <c r="E1030" s="15" t="str">
        <f aca="false">IF(B1030="","",IFERROR(INDEX(Plan!$B$5:$B$44,MATCH(B1030,Plan!$A$5:$A$44,0))&amp;"","Kategori yok"))</f>
        <v/>
      </c>
    </row>
    <row r="1031" customFormat="false" ht="15" hidden="false" customHeight="false" outlineLevel="0" collapsed="false">
      <c r="A1031" s="12"/>
      <c r="B1031" s="13"/>
      <c r="C1031" s="14"/>
      <c r="D1031" s="13"/>
      <c r="E1031" s="15" t="str">
        <f aca="false">IF(B1031="","",IFERROR(INDEX(Plan!$B$5:$B$44,MATCH(B1031,Plan!$A$5:$A$44,0))&amp;"","Kategori yok"))</f>
        <v/>
      </c>
    </row>
    <row r="1032" customFormat="false" ht="15" hidden="false" customHeight="false" outlineLevel="0" collapsed="false">
      <c r="A1032" s="12"/>
      <c r="B1032" s="13"/>
      <c r="C1032" s="14"/>
      <c r="D1032" s="13"/>
      <c r="E1032" s="15" t="str">
        <f aca="false">IF(B1032="","",IFERROR(INDEX(Plan!$B$5:$B$44,MATCH(B1032,Plan!$A$5:$A$44,0))&amp;"","Kategori yok"))</f>
        <v/>
      </c>
    </row>
    <row r="1033" customFormat="false" ht="15" hidden="false" customHeight="false" outlineLevel="0" collapsed="false">
      <c r="A1033" s="12"/>
      <c r="B1033" s="13"/>
      <c r="C1033" s="14"/>
      <c r="D1033" s="13"/>
      <c r="E1033" s="15" t="str">
        <f aca="false">IF(B1033="","",IFERROR(INDEX(Plan!$B$5:$B$44,MATCH(B1033,Plan!$A$5:$A$44,0))&amp;"","Kategori yok"))</f>
        <v/>
      </c>
    </row>
    <row r="1034" customFormat="false" ht="15" hidden="false" customHeight="false" outlineLevel="0" collapsed="false">
      <c r="A1034" s="12"/>
      <c r="B1034" s="13"/>
      <c r="C1034" s="14"/>
      <c r="D1034" s="13"/>
      <c r="E1034" s="15" t="str">
        <f aca="false">IF(B1034="","",IFERROR(INDEX(Plan!$B$5:$B$44,MATCH(B1034,Plan!$A$5:$A$44,0))&amp;"","Kategori yok"))</f>
        <v/>
      </c>
    </row>
    <row r="1035" customFormat="false" ht="15" hidden="false" customHeight="false" outlineLevel="0" collapsed="false">
      <c r="A1035" s="12"/>
      <c r="B1035" s="13"/>
      <c r="C1035" s="14"/>
      <c r="D1035" s="13"/>
      <c r="E1035" s="15" t="str">
        <f aca="false">IF(B1035="","",IFERROR(INDEX(Plan!$B$5:$B$44,MATCH(B1035,Plan!$A$5:$A$44,0))&amp;"","Kategori yok"))</f>
        <v/>
      </c>
    </row>
    <row r="1036" customFormat="false" ht="15" hidden="false" customHeight="false" outlineLevel="0" collapsed="false">
      <c r="A1036" s="12"/>
      <c r="B1036" s="13"/>
      <c r="C1036" s="14"/>
      <c r="D1036" s="13"/>
      <c r="E1036" s="15" t="str">
        <f aca="false">IF(B1036="","",IFERROR(INDEX(Plan!$B$5:$B$44,MATCH(B1036,Plan!$A$5:$A$44,0))&amp;"","Kategori yok"))</f>
        <v/>
      </c>
    </row>
    <row r="1037" customFormat="false" ht="15" hidden="false" customHeight="false" outlineLevel="0" collapsed="false">
      <c r="A1037" s="12"/>
      <c r="B1037" s="13"/>
      <c r="C1037" s="14"/>
      <c r="D1037" s="13"/>
      <c r="E1037" s="15" t="str">
        <f aca="false">IF(B1037="","",IFERROR(INDEX(Plan!$B$5:$B$44,MATCH(B1037,Plan!$A$5:$A$44,0))&amp;"","Kategori yok"))</f>
        <v/>
      </c>
    </row>
    <row r="1038" customFormat="false" ht="15" hidden="false" customHeight="false" outlineLevel="0" collapsed="false">
      <c r="A1038" s="12"/>
      <c r="B1038" s="13"/>
      <c r="C1038" s="14"/>
      <c r="D1038" s="13"/>
      <c r="E1038" s="15" t="str">
        <f aca="false">IF(B1038="","",IFERROR(INDEX(Plan!$B$5:$B$44,MATCH(B1038,Plan!$A$5:$A$44,0))&amp;"","Kategori yok"))</f>
        <v/>
      </c>
    </row>
    <row r="1039" customFormat="false" ht="15" hidden="false" customHeight="false" outlineLevel="0" collapsed="false">
      <c r="A1039" s="12"/>
      <c r="B1039" s="13"/>
      <c r="C1039" s="14"/>
      <c r="D1039" s="13"/>
      <c r="E1039" s="15" t="str">
        <f aca="false">IF(B1039="","",IFERROR(INDEX(Plan!$B$5:$B$44,MATCH(B1039,Plan!$A$5:$A$44,0))&amp;"","Kategori yok"))</f>
        <v/>
      </c>
    </row>
    <row r="1040" customFormat="false" ht="15" hidden="false" customHeight="false" outlineLevel="0" collapsed="false">
      <c r="A1040" s="12"/>
      <c r="B1040" s="13"/>
      <c r="C1040" s="14"/>
      <c r="D1040" s="13"/>
      <c r="E1040" s="15" t="str">
        <f aca="false">IF(B1040="","",IFERROR(INDEX(Plan!$B$5:$B$44,MATCH(B1040,Plan!$A$5:$A$44,0))&amp;"","Kategori yok"))</f>
        <v/>
      </c>
    </row>
    <row r="1041" customFormat="false" ht="15" hidden="false" customHeight="false" outlineLevel="0" collapsed="false">
      <c r="A1041" s="12"/>
      <c r="B1041" s="13"/>
      <c r="C1041" s="14"/>
      <c r="D1041" s="13"/>
      <c r="E1041" s="15" t="str">
        <f aca="false">IF(B1041="","",IFERROR(INDEX(Plan!$B$5:$B$44,MATCH(B1041,Plan!$A$5:$A$44,0))&amp;"","Kategori yok"))</f>
        <v/>
      </c>
    </row>
    <row r="1042" customFormat="false" ht="15" hidden="false" customHeight="false" outlineLevel="0" collapsed="false">
      <c r="A1042" s="12"/>
      <c r="B1042" s="13"/>
      <c r="C1042" s="14"/>
      <c r="D1042" s="13"/>
      <c r="E1042" s="15" t="str">
        <f aca="false">IF(B1042="","",IFERROR(INDEX(Plan!$B$5:$B$44,MATCH(B1042,Plan!$A$5:$A$44,0))&amp;"","Kategori yok"))</f>
        <v/>
      </c>
    </row>
    <row r="1043" customFormat="false" ht="15" hidden="false" customHeight="false" outlineLevel="0" collapsed="false">
      <c r="A1043" s="12"/>
      <c r="B1043" s="13"/>
      <c r="C1043" s="14"/>
      <c r="D1043" s="13"/>
      <c r="E1043" s="15" t="str">
        <f aca="false">IF(B1043="","",IFERROR(INDEX(Plan!$B$5:$B$44,MATCH(B1043,Plan!$A$5:$A$44,0))&amp;"","Kategori yok"))</f>
        <v/>
      </c>
    </row>
    <row r="1044" customFormat="false" ht="15" hidden="false" customHeight="false" outlineLevel="0" collapsed="false">
      <c r="A1044" s="12"/>
      <c r="B1044" s="13"/>
      <c r="C1044" s="14"/>
      <c r="D1044" s="13"/>
      <c r="E1044" s="15" t="str">
        <f aca="false">IF(B1044="","",IFERROR(INDEX(Plan!$B$5:$B$44,MATCH(B1044,Plan!$A$5:$A$44,0))&amp;"","Kategori yok"))</f>
        <v/>
      </c>
    </row>
    <row r="1045" customFormat="false" ht="15" hidden="false" customHeight="false" outlineLevel="0" collapsed="false">
      <c r="A1045" s="12"/>
      <c r="B1045" s="13"/>
      <c r="C1045" s="14"/>
      <c r="D1045" s="13"/>
      <c r="E1045" s="15" t="str">
        <f aca="false">IF(B1045="","",IFERROR(INDEX(Plan!$B$5:$B$44,MATCH(B1045,Plan!$A$5:$A$44,0))&amp;"","Kategori yok"))</f>
        <v/>
      </c>
    </row>
    <row r="1046" customFormat="false" ht="15" hidden="false" customHeight="false" outlineLevel="0" collapsed="false">
      <c r="A1046" s="12"/>
      <c r="B1046" s="13"/>
      <c r="C1046" s="14"/>
      <c r="D1046" s="13"/>
      <c r="E1046" s="15" t="str">
        <f aca="false">IF(B1046="","",IFERROR(INDEX(Plan!$B$5:$B$44,MATCH(B1046,Plan!$A$5:$A$44,0))&amp;"","Kategori yok"))</f>
        <v/>
      </c>
    </row>
    <row r="1047" customFormat="false" ht="15" hidden="false" customHeight="false" outlineLevel="0" collapsed="false">
      <c r="A1047" s="12"/>
      <c r="B1047" s="13"/>
      <c r="C1047" s="14"/>
      <c r="D1047" s="13"/>
      <c r="E1047" s="15" t="str">
        <f aca="false">IF(B1047="","",IFERROR(INDEX(Plan!$B$5:$B$44,MATCH(B1047,Plan!$A$5:$A$44,0))&amp;"","Kategori yok"))</f>
        <v/>
      </c>
    </row>
    <row r="1048" customFormat="false" ht="15" hidden="false" customHeight="false" outlineLevel="0" collapsed="false">
      <c r="A1048" s="12"/>
      <c r="B1048" s="13"/>
      <c r="C1048" s="14"/>
      <c r="D1048" s="13"/>
      <c r="E1048" s="15" t="str">
        <f aca="false">IF(B1048="","",IFERROR(INDEX(Plan!$B$5:$B$44,MATCH(B1048,Plan!$A$5:$A$44,0))&amp;"","Kategori yok"))</f>
        <v/>
      </c>
    </row>
    <row r="1049" customFormat="false" ht="15" hidden="false" customHeight="false" outlineLevel="0" collapsed="false">
      <c r="A1049" s="12"/>
      <c r="B1049" s="13"/>
      <c r="C1049" s="14"/>
      <c r="D1049" s="13"/>
      <c r="E1049" s="15" t="str">
        <f aca="false">IF(B1049="","",IFERROR(INDEX(Plan!$B$5:$B$44,MATCH(B1049,Plan!$A$5:$A$44,0))&amp;"","Kategori yok"))</f>
        <v/>
      </c>
    </row>
    <row r="1050" customFormat="false" ht="15" hidden="false" customHeight="false" outlineLevel="0" collapsed="false">
      <c r="A1050" s="12"/>
      <c r="B1050" s="13"/>
      <c r="C1050" s="14"/>
      <c r="D1050" s="13"/>
      <c r="E1050" s="15" t="str">
        <f aca="false">IF(B1050="","",IFERROR(INDEX(Plan!$B$5:$B$44,MATCH(B1050,Plan!$A$5:$A$44,0))&amp;"","Kategori yok"))</f>
        <v/>
      </c>
    </row>
    <row r="1051" customFormat="false" ht="15" hidden="false" customHeight="false" outlineLevel="0" collapsed="false">
      <c r="A1051" s="12"/>
      <c r="B1051" s="13"/>
      <c r="C1051" s="14"/>
      <c r="D1051" s="13"/>
      <c r="E1051" s="15" t="str">
        <f aca="false">IF(B1051="","",IFERROR(INDEX(Plan!$B$5:$B$44,MATCH(B1051,Plan!$A$5:$A$44,0))&amp;"","Kategori yok"))</f>
        <v/>
      </c>
    </row>
    <row r="1052" customFormat="false" ht="15" hidden="false" customHeight="false" outlineLevel="0" collapsed="false">
      <c r="A1052" s="12"/>
      <c r="B1052" s="13"/>
      <c r="C1052" s="14"/>
      <c r="D1052" s="13"/>
      <c r="E1052" s="15" t="str">
        <f aca="false">IF(B1052="","",IFERROR(INDEX(Plan!$B$5:$B$44,MATCH(B1052,Plan!$A$5:$A$44,0))&amp;"","Kategori yok"))</f>
        <v/>
      </c>
    </row>
    <row r="1053" customFormat="false" ht="15" hidden="false" customHeight="false" outlineLevel="0" collapsed="false">
      <c r="A1053" s="12"/>
      <c r="B1053" s="13"/>
      <c r="C1053" s="14"/>
      <c r="D1053" s="13"/>
      <c r="E1053" s="15" t="str">
        <f aca="false">IF(B1053="","",IFERROR(INDEX(Plan!$B$5:$B$44,MATCH(B1053,Plan!$A$5:$A$44,0))&amp;"","Kategori yok"))</f>
        <v/>
      </c>
    </row>
    <row r="1054" customFormat="false" ht="15" hidden="false" customHeight="false" outlineLevel="0" collapsed="false">
      <c r="A1054" s="12"/>
      <c r="B1054" s="13"/>
      <c r="C1054" s="14"/>
      <c r="D1054" s="13"/>
      <c r="E1054" s="15" t="str">
        <f aca="false">IF(B1054="","",IFERROR(INDEX(Plan!$B$5:$B$44,MATCH(B1054,Plan!$A$5:$A$44,0))&amp;"","Kategori yok"))</f>
        <v/>
      </c>
    </row>
    <row r="1055" customFormat="false" ht="15" hidden="false" customHeight="false" outlineLevel="0" collapsed="false">
      <c r="A1055" s="12"/>
      <c r="B1055" s="13"/>
      <c r="C1055" s="14"/>
      <c r="D1055" s="13"/>
      <c r="E1055" s="15" t="str">
        <f aca="false">IF(B1055="","",IFERROR(INDEX(Plan!$B$5:$B$44,MATCH(B1055,Plan!$A$5:$A$44,0))&amp;"","Kategori yok"))</f>
        <v/>
      </c>
    </row>
    <row r="1056" customFormat="false" ht="15" hidden="false" customHeight="false" outlineLevel="0" collapsed="false">
      <c r="A1056" s="12"/>
      <c r="B1056" s="13"/>
      <c r="C1056" s="14"/>
      <c r="D1056" s="13"/>
      <c r="E1056" s="15" t="str">
        <f aca="false">IF(B1056="","",IFERROR(INDEX(Plan!$B$5:$B$44,MATCH(B1056,Plan!$A$5:$A$44,0))&amp;"","Kategori yok"))</f>
        <v/>
      </c>
    </row>
    <row r="1057" customFormat="false" ht="15" hidden="false" customHeight="false" outlineLevel="0" collapsed="false">
      <c r="A1057" s="12"/>
      <c r="B1057" s="13"/>
      <c r="C1057" s="14"/>
      <c r="D1057" s="13"/>
      <c r="E1057" s="15" t="str">
        <f aca="false">IF(B1057="","",IFERROR(INDEX(Plan!$B$5:$B$44,MATCH(B1057,Plan!$A$5:$A$44,0))&amp;"","Kategori yok"))</f>
        <v/>
      </c>
    </row>
    <row r="1058" customFormat="false" ht="15" hidden="false" customHeight="false" outlineLevel="0" collapsed="false">
      <c r="A1058" s="12"/>
      <c r="B1058" s="13"/>
      <c r="C1058" s="14"/>
      <c r="D1058" s="13"/>
      <c r="E1058" s="15" t="str">
        <f aca="false">IF(B1058="","",IFERROR(INDEX(Plan!$B$5:$B$44,MATCH(B1058,Plan!$A$5:$A$44,0))&amp;"","Kategori yok"))</f>
        <v/>
      </c>
    </row>
    <row r="1059" customFormat="false" ht="15" hidden="false" customHeight="false" outlineLevel="0" collapsed="false">
      <c r="A1059" s="12"/>
      <c r="B1059" s="13"/>
      <c r="C1059" s="14"/>
      <c r="D1059" s="13"/>
      <c r="E1059" s="15" t="str">
        <f aca="false">IF(B1059="","",IFERROR(INDEX(Plan!$B$5:$B$44,MATCH(B1059,Plan!$A$5:$A$44,0))&amp;"","Kategori yok"))</f>
        <v/>
      </c>
    </row>
    <row r="1060" customFormat="false" ht="15" hidden="false" customHeight="false" outlineLevel="0" collapsed="false">
      <c r="A1060" s="12"/>
      <c r="B1060" s="13"/>
      <c r="C1060" s="14"/>
      <c r="D1060" s="13"/>
      <c r="E1060" s="15" t="str">
        <f aca="false">IF(B1060="","",IFERROR(INDEX(Plan!$B$5:$B$44,MATCH(B1060,Plan!$A$5:$A$44,0))&amp;"","Kategori yok"))</f>
        <v/>
      </c>
    </row>
    <row r="1061" customFormat="false" ht="15" hidden="false" customHeight="false" outlineLevel="0" collapsed="false">
      <c r="A1061" s="12"/>
      <c r="B1061" s="13"/>
      <c r="C1061" s="14"/>
      <c r="D1061" s="13"/>
      <c r="E1061" s="15" t="str">
        <f aca="false">IF(B1061="","",IFERROR(INDEX(Plan!$B$5:$B$44,MATCH(B1061,Plan!$A$5:$A$44,0))&amp;"","Kategori yok"))</f>
        <v/>
      </c>
    </row>
    <row r="1062" customFormat="false" ht="15" hidden="false" customHeight="false" outlineLevel="0" collapsed="false">
      <c r="A1062" s="12"/>
      <c r="B1062" s="13"/>
      <c r="C1062" s="14"/>
      <c r="D1062" s="13"/>
      <c r="E1062" s="15" t="str">
        <f aca="false">IF(B1062="","",IFERROR(INDEX(Plan!$B$5:$B$44,MATCH(B1062,Plan!$A$5:$A$44,0))&amp;"","Kategori yok"))</f>
        <v/>
      </c>
    </row>
    <row r="1063" customFormat="false" ht="15" hidden="false" customHeight="false" outlineLevel="0" collapsed="false">
      <c r="A1063" s="12"/>
      <c r="B1063" s="13"/>
      <c r="C1063" s="14"/>
      <c r="D1063" s="13"/>
      <c r="E1063" s="15" t="str">
        <f aca="false">IF(B1063="","",IFERROR(INDEX(Plan!$B$5:$B$44,MATCH(B1063,Plan!$A$5:$A$44,0))&amp;"","Kategori yok"))</f>
        <v/>
      </c>
    </row>
    <row r="1064" customFormat="false" ht="15" hidden="false" customHeight="false" outlineLevel="0" collapsed="false">
      <c r="A1064" s="12"/>
      <c r="B1064" s="13"/>
      <c r="C1064" s="14"/>
      <c r="D1064" s="13"/>
      <c r="E1064" s="15" t="str">
        <f aca="false">IF(B1064="","",IFERROR(INDEX(Plan!$B$5:$B$44,MATCH(B1064,Plan!$A$5:$A$44,0))&amp;"","Kategori yok"))</f>
        <v/>
      </c>
    </row>
    <row r="1065" customFormat="false" ht="15" hidden="false" customHeight="false" outlineLevel="0" collapsed="false">
      <c r="A1065" s="12"/>
      <c r="B1065" s="13"/>
      <c r="C1065" s="14"/>
      <c r="D1065" s="13"/>
      <c r="E1065" s="15" t="str">
        <f aca="false">IF(B1065="","",IFERROR(INDEX(Plan!$B$5:$B$44,MATCH(B1065,Plan!$A$5:$A$44,0))&amp;"","Kategori yok"))</f>
        <v/>
      </c>
    </row>
    <row r="1066" customFormat="false" ht="15" hidden="false" customHeight="false" outlineLevel="0" collapsed="false">
      <c r="A1066" s="12"/>
      <c r="B1066" s="13"/>
      <c r="C1066" s="14"/>
      <c r="D1066" s="13"/>
      <c r="E1066" s="15" t="str">
        <f aca="false">IF(B1066="","",IFERROR(INDEX(Plan!$B$5:$B$44,MATCH(B1066,Plan!$A$5:$A$44,0))&amp;"","Kategori yok"))</f>
        <v/>
      </c>
    </row>
    <row r="1067" customFormat="false" ht="15" hidden="false" customHeight="false" outlineLevel="0" collapsed="false">
      <c r="A1067" s="12"/>
      <c r="B1067" s="13"/>
      <c r="C1067" s="14"/>
      <c r="D1067" s="13"/>
      <c r="E1067" s="15" t="str">
        <f aca="false">IF(B1067="","",IFERROR(INDEX(Plan!$B$5:$B$44,MATCH(B1067,Plan!$A$5:$A$44,0))&amp;"","Kategori yok"))</f>
        <v/>
      </c>
    </row>
    <row r="1068" customFormat="false" ht="15" hidden="false" customHeight="false" outlineLevel="0" collapsed="false">
      <c r="A1068" s="12"/>
      <c r="B1068" s="13"/>
      <c r="C1068" s="14"/>
      <c r="D1068" s="13"/>
      <c r="E1068" s="15" t="str">
        <f aca="false">IF(B1068="","",IFERROR(INDEX(Plan!$B$5:$B$44,MATCH(B1068,Plan!$A$5:$A$44,0))&amp;"","Kategori yok"))</f>
        <v/>
      </c>
    </row>
    <row r="1069" customFormat="false" ht="15" hidden="false" customHeight="false" outlineLevel="0" collapsed="false">
      <c r="A1069" s="12"/>
      <c r="B1069" s="13"/>
      <c r="C1069" s="14"/>
      <c r="D1069" s="13"/>
      <c r="E1069" s="15" t="str">
        <f aca="false">IF(B1069="","",IFERROR(INDEX(Plan!$B$5:$B$44,MATCH(B1069,Plan!$A$5:$A$44,0))&amp;"","Kategori yok"))</f>
        <v/>
      </c>
    </row>
    <row r="1070" customFormat="false" ht="15" hidden="false" customHeight="false" outlineLevel="0" collapsed="false">
      <c r="A1070" s="12"/>
      <c r="B1070" s="13"/>
      <c r="C1070" s="14"/>
      <c r="D1070" s="13"/>
      <c r="E1070" s="15" t="str">
        <f aca="false">IF(B1070="","",IFERROR(INDEX(Plan!$B$5:$B$44,MATCH(B1070,Plan!$A$5:$A$44,0))&amp;"","Kategori yok"))</f>
        <v/>
      </c>
    </row>
    <row r="1071" customFormat="false" ht="15" hidden="false" customHeight="false" outlineLevel="0" collapsed="false">
      <c r="A1071" s="12"/>
      <c r="B1071" s="13"/>
      <c r="C1071" s="14"/>
      <c r="D1071" s="13"/>
      <c r="E1071" s="15" t="str">
        <f aca="false">IF(B1071="","",IFERROR(INDEX(Plan!$B$5:$B$44,MATCH(B1071,Plan!$A$5:$A$44,0))&amp;"","Kategori yok"))</f>
        <v/>
      </c>
    </row>
    <row r="1072" customFormat="false" ht="15" hidden="false" customHeight="false" outlineLevel="0" collapsed="false">
      <c r="A1072" s="12"/>
      <c r="B1072" s="13"/>
      <c r="C1072" s="14"/>
      <c r="D1072" s="13"/>
      <c r="E1072" s="15" t="str">
        <f aca="false">IF(B1072="","",IFERROR(INDEX(Plan!$B$5:$B$44,MATCH(B1072,Plan!$A$5:$A$44,0))&amp;"","Kategori yok"))</f>
        <v/>
      </c>
    </row>
    <row r="1073" customFormat="false" ht="15" hidden="false" customHeight="false" outlineLevel="0" collapsed="false">
      <c r="A1073" s="12"/>
      <c r="B1073" s="13"/>
      <c r="C1073" s="14"/>
      <c r="D1073" s="13"/>
      <c r="E1073" s="15" t="str">
        <f aca="false">IF(B1073="","",IFERROR(INDEX(Plan!$B$5:$B$44,MATCH(B1073,Plan!$A$5:$A$44,0))&amp;"","Kategori yok"))</f>
        <v/>
      </c>
    </row>
    <row r="1074" customFormat="false" ht="15" hidden="false" customHeight="false" outlineLevel="0" collapsed="false">
      <c r="A1074" s="12"/>
      <c r="B1074" s="13"/>
      <c r="C1074" s="14"/>
      <c r="D1074" s="13"/>
      <c r="E1074" s="15" t="str">
        <f aca="false">IF(B1074="","",IFERROR(INDEX(Plan!$B$5:$B$44,MATCH(B1074,Plan!$A$5:$A$44,0))&amp;"","Kategori yok"))</f>
        <v/>
      </c>
    </row>
    <row r="1075" customFormat="false" ht="15" hidden="false" customHeight="false" outlineLevel="0" collapsed="false">
      <c r="A1075" s="12"/>
      <c r="B1075" s="13"/>
      <c r="C1075" s="14"/>
      <c r="D1075" s="13"/>
      <c r="E1075" s="15" t="str">
        <f aca="false">IF(B1075="","",IFERROR(INDEX(Plan!$B$5:$B$44,MATCH(B1075,Plan!$A$5:$A$44,0))&amp;"","Kategori yok"))</f>
        <v/>
      </c>
    </row>
    <row r="1076" customFormat="false" ht="15" hidden="false" customHeight="false" outlineLevel="0" collapsed="false">
      <c r="A1076" s="12"/>
      <c r="B1076" s="13"/>
      <c r="C1076" s="14"/>
      <c r="D1076" s="13"/>
      <c r="E1076" s="15" t="str">
        <f aca="false">IF(B1076="","",IFERROR(INDEX(Plan!$B$5:$B$44,MATCH(B1076,Plan!$A$5:$A$44,0))&amp;"","Kategori yok"))</f>
        <v/>
      </c>
    </row>
    <row r="1077" customFormat="false" ht="15" hidden="false" customHeight="false" outlineLevel="0" collapsed="false">
      <c r="A1077" s="12"/>
      <c r="B1077" s="13"/>
      <c r="C1077" s="14"/>
      <c r="D1077" s="13"/>
      <c r="E1077" s="15" t="str">
        <f aca="false">IF(B1077="","",IFERROR(INDEX(Plan!$B$5:$B$44,MATCH(B1077,Plan!$A$5:$A$44,0))&amp;"","Kategori yok"))</f>
        <v/>
      </c>
    </row>
    <row r="1078" customFormat="false" ht="15" hidden="false" customHeight="false" outlineLevel="0" collapsed="false">
      <c r="A1078" s="12"/>
      <c r="B1078" s="13"/>
      <c r="C1078" s="14"/>
      <c r="D1078" s="13"/>
      <c r="E1078" s="15" t="str">
        <f aca="false">IF(B1078="","",IFERROR(INDEX(Plan!$B$5:$B$44,MATCH(B1078,Plan!$A$5:$A$44,0))&amp;"","Kategori yok"))</f>
        <v/>
      </c>
    </row>
    <row r="1079" customFormat="false" ht="15" hidden="false" customHeight="false" outlineLevel="0" collapsed="false">
      <c r="A1079" s="12"/>
      <c r="B1079" s="13"/>
      <c r="C1079" s="14"/>
      <c r="D1079" s="13"/>
      <c r="E1079" s="15" t="str">
        <f aca="false">IF(B1079="","",IFERROR(INDEX(Plan!$B$5:$B$44,MATCH(B1079,Plan!$A$5:$A$44,0))&amp;"","Kategori yok"))</f>
        <v/>
      </c>
    </row>
    <row r="1080" customFormat="false" ht="15" hidden="false" customHeight="false" outlineLevel="0" collapsed="false">
      <c r="A1080" s="12"/>
      <c r="B1080" s="13"/>
      <c r="C1080" s="14"/>
      <c r="D1080" s="13"/>
      <c r="E1080" s="15" t="str">
        <f aca="false">IF(B1080="","",IFERROR(INDEX(Plan!$B$5:$B$44,MATCH(B1080,Plan!$A$5:$A$44,0))&amp;"","Kategori yok"))</f>
        <v/>
      </c>
    </row>
    <row r="1081" customFormat="false" ht="15" hidden="false" customHeight="false" outlineLevel="0" collapsed="false">
      <c r="A1081" s="12"/>
      <c r="B1081" s="13"/>
      <c r="C1081" s="14"/>
      <c r="D1081" s="13"/>
      <c r="E1081" s="15" t="str">
        <f aca="false">IF(B1081="","",IFERROR(INDEX(Plan!$B$5:$B$44,MATCH(B1081,Plan!$A$5:$A$44,0))&amp;"","Kategori yok"))</f>
        <v/>
      </c>
    </row>
    <row r="1082" customFormat="false" ht="15" hidden="false" customHeight="false" outlineLevel="0" collapsed="false">
      <c r="A1082" s="12"/>
      <c r="B1082" s="13"/>
      <c r="C1082" s="14"/>
      <c r="D1082" s="13"/>
      <c r="E1082" s="15" t="str">
        <f aca="false">IF(B1082="","",IFERROR(INDEX(Plan!$B$5:$B$44,MATCH(B1082,Plan!$A$5:$A$44,0))&amp;"","Kategori yok"))</f>
        <v/>
      </c>
    </row>
    <row r="1083" customFormat="false" ht="15" hidden="false" customHeight="false" outlineLevel="0" collapsed="false">
      <c r="A1083" s="12"/>
      <c r="B1083" s="13"/>
      <c r="C1083" s="14"/>
      <c r="D1083" s="13"/>
      <c r="E1083" s="15" t="str">
        <f aca="false">IF(B1083="","",IFERROR(INDEX(Plan!$B$5:$B$44,MATCH(B1083,Plan!$A$5:$A$44,0))&amp;"","Kategori yok"))</f>
        <v/>
      </c>
    </row>
    <row r="1084" customFormat="false" ht="15" hidden="false" customHeight="false" outlineLevel="0" collapsed="false">
      <c r="A1084" s="12"/>
      <c r="B1084" s="13"/>
      <c r="C1084" s="14"/>
      <c r="D1084" s="13"/>
      <c r="E1084" s="15" t="str">
        <f aca="false">IF(B1084="","",IFERROR(INDEX(Plan!$B$5:$B$44,MATCH(B1084,Plan!$A$5:$A$44,0))&amp;"","Kategori yok"))</f>
        <v/>
      </c>
    </row>
    <row r="1085" customFormat="false" ht="15" hidden="false" customHeight="false" outlineLevel="0" collapsed="false">
      <c r="A1085" s="12"/>
      <c r="B1085" s="13"/>
      <c r="C1085" s="14"/>
      <c r="D1085" s="13"/>
      <c r="E1085" s="15" t="str">
        <f aca="false">IF(B1085="","",IFERROR(INDEX(Plan!$B$5:$B$44,MATCH(B1085,Plan!$A$5:$A$44,0))&amp;"","Kategori yok"))</f>
        <v/>
      </c>
    </row>
    <row r="1086" customFormat="false" ht="15" hidden="false" customHeight="false" outlineLevel="0" collapsed="false">
      <c r="A1086" s="12"/>
      <c r="B1086" s="13"/>
      <c r="C1086" s="14"/>
      <c r="D1086" s="13"/>
      <c r="E1086" s="15" t="str">
        <f aca="false">IF(B1086="","",IFERROR(INDEX(Plan!$B$5:$B$44,MATCH(B1086,Plan!$A$5:$A$44,0))&amp;"","Kategori yok"))</f>
        <v/>
      </c>
    </row>
    <row r="1087" customFormat="false" ht="15" hidden="false" customHeight="false" outlineLevel="0" collapsed="false">
      <c r="A1087" s="12"/>
      <c r="B1087" s="13"/>
      <c r="C1087" s="14"/>
      <c r="D1087" s="13"/>
      <c r="E1087" s="15" t="str">
        <f aca="false">IF(B1087="","",IFERROR(INDEX(Plan!$B$5:$B$44,MATCH(B1087,Plan!$A$5:$A$44,0))&amp;"","Kategori yok"))</f>
        <v/>
      </c>
    </row>
    <row r="1088" customFormat="false" ht="15" hidden="false" customHeight="false" outlineLevel="0" collapsed="false">
      <c r="A1088" s="12"/>
      <c r="B1088" s="13"/>
      <c r="C1088" s="14"/>
      <c r="D1088" s="13"/>
      <c r="E1088" s="15" t="str">
        <f aca="false">IF(B1088="","",IFERROR(INDEX(Plan!$B$5:$B$44,MATCH(B1088,Plan!$A$5:$A$44,0))&amp;"","Kategori yok"))</f>
        <v/>
      </c>
    </row>
    <row r="1089" customFormat="false" ht="15" hidden="false" customHeight="false" outlineLevel="0" collapsed="false">
      <c r="A1089" s="12"/>
      <c r="B1089" s="13"/>
      <c r="C1089" s="14"/>
      <c r="D1089" s="13"/>
      <c r="E1089" s="15" t="str">
        <f aca="false">IF(B1089="","",IFERROR(INDEX(Plan!$B$5:$B$44,MATCH(B1089,Plan!$A$5:$A$44,0))&amp;"","Kategori yok"))</f>
        <v/>
      </c>
    </row>
    <row r="1090" customFormat="false" ht="15" hidden="false" customHeight="false" outlineLevel="0" collapsed="false">
      <c r="A1090" s="12"/>
      <c r="B1090" s="13"/>
      <c r="C1090" s="14"/>
      <c r="D1090" s="13"/>
      <c r="E1090" s="15" t="str">
        <f aca="false">IF(B1090="","",IFERROR(INDEX(Plan!$B$5:$B$44,MATCH(B1090,Plan!$A$5:$A$44,0))&amp;"","Kategori yok"))</f>
        <v/>
      </c>
    </row>
    <row r="1091" customFormat="false" ht="15" hidden="false" customHeight="false" outlineLevel="0" collapsed="false">
      <c r="A1091" s="12"/>
      <c r="B1091" s="13"/>
      <c r="C1091" s="14"/>
      <c r="D1091" s="13"/>
      <c r="E1091" s="15" t="str">
        <f aca="false">IF(B1091="","",IFERROR(INDEX(Plan!$B$5:$B$44,MATCH(B1091,Plan!$A$5:$A$44,0))&amp;"","Kategori yok"))</f>
        <v/>
      </c>
    </row>
    <row r="1092" customFormat="false" ht="15" hidden="false" customHeight="false" outlineLevel="0" collapsed="false">
      <c r="A1092" s="12"/>
      <c r="B1092" s="13"/>
      <c r="C1092" s="14"/>
      <c r="D1092" s="13"/>
      <c r="E1092" s="15" t="str">
        <f aca="false">IF(B1092="","",IFERROR(INDEX(Plan!$B$5:$B$44,MATCH(B1092,Plan!$A$5:$A$44,0))&amp;"","Kategori yok"))</f>
        <v/>
      </c>
    </row>
    <row r="1093" customFormat="false" ht="15" hidden="false" customHeight="false" outlineLevel="0" collapsed="false">
      <c r="A1093" s="12"/>
      <c r="B1093" s="13"/>
      <c r="C1093" s="14"/>
      <c r="D1093" s="13"/>
      <c r="E1093" s="15" t="str">
        <f aca="false">IF(B1093="","",IFERROR(INDEX(Plan!$B$5:$B$44,MATCH(B1093,Plan!$A$5:$A$44,0))&amp;"","Kategori yok"))</f>
        <v/>
      </c>
    </row>
    <row r="1094" customFormat="false" ht="15" hidden="false" customHeight="false" outlineLevel="0" collapsed="false">
      <c r="A1094" s="12"/>
      <c r="B1094" s="13"/>
      <c r="C1094" s="14"/>
      <c r="D1094" s="13"/>
      <c r="E1094" s="15" t="str">
        <f aca="false">IF(B1094="","",IFERROR(INDEX(Plan!$B$5:$B$44,MATCH(B1094,Plan!$A$5:$A$44,0))&amp;"","Kategori yok"))</f>
        <v/>
      </c>
    </row>
    <row r="1095" customFormat="false" ht="15" hidden="false" customHeight="false" outlineLevel="0" collapsed="false">
      <c r="A1095" s="12"/>
      <c r="B1095" s="13"/>
      <c r="C1095" s="14"/>
      <c r="D1095" s="13"/>
      <c r="E1095" s="15" t="str">
        <f aca="false">IF(B1095="","",IFERROR(INDEX(Plan!$B$5:$B$44,MATCH(B1095,Plan!$A$5:$A$44,0))&amp;"","Kategori yok"))</f>
        <v/>
      </c>
    </row>
    <row r="1096" customFormat="false" ht="15" hidden="false" customHeight="false" outlineLevel="0" collapsed="false">
      <c r="A1096" s="12"/>
      <c r="B1096" s="13"/>
      <c r="C1096" s="14"/>
      <c r="D1096" s="13"/>
      <c r="E1096" s="15" t="str">
        <f aca="false">IF(B1096="","",IFERROR(INDEX(Plan!$B$5:$B$44,MATCH(B1096,Plan!$A$5:$A$44,0))&amp;"","Kategori yok"))</f>
        <v/>
      </c>
    </row>
    <row r="1097" customFormat="false" ht="15" hidden="false" customHeight="false" outlineLevel="0" collapsed="false">
      <c r="A1097" s="12"/>
      <c r="B1097" s="13"/>
      <c r="C1097" s="14"/>
      <c r="D1097" s="13"/>
      <c r="E1097" s="15" t="str">
        <f aca="false">IF(B1097="","",IFERROR(INDEX(Plan!$B$5:$B$44,MATCH(B1097,Plan!$A$5:$A$44,0))&amp;"","Kategori yok"))</f>
        <v/>
      </c>
    </row>
    <row r="1098" customFormat="false" ht="15" hidden="false" customHeight="false" outlineLevel="0" collapsed="false">
      <c r="A1098" s="12"/>
      <c r="B1098" s="13"/>
      <c r="C1098" s="14"/>
      <c r="D1098" s="13"/>
      <c r="E1098" s="15" t="str">
        <f aca="false">IF(B1098="","",IFERROR(INDEX(Plan!$B$5:$B$44,MATCH(B1098,Plan!$A$5:$A$44,0))&amp;"","Kategori yok"))</f>
        <v/>
      </c>
    </row>
    <row r="1099" customFormat="false" ht="15" hidden="false" customHeight="false" outlineLevel="0" collapsed="false">
      <c r="A1099" s="12"/>
      <c r="B1099" s="13"/>
      <c r="C1099" s="14"/>
      <c r="D1099" s="13"/>
      <c r="E1099" s="15" t="str">
        <f aca="false">IF(B1099="","",IFERROR(INDEX(Plan!$B$5:$B$44,MATCH(B1099,Plan!$A$5:$A$44,0))&amp;"","Kategori yok"))</f>
        <v/>
      </c>
    </row>
    <row r="1100" customFormat="false" ht="15" hidden="false" customHeight="false" outlineLevel="0" collapsed="false">
      <c r="A1100" s="12"/>
      <c r="B1100" s="13"/>
      <c r="C1100" s="14"/>
      <c r="D1100" s="13"/>
      <c r="E1100" s="15" t="str">
        <f aca="false">IF(B1100="","",IFERROR(INDEX(Plan!$B$5:$B$44,MATCH(B1100,Plan!$A$5:$A$44,0))&amp;"","Kategori yok"))</f>
        <v/>
      </c>
    </row>
    <row r="1101" customFormat="false" ht="15" hidden="false" customHeight="false" outlineLevel="0" collapsed="false">
      <c r="A1101" s="12"/>
      <c r="B1101" s="13"/>
      <c r="C1101" s="14"/>
      <c r="D1101" s="13"/>
      <c r="E1101" s="15" t="str">
        <f aca="false">IF(B1101="","",IFERROR(INDEX(Plan!$B$5:$B$44,MATCH(B1101,Plan!$A$5:$A$44,0))&amp;"","Kategori yok"))</f>
        <v/>
      </c>
    </row>
    <row r="1102" customFormat="false" ht="15" hidden="false" customHeight="false" outlineLevel="0" collapsed="false">
      <c r="A1102" s="12"/>
      <c r="B1102" s="13"/>
      <c r="C1102" s="14"/>
      <c r="D1102" s="13"/>
      <c r="E1102" s="15" t="str">
        <f aca="false">IF(B1102="","",IFERROR(INDEX(Plan!$B$5:$B$44,MATCH(B1102,Plan!$A$5:$A$44,0))&amp;"","Kategori yok"))</f>
        <v/>
      </c>
    </row>
    <row r="1103" customFormat="false" ht="15" hidden="false" customHeight="false" outlineLevel="0" collapsed="false">
      <c r="A1103" s="12"/>
      <c r="B1103" s="13"/>
      <c r="C1103" s="14"/>
      <c r="D1103" s="13"/>
      <c r="E1103" s="15" t="str">
        <f aca="false">IF(B1103="","",IFERROR(INDEX(Plan!$B$5:$B$44,MATCH(B1103,Plan!$A$5:$A$44,0))&amp;"","Kategori yok"))</f>
        <v/>
      </c>
    </row>
    <row r="1104" customFormat="false" ht="15" hidden="false" customHeight="false" outlineLevel="0" collapsed="false">
      <c r="A1104" s="12"/>
      <c r="B1104" s="13"/>
      <c r="C1104" s="14"/>
      <c r="D1104" s="13"/>
      <c r="E1104" s="15" t="str">
        <f aca="false">IF(B1104="","",IFERROR(INDEX(Plan!$B$5:$B$44,MATCH(B1104,Plan!$A$5:$A$44,0))&amp;"","Kategori yok"))</f>
        <v/>
      </c>
    </row>
    <row r="1105" customFormat="false" ht="15" hidden="false" customHeight="false" outlineLevel="0" collapsed="false">
      <c r="A1105" s="12"/>
      <c r="B1105" s="13"/>
      <c r="C1105" s="14"/>
      <c r="D1105" s="13"/>
      <c r="E1105" s="15" t="str">
        <f aca="false">IF(B1105="","",IFERROR(INDEX(Plan!$B$5:$B$44,MATCH(B1105,Plan!$A$5:$A$44,0))&amp;"","Kategori yok"))</f>
        <v/>
      </c>
    </row>
    <row r="1106" customFormat="false" ht="15" hidden="false" customHeight="false" outlineLevel="0" collapsed="false">
      <c r="A1106" s="12"/>
      <c r="B1106" s="13"/>
      <c r="C1106" s="14"/>
      <c r="D1106" s="13"/>
      <c r="E1106" s="15" t="str">
        <f aca="false">IF(B1106="","",IFERROR(INDEX(Plan!$B$5:$B$44,MATCH(B1106,Plan!$A$5:$A$44,0))&amp;"","Kategori yok"))</f>
        <v/>
      </c>
    </row>
    <row r="1107" customFormat="false" ht="15" hidden="false" customHeight="false" outlineLevel="0" collapsed="false">
      <c r="A1107" s="12"/>
      <c r="B1107" s="13"/>
      <c r="C1107" s="14"/>
      <c r="D1107" s="13"/>
      <c r="E1107" s="15" t="str">
        <f aca="false">IF(B1107="","",IFERROR(INDEX(Plan!$B$5:$B$44,MATCH(B1107,Plan!$A$5:$A$44,0))&amp;"","Kategori yok"))</f>
        <v/>
      </c>
    </row>
    <row r="1108" customFormat="false" ht="15" hidden="false" customHeight="false" outlineLevel="0" collapsed="false">
      <c r="A1108" s="12"/>
      <c r="B1108" s="13"/>
      <c r="C1108" s="14"/>
      <c r="D1108" s="13"/>
      <c r="E1108" s="15" t="str">
        <f aca="false">IF(B1108="","",IFERROR(INDEX(Plan!$B$5:$B$44,MATCH(B1108,Plan!$A$5:$A$44,0))&amp;"","Kategori yok"))</f>
        <v/>
      </c>
    </row>
    <row r="1109" customFormat="false" ht="15" hidden="false" customHeight="false" outlineLevel="0" collapsed="false">
      <c r="A1109" s="12"/>
      <c r="B1109" s="13"/>
      <c r="C1109" s="14"/>
      <c r="D1109" s="13"/>
      <c r="E1109" s="15" t="str">
        <f aca="false">IF(B1109="","",IFERROR(INDEX(Plan!$B$5:$B$44,MATCH(B1109,Plan!$A$5:$A$44,0))&amp;"","Kategori yok"))</f>
        <v/>
      </c>
    </row>
    <row r="1110" customFormat="false" ht="15" hidden="false" customHeight="false" outlineLevel="0" collapsed="false">
      <c r="A1110" s="12"/>
      <c r="B1110" s="13"/>
      <c r="C1110" s="14"/>
      <c r="D1110" s="13"/>
      <c r="E1110" s="15" t="str">
        <f aca="false">IF(B1110="","",IFERROR(INDEX(Plan!$B$5:$B$44,MATCH(B1110,Plan!$A$5:$A$44,0))&amp;"","Kategori yok"))</f>
        <v/>
      </c>
    </row>
    <row r="1111" customFormat="false" ht="15" hidden="false" customHeight="false" outlineLevel="0" collapsed="false">
      <c r="A1111" s="12"/>
      <c r="B1111" s="13"/>
      <c r="C1111" s="14"/>
      <c r="D1111" s="13"/>
      <c r="E1111" s="15" t="str">
        <f aca="false">IF(B1111="","",IFERROR(INDEX(Plan!$B$5:$B$44,MATCH(B1111,Plan!$A$5:$A$44,0))&amp;"","Kategori yok"))</f>
        <v/>
      </c>
    </row>
    <row r="1112" customFormat="false" ht="15" hidden="false" customHeight="false" outlineLevel="0" collapsed="false">
      <c r="A1112" s="12"/>
      <c r="B1112" s="13"/>
      <c r="C1112" s="14"/>
      <c r="D1112" s="13"/>
      <c r="E1112" s="15" t="str">
        <f aca="false">IF(B1112="","",IFERROR(INDEX(Plan!$B$5:$B$44,MATCH(B1112,Plan!$A$5:$A$44,0))&amp;"","Kategori yok"))</f>
        <v/>
      </c>
    </row>
    <row r="1113" customFormat="false" ht="15" hidden="false" customHeight="false" outlineLevel="0" collapsed="false">
      <c r="A1113" s="12"/>
      <c r="B1113" s="13"/>
      <c r="C1113" s="14"/>
      <c r="D1113" s="13"/>
      <c r="E1113" s="15" t="str">
        <f aca="false">IF(B1113="","",IFERROR(INDEX(Plan!$B$5:$B$44,MATCH(B1113,Plan!$A$5:$A$44,0))&amp;"","Kategori yok"))</f>
        <v/>
      </c>
    </row>
    <row r="1114" customFormat="false" ht="15" hidden="false" customHeight="false" outlineLevel="0" collapsed="false">
      <c r="A1114" s="12"/>
      <c r="B1114" s="13"/>
      <c r="C1114" s="14"/>
      <c r="D1114" s="13"/>
      <c r="E1114" s="15" t="str">
        <f aca="false">IF(B1114="","",IFERROR(INDEX(Plan!$B$5:$B$44,MATCH(B1114,Plan!$A$5:$A$44,0))&amp;"","Kategori yok"))</f>
        <v/>
      </c>
    </row>
    <row r="1115" customFormat="false" ht="15" hidden="false" customHeight="false" outlineLevel="0" collapsed="false">
      <c r="A1115" s="12"/>
      <c r="B1115" s="13"/>
      <c r="C1115" s="14"/>
      <c r="D1115" s="13"/>
      <c r="E1115" s="15" t="str">
        <f aca="false">IF(B1115="","",IFERROR(INDEX(Plan!$B$5:$B$44,MATCH(B1115,Plan!$A$5:$A$44,0))&amp;"","Kategori yok"))</f>
        <v/>
      </c>
    </row>
    <row r="1116" customFormat="false" ht="15" hidden="false" customHeight="false" outlineLevel="0" collapsed="false">
      <c r="A1116" s="12"/>
      <c r="B1116" s="13"/>
      <c r="C1116" s="14"/>
      <c r="D1116" s="13"/>
      <c r="E1116" s="15" t="str">
        <f aca="false">IF(B1116="","",IFERROR(INDEX(Plan!$B$5:$B$44,MATCH(B1116,Plan!$A$5:$A$44,0))&amp;"","Kategori yok"))</f>
        <v/>
      </c>
    </row>
    <row r="1117" customFormat="false" ht="15" hidden="false" customHeight="false" outlineLevel="0" collapsed="false">
      <c r="A1117" s="12"/>
      <c r="B1117" s="13"/>
      <c r="C1117" s="14"/>
      <c r="D1117" s="13"/>
      <c r="E1117" s="15" t="str">
        <f aca="false">IF(B1117="","",IFERROR(INDEX(Plan!$B$5:$B$44,MATCH(B1117,Plan!$A$5:$A$44,0))&amp;"","Kategori yok"))</f>
        <v/>
      </c>
    </row>
    <row r="1118" customFormat="false" ht="15" hidden="false" customHeight="false" outlineLevel="0" collapsed="false">
      <c r="A1118" s="12"/>
      <c r="B1118" s="13"/>
      <c r="C1118" s="14"/>
      <c r="D1118" s="13"/>
      <c r="E1118" s="15" t="str">
        <f aca="false">IF(B1118="","",IFERROR(INDEX(Plan!$B$5:$B$44,MATCH(B1118,Plan!$A$5:$A$44,0))&amp;"","Kategori yok"))</f>
        <v/>
      </c>
    </row>
    <row r="1119" customFormat="false" ht="15" hidden="false" customHeight="false" outlineLevel="0" collapsed="false">
      <c r="A1119" s="12"/>
      <c r="B1119" s="13"/>
      <c r="C1119" s="14"/>
      <c r="D1119" s="13"/>
      <c r="E1119" s="15" t="str">
        <f aca="false">IF(B1119="","",IFERROR(INDEX(Plan!$B$5:$B$44,MATCH(B1119,Plan!$A$5:$A$44,0))&amp;"","Kategori yok"))</f>
        <v/>
      </c>
    </row>
    <row r="1120" customFormat="false" ht="15" hidden="false" customHeight="false" outlineLevel="0" collapsed="false">
      <c r="A1120" s="12"/>
      <c r="B1120" s="13"/>
      <c r="C1120" s="14"/>
      <c r="D1120" s="13"/>
      <c r="E1120" s="15" t="str">
        <f aca="false">IF(B1120="","",IFERROR(INDEX(Plan!$B$5:$B$44,MATCH(B1120,Plan!$A$5:$A$44,0))&amp;"","Kategori yok"))</f>
        <v/>
      </c>
    </row>
    <row r="1121" customFormat="false" ht="15" hidden="false" customHeight="false" outlineLevel="0" collapsed="false">
      <c r="A1121" s="12"/>
      <c r="B1121" s="13"/>
      <c r="C1121" s="14"/>
      <c r="D1121" s="13"/>
      <c r="E1121" s="15" t="str">
        <f aca="false">IF(B1121="","",IFERROR(INDEX(Plan!$B$5:$B$44,MATCH(B1121,Plan!$A$5:$A$44,0))&amp;"","Kategori yok"))</f>
        <v/>
      </c>
    </row>
    <row r="1122" customFormat="false" ht="15" hidden="false" customHeight="false" outlineLevel="0" collapsed="false">
      <c r="A1122" s="12"/>
      <c r="B1122" s="13"/>
      <c r="C1122" s="14"/>
      <c r="D1122" s="13"/>
      <c r="E1122" s="15" t="str">
        <f aca="false">IF(B1122="","",IFERROR(INDEX(Plan!$B$5:$B$44,MATCH(B1122,Plan!$A$5:$A$44,0))&amp;"","Kategori yok"))</f>
        <v/>
      </c>
    </row>
    <row r="1123" customFormat="false" ht="15" hidden="false" customHeight="false" outlineLevel="0" collapsed="false">
      <c r="A1123" s="12"/>
      <c r="B1123" s="13"/>
      <c r="C1123" s="14"/>
      <c r="D1123" s="13"/>
      <c r="E1123" s="15" t="str">
        <f aca="false">IF(B1123="","",IFERROR(INDEX(Plan!$B$5:$B$44,MATCH(B1123,Plan!$A$5:$A$44,0))&amp;"","Kategori yok"))</f>
        <v/>
      </c>
    </row>
    <row r="1124" customFormat="false" ht="15" hidden="false" customHeight="false" outlineLevel="0" collapsed="false">
      <c r="A1124" s="12"/>
      <c r="B1124" s="13"/>
      <c r="C1124" s="14"/>
      <c r="D1124" s="13"/>
      <c r="E1124" s="15" t="str">
        <f aca="false">IF(B1124="","",IFERROR(INDEX(Plan!$B$5:$B$44,MATCH(B1124,Plan!$A$5:$A$44,0))&amp;"","Kategori yok"))</f>
        <v/>
      </c>
    </row>
    <row r="1125" customFormat="false" ht="15" hidden="false" customHeight="false" outlineLevel="0" collapsed="false">
      <c r="A1125" s="12"/>
      <c r="B1125" s="13"/>
      <c r="C1125" s="14"/>
      <c r="D1125" s="13"/>
      <c r="E1125" s="15" t="str">
        <f aca="false">IF(B1125="","",IFERROR(INDEX(Plan!$B$5:$B$44,MATCH(B1125,Plan!$A$5:$A$44,0))&amp;"","Kategori yok"))</f>
        <v/>
      </c>
    </row>
    <row r="1126" customFormat="false" ht="15" hidden="false" customHeight="false" outlineLevel="0" collapsed="false">
      <c r="A1126" s="12"/>
      <c r="B1126" s="13"/>
      <c r="C1126" s="14"/>
      <c r="D1126" s="13"/>
      <c r="E1126" s="15" t="str">
        <f aca="false">IF(B1126="","",IFERROR(INDEX(Plan!$B$5:$B$44,MATCH(B1126,Plan!$A$5:$A$44,0))&amp;"","Kategori yok"))</f>
        <v/>
      </c>
    </row>
    <row r="1127" customFormat="false" ht="15" hidden="false" customHeight="false" outlineLevel="0" collapsed="false">
      <c r="A1127" s="12"/>
      <c r="B1127" s="13"/>
      <c r="C1127" s="14"/>
      <c r="D1127" s="13"/>
      <c r="E1127" s="15" t="str">
        <f aca="false">IF(B1127="","",IFERROR(INDEX(Plan!$B$5:$B$44,MATCH(B1127,Plan!$A$5:$A$44,0))&amp;"","Kategori yok"))</f>
        <v/>
      </c>
    </row>
    <row r="1128" customFormat="false" ht="15" hidden="false" customHeight="false" outlineLevel="0" collapsed="false">
      <c r="A1128" s="12"/>
      <c r="B1128" s="13"/>
      <c r="C1128" s="14"/>
      <c r="D1128" s="13"/>
      <c r="E1128" s="15" t="str">
        <f aca="false">IF(B1128="","",IFERROR(INDEX(Plan!$B$5:$B$44,MATCH(B1128,Plan!$A$5:$A$44,0))&amp;"","Kategori yok"))</f>
        <v/>
      </c>
    </row>
    <row r="1129" customFormat="false" ht="15" hidden="false" customHeight="false" outlineLevel="0" collapsed="false">
      <c r="A1129" s="12"/>
      <c r="B1129" s="13"/>
      <c r="C1129" s="14"/>
      <c r="D1129" s="13"/>
      <c r="E1129" s="15" t="str">
        <f aca="false">IF(B1129="","",IFERROR(INDEX(Plan!$B$5:$B$44,MATCH(B1129,Plan!$A$5:$A$44,0))&amp;"","Kategori yok"))</f>
        <v/>
      </c>
    </row>
    <row r="1130" customFormat="false" ht="15" hidden="false" customHeight="false" outlineLevel="0" collapsed="false">
      <c r="A1130" s="12"/>
      <c r="B1130" s="13"/>
      <c r="C1130" s="14"/>
      <c r="D1130" s="13"/>
      <c r="E1130" s="15" t="str">
        <f aca="false">IF(B1130="","",IFERROR(INDEX(Plan!$B$5:$B$44,MATCH(B1130,Plan!$A$5:$A$44,0))&amp;"","Kategori yok"))</f>
        <v/>
      </c>
    </row>
    <row r="1131" customFormat="false" ht="15" hidden="false" customHeight="false" outlineLevel="0" collapsed="false">
      <c r="A1131" s="12"/>
      <c r="B1131" s="13"/>
      <c r="C1131" s="14"/>
      <c r="D1131" s="13"/>
      <c r="E1131" s="15" t="str">
        <f aca="false">IF(B1131="","",IFERROR(INDEX(Plan!$B$5:$B$44,MATCH(B1131,Plan!$A$5:$A$44,0))&amp;"","Kategori yok"))</f>
        <v/>
      </c>
    </row>
    <row r="1132" customFormat="false" ht="15" hidden="false" customHeight="false" outlineLevel="0" collapsed="false">
      <c r="A1132" s="12"/>
      <c r="B1132" s="13"/>
      <c r="C1132" s="14"/>
      <c r="D1132" s="13"/>
      <c r="E1132" s="15" t="str">
        <f aca="false">IF(B1132="","",IFERROR(INDEX(Plan!$B$5:$B$44,MATCH(B1132,Plan!$A$5:$A$44,0))&amp;"","Kategori yok"))</f>
        <v/>
      </c>
    </row>
    <row r="1133" customFormat="false" ht="15" hidden="false" customHeight="false" outlineLevel="0" collapsed="false">
      <c r="A1133" s="12"/>
      <c r="B1133" s="13"/>
      <c r="C1133" s="14"/>
      <c r="D1133" s="13"/>
      <c r="E1133" s="15" t="str">
        <f aca="false">IF(B1133="","",IFERROR(INDEX(Plan!$B$5:$B$44,MATCH(B1133,Plan!$A$5:$A$44,0))&amp;"","Kategori yok"))</f>
        <v/>
      </c>
    </row>
    <row r="1134" customFormat="false" ht="15" hidden="false" customHeight="false" outlineLevel="0" collapsed="false">
      <c r="A1134" s="12"/>
      <c r="B1134" s="13"/>
      <c r="C1134" s="14"/>
      <c r="D1134" s="13"/>
      <c r="E1134" s="15" t="str">
        <f aca="false">IF(B1134="","",IFERROR(INDEX(Plan!$B$5:$B$44,MATCH(B1134,Plan!$A$5:$A$44,0))&amp;"","Kategori yok"))</f>
        <v/>
      </c>
    </row>
    <row r="1135" customFormat="false" ht="15" hidden="false" customHeight="false" outlineLevel="0" collapsed="false">
      <c r="A1135" s="12"/>
      <c r="B1135" s="13"/>
      <c r="C1135" s="14"/>
      <c r="D1135" s="13"/>
      <c r="E1135" s="15" t="str">
        <f aca="false">IF(B1135="","",IFERROR(INDEX(Plan!$B$5:$B$44,MATCH(B1135,Plan!$A$5:$A$44,0))&amp;"","Kategori yok"))</f>
        <v/>
      </c>
    </row>
    <row r="1136" customFormat="false" ht="15" hidden="false" customHeight="false" outlineLevel="0" collapsed="false">
      <c r="A1136" s="12"/>
      <c r="B1136" s="13"/>
      <c r="C1136" s="14"/>
      <c r="D1136" s="13"/>
      <c r="E1136" s="15" t="str">
        <f aca="false">IF(B1136="","",IFERROR(INDEX(Plan!$B$5:$B$44,MATCH(B1136,Plan!$A$5:$A$44,0))&amp;"","Kategori yok"))</f>
        <v/>
      </c>
    </row>
    <row r="1137" customFormat="false" ht="15" hidden="false" customHeight="false" outlineLevel="0" collapsed="false">
      <c r="A1137" s="12"/>
      <c r="B1137" s="13"/>
      <c r="C1137" s="14"/>
      <c r="D1137" s="13"/>
      <c r="E1137" s="15" t="str">
        <f aca="false">IF(B1137="","",IFERROR(INDEX(Plan!$B$5:$B$44,MATCH(B1137,Plan!$A$5:$A$44,0))&amp;"","Kategori yok"))</f>
        <v/>
      </c>
    </row>
    <row r="1138" customFormat="false" ht="15" hidden="false" customHeight="false" outlineLevel="0" collapsed="false">
      <c r="A1138" s="12"/>
      <c r="B1138" s="13"/>
      <c r="C1138" s="14"/>
      <c r="D1138" s="13"/>
      <c r="E1138" s="15" t="str">
        <f aca="false">IF(B1138="","",IFERROR(INDEX(Plan!$B$5:$B$44,MATCH(B1138,Plan!$A$5:$A$44,0))&amp;"","Kategori yok"))</f>
        <v/>
      </c>
    </row>
    <row r="1139" customFormat="false" ht="15" hidden="false" customHeight="false" outlineLevel="0" collapsed="false">
      <c r="A1139" s="12"/>
      <c r="B1139" s="13"/>
      <c r="C1139" s="14"/>
      <c r="D1139" s="13"/>
      <c r="E1139" s="15" t="str">
        <f aca="false">IF(B1139="","",IFERROR(INDEX(Plan!$B$5:$B$44,MATCH(B1139,Plan!$A$5:$A$44,0))&amp;"","Kategori yok"))</f>
        <v/>
      </c>
    </row>
    <row r="1140" customFormat="false" ht="15" hidden="false" customHeight="false" outlineLevel="0" collapsed="false">
      <c r="A1140" s="12"/>
      <c r="B1140" s="13"/>
      <c r="C1140" s="14"/>
      <c r="D1140" s="13"/>
      <c r="E1140" s="15" t="str">
        <f aca="false">IF(B1140="","",IFERROR(INDEX(Plan!$B$5:$B$44,MATCH(B1140,Plan!$A$5:$A$44,0))&amp;"","Kategori yok"))</f>
        <v/>
      </c>
    </row>
    <row r="1141" customFormat="false" ht="15" hidden="false" customHeight="false" outlineLevel="0" collapsed="false">
      <c r="A1141" s="12"/>
      <c r="B1141" s="13"/>
      <c r="C1141" s="14"/>
      <c r="D1141" s="13"/>
      <c r="E1141" s="15" t="str">
        <f aca="false">IF(B1141="","",IFERROR(INDEX(Plan!$B$5:$B$44,MATCH(B1141,Plan!$A$5:$A$44,0))&amp;"","Kategori yok"))</f>
        <v/>
      </c>
    </row>
    <row r="1142" customFormat="false" ht="15" hidden="false" customHeight="false" outlineLevel="0" collapsed="false">
      <c r="A1142" s="12"/>
      <c r="B1142" s="13"/>
      <c r="C1142" s="14"/>
      <c r="D1142" s="13"/>
      <c r="E1142" s="15" t="str">
        <f aca="false">IF(B1142="","",IFERROR(INDEX(Plan!$B$5:$B$44,MATCH(B1142,Plan!$A$5:$A$44,0))&amp;"","Kategori yok"))</f>
        <v/>
      </c>
    </row>
    <row r="1143" customFormat="false" ht="15" hidden="false" customHeight="false" outlineLevel="0" collapsed="false">
      <c r="A1143" s="12"/>
      <c r="B1143" s="13"/>
      <c r="C1143" s="14"/>
      <c r="D1143" s="13"/>
      <c r="E1143" s="15" t="str">
        <f aca="false">IF(B1143="","",IFERROR(INDEX(Plan!$B$5:$B$44,MATCH(B1143,Plan!$A$5:$A$44,0))&amp;"","Kategori yok"))</f>
        <v/>
      </c>
    </row>
    <row r="1144" customFormat="false" ht="15" hidden="false" customHeight="false" outlineLevel="0" collapsed="false">
      <c r="A1144" s="12"/>
      <c r="B1144" s="13"/>
      <c r="C1144" s="14"/>
      <c r="D1144" s="13"/>
      <c r="E1144" s="15" t="str">
        <f aca="false">IF(B1144="","",IFERROR(INDEX(Plan!$B$5:$B$44,MATCH(B1144,Plan!$A$5:$A$44,0))&amp;"","Kategori yok"))</f>
        <v/>
      </c>
    </row>
    <row r="1145" customFormat="false" ht="15" hidden="false" customHeight="false" outlineLevel="0" collapsed="false">
      <c r="A1145" s="12"/>
      <c r="B1145" s="13"/>
      <c r="C1145" s="14"/>
      <c r="D1145" s="13"/>
      <c r="E1145" s="15" t="str">
        <f aca="false">IF(B1145="","",IFERROR(INDEX(Plan!$B$5:$B$44,MATCH(B1145,Plan!$A$5:$A$44,0))&amp;"","Kategori yok"))</f>
        <v/>
      </c>
    </row>
    <row r="1146" customFormat="false" ht="15" hidden="false" customHeight="false" outlineLevel="0" collapsed="false">
      <c r="A1146" s="12"/>
      <c r="B1146" s="13"/>
      <c r="C1146" s="14"/>
      <c r="D1146" s="13"/>
      <c r="E1146" s="15" t="str">
        <f aca="false">IF(B1146="","",IFERROR(INDEX(Plan!$B$5:$B$44,MATCH(B1146,Plan!$A$5:$A$44,0))&amp;"","Kategori yok"))</f>
        <v/>
      </c>
    </row>
    <row r="1147" customFormat="false" ht="15" hidden="false" customHeight="false" outlineLevel="0" collapsed="false">
      <c r="A1147" s="12"/>
      <c r="B1147" s="13"/>
      <c r="C1147" s="14"/>
      <c r="D1147" s="13"/>
      <c r="E1147" s="15" t="str">
        <f aca="false">IF(B1147="","",IFERROR(INDEX(Plan!$B$5:$B$44,MATCH(B1147,Plan!$A$5:$A$44,0))&amp;"","Kategori yok"))</f>
        <v/>
      </c>
    </row>
    <row r="1148" customFormat="false" ht="15" hidden="false" customHeight="false" outlineLevel="0" collapsed="false">
      <c r="A1148" s="12"/>
      <c r="B1148" s="13"/>
      <c r="C1148" s="14"/>
      <c r="D1148" s="13"/>
      <c r="E1148" s="15" t="str">
        <f aca="false">IF(B1148="","",IFERROR(INDEX(Plan!$B$5:$B$44,MATCH(B1148,Plan!$A$5:$A$44,0))&amp;"","Kategori yok"))</f>
        <v/>
      </c>
    </row>
    <row r="1149" customFormat="false" ht="15" hidden="false" customHeight="false" outlineLevel="0" collapsed="false">
      <c r="A1149" s="12"/>
      <c r="B1149" s="13"/>
      <c r="C1149" s="14"/>
      <c r="D1149" s="13"/>
      <c r="E1149" s="15" t="str">
        <f aca="false">IF(B1149="","",IFERROR(INDEX(Plan!$B$5:$B$44,MATCH(B1149,Plan!$A$5:$A$44,0))&amp;"","Kategori yok"))</f>
        <v/>
      </c>
    </row>
    <row r="1150" customFormat="false" ht="15" hidden="false" customHeight="false" outlineLevel="0" collapsed="false">
      <c r="A1150" s="12"/>
      <c r="B1150" s="13"/>
      <c r="C1150" s="14"/>
      <c r="D1150" s="13"/>
      <c r="E1150" s="15" t="str">
        <f aca="false">IF(B1150="","",IFERROR(INDEX(Plan!$B$5:$B$44,MATCH(B1150,Plan!$A$5:$A$44,0))&amp;"","Kategori yok"))</f>
        <v/>
      </c>
    </row>
    <row r="1151" customFormat="false" ht="15" hidden="false" customHeight="false" outlineLevel="0" collapsed="false">
      <c r="A1151" s="12"/>
      <c r="B1151" s="13"/>
      <c r="C1151" s="14"/>
      <c r="D1151" s="13"/>
      <c r="E1151" s="15" t="str">
        <f aca="false">IF(B1151="","",IFERROR(INDEX(Plan!$B$5:$B$44,MATCH(B1151,Plan!$A$5:$A$44,0))&amp;"","Kategori yok"))</f>
        <v/>
      </c>
    </row>
    <row r="1152" customFormat="false" ht="15" hidden="false" customHeight="false" outlineLevel="0" collapsed="false">
      <c r="A1152" s="12"/>
      <c r="B1152" s="13"/>
      <c r="C1152" s="14"/>
      <c r="D1152" s="13"/>
      <c r="E1152" s="15" t="str">
        <f aca="false">IF(B1152="","",IFERROR(INDEX(Plan!$B$5:$B$44,MATCH(B1152,Plan!$A$5:$A$44,0))&amp;"","Kategori yok"))</f>
        <v/>
      </c>
    </row>
    <row r="1153" customFormat="false" ht="15" hidden="false" customHeight="false" outlineLevel="0" collapsed="false">
      <c r="A1153" s="12"/>
      <c r="B1153" s="13"/>
      <c r="C1153" s="14"/>
      <c r="D1153" s="13"/>
      <c r="E1153" s="15" t="str">
        <f aca="false">IF(B1153="","",IFERROR(INDEX(Plan!$B$5:$B$44,MATCH(B1153,Plan!$A$5:$A$44,0))&amp;"","Kategori yok"))</f>
        <v/>
      </c>
    </row>
    <row r="1154" customFormat="false" ht="15" hidden="false" customHeight="false" outlineLevel="0" collapsed="false">
      <c r="A1154" s="12"/>
      <c r="B1154" s="13"/>
      <c r="C1154" s="14"/>
      <c r="D1154" s="13"/>
      <c r="E1154" s="15" t="str">
        <f aca="false">IF(B1154="","",IFERROR(INDEX(Plan!$B$5:$B$44,MATCH(B1154,Plan!$A$5:$A$44,0))&amp;"","Kategori yok"))</f>
        <v/>
      </c>
    </row>
    <row r="1155" customFormat="false" ht="15" hidden="false" customHeight="false" outlineLevel="0" collapsed="false">
      <c r="A1155" s="12"/>
      <c r="B1155" s="13"/>
      <c r="C1155" s="14"/>
      <c r="D1155" s="13"/>
      <c r="E1155" s="15" t="str">
        <f aca="false">IF(B1155="","",IFERROR(INDEX(Plan!$B$5:$B$44,MATCH(B1155,Plan!$A$5:$A$44,0))&amp;"","Kategori yok"))</f>
        <v/>
      </c>
    </row>
    <row r="1156" customFormat="false" ht="15" hidden="false" customHeight="false" outlineLevel="0" collapsed="false">
      <c r="A1156" s="12"/>
      <c r="B1156" s="13"/>
      <c r="C1156" s="14"/>
      <c r="D1156" s="13"/>
      <c r="E1156" s="15" t="str">
        <f aca="false">IF(B1156="","",IFERROR(INDEX(Plan!$B$5:$B$44,MATCH(B1156,Plan!$A$5:$A$44,0))&amp;"","Kategori yok"))</f>
        <v/>
      </c>
    </row>
    <row r="1157" customFormat="false" ht="15" hidden="false" customHeight="false" outlineLevel="0" collapsed="false">
      <c r="A1157" s="12"/>
      <c r="B1157" s="13"/>
      <c r="C1157" s="14"/>
      <c r="D1157" s="13"/>
      <c r="E1157" s="15" t="str">
        <f aca="false">IF(B1157="","",IFERROR(INDEX(Plan!$B$5:$B$44,MATCH(B1157,Plan!$A$5:$A$44,0))&amp;"","Kategori yok"))</f>
        <v/>
      </c>
    </row>
    <row r="1158" customFormat="false" ht="15" hidden="false" customHeight="false" outlineLevel="0" collapsed="false">
      <c r="A1158" s="12"/>
      <c r="B1158" s="13"/>
      <c r="C1158" s="14"/>
      <c r="D1158" s="13"/>
      <c r="E1158" s="15" t="str">
        <f aca="false">IF(B1158="","",IFERROR(INDEX(Plan!$B$5:$B$44,MATCH(B1158,Plan!$A$5:$A$44,0))&amp;"","Kategori yok"))</f>
        <v/>
      </c>
    </row>
    <row r="1159" customFormat="false" ht="15" hidden="false" customHeight="false" outlineLevel="0" collapsed="false">
      <c r="A1159" s="12"/>
      <c r="B1159" s="13"/>
      <c r="C1159" s="14"/>
      <c r="D1159" s="13"/>
      <c r="E1159" s="15" t="str">
        <f aca="false">IF(B1159="","",IFERROR(INDEX(Plan!$B$5:$B$44,MATCH(B1159,Plan!$A$5:$A$44,0))&amp;"","Kategori yok"))</f>
        <v/>
      </c>
    </row>
    <row r="1160" customFormat="false" ht="15" hidden="false" customHeight="false" outlineLevel="0" collapsed="false">
      <c r="A1160" s="12"/>
      <c r="B1160" s="13"/>
      <c r="C1160" s="14"/>
      <c r="D1160" s="13"/>
      <c r="E1160" s="15" t="str">
        <f aca="false">IF(B1160="","",IFERROR(INDEX(Plan!$B$5:$B$44,MATCH(B1160,Plan!$A$5:$A$44,0))&amp;"","Kategori yok"))</f>
        <v/>
      </c>
    </row>
    <row r="1161" customFormat="false" ht="15" hidden="false" customHeight="false" outlineLevel="0" collapsed="false">
      <c r="A1161" s="12"/>
      <c r="B1161" s="13"/>
      <c r="C1161" s="14"/>
      <c r="D1161" s="13"/>
      <c r="E1161" s="15" t="str">
        <f aca="false">IF(B1161="","",IFERROR(INDEX(Plan!$B$5:$B$44,MATCH(B1161,Plan!$A$5:$A$44,0))&amp;"","Kategori yok"))</f>
        <v/>
      </c>
    </row>
    <row r="1162" customFormat="false" ht="15" hidden="false" customHeight="false" outlineLevel="0" collapsed="false">
      <c r="A1162" s="12"/>
      <c r="B1162" s="13"/>
      <c r="C1162" s="14"/>
      <c r="D1162" s="13"/>
      <c r="E1162" s="15" t="str">
        <f aca="false">IF(B1162="","",IFERROR(INDEX(Plan!$B$5:$B$44,MATCH(B1162,Plan!$A$5:$A$44,0))&amp;"","Kategori yok"))</f>
        <v/>
      </c>
    </row>
    <row r="1163" customFormat="false" ht="15" hidden="false" customHeight="false" outlineLevel="0" collapsed="false">
      <c r="A1163" s="12"/>
      <c r="B1163" s="13"/>
      <c r="C1163" s="14"/>
      <c r="D1163" s="13"/>
      <c r="E1163" s="15" t="str">
        <f aca="false">IF(B1163="","",IFERROR(INDEX(Plan!$B$5:$B$44,MATCH(B1163,Plan!$A$5:$A$44,0))&amp;"","Kategori yok"))</f>
        <v/>
      </c>
    </row>
    <row r="1164" customFormat="false" ht="15" hidden="false" customHeight="false" outlineLevel="0" collapsed="false">
      <c r="A1164" s="12"/>
      <c r="B1164" s="13"/>
      <c r="C1164" s="14"/>
      <c r="D1164" s="13"/>
      <c r="E1164" s="15" t="str">
        <f aca="false">IF(B1164="","",IFERROR(INDEX(Plan!$B$5:$B$44,MATCH(B1164,Plan!$A$5:$A$44,0))&amp;"","Kategori yok"))</f>
        <v/>
      </c>
    </row>
    <row r="1165" customFormat="false" ht="15" hidden="false" customHeight="false" outlineLevel="0" collapsed="false">
      <c r="A1165" s="12"/>
      <c r="B1165" s="13"/>
      <c r="C1165" s="14"/>
      <c r="D1165" s="13"/>
      <c r="E1165" s="15" t="str">
        <f aca="false">IF(B1165="","",IFERROR(INDEX(Plan!$B$5:$B$44,MATCH(B1165,Plan!$A$5:$A$44,0))&amp;"","Kategori yok"))</f>
        <v/>
      </c>
    </row>
    <row r="1166" customFormat="false" ht="15" hidden="false" customHeight="false" outlineLevel="0" collapsed="false">
      <c r="A1166" s="12"/>
      <c r="B1166" s="13"/>
      <c r="C1166" s="14"/>
      <c r="D1166" s="13"/>
      <c r="E1166" s="15" t="str">
        <f aca="false">IF(B1166="","",IFERROR(INDEX(Plan!$B$5:$B$44,MATCH(B1166,Plan!$A$5:$A$44,0))&amp;"","Kategori yok"))</f>
        <v/>
      </c>
    </row>
    <row r="1167" customFormat="false" ht="15" hidden="false" customHeight="false" outlineLevel="0" collapsed="false">
      <c r="A1167" s="12"/>
      <c r="B1167" s="13"/>
      <c r="C1167" s="14"/>
      <c r="D1167" s="13"/>
      <c r="E1167" s="15" t="str">
        <f aca="false">IF(B1167="","",IFERROR(INDEX(Plan!$B$5:$B$44,MATCH(B1167,Plan!$A$5:$A$44,0))&amp;"","Kategori yok"))</f>
        <v/>
      </c>
    </row>
    <row r="1168" customFormat="false" ht="15" hidden="false" customHeight="false" outlineLevel="0" collapsed="false">
      <c r="A1168" s="12"/>
      <c r="B1168" s="13"/>
      <c r="C1168" s="14"/>
      <c r="D1168" s="13"/>
      <c r="E1168" s="15" t="str">
        <f aca="false">IF(B1168="","",IFERROR(INDEX(Plan!$B$5:$B$44,MATCH(B1168,Plan!$A$5:$A$44,0))&amp;"","Kategori yok"))</f>
        <v/>
      </c>
    </row>
    <row r="1169" customFormat="false" ht="15" hidden="false" customHeight="false" outlineLevel="0" collapsed="false">
      <c r="A1169" s="12"/>
      <c r="B1169" s="13"/>
      <c r="C1169" s="14"/>
      <c r="D1169" s="13"/>
      <c r="E1169" s="15" t="str">
        <f aca="false">IF(B1169="","",IFERROR(INDEX(Plan!$B$5:$B$44,MATCH(B1169,Plan!$A$5:$A$44,0))&amp;"","Kategori yok"))</f>
        <v/>
      </c>
    </row>
    <row r="1170" customFormat="false" ht="15" hidden="false" customHeight="false" outlineLevel="0" collapsed="false">
      <c r="A1170" s="12"/>
      <c r="B1170" s="13"/>
      <c r="C1170" s="14"/>
      <c r="D1170" s="13"/>
      <c r="E1170" s="15" t="str">
        <f aca="false">IF(B1170="","",IFERROR(INDEX(Plan!$B$5:$B$44,MATCH(B1170,Plan!$A$5:$A$44,0))&amp;"","Kategori yok"))</f>
        <v/>
      </c>
    </row>
    <row r="1171" customFormat="false" ht="15" hidden="false" customHeight="false" outlineLevel="0" collapsed="false">
      <c r="A1171" s="12"/>
      <c r="B1171" s="13"/>
      <c r="C1171" s="14"/>
      <c r="D1171" s="13"/>
      <c r="E1171" s="15" t="str">
        <f aca="false">IF(B1171="","",IFERROR(INDEX(Plan!$B$5:$B$44,MATCH(B1171,Plan!$A$5:$A$44,0))&amp;"","Kategori yok"))</f>
        <v/>
      </c>
    </row>
    <row r="1172" customFormat="false" ht="15" hidden="false" customHeight="false" outlineLevel="0" collapsed="false">
      <c r="A1172" s="12"/>
      <c r="B1172" s="13"/>
      <c r="C1172" s="14"/>
      <c r="D1172" s="13"/>
      <c r="E1172" s="15" t="str">
        <f aca="false">IF(B1172="","",IFERROR(INDEX(Plan!$B$5:$B$44,MATCH(B1172,Plan!$A$5:$A$44,0))&amp;"","Kategori yok"))</f>
        <v/>
      </c>
    </row>
    <row r="1173" customFormat="false" ht="15" hidden="false" customHeight="false" outlineLevel="0" collapsed="false">
      <c r="A1173" s="12"/>
      <c r="B1173" s="13"/>
      <c r="C1173" s="14"/>
      <c r="D1173" s="13"/>
      <c r="E1173" s="15" t="str">
        <f aca="false">IF(B1173="","",IFERROR(INDEX(Plan!$B$5:$B$44,MATCH(B1173,Plan!$A$5:$A$44,0))&amp;"","Kategori yok"))</f>
        <v/>
      </c>
    </row>
    <row r="1174" customFormat="false" ht="15" hidden="false" customHeight="false" outlineLevel="0" collapsed="false">
      <c r="A1174" s="12"/>
      <c r="B1174" s="13"/>
      <c r="C1174" s="14"/>
      <c r="D1174" s="13"/>
      <c r="E1174" s="15" t="str">
        <f aca="false">IF(B1174="","",IFERROR(INDEX(Plan!$B$5:$B$44,MATCH(B1174,Plan!$A$5:$A$44,0))&amp;"","Kategori yok"))</f>
        <v/>
      </c>
    </row>
    <row r="1175" customFormat="false" ht="15" hidden="false" customHeight="false" outlineLevel="0" collapsed="false">
      <c r="A1175" s="12"/>
      <c r="B1175" s="13"/>
      <c r="C1175" s="14"/>
      <c r="D1175" s="13"/>
      <c r="E1175" s="15" t="str">
        <f aca="false">IF(B1175="","",IFERROR(INDEX(Plan!$B$5:$B$44,MATCH(B1175,Plan!$A$5:$A$44,0))&amp;"","Kategori yok"))</f>
        <v/>
      </c>
    </row>
    <row r="1176" customFormat="false" ht="15" hidden="false" customHeight="false" outlineLevel="0" collapsed="false">
      <c r="A1176" s="12"/>
      <c r="B1176" s="13"/>
      <c r="C1176" s="14"/>
      <c r="D1176" s="13"/>
      <c r="E1176" s="15" t="str">
        <f aca="false">IF(B1176="","",IFERROR(INDEX(Plan!$B$5:$B$44,MATCH(B1176,Plan!$A$5:$A$44,0))&amp;"","Kategori yok"))</f>
        <v/>
      </c>
    </row>
    <row r="1177" customFormat="false" ht="15" hidden="false" customHeight="false" outlineLevel="0" collapsed="false">
      <c r="A1177" s="12"/>
      <c r="B1177" s="13"/>
      <c r="C1177" s="14"/>
      <c r="D1177" s="13"/>
      <c r="E1177" s="15" t="str">
        <f aca="false">IF(B1177="","",IFERROR(INDEX(Plan!$B$5:$B$44,MATCH(B1177,Plan!$A$5:$A$44,0))&amp;"","Kategori yok"))</f>
        <v/>
      </c>
    </row>
    <row r="1178" customFormat="false" ht="15" hidden="false" customHeight="false" outlineLevel="0" collapsed="false">
      <c r="A1178" s="12"/>
      <c r="B1178" s="13"/>
      <c r="C1178" s="14"/>
      <c r="D1178" s="13"/>
      <c r="E1178" s="15" t="str">
        <f aca="false">IF(B1178="","",IFERROR(INDEX(Plan!$B$5:$B$44,MATCH(B1178,Plan!$A$5:$A$44,0))&amp;"","Kategori yok"))</f>
        <v/>
      </c>
    </row>
    <row r="1179" customFormat="false" ht="15" hidden="false" customHeight="false" outlineLevel="0" collapsed="false">
      <c r="A1179" s="12"/>
      <c r="B1179" s="13"/>
      <c r="C1179" s="14"/>
      <c r="D1179" s="13"/>
      <c r="E1179" s="15" t="str">
        <f aca="false">IF(B1179="","",IFERROR(INDEX(Plan!$B$5:$B$44,MATCH(B1179,Plan!$A$5:$A$44,0))&amp;"","Kategori yok"))</f>
        <v/>
      </c>
    </row>
    <row r="1180" customFormat="false" ht="15" hidden="false" customHeight="false" outlineLevel="0" collapsed="false">
      <c r="A1180" s="12"/>
      <c r="B1180" s="13"/>
      <c r="C1180" s="14"/>
      <c r="D1180" s="13"/>
      <c r="E1180" s="15" t="str">
        <f aca="false">IF(B1180="","",IFERROR(INDEX(Plan!$B$5:$B$44,MATCH(B1180,Plan!$A$5:$A$44,0))&amp;"","Kategori yok"))</f>
        <v/>
      </c>
    </row>
    <row r="1181" customFormat="false" ht="15" hidden="false" customHeight="false" outlineLevel="0" collapsed="false">
      <c r="A1181" s="12"/>
      <c r="B1181" s="13"/>
      <c r="C1181" s="14"/>
      <c r="D1181" s="13"/>
      <c r="E1181" s="15" t="str">
        <f aca="false">IF(B1181="","",IFERROR(INDEX(Plan!$B$5:$B$44,MATCH(B1181,Plan!$A$5:$A$44,0))&amp;"","Kategori yok"))</f>
        <v/>
      </c>
    </row>
    <row r="1182" customFormat="false" ht="15" hidden="false" customHeight="false" outlineLevel="0" collapsed="false">
      <c r="A1182" s="12"/>
      <c r="B1182" s="13"/>
      <c r="C1182" s="14"/>
      <c r="D1182" s="13"/>
      <c r="E1182" s="15" t="str">
        <f aca="false">IF(B1182="","",IFERROR(INDEX(Plan!$B$5:$B$44,MATCH(B1182,Plan!$A$5:$A$44,0))&amp;"","Kategori yok"))</f>
        <v/>
      </c>
    </row>
    <row r="1183" customFormat="false" ht="15" hidden="false" customHeight="false" outlineLevel="0" collapsed="false">
      <c r="A1183" s="12"/>
      <c r="B1183" s="13"/>
      <c r="C1183" s="14"/>
      <c r="D1183" s="13"/>
      <c r="E1183" s="15" t="str">
        <f aca="false">IF(B1183="","",IFERROR(INDEX(Plan!$B$5:$B$44,MATCH(B1183,Plan!$A$5:$A$44,0))&amp;"","Kategori yok"))</f>
        <v/>
      </c>
    </row>
    <row r="1184" customFormat="false" ht="15" hidden="false" customHeight="false" outlineLevel="0" collapsed="false">
      <c r="A1184" s="12"/>
      <c r="B1184" s="13"/>
      <c r="C1184" s="14"/>
      <c r="D1184" s="13"/>
      <c r="E1184" s="15" t="str">
        <f aca="false">IF(B1184="","",IFERROR(INDEX(Plan!$B$5:$B$44,MATCH(B1184,Plan!$A$5:$A$44,0))&amp;"","Kategori yok"))</f>
        <v/>
      </c>
    </row>
    <row r="1185" customFormat="false" ht="15" hidden="false" customHeight="false" outlineLevel="0" collapsed="false">
      <c r="A1185" s="12"/>
      <c r="B1185" s="13"/>
      <c r="C1185" s="14"/>
      <c r="D1185" s="13"/>
      <c r="E1185" s="15" t="str">
        <f aca="false">IF(B1185="","",IFERROR(INDEX(Plan!$B$5:$B$44,MATCH(B1185,Plan!$A$5:$A$44,0))&amp;"","Kategori yok"))</f>
        <v/>
      </c>
    </row>
    <row r="1186" customFormat="false" ht="15" hidden="false" customHeight="false" outlineLevel="0" collapsed="false">
      <c r="A1186" s="12"/>
      <c r="B1186" s="13"/>
      <c r="C1186" s="14"/>
      <c r="D1186" s="13"/>
      <c r="E1186" s="15" t="str">
        <f aca="false">IF(B1186="","",IFERROR(INDEX(Plan!$B$5:$B$44,MATCH(B1186,Plan!$A$5:$A$44,0))&amp;"","Kategori yok"))</f>
        <v/>
      </c>
    </row>
    <row r="1187" customFormat="false" ht="15" hidden="false" customHeight="false" outlineLevel="0" collapsed="false">
      <c r="A1187" s="12"/>
      <c r="B1187" s="13"/>
      <c r="C1187" s="14"/>
      <c r="D1187" s="13"/>
      <c r="E1187" s="15" t="str">
        <f aca="false">IF(B1187="","",IFERROR(INDEX(Plan!$B$5:$B$44,MATCH(B1187,Plan!$A$5:$A$44,0))&amp;"","Kategori yok"))</f>
        <v/>
      </c>
    </row>
    <row r="1188" customFormat="false" ht="15" hidden="false" customHeight="false" outlineLevel="0" collapsed="false">
      <c r="A1188" s="12"/>
      <c r="B1188" s="13"/>
      <c r="C1188" s="14"/>
      <c r="D1188" s="13"/>
      <c r="E1188" s="15" t="str">
        <f aca="false">IF(B1188="","",IFERROR(INDEX(Plan!$B$5:$B$44,MATCH(B1188,Plan!$A$5:$A$44,0))&amp;"","Kategori yok"))</f>
        <v/>
      </c>
    </row>
    <row r="1189" customFormat="false" ht="15" hidden="false" customHeight="false" outlineLevel="0" collapsed="false">
      <c r="A1189" s="12"/>
      <c r="B1189" s="13"/>
      <c r="C1189" s="14"/>
      <c r="D1189" s="13"/>
      <c r="E1189" s="15" t="str">
        <f aca="false">IF(B1189="","",IFERROR(INDEX(Plan!$B$5:$B$44,MATCH(B1189,Plan!$A$5:$A$44,0))&amp;"","Kategori yok"))</f>
        <v/>
      </c>
    </row>
    <row r="1190" customFormat="false" ht="15" hidden="false" customHeight="false" outlineLevel="0" collapsed="false">
      <c r="A1190" s="12"/>
      <c r="B1190" s="13"/>
      <c r="C1190" s="14"/>
      <c r="D1190" s="13"/>
      <c r="E1190" s="15" t="str">
        <f aca="false">IF(B1190="","",IFERROR(INDEX(Plan!$B$5:$B$44,MATCH(B1190,Plan!$A$5:$A$44,0))&amp;"","Kategori yok"))</f>
        <v/>
      </c>
    </row>
    <row r="1191" customFormat="false" ht="15" hidden="false" customHeight="false" outlineLevel="0" collapsed="false">
      <c r="A1191" s="12"/>
      <c r="B1191" s="13"/>
      <c r="C1191" s="14"/>
      <c r="D1191" s="13"/>
      <c r="E1191" s="15" t="str">
        <f aca="false">IF(B1191="","",IFERROR(INDEX(Plan!$B$5:$B$44,MATCH(B1191,Plan!$A$5:$A$44,0))&amp;"","Kategori yok"))</f>
        <v/>
      </c>
    </row>
    <row r="1192" customFormat="false" ht="15" hidden="false" customHeight="false" outlineLevel="0" collapsed="false">
      <c r="A1192" s="12"/>
      <c r="B1192" s="13"/>
      <c r="C1192" s="14"/>
      <c r="D1192" s="13"/>
      <c r="E1192" s="15" t="str">
        <f aca="false">IF(B1192="","",IFERROR(INDEX(Plan!$B$5:$B$44,MATCH(B1192,Plan!$A$5:$A$44,0))&amp;"","Kategori yok"))</f>
        <v/>
      </c>
    </row>
    <row r="1193" customFormat="false" ht="15" hidden="false" customHeight="false" outlineLevel="0" collapsed="false">
      <c r="A1193" s="12"/>
      <c r="B1193" s="13"/>
      <c r="C1193" s="14"/>
      <c r="D1193" s="13"/>
      <c r="E1193" s="15" t="str">
        <f aca="false">IF(B1193="","",IFERROR(INDEX(Plan!$B$5:$B$44,MATCH(B1193,Plan!$A$5:$A$44,0))&amp;"","Kategori yok"))</f>
        <v/>
      </c>
    </row>
    <row r="1194" customFormat="false" ht="15" hidden="false" customHeight="false" outlineLevel="0" collapsed="false">
      <c r="A1194" s="12"/>
      <c r="B1194" s="13"/>
      <c r="C1194" s="14"/>
      <c r="D1194" s="13"/>
      <c r="E1194" s="15" t="str">
        <f aca="false">IF(B1194="","",IFERROR(INDEX(Plan!$B$5:$B$44,MATCH(B1194,Plan!$A$5:$A$44,0))&amp;"","Kategori yok"))</f>
        <v/>
      </c>
    </row>
    <row r="1195" customFormat="false" ht="15" hidden="false" customHeight="false" outlineLevel="0" collapsed="false">
      <c r="A1195" s="12"/>
      <c r="B1195" s="13"/>
      <c r="C1195" s="14"/>
      <c r="D1195" s="13"/>
      <c r="E1195" s="15" t="str">
        <f aca="false">IF(B1195="","",IFERROR(INDEX(Plan!$B$5:$B$44,MATCH(B1195,Plan!$A$5:$A$44,0))&amp;"","Kategori yok"))</f>
        <v/>
      </c>
    </row>
    <row r="1196" customFormat="false" ht="15" hidden="false" customHeight="false" outlineLevel="0" collapsed="false">
      <c r="A1196" s="12"/>
      <c r="B1196" s="13"/>
      <c r="C1196" s="14"/>
      <c r="D1196" s="13"/>
      <c r="E1196" s="15" t="str">
        <f aca="false">IF(B1196="","",IFERROR(INDEX(Plan!$B$5:$B$44,MATCH(B1196,Plan!$A$5:$A$44,0))&amp;"","Kategori yok"))</f>
        <v/>
      </c>
    </row>
    <row r="1197" customFormat="false" ht="15" hidden="false" customHeight="false" outlineLevel="0" collapsed="false">
      <c r="A1197" s="12"/>
      <c r="B1197" s="13"/>
      <c r="C1197" s="14"/>
      <c r="D1197" s="13"/>
      <c r="E1197" s="15" t="str">
        <f aca="false">IF(B1197="","",IFERROR(INDEX(Plan!$B$5:$B$44,MATCH(B1197,Plan!$A$5:$A$44,0))&amp;"","Kategori yok"))</f>
        <v/>
      </c>
    </row>
    <row r="1198" customFormat="false" ht="15" hidden="false" customHeight="false" outlineLevel="0" collapsed="false">
      <c r="A1198" s="12"/>
      <c r="B1198" s="13"/>
      <c r="C1198" s="14"/>
      <c r="D1198" s="13"/>
      <c r="E1198" s="15" t="str">
        <f aca="false">IF(B1198="","",IFERROR(INDEX(Plan!$B$5:$B$44,MATCH(B1198,Plan!$A$5:$A$44,0))&amp;"","Kategori yok"))</f>
        <v/>
      </c>
    </row>
    <row r="1199" customFormat="false" ht="15" hidden="false" customHeight="false" outlineLevel="0" collapsed="false">
      <c r="A1199" s="12"/>
      <c r="B1199" s="13"/>
      <c r="C1199" s="14"/>
      <c r="D1199" s="13"/>
      <c r="E1199" s="15" t="str">
        <f aca="false">IF(B1199="","",IFERROR(INDEX(Plan!$B$5:$B$44,MATCH(B1199,Plan!$A$5:$A$44,0))&amp;"","Kategori yok"))</f>
        <v/>
      </c>
    </row>
    <row r="1200" customFormat="false" ht="15" hidden="false" customHeight="false" outlineLevel="0" collapsed="false">
      <c r="A1200" s="12"/>
      <c r="B1200" s="13"/>
      <c r="C1200" s="14"/>
      <c r="D1200" s="13"/>
      <c r="E1200" s="15" t="str">
        <f aca="false">IF(B1200="","",IFERROR(INDEX(Plan!$B$5:$B$44,MATCH(B1200,Plan!$A$5:$A$44,0))&amp;"","Kategori yok"))</f>
        <v/>
      </c>
    </row>
    <row r="1201" customFormat="false" ht="15" hidden="false" customHeight="false" outlineLevel="0" collapsed="false">
      <c r="A1201" s="12"/>
      <c r="B1201" s="13"/>
      <c r="C1201" s="14"/>
      <c r="D1201" s="13"/>
      <c r="E1201" s="15" t="str">
        <f aca="false">IF(B1201="","",IFERROR(INDEX(Plan!$B$5:$B$44,MATCH(B1201,Plan!$A$5:$A$44,0))&amp;"","Kategori yok"))</f>
        <v/>
      </c>
    </row>
    <row r="1202" customFormat="false" ht="15" hidden="false" customHeight="false" outlineLevel="0" collapsed="false">
      <c r="A1202" s="12"/>
      <c r="B1202" s="13"/>
      <c r="C1202" s="14"/>
      <c r="D1202" s="13"/>
      <c r="E1202" s="15" t="str">
        <f aca="false">IF(B1202="","",IFERROR(INDEX(Plan!$B$5:$B$44,MATCH(B1202,Plan!$A$5:$A$44,0))&amp;"","Kategori yok"))</f>
        <v/>
      </c>
    </row>
    <row r="1203" customFormat="false" ht="15" hidden="false" customHeight="false" outlineLevel="0" collapsed="false">
      <c r="A1203" s="12"/>
      <c r="B1203" s="13"/>
      <c r="C1203" s="14"/>
      <c r="D1203" s="13"/>
      <c r="E1203" s="15" t="str">
        <f aca="false">IF(B1203="","",IFERROR(INDEX(Plan!$B$5:$B$44,MATCH(B1203,Plan!$A$5:$A$44,0))&amp;"","Kategori yok"))</f>
        <v/>
      </c>
    </row>
    <row r="1204" customFormat="false" ht="15" hidden="false" customHeight="false" outlineLevel="0" collapsed="false">
      <c r="A1204" s="12"/>
      <c r="B1204" s="13"/>
      <c r="C1204" s="14"/>
      <c r="D1204" s="13"/>
      <c r="E1204" s="15" t="str">
        <f aca="false">IF(B1204="","",IFERROR(INDEX(Plan!$B$5:$B$44,MATCH(B1204,Plan!$A$5:$A$44,0))&amp;"","Kategori yok"))</f>
        <v/>
      </c>
    </row>
    <row r="1205" customFormat="false" ht="15" hidden="false" customHeight="false" outlineLevel="0" collapsed="false">
      <c r="A1205" s="12"/>
      <c r="B1205" s="13"/>
      <c r="C1205" s="14"/>
      <c r="D1205" s="13"/>
      <c r="E1205" s="15" t="str">
        <f aca="false">IF(B1205="","",IFERROR(INDEX(Plan!$B$5:$B$44,MATCH(B1205,Plan!$A$5:$A$44,0))&amp;"","Kategori yok"))</f>
        <v/>
      </c>
    </row>
    <row r="1206" customFormat="false" ht="15" hidden="false" customHeight="false" outlineLevel="0" collapsed="false">
      <c r="A1206" s="12"/>
      <c r="B1206" s="13"/>
      <c r="C1206" s="14"/>
      <c r="D1206" s="13"/>
      <c r="E1206" s="15" t="str">
        <f aca="false">IF(B1206="","",IFERROR(INDEX(Plan!$B$5:$B$44,MATCH(B1206,Plan!$A$5:$A$44,0))&amp;"","Kategori yok"))</f>
        <v/>
      </c>
    </row>
    <row r="1207" customFormat="false" ht="15" hidden="false" customHeight="false" outlineLevel="0" collapsed="false">
      <c r="A1207" s="12"/>
      <c r="B1207" s="13"/>
      <c r="C1207" s="14"/>
      <c r="D1207" s="13"/>
      <c r="E1207" s="15" t="str">
        <f aca="false">IF(B1207="","",IFERROR(INDEX(Plan!$B$5:$B$44,MATCH(B1207,Plan!$A$5:$A$44,0))&amp;"","Kategori yok"))</f>
        <v/>
      </c>
    </row>
    <row r="1208" customFormat="false" ht="15" hidden="false" customHeight="false" outlineLevel="0" collapsed="false">
      <c r="A1208" s="12"/>
      <c r="B1208" s="13"/>
      <c r="C1208" s="14"/>
      <c r="D1208" s="13"/>
      <c r="E1208" s="15" t="str">
        <f aca="false">IF(B1208="","",IFERROR(INDEX(Plan!$B$5:$B$44,MATCH(B1208,Plan!$A$5:$A$44,0))&amp;"","Kategori yok"))</f>
        <v/>
      </c>
    </row>
    <row r="1209" customFormat="false" ht="15" hidden="false" customHeight="false" outlineLevel="0" collapsed="false">
      <c r="A1209" s="12"/>
      <c r="B1209" s="13"/>
      <c r="C1209" s="14"/>
      <c r="D1209" s="13"/>
      <c r="E1209" s="15" t="str">
        <f aca="false">IF(B1209="","",IFERROR(INDEX(Plan!$B$5:$B$44,MATCH(B1209,Plan!$A$5:$A$44,0))&amp;"","Kategori yok"))</f>
        <v/>
      </c>
    </row>
    <row r="1210" customFormat="false" ht="15" hidden="false" customHeight="false" outlineLevel="0" collapsed="false">
      <c r="A1210" s="12"/>
      <c r="B1210" s="13"/>
      <c r="C1210" s="14"/>
      <c r="D1210" s="13"/>
      <c r="E1210" s="15" t="str">
        <f aca="false">IF(B1210="","",IFERROR(INDEX(Plan!$B$5:$B$44,MATCH(B1210,Plan!$A$5:$A$44,0))&amp;"","Kategori yok"))</f>
        <v/>
      </c>
    </row>
    <row r="1211" customFormat="false" ht="15" hidden="false" customHeight="false" outlineLevel="0" collapsed="false">
      <c r="A1211" s="12"/>
      <c r="B1211" s="13"/>
      <c r="C1211" s="14"/>
      <c r="D1211" s="13"/>
      <c r="E1211" s="15" t="str">
        <f aca="false">IF(B1211="","",IFERROR(INDEX(Plan!$B$5:$B$44,MATCH(B1211,Plan!$A$5:$A$44,0))&amp;"","Kategori yok"))</f>
        <v/>
      </c>
    </row>
    <row r="1212" customFormat="false" ht="15" hidden="false" customHeight="false" outlineLevel="0" collapsed="false">
      <c r="A1212" s="12"/>
      <c r="B1212" s="13"/>
      <c r="C1212" s="14"/>
      <c r="D1212" s="13"/>
      <c r="E1212" s="15" t="str">
        <f aca="false">IF(B1212="","",IFERROR(INDEX(Plan!$B$5:$B$44,MATCH(B1212,Plan!$A$5:$A$44,0))&amp;"","Kategori yok"))</f>
        <v/>
      </c>
    </row>
    <row r="1213" customFormat="false" ht="15" hidden="false" customHeight="false" outlineLevel="0" collapsed="false">
      <c r="A1213" s="12"/>
      <c r="B1213" s="13"/>
      <c r="C1213" s="14"/>
      <c r="D1213" s="13"/>
      <c r="E1213" s="15" t="str">
        <f aca="false">IF(B1213="","",IFERROR(INDEX(Plan!$B$5:$B$44,MATCH(B1213,Plan!$A$5:$A$44,0))&amp;"","Kategori yok"))</f>
        <v/>
      </c>
    </row>
    <row r="1214" customFormat="false" ht="15" hidden="false" customHeight="false" outlineLevel="0" collapsed="false">
      <c r="A1214" s="12"/>
      <c r="B1214" s="13"/>
      <c r="C1214" s="14"/>
      <c r="D1214" s="13"/>
      <c r="E1214" s="15" t="str">
        <f aca="false">IF(B1214="","",IFERROR(INDEX(Plan!$B$5:$B$44,MATCH(B1214,Plan!$A$5:$A$44,0))&amp;"","Kategori yok"))</f>
        <v/>
      </c>
    </row>
    <row r="1215" customFormat="false" ht="15" hidden="false" customHeight="false" outlineLevel="0" collapsed="false">
      <c r="A1215" s="12"/>
      <c r="B1215" s="13"/>
      <c r="C1215" s="14"/>
      <c r="D1215" s="13"/>
      <c r="E1215" s="15" t="str">
        <f aca="false">IF(B1215="","",IFERROR(INDEX(Plan!$B$5:$B$44,MATCH(B1215,Plan!$A$5:$A$44,0))&amp;"","Kategori yok"))</f>
        <v/>
      </c>
    </row>
    <row r="1216" customFormat="false" ht="15" hidden="false" customHeight="false" outlineLevel="0" collapsed="false">
      <c r="A1216" s="12"/>
      <c r="B1216" s="13"/>
      <c r="C1216" s="14"/>
      <c r="D1216" s="13"/>
      <c r="E1216" s="15" t="str">
        <f aca="false">IF(B1216="","",IFERROR(INDEX(Plan!$B$5:$B$44,MATCH(B1216,Plan!$A$5:$A$44,0))&amp;"","Kategori yok"))</f>
        <v/>
      </c>
    </row>
    <row r="1217" customFormat="false" ht="15" hidden="false" customHeight="false" outlineLevel="0" collapsed="false">
      <c r="A1217" s="12"/>
      <c r="B1217" s="13"/>
      <c r="C1217" s="14"/>
      <c r="D1217" s="13"/>
      <c r="E1217" s="15" t="str">
        <f aca="false">IF(B1217="","",IFERROR(INDEX(Plan!$B$5:$B$44,MATCH(B1217,Plan!$A$5:$A$44,0))&amp;"","Kategori yok"))</f>
        <v/>
      </c>
    </row>
    <row r="1218" customFormat="false" ht="15" hidden="false" customHeight="false" outlineLevel="0" collapsed="false">
      <c r="A1218" s="12"/>
      <c r="B1218" s="13"/>
      <c r="C1218" s="14"/>
      <c r="D1218" s="13"/>
      <c r="E1218" s="15" t="str">
        <f aca="false">IF(B1218="","",IFERROR(INDEX(Plan!$B$5:$B$44,MATCH(B1218,Plan!$A$5:$A$44,0))&amp;"","Kategori yok"))</f>
        <v/>
      </c>
    </row>
    <row r="1219" customFormat="false" ht="15" hidden="false" customHeight="false" outlineLevel="0" collapsed="false">
      <c r="A1219" s="12"/>
      <c r="B1219" s="13"/>
      <c r="C1219" s="14"/>
      <c r="D1219" s="13"/>
      <c r="E1219" s="15" t="str">
        <f aca="false">IF(B1219="","",IFERROR(INDEX(Plan!$B$5:$B$44,MATCH(B1219,Plan!$A$5:$A$44,0))&amp;"","Kategori yok"))</f>
        <v/>
      </c>
    </row>
    <row r="1220" customFormat="false" ht="15" hidden="false" customHeight="false" outlineLevel="0" collapsed="false">
      <c r="A1220" s="12"/>
      <c r="B1220" s="13"/>
      <c r="C1220" s="14"/>
      <c r="D1220" s="13"/>
      <c r="E1220" s="15" t="str">
        <f aca="false">IF(B1220="","",IFERROR(INDEX(Plan!$B$5:$B$44,MATCH(B1220,Plan!$A$5:$A$44,0))&amp;"","Kategori yok"))</f>
        <v/>
      </c>
    </row>
    <row r="1221" customFormat="false" ht="15" hidden="false" customHeight="false" outlineLevel="0" collapsed="false">
      <c r="A1221" s="12"/>
      <c r="B1221" s="13"/>
      <c r="C1221" s="14"/>
      <c r="D1221" s="13"/>
      <c r="E1221" s="15" t="str">
        <f aca="false">IF(B1221="","",IFERROR(INDEX(Plan!$B$5:$B$44,MATCH(B1221,Plan!$A$5:$A$44,0))&amp;"","Kategori yok"))</f>
        <v/>
      </c>
    </row>
    <row r="1222" customFormat="false" ht="15" hidden="false" customHeight="false" outlineLevel="0" collapsed="false">
      <c r="A1222" s="12"/>
      <c r="B1222" s="13"/>
      <c r="C1222" s="14"/>
      <c r="D1222" s="13"/>
      <c r="E1222" s="15" t="str">
        <f aca="false">IF(B1222="","",IFERROR(INDEX(Plan!$B$5:$B$44,MATCH(B1222,Plan!$A$5:$A$44,0))&amp;"","Kategori yok"))</f>
        <v/>
      </c>
    </row>
    <row r="1223" customFormat="false" ht="15" hidden="false" customHeight="false" outlineLevel="0" collapsed="false">
      <c r="A1223" s="12"/>
      <c r="B1223" s="13"/>
      <c r="C1223" s="14"/>
      <c r="D1223" s="13"/>
      <c r="E1223" s="15" t="str">
        <f aca="false">IF(B1223="","",IFERROR(INDEX(Plan!$B$5:$B$44,MATCH(B1223,Plan!$A$5:$A$44,0))&amp;"","Kategori yok"))</f>
        <v/>
      </c>
    </row>
    <row r="1224" customFormat="false" ht="15" hidden="false" customHeight="false" outlineLevel="0" collapsed="false">
      <c r="A1224" s="12"/>
      <c r="B1224" s="13"/>
      <c r="C1224" s="14"/>
      <c r="D1224" s="13"/>
      <c r="E1224" s="15" t="str">
        <f aca="false">IF(B1224="","",IFERROR(INDEX(Plan!$B$5:$B$44,MATCH(B1224,Plan!$A$5:$A$44,0))&amp;"","Kategori yok"))</f>
        <v/>
      </c>
    </row>
    <row r="1225" customFormat="false" ht="15" hidden="false" customHeight="false" outlineLevel="0" collapsed="false">
      <c r="A1225" s="12"/>
      <c r="B1225" s="13"/>
      <c r="C1225" s="14"/>
      <c r="D1225" s="13"/>
      <c r="E1225" s="15" t="str">
        <f aca="false">IF(B1225="","",IFERROR(INDEX(Plan!$B$5:$B$44,MATCH(B1225,Plan!$A$5:$A$44,0))&amp;"","Kategori yok"))</f>
        <v/>
      </c>
    </row>
    <row r="1226" customFormat="false" ht="15" hidden="false" customHeight="false" outlineLevel="0" collapsed="false">
      <c r="A1226" s="12"/>
      <c r="B1226" s="13"/>
      <c r="C1226" s="14"/>
      <c r="D1226" s="13"/>
      <c r="E1226" s="15" t="str">
        <f aca="false">IF(B1226="","",IFERROR(INDEX(Plan!$B$5:$B$44,MATCH(B1226,Plan!$A$5:$A$44,0))&amp;"","Kategori yok"))</f>
        <v/>
      </c>
    </row>
    <row r="1227" customFormat="false" ht="15" hidden="false" customHeight="false" outlineLevel="0" collapsed="false">
      <c r="A1227" s="12"/>
      <c r="B1227" s="13"/>
      <c r="C1227" s="14"/>
      <c r="D1227" s="13"/>
      <c r="E1227" s="15" t="str">
        <f aca="false">IF(B1227="","",IFERROR(INDEX(Plan!$B$5:$B$44,MATCH(B1227,Plan!$A$5:$A$44,0))&amp;"","Kategori yok"))</f>
        <v/>
      </c>
    </row>
    <row r="1228" customFormat="false" ht="15" hidden="false" customHeight="false" outlineLevel="0" collapsed="false">
      <c r="A1228" s="12"/>
      <c r="B1228" s="13"/>
      <c r="C1228" s="14"/>
      <c r="D1228" s="13"/>
      <c r="E1228" s="15" t="str">
        <f aca="false">IF(B1228="","",IFERROR(INDEX(Plan!$B$5:$B$44,MATCH(B1228,Plan!$A$5:$A$44,0))&amp;"","Kategori yok"))</f>
        <v/>
      </c>
    </row>
    <row r="1229" customFormat="false" ht="15" hidden="false" customHeight="false" outlineLevel="0" collapsed="false">
      <c r="A1229" s="12"/>
      <c r="B1229" s="13"/>
      <c r="C1229" s="14"/>
      <c r="D1229" s="13"/>
      <c r="E1229" s="15" t="str">
        <f aca="false">IF(B1229="","",IFERROR(INDEX(Plan!$B$5:$B$44,MATCH(B1229,Plan!$A$5:$A$44,0))&amp;"","Kategori yok"))</f>
        <v/>
      </c>
    </row>
    <row r="1230" customFormat="false" ht="15" hidden="false" customHeight="false" outlineLevel="0" collapsed="false">
      <c r="A1230" s="12"/>
      <c r="B1230" s="13"/>
      <c r="C1230" s="14"/>
      <c r="D1230" s="13"/>
      <c r="E1230" s="15" t="str">
        <f aca="false">IF(B1230="","",IFERROR(INDEX(Plan!$B$5:$B$44,MATCH(B1230,Plan!$A$5:$A$44,0))&amp;"","Kategori yok"))</f>
        <v/>
      </c>
    </row>
    <row r="1231" customFormat="false" ht="15" hidden="false" customHeight="false" outlineLevel="0" collapsed="false">
      <c r="A1231" s="12"/>
      <c r="B1231" s="13"/>
      <c r="C1231" s="14"/>
      <c r="D1231" s="13"/>
      <c r="E1231" s="15" t="str">
        <f aca="false">IF(B1231="","",IFERROR(INDEX(Plan!$B$5:$B$44,MATCH(B1231,Plan!$A$5:$A$44,0))&amp;"","Kategori yok"))</f>
        <v/>
      </c>
    </row>
    <row r="1232" customFormat="false" ht="15" hidden="false" customHeight="false" outlineLevel="0" collapsed="false">
      <c r="A1232" s="12"/>
      <c r="B1232" s="13"/>
      <c r="C1232" s="14"/>
      <c r="D1232" s="13"/>
      <c r="E1232" s="15" t="str">
        <f aca="false">IF(B1232="","",IFERROR(INDEX(Plan!$B$5:$B$44,MATCH(B1232,Plan!$A$5:$A$44,0))&amp;"","Kategori yok"))</f>
        <v/>
      </c>
    </row>
    <row r="1233" customFormat="false" ht="15" hidden="false" customHeight="false" outlineLevel="0" collapsed="false">
      <c r="A1233" s="12"/>
      <c r="B1233" s="13"/>
      <c r="C1233" s="14"/>
      <c r="D1233" s="13"/>
      <c r="E1233" s="15" t="str">
        <f aca="false">IF(B1233="","",IFERROR(INDEX(Plan!$B$5:$B$44,MATCH(B1233,Plan!$A$5:$A$44,0))&amp;"","Kategori yok"))</f>
        <v/>
      </c>
    </row>
    <row r="1234" customFormat="false" ht="15" hidden="false" customHeight="false" outlineLevel="0" collapsed="false">
      <c r="A1234" s="12"/>
      <c r="B1234" s="13"/>
      <c r="C1234" s="14"/>
      <c r="D1234" s="13"/>
      <c r="E1234" s="15" t="str">
        <f aca="false">IF(B1234="","",IFERROR(INDEX(Plan!$B$5:$B$44,MATCH(B1234,Plan!$A$5:$A$44,0))&amp;"","Kategori yok"))</f>
        <v/>
      </c>
    </row>
    <row r="1235" customFormat="false" ht="15" hidden="false" customHeight="false" outlineLevel="0" collapsed="false">
      <c r="A1235" s="12"/>
      <c r="B1235" s="13"/>
      <c r="C1235" s="14"/>
      <c r="D1235" s="13"/>
      <c r="E1235" s="15" t="str">
        <f aca="false">IF(B1235="","",IFERROR(INDEX(Plan!$B$5:$B$44,MATCH(B1235,Plan!$A$5:$A$44,0))&amp;"","Kategori yok"))</f>
        <v/>
      </c>
    </row>
    <row r="1236" customFormat="false" ht="15" hidden="false" customHeight="false" outlineLevel="0" collapsed="false">
      <c r="A1236" s="12"/>
      <c r="B1236" s="13"/>
      <c r="C1236" s="14"/>
      <c r="D1236" s="13"/>
      <c r="E1236" s="15" t="str">
        <f aca="false">IF(B1236="","",IFERROR(INDEX(Plan!$B$5:$B$44,MATCH(B1236,Plan!$A$5:$A$44,0))&amp;"","Kategori yok"))</f>
        <v/>
      </c>
    </row>
    <row r="1237" customFormat="false" ht="15" hidden="false" customHeight="false" outlineLevel="0" collapsed="false">
      <c r="A1237" s="12"/>
      <c r="B1237" s="13"/>
      <c r="C1237" s="14"/>
      <c r="D1237" s="13"/>
      <c r="E1237" s="15" t="str">
        <f aca="false">IF(B1237="","",IFERROR(INDEX(Plan!$B$5:$B$44,MATCH(B1237,Plan!$A$5:$A$44,0))&amp;"","Kategori yok"))</f>
        <v/>
      </c>
    </row>
    <row r="1238" customFormat="false" ht="15" hidden="false" customHeight="false" outlineLevel="0" collapsed="false">
      <c r="A1238" s="12"/>
      <c r="B1238" s="13"/>
      <c r="C1238" s="14"/>
      <c r="D1238" s="13"/>
      <c r="E1238" s="15" t="str">
        <f aca="false">IF(B1238="","",IFERROR(INDEX(Plan!$B$5:$B$44,MATCH(B1238,Plan!$A$5:$A$44,0))&amp;"","Kategori yok"))</f>
        <v/>
      </c>
    </row>
    <row r="1239" customFormat="false" ht="15" hidden="false" customHeight="false" outlineLevel="0" collapsed="false">
      <c r="A1239" s="12"/>
      <c r="B1239" s="13"/>
      <c r="C1239" s="14"/>
      <c r="D1239" s="13"/>
      <c r="E1239" s="15" t="str">
        <f aca="false">IF(B1239="","",IFERROR(INDEX(Plan!$B$5:$B$44,MATCH(B1239,Plan!$A$5:$A$44,0))&amp;"","Kategori yok"))</f>
        <v/>
      </c>
    </row>
    <row r="1240" customFormat="false" ht="15" hidden="false" customHeight="false" outlineLevel="0" collapsed="false">
      <c r="A1240" s="12"/>
      <c r="B1240" s="13"/>
      <c r="C1240" s="14"/>
      <c r="D1240" s="13"/>
      <c r="E1240" s="15" t="str">
        <f aca="false">IF(B1240="","",IFERROR(INDEX(Plan!$B$5:$B$44,MATCH(B1240,Plan!$A$5:$A$44,0))&amp;"","Kategori yok"))</f>
        <v/>
      </c>
    </row>
    <row r="1241" customFormat="false" ht="15" hidden="false" customHeight="false" outlineLevel="0" collapsed="false">
      <c r="A1241" s="12"/>
      <c r="B1241" s="13"/>
      <c r="C1241" s="14"/>
      <c r="D1241" s="13"/>
      <c r="E1241" s="15" t="str">
        <f aca="false">IF(B1241="","",IFERROR(INDEX(Plan!$B$5:$B$44,MATCH(B1241,Plan!$A$5:$A$44,0))&amp;"","Kategori yok"))</f>
        <v/>
      </c>
    </row>
    <row r="1242" customFormat="false" ht="15" hidden="false" customHeight="false" outlineLevel="0" collapsed="false">
      <c r="A1242" s="12"/>
      <c r="B1242" s="13"/>
      <c r="C1242" s="14"/>
      <c r="D1242" s="13"/>
      <c r="E1242" s="15" t="str">
        <f aca="false">IF(B1242="","",IFERROR(INDEX(Plan!$B$5:$B$44,MATCH(B1242,Plan!$A$5:$A$44,0))&amp;"","Kategori yok"))</f>
        <v/>
      </c>
    </row>
    <row r="1243" customFormat="false" ht="15" hidden="false" customHeight="false" outlineLevel="0" collapsed="false">
      <c r="A1243" s="12"/>
      <c r="B1243" s="13"/>
      <c r="C1243" s="14"/>
      <c r="D1243" s="13"/>
      <c r="E1243" s="15" t="str">
        <f aca="false">IF(B1243="","",IFERROR(INDEX(Plan!$B$5:$B$44,MATCH(B1243,Plan!$A$5:$A$44,0))&amp;"","Kategori yok"))</f>
        <v/>
      </c>
    </row>
    <row r="1244" customFormat="false" ht="15" hidden="false" customHeight="false" outlineLevel="0" collapsed="false">
      <c r="A1244" s="12"/>
      <c r="B1244" s="13"/>
      <c r="C1244" s="14"/>
      <c r="D1244" s="13"/>
      <c r="E1244" s="15" t="str">
        <f aca="false">IF(B1244="","",IFERROR(INDEX(Plan!$B$5:$B$44,MATCH(B1244,Plan!$A$5:$A$44,0))&amp;"","Kategori yok"))</f>
        <v/>
      </c>
    </row>
    <row r="1245" customFormat="false" ht="15" hidden="false" customHeight="false" outlineLevel="0" collapsed="false">
      <c r="A1245" s="12"/>
      <c r="B1245" s="13"/>
      <c r="C1245" s="14"/>
      <c r="D1245" s="13"/>
      <c r="E1245" s="15" t="str">
        <f aca="false">IF(B1245="","",IFERROR(INDEX(Plan!$B$5:$B$44,MATCH(B1245,Plan!$A$5:$A$44,0))&amp;"","Kategori yok"))</f>
        <v/>
      </c>
    </row>
    <row r="1246" customFormat="false" ht="15" hidden="false" customHeight="false" outlineLevel="0" collapsed="false">
      <c r="A1246" s="12"/>
      <c r="B1246" s="13"/>
      <c r="C1246" s="14"/>
      <c r="D1246" s="13"/>
      <c r="E1246" s="15" t="str">
        <f aca="false">IF(B1246="","",IFERROR(INDEX(Plan!$B$5:$B$44,MATCH(B1246,Plan!$A$5:$A$44,0))&amp;"","Kategori yok"))</f>
        <v/>
      </c>
    </row>
    <row r="1247" customFormat="false" ht="15" hidden="false" customHeight="false" outlineLevel="0" collapsed="false">
      <c r="A1247" s="12"/>
      <c r="B1247" s="13"/>
      <c r="C1247" s="14"/>
      <c r="D1247" s="13"/>
      <c r="E1247" s="15" t="str">
        <f aca="false">IF(B1247="","",IFERROR(INDEX(Plan!$B$5:$B$44,MATCH(B1247,Plan!$A$5:$A$44,0))&amp;"","Kategori yok"))</f>
        <v/>
      </c>
    </row>
    <row r="1248" customFormat="false" ht="15" hidden="false" customHeight="false" outlineLevel="0" collapsed="false">
      <c r="A1248" s="12"/>
      <c r="B1248" s="13"/>
      <c r="C1248" s="14"/>
      <c r="D1248" s="13"/>
      <c r="E1248" s="15" t="str">
        <f aca="false">IF(B1248="","",IFERROR(INDEX(Plan!$B$5:$B$44,MATCH(B1248,Plan!$A$5:$A$44,0))&amp;"","Kategori yok"))</f>
        <v/>
      </c>
    </row>
    <row r="1249" customFormat="false" ht="15" hidden="false" customHeight="false" outlineLevel="0" collapsed="false">
      <c r="A1249" s="12"/>
      <c r="B1249" s="13"/>
      <c r="C1249" s="14"/>
      <c r="D1249" s="13"/>
      <c r="E1249" s="15" t="str">
        <f aca="false">IF(B1249="","",IFERROR(INDEX(Plan!$B$5:$B$44,MATCH(B1249,Plan!$A$5:$A$44,0))&amp;"","Kategori yok"))</f>
        <v/>
      </c>
    </row>
    <row r="1250" customFormat="false" ht="15" hidden="false" customHeight="false" outlineLevel="0" collapsed="false">
      <c r="A1250" s="12"/>
      <c r="B1250" s="13"/>
      <c r="C1250" s="14"/>
      <c r="D1250" s="13"/>
      <c r="E1250" s="15" t="str">
        <f aca="false">IF(B1250="","",IFERROR(INDEX(Plan!$B$5:$B$44,MATCH(B1250,Plan!$A$5:$A$44,0))&amp;"","Kategori yok"))</f>
        <v/>
      </c>
    </row>
    <row r="1251" customFormat="false" ht="15" hidden="false" customHeight="false" outlineLevel="0" collapsed="false">
      <c r="A1251" s="12"/>
      <c r="B1251" s="13"/>
      <c r="C1251" s="14"/>
      <c r="D1251" s="13"/>
      <c r="E1251" s="15" t="str">
        <f aca="false">IF(B1251="","",IFERROR(INDEX(Plan!$B$5:$B$44,MATCH(B1251,Plan!$A$5:$A$44,0))&amp;"","Kategori yok"))</f>
        <v/>
      </c>
    </row>
    <row r="1252" customFormat="false" ht="15" hidden="false" customHeight="false" outlineLevel="0" collapsed="false">
      <c r="A1252" s="12"/>
      <c r="B1252" s="13"/>
      <c r="C1252" s="14"/>
      <c r="D1252" s="13"/>
      <c r="E1252" s="15" t="str">
        <f aca="false">IF(B1252="","",IFERROR(INDEX(Plan!$B$5:$B$44,MATCH(B1252,Plan!$A$5:$A$44,0))&amp;"","Kategori yok"))</f>
        <v/>
      </c>
    </row>
    <row r="1253" customFormat="false" ht="15" hidden="false" customHeight="false" outlineLevel="0" collapsed="false">
      <c r="A1253" s="12"/>
      <c r="B1253" s="13"/>
      <c r="C1253" s="14"/>
      <c r="D1253" s="13"/>
      <c r="E1253" s="15" t="str">
        <f aca="false">IF(B1253="","",IFERROR(INDEX(Plan!$B$5:$B$44,MATCH(B1253,Plan!$A$5:$A$44,0))&amp;"","Kategori yok"))</f>
        <v/>
      </c>
    </row>
    <row r="1254" customFormat="false" ht="15" hidden="false" customHeight="false" outlineLevel="0" collapsed="false">
      <c r="A1254" s="12"/>
      <c r="B1254" s="13"/>
      <c r="C1254" s="14"/>
      <c r="D1254" s="13"/>
      <c r="E1254" s="15" t="str">
        <f aca="false">IF(B1254="","",IFERROR(INDEX(Plan!$B$5:$B$44,MATCH(B1254,Plan!$A$5:$A$44,0))&amp;"","Kategori yok"))</f>
        <v/>
      </c>
    </row>
    <row r="1255" customFormat="false" ht="15" hidden="false" customHeight="false" outlineLevel="0" collapsed="false">
      <c r="A1255" s="12"/>
      <c r="B1255" s="13"/>
      <c r="C1255" s="14"/>
      <c r="D1255" s="13"/>
      <c r="E1255" s="15" t="str">
        <f aca="false">IF(B1255="","",IFERROR(INDEX(Plan!$B$5:$B$44,MATCH(B1255,Plan!$A$5:$A$44,0))&amp;"","Kategori yok"))</f>
        <v/>
      </c>
    </row>
    <row r="1256" customFormat="false" ht="15" hidden="false" customHeight="false" outlineLevel="0" collapsed="false">
      <c r="A1256" s="12"/>
      <c r="B1256" s="13"/>
      <c r="C1256" s="14"/>
      <c r="D1256" s="13"/>
      <c r="E1256" s="15" t="str">
        <f aca="false">IF(B1256="","",IFERROR(INDEX(Plan!$B$5:$B$44,MATCH(B1256,Plan!$A$5:$A$44,0))&amp;"","Kategori yok"))</f>
        <v/>
      </c>
    </row>
    <row r="1257" customFormat="false" ht="15" hidden="false" customHeight="false" outlineLevel="0" collapsed="false">
      <c r="A1257" s="12"/>
      <c r="B1257" s="13"/>
      <c r="C1257" s="14"/>
      <c r="D1257" s="13"/>
      <c r="E1257" s="15" t="str">
        <f aca="false">IF(B1257="","",IFERROR(INDEX(Plan!$B$5:$B$44,MATCH(B1257,Plan!$A$5:$A$44,0))&amp;"","Kategori yok"))</f>
        <v/>
      </c>
    </row>
    <row r="1258" customFormat="false" ht="15" hidden="false" customHeight="false" outlineLevel="0" collapsed="false">
      <c r="A1258" s="12"/>
      <c r="B1258" s="13"/>
      <c r="C1258" s="14"/>
      <c r="D1258" s="13"/>
      <c r="E1258" s="15" t="str">
        <f aca="false">IF(B1258="","",IFERROR(INDEX(Plan!$B$5:$B$44,MATCH(B1258,Plan!$A$5:$A$44,0))&amp;"","Kategori yok"))</f>
        <v/>
      </c>
    </row>
    <row r="1259" customFormat="false" ht="15" hidden="false" customHeight="false" outlineLevel="0" collapsed="false">
      <c r="A1259" s="12"/>
      <c r="B1259" s="13"/>
      <c r="C1259" s="14"/>
      <c r="D1259" s="13"/>
      <c r="E1259" s="15" t="str">
        <f aca="false">IF(B1259="","",IFERROR(INDEX(Plan!$B$5:$B$44,MATCH(B1259,Plan!$A$5:$A$44,0))&amp;"","Kategori yok"))</f>
        <v/>
      </c>
    </row>
    <row r="1260" customFormat="false" ht="15" hidden="false" customHeight="false" outlineLevel="0" collapsed="false">
      <c r="A1260" s="12"/>
      <c r="B1260" s="13"/>
      <c r="C1260" s="14"/>
      <c r="D1260" s="13"/>
      <c r="E1260" s="15" t="str">
        <f aca="false">IF(B1260="","",IFERROR(INDEX(Plan!$B$5:$B$44,MATCH(B1260,Plan!$A$5:$A$44,0))&amp;"","Kategori yok"))</f>
        <v/>
      </c>
    </row>
    <row r="1261" customFormat="false" ht="15" hidden="false" customHeight="false" outlineLevel="0" collapsed="false">
      <c r="A1261" s="12"/>
      <c r="B1261" s="13"/>
      <c r="C1261" s="14"/>
      <c r="D1261" s="13"/>
      <c r="E1261" s="15" t="str">
        <f aca="false">IF(B1261="","",IFERROR(INDEX(Plan!$B$5:$B$44,MATCH(B1261,Plan!$A$5:$A$44,0))&amp;"","Kategori yok"))</f>
        <v/>
      </c>
    </row>
    <row r="1262" customFormat="false" ht="15" hidden="false" customHeight="false" outlineLevel="0" collapsed="false">
      <c r="A1262" s="12"/>
      <c r="B1262" s="13"/>
      <c r="C1262" s="14"/>
      <c r="D1262" s="13"/>
      <c r="E1262" s="15" t="str">
        <f aca="false">IF(B1262="","",IFERROR(INDEX(Plan!$B$5:$B$44,MATCH(B1262,Plan!$A$5:$A$44,0))&amp;"","Kategori yok"))</f>
        <v/>
      </c>
    </row>
    <row r="1263" customFormat="false" ht="15" hidden="false" customHeight="false" outlineLevel="0" collapsed="false">
      <c r="A1263" s="12"/>
      <c r="B1263" s="13"/>
      <c r="C1263" s="14"/>
      <c r="D1263" s="13"/>
      <c r="E1263" s="15" t="str">
        <f aca="false">IF(B1263="","",IFERROR(INDEX(Plan!$B$5:$B$44,MATCH(B1263,Plan!$A$5:$A$44,0))&amp;"","Kategori yok"))</f>
        <v/>
      </c>
    </row>
    <row r="1264" customFormat="false" ht="15" hidden="false" customHeight="false" outlineLevel="0" collapsed="false">
      <c r="A1264" s="12"/>
      <c r="B1264" s="13"/>
      <c r="C1264" s="14"/>
      <c r="D1264" s="13"/>
      <c r="E1264" s="15" t="str">
        <f aca="false">IF(B1264="","",IFERROR(INDEX(Plan!$B$5:$B$44,MATCH(B1264,Plan!$A$5:$A$44,0))&amp;"","Kategori yok"))</f>
        <v/>
      </c>
    </row>
    <row r="1265" customFormat="false" ht="15" hidden="false" customHeight="false" outlineLevel="0" collapsed="false">
      <c r="A1265" s="12"/>
      <c r="B1265" s="13"/>
      <c r="C1265" s="14"/>
      <c r="D1265" s="13"/>
      <c r="E1265" s="15" t="str">
        <f aca="false">IF(B1265="","",IFERROR(INDEX(Plan!$B$5:$B$44,MATCH(B1265,Plan!$A$5:$A$44,0))&amp;"","Kategori yok"))</f>
        <v/>
      </c>
    </row>
    <row r="1266" customFormat="false" ht="15" hidden="false" customHeight="false" outlineLevel="0" collapsed="false">
      <c r="A1266" s="12"/>
      <c r="B1266" s="13"/>
      <c r="C1266" s="14"/>
      <c r="D1266" s="13"/>
      <c r="E1266" s="15" t="str">
        <f aca="false">IF(B1266="","",IFERROR(INDEX(Plan!$B$5:$B$44,MATCH(B1266,Plan!$A$5:$A$44,0))&amp;"","Kategori yok"))</f>
        <v/>
      </c>
    </row>
    <row r="1267" customFormat="false" ht="15" hidden="false" customHeight="false" outlineLevel="0" collapsed="false">
      <c r="A1267" s="12"/>
      <c r="B1267" s="13"/>
      <c r="C1267" s="14"/>
      <c r="D1267" s="13"/>
      <c r="E1267" s="15" t="str">
        <f aca="false">IF(B1267="","",IFERROR(INDEX(Plan!$B$5:$B$44,MATCH(B1267,Plan!$A$5:$A$44,0))&amp;"","Kategori yok"))</f>
        <v/>
      </c>
    </row>
    <row r="1268" customFormat="false" ht="15" hidden="false" customHeight="false" outlineLevel="0" collapsed="false">
      <c r="A1268" s="12"/>
      <c r="B1268" s="13"/>
      <c r="C1268" s="14"/>
      <c r="D1268" s="13"/>
      <c r="E1268" s="15" t="str">
        <f aca="false">IF(B1268="","",IFERROR(INDEX(Plan!$B$5:$B$44,MATCH(B1268,Plan!$A$5:$A$44,0))&amp;"","Kategori yok"))</f>
        <v/>
      </c>
    </row>
    <row r="1269" customFormat="false" ht="15" hidden="false" customHeight="false" outlineLevel="0" collapsed="false">
      <c r="A1269" s="12"/>
      <c r="B1269" s="13"/>
      <c r="C1269" s="14"/>
      <c r="D1269" s="13"/>
      <c r="E1269" s="15" t="str">
        <f aca="false">IF(B1269="","",IFERROR(INDEX(Plan!$B$5:$B$44,MATCH(B1269,Plan!$A$5:$A$44,0))&amp;"","Kategori yok"))</f>
        <v/>
      </c>
    </row>
    <row r="1270" customFormat="false" ht="15" hidden="false" customHeight="false" outlineLevel="0" collapsed="false">
      <c r="A1270" s="12"/>
      <c r="B1270" s="13"/>
      <c r="C1270" s="14"/>
      <c r="D1270" s="13"/>
      <c r="E1270" s="15" t="str">
        <f aca="false">IF(B1270="","",IFERROR(INDEX(Plan!$B$5:$B$44,MATCH(B1270,Plan!$A$5:$A$44,0))&amp;"","Kategori yok"))</f>
        <v/>
      </c>
    </row>
    <row r="1271" customFormat="false" ht="15" hidden="false" customHeight="false" outlineLevel="0" collapsed="false">
      <c r="A1271" s="12"/>
      <c r="B1271" s="13"/>
      <c r="C1271" s="14"/>
      <c r="D1271" s="13"/>
      <c r="E1271" s="15" t="str">
        <f aca="false">IF(B1271="","",IFERROR(INDEX(Plan!$B$5:$B$44,MATCH(B1271,Plan!$A$5:$A$44,0))&amp;"","Kategori yok"))</f>
        <v/>
      </c>
    </row>
    <row r="1272" customFormat="false" ht="15" hidden="false" customHeight="false" outlineLevel="0" collapsed="false">
      <c r="A1272" s="12"/>
      <c r="B1272" s="13"/>
      <c r="C1272" s="14"/>
      <c r="D1272" s="13"/>
      <c r="E1272" s="15" t="str">
        <f aca="false">IF(B1272="","",IFERROR(INDEX(Plan!$B$5:$B$44,MATCH(B1272,Plan!$A$5:$A$44,0))&amp;"","Kategori yok"))</f>
        <v/>
      </c>
    </row>
    <row r="1273" customFormat="false" ht="15" hidden="false" customHeight="false" outlineLevel="0" collapsed="false">
      <c r="A1273" s="12"/>
      <c r="B1273" s="13"/>
      <c r="C1273" s="14"/>
      <c r="D1273" s="13"/>
      <c r="E1273" s="15" t="str">
        <f aca="false">IF(B1273="","",IFERROR(INDEX(Plan!$B$5:$B$44,MATCH(B1273,Plan!$A$5:$A$44,0))&amp;"","Kategori yok"))</f>
        <v/>
      </c>
    </row>
    <row r="1274" customFormat="false" ht="15" hidden="false" customHeight="false" outlineLevel="0" collapsed="false">
      <c r="A1274" s="12"/>
      <c r="B1274" s="13"/>
      <c r="C1274" s="14"/>
      <c r="D1274" s="13"/>
      <c r="E1274" s="15" t="str">
        <f aca="false">IF(B1274="","",IFERROR(INDEX(Plan!$B$5:$B$44,MATCH(B1274,Plan!$A$5:$A$44,0))&amp;"","Kategori yok"))</f>
        <v/>
      </c>
    </row>
    <row r="1275" customFormat="false" ht="15" hidden="false" customHeight="false" outlineLevel="0" collapsed="false">
      <c r="A1275" s="12"/>
      <c r="B1275" s="13"/>
      <c r="C1275" s="14"/>
      <c r="D1275" s="13"/>
      <c r="E1275" s="15" t="str">
        <f aca="false">IF(B1275="","",IFERROR(INDEX(Plan!$B$5:$B$44,MATCH(B1275,Plan!$A$5:$A$44,0))&amp;"","Kategori yok"))</f>
        <v/>
      </c>
    </row>
    <row r="1276" customFormat="false" ht="15" hidden="false" customHeight="false" outlineLevel="0" collapsed="false">
      <c r="A1276" s="12"/>
      <c r="B1276" s="13"/>
      <c r="C1276" s="14"/>
      <c r="D1276" s="13"/>
      <c r="E1276" s="15" t="str">
        <f aca="false">IF(B1276="","",IFERROR(INDEX(Plan!$B$5:$B$44,MATCH(B1276,Plan!$A$5:$A$44,0))&amp;"","Kategori yok"))</f>
        <v/>
      </c>
    </row>
    <row r="1277" customFormat="false" ht="15" hidden="false" customHeight="false" outlineLevel="0" collapsed="false">
      <c r="A1277" s="12"/>
      <c r="B1277" s="13"/>
      <c r="C1277" s="14"/>
      <c r="D1277" s="13"/>
      <c r="E1277" s="15" t="str">
        <f aca="false">IF(B1277="","",IFERROR(INDEX(Plan!$B$5:$B$44,MATCH(B1277,Plan!$A$5:$A$44,0))&amp;"","Kategori yok"))</f>
        <v/>
      </c>
    </row>
    <row r="1278" customFormat="false" ht="15" hidden="false" customHeight="false" outlineLevel="0" collapsed="false">
      <c r="A1278" s="12"/>
      <c r="B1278" s="13"/>
      <c r="C1278" s="14"/>
      <c r="D1278" s="13"/>
      <c r="E1278" s="15" t="str">
        <f aca="false">IF(B1278="","",IFERROR(INDEX(Plan!$B$5:$B$44,MATCH(B1278,Plan!$A$5:$A$44,0))&amp;"","Kategori yok"))</f>
        <v/>
      </c>
    </row>
    <row r="1279" customFormat="false" ht="15" hidden="false" customHeight="false" outlineLevel="0" collapsed="false">
      <c r="A1279" s="12"/>
      <c r="B1279" s="13"/>
      <c r="C1279" s="14"/>
      <c r="D1279" s="13"/>
      <c r="E1279" s="15" t="str">
        <f aca="false">IF(B1279="","",IFERROR(INDEX(Plan!$B$5:$B$44,MATCH(B1279,Plan!$A$5:$A$44,0))&amp;"","Kategori yok"))</f>
        <v/>
      </c>
    </row>
    <row r="1280" customFormat="false" ht="15" hidden="false" customHeight="false" outlineLevel="0" collapsed="false">
      <c r="A1280" s="12"/>
      <c r="B1280" s="13"/>
      <c r="C1280" s="14"/>
      <c r="D1280" s="13"/>
      <c r="E1280" s="15" t="str">
        <f aca="false">IF(B1280="","",IFERROR(INDEX(Plan!$B$5:$B$44,MATCH(B1280,Plan!$A$5:$A$44,0))&amp;"","Kategori yok"))</f>
        <v/>
      </c>
    </row>
    <row r="1281" customFormat="false" ht="15" hidden="false" customHeight="false" outlineLevel="0" collapsed="false">
      <c r="A1281" s="12"/>
      <c r="B1281" s="13"/>
      <c r="C1281" s="14"/>
      <c r="D1281" s="13"/>
      <c r="E1281" s="15" t="str">
        <f aca="false">IF(B1281="","",IFERROR(INDEX(Plan!$B$5:$B$44,MATCH(B1281,Plan!$A$5:$A$44,0))&amp;"","Kategori yok"))</f>
        <v/>
      </c>
    </row>
    <row r="1282" customFormat="false" ht="15" hidden="false" customHeight="false" outlineLevel="0" collapsed="false">
      <c r="A1282" s="12"/>
      <c r="B1282" s="13"/>
      <c r="C1282" s="14"/>
      <c r="D1282" s="13"/>
      <c r="E1282" s="15" t="str">
        <f aca="false">IF(B1282="","",IFERROR(INDEX(Plan!$B$5:$B$44,MATCH(B1282,Plan!$A$5:$A$44,0))&amp;"","Kategori yok"))</f>
        <v/>
      </c>
    </row>
    <row r="1283" customFormat="false" ht="15" hidden="false" customHeight="false" outlineLevel="0" collapsed="false">
      <c r="A1283" s="12"/>
      <c r="B1283" s="13"/>
      <c r="C1283" s="14"/>
      <c r="D1283" s="13"/>
      <c r="E1283" s="15" t="str">
        <f aca="false">IF(B1283="","",IFERROR(INDEX(Plan!$B$5:$B$44,MATCH(B1283,Plan!$A$5:$A$44,0))&amp;"","Kategori yok"))</f>
        <v/>
      </c>
    </row>
    <row r="1284" customFormat="false" ht="15" hidden="false" customHeight="false" outlineLevel="0" collapsed="false">
      <c r="A1284" s="12"/>
      <c r="B1284" s="13"/>
      <c r="C1284" s="14"/>
      <c r="D1284" s="13"/>
      <c r="E1284" s="15" t="str">
        <f aca="false">IF(B1284="","",IFERROR(INDEX(Plan!$B$5:$B$44,MATCH(B1284,Plan!$A$5:$A$44,0))&amp;"","Kategori yok"))</f>
        <v/>
      </c>
    </row>
    <row r="1285" customFormat="false" ht="15" hidden="false" customHeight="false" outlineLevel="0" collapsed="false">
      <c r="A1285" s="12"/>
      <c r="B1285" s="13"/>
      <c r="C1285" s="14"/>
      <c r="D1285" s="13"/>
      <c r="E1285" s="15" t="str">
        <f aca="false">IF(B1285="","",IFERROR(INDEX(Plan!$B$5:$B$44,MATCH(B1285,Plan!$A$5:$A$44,0))&amp;"","Kategori yok"))</f>
        <v/>
      </c>
    </row>
    <row r="1286" customFormat="false" ht="15" hidden="false" customHeight="false" outlineLevel="0" collapsed="false">
      <c r="A1286" s="12"/>
      <c r="B1286" s="13"/>
      <c r="C1286" s="14"/>
      <c r="D1286" s="13"/>
      <c r="E1286" s="15" t="str">
        <f aca="false">IF(B1286="","",IFERROR(INDEX(Plan!$B$5:$B$44,MATCH(B1286,Plan!$A$5:$A$44,0))&amp;"","Kategori yok"))</f>
        <v/>
      </c>
    </row>
    <row r="1287" customFormat="false" ht="15" hidden="false" customHeight="false" outlineLevel="0" collapsed="false">
      <c r="A1287" s="12"/>
      <c r="B1287" s="13"/>
      <c r="C1287" s="14"/>
      <c r="D1287" s="13"/>
      <c r="E1287" s="15" t="str">
        <f aca="false">IF(B1287="","",IFERROR(INDEX(Plan!$B$5:$B$44,MATCH(B1287,Plan!$A$5:$A$44,0))&amp;"","Kategori yok"))</f>
        <v/>
      </c>
    </row>
    <row r="1288" customFormat="false" ht="15" hidden="false" customHeight="false" outlineLevel="0" collapsed="false">
      <c r="A1288" s="12"/>
      <c r="B1288" s="13"/>
      <c r="C1288" s="14"/>
      <c r="D1288" s="13"/>
      <c r="E1288" s="15" t="str">
        <f aca="false">IF(B1288="","",IFERROR(INDEX(Plan!$B$5:$B$44,MATCH(B1288,Plan!$A$5:$A$44,0))&amp;"","Kategori yok"))</f>
        <v/>
      </c>
    </row>
    <row r="1289" customFormat="false" ht="15" hidden="false" customHeight="false" outlineLevel="0" collapsed="false">
      <c r="A1289" s="12"/>
      <c r="B1289" s="13"/>
      <c r="C1289" s="14"/>
      <c r="D1289" s="13"/>
      <c r="E1289" s="15" t="str">
        <f aca="false">IF(B1289="","",IFERROR(INDEX(Plan!$B$5:$B$44,MATCH(B1289,Plan!$A$5:$A$44,0))&amp;"","Kategori yok"))</f>
        <v/>
      </c>
    </row>
    <row r="1290" customFormat="false" ht="15" hidden="false" customHeight="false" outlineLevel="0" collapsed="false">
      <c r="A1290" s="12"/>
      <c r="B1290" s="13"/>
      <c r="C1290" s="14"/>
      <c r="D1290" s="13"/>
      <c r="E1290" s="15" t="str">
        <f aca="false">IF(B1290="","",IFERROR(INDEX(Plan!$B$5:$B$44,MATCH(B1290,Plan!$A$5:$A$44,0))&amp;"","Kategori yok"))</f>
        <v/>
      </c>
    </row>
    <row r="1291" customFormat="false" ht="15" hidden="false" customHeight="false" outlineLevel="0" collapsed="false">
      <c r="A1291" s="12"/>
      <c r="B1291" s="13"/>
      <c r="C1291" s="14"/>
      <c r="D1291" s="13"/>
      <c r="E1291" s="15" t="str">
        <f aca="false">IF(B1291="","",IFERROR(INDEX(Plan!$B$5:$B$44,MATCH(B1291,Plan!$A$5:$A$44,0))&amp;"","Kategori yok"))</f>
        <v/>
      </c>
    </row>
    <row r="1292" customFormat="false" ht="15" hidden="false" customHeight="false" outlineLevel="0" collapsed="false">
      <c r="A1292" s="12"/>
      <c r="B1292" s="13"/>
      <c r="C1292" s="14"/>
      <c r="D1292" s="13"/>
      <c r="E1292" s="15" t="str">
        <f aca="false">IF(B1292="","",IFERROR(INDEX(Plan!$B$5:$B$44,MATCH(B1292,Plan!$A$5:$A$44,0))&amp;"","Kategori yok"))</f>
        <v/>
      </c>
    </row>
    <row r="1293" customFormat="false" ht="15" hidden="false" customHeight="false" outlineLevel="0" collapsed="false">
      <c r="A1293" s="12"/>
      <c r="B1293" s="13"/>
      <c r="C1293" s="14"/>
      <c r="D1293" s="13"/>
      <c r="E1293" s="15" t="str">
        <f aca="false">IF(B1293="","",IFERROR(INDEX(Plan!$B$5:$B$44,MATCH(B1293,Plan!$A$5:$A$44,0))&amp;"","Kategori yok"))</f>
        <v/>
      </c>
    </row>
    <row r="1294" customFormat="false" ht="15" hidden="false" customHeight="false" outlineLevel="0" collapsed="false">
      <c r="A1294" s="12"/>
      <c r="B1294" s="13"/>
      <c r="C1294" s="14"/>
      <c r="D1294" s="13"/>
      <c r="E1294" s="15" t="str">
        <f aca="false">IF(B1294="","",IFERROR(INDEX(Plan!$B$5:$B$44,MATCH(B1294,Plan!$A$5:$A$44,0))&amp;"","Kategori yok"))</f>
        <v/>
      </c>
    </row>
    <row r="1295" customFormat="false" ht="15" hidden="false" customHeight="false" outlineLevel="0" collapsed="false">
      <c r="A1295" s="12"/>
      <c r="B1295" s="13"/>
      <c r="C1295" s="14"/>
      <c r="D1295" s="13"/>
      <c r="E1295" s="15" t="str">
        <f aca="false">IF(B1295="","",IFERROR(INDEX(Plan!$B$5:$B$44,MATCH(B1295,Plan!$A$5:$A$44,0))&amp;"","Kategori yok"))</f>
        <v/>
      </c>
    </row>
    <row r="1296" customFormat="false" ht="15" hidden="false" customHeight="false" outlineLevel="0" collapsed="false">
      <c r="A1296" s="12"/>
      <c r="B1296" s="13"/>
      <c r="C1296" s="14"/>
      <c r="D1296" s="13"/>
      <c r="E1296" s="15" t="str">
        <f aca="false">IF(B1296="","",IFERROR(INDEX(Plan!$B$5:$B$44,MATCH(B1296,Plan!$A$5:$A$44,0))&amp;"","Kategori yok"))</f>
        <v/>
      </c>
    </row>
    <row r="1297" customFormat="false" ht="15" hidden="false" customHeight="false" outlineLevel="0" collapsed="false">
      <c r="A1297" s="12"/>
      <c r="B1297" s="13"/>
      <c r="C1297" s="14"/>
      <c r="D1297" s="13"/>
      <c r="E1297" s="15" t="str">
        <f aca="false">IF(B1297="","",IFERROR(INDEX(Plan!$B$5:$B$44,MATCH(B1297,Plan!$A$5:$A$44,0))&amp;"","Kategori yok"))</f>
        <v/>
      </c>
    </row>
    <row r="1298" customFormat="false" ht="15" hidden="false" customHeight="false" outlineLevel="0" collapsed="false">
      <c r="A1298" s="12"/>
      <c r="B1298" s="13"/>
      <c r="C1298" s="14"/>
      <c r="D1298" s="13"/>
      <c r="E1298" s="15" t="str">
        <f aca="false">IF(B1298="","",IFERROR(INDEX(Plan!$B$5:$B$44,MATCH(B1298,Plan!$A$5:$A$44,0))&amp;"","Kategori yok"))</f>
        <v/>
      </c>
    </row>
    <row r="1299" customFormat="false" ht="15" hidden="false" customHeight="false" outlineLevel="0" collapsed="false">
      <c r="A1299" s="12"/>
      <c r="B1299" s="13"/>
      <c r="C1299" s="14"/>
      <c r="D1299" s="13"/>
      <c r="E1299" s="15" t="str">
        <f aca="false">IF(B1299="","",IFERROR(INDEX(Plan!$B$5:$B$44,MATCH(B1299,Plan!$A$5:$A$44,0))&amp;"","Kategori yok"))</f>
        <v/>
      </c>
    </row>
    <row r="1300" customFormat="false" ht="15" hidden="false" customHeight="false" outlineLevel="0" collapsed="false">
      <c r="A1300" s="12"/>
      <c r="B1300" s="13"/>
      <c r="C1300" s="14"/>
      <c r="D1300" s="13"/>
      <c r="E1300" s="15" t="str">
        <f aca="false">IF(B1300="","",IFERROR(INDEX(Plan!$B$5:$B$44,MATCH(B1300,Plan!$A$5:$A$44,0))&amp;"","Kategori yok"))</f>
        <v/>
      </c>
    </row>
    <row r="1301" customFormat="false" ht="15" hidden="false" customHeight="false" outlineLevel="0" collapsed="false">
      <c r="A1301" s="12"/>
      <c r="B1301" s="13"/>
      <c r="C1301" s="14"/>
      <c r="D1301" s="13"/>
      <c r="E1301" s="15" t="str">
        <f aca="false">IF(B1301="","",IFERROR(INDEX(Plan!$B$5:$B$44,MATCH(B1301,Plan!$A$5:$A$44,0))&amp;"","Kategori yok"))</f>
        <v/>
      </c>
    </row>
    <row r="1302" customFormat="false" ht="15" hidden="false" customHeight="false" outlineLevel="0" collapsed="false">
      <c r="A1302" s="12"/>
      <c r="B1302" s="13"/>
      <c r="C1302" s="14"/>
      <c r="D1302" s="13"/>
      <c r="E1302" s="15" t="str">
        <f aca="false">IF(B1302="","",IFERROR(INDEX(Plan!$B$5:$B$44,MATCH(B1302,Plan!$A$5:$A$44,0))&amp;"","Kategori yok"))</f>
        <v/>
      </c>
    </row>
    <row r="1303" customFormat="false" ht="15" hidden="false" customHeight="false" outlineLevel="0" collapsed="false">
      <c r="A1303" s="12"/>
      <c r="B1303" s="13"/>
      <c r="C1303" s="14"/>
      <c r="D1303" s="13"/>
      <c r="E1303" s="15" t="str">
        <f aca="false">IF(B1303="","",IFERROR(INDEX(Plan!$B$5:$B$44,MATCH(B1303,Plan!$A$5:$A$44,0))&amp;"","Kategori yok"))</f>
        <v/>
      </c>
    </row>
    <row r="1304" customFormat="false" ht="15" hidden="false" customHeight="false" outlineLevel="0" collapsed="false">
      <c r="A1304" s="12"/>
      <c r="B1304" s="13"/>
      <c r="C1304" s="14"/>
      <c r="D1304" s="13"/>
      <c r="E1304" s="15" t="str">
        <f aca="false">IF(B1304="","",IFERROR(INDEX(Plan!$B$5:$B$44,MATCH(B1304,Plan!$A$5:$A$44,0))&amp;"","Kategori yok"))</f>
        <v/>
      </c>
    </row>
    <row r="1305" customFormat="false" ht="15" hidden="false" customHeight="false" outlineLevel="0" collapsed="false">
      <c r="A1305" s="12"/>
      <c r="B1305" s="13"/>
      <c r="C1305" s="14"/>
      <c r="D1305" s="13"/>
      <c r="E1305" s="15" t="str">
        <f aca="false">IF(B1305="","",IFERROR(INDEX(Plan!$B$5:$B$44,MATCH(B1305,Plan!$A$5:$A$44,0))&amp;"","Kategori yok"))</f>
        <v/>
      </c>
    </row>
    <row r="1306" customFormat="false" ht="15" hidden="false" customHeight="false" outlineLevel="0" collapsed="false">
      <c r="A1306" s="12"/>
      <c r="B1306" s="13"/>
      <c r="C1306" s="14"/>
      <c r="D1306" s="13"/>
      <c r="E1306" s="15" t="str">
        <f aca="false">IF(B1306="","",IFERROR(INDEX(Plan!$B$5:$B$44,MATCH(B1306,Plan!$A$5:$A$44,0))&amp;"","Kategori yok"))</f>
        <v/>
      </c>
    </row>
    <row r="1307" customFormat="false" ht="15" hidden="false" customHeight="false" outlineLevel="0" collapsed="false">
      <c r="A1307" s="12"/>
      <c r="B1307" s="13"/>
      <c r="C1307" s="14"/>
      <c r="D1307" s="13"/>
      <c r="E1307" s="15" t="str">
        <f aca="false">IF(B1307="","",IFERROR(INDEX(Plan!$B$5:$B$44,MATCH(B1307,Plan!$A$5:$A$44,0))&amp;"","Kategori yok"))</f>
        <v/>
      </c>
    </row>
    <row r="1308" customFormat="false" ht="15" hidden="false" customHeight="false" outlineLevel="0" collapsed="false">
      <c r="A1308" s="12"/>
      <c r="B1308" s="13"/>
      <c r="C1308" s="14"/>
      <c r="D1308" s="13"/>
      <c r="E1308" s="15" t="str">
        <f aca="false">IF(B1308="","",IFERROR(INDEX(Plan!$B$5:$B$44,MATCH(B1308,Plan!$A$5:$A$44,0))&amp;"","Kategori yok"))</f>
        <v/>
      </c>
    </row>
    <row r="1309" customFormat="false" ht="15" hidden="false" customHeight="false" outlineLevel="0" collapsed="false">
      <c r="A1309" s="12"/>
      <c r="B1309" s="13"/>
      <c r="C1309" s="14"/>
      <c r="D1309" s="13"/>
      <c r="E1309" s="15" t="str">
        <f aca="false">IF(B1309="","",IFERROR(INDEX(Plan!$B$5:$B$44,MATCH(B1309,Plan!$A$5:$A$44,0))&amp;"","Kategori yok"))</f>
        <v/>
      </c>
    </row>
    <row r="1310" customFormat="false" ht="15" hidden="false" customHeight="false" outlineLevel="0" collapsed="false">
      <c r="A1310" s="12"/>
      <c r="B1310" s="13"/>
      <c r="C1310" s="14"/>
      <c r="D1310" s="13"/>
      <c r="E1310" s="15" t="str">
        <f aca="false">IF(B1310="","",IFERROR(INDEX(Plan!$B$5:$B$44,MATCH(B1310,Plan!$A$5:$A$44,0))&amp;"","Kategori yok"))</f>
        <v/>
      </c>
    </row>
    <row r="1311" customFormat="false" ht="15" hidden="false" customHeight="false" outlineLevel="0" collapsed="false">
      <c r="A1311" s="12"/>
      <c r="B1311" s="13"/>
      <c r="C1311" s="14"/>
      <c r="D1311" s="13"/>
      <c r="E1311" s="15" t="str">
        <f aca="false">IF(B1311="","",IFERROR(INDEX(Plan!$B$5:$B$44,MATCH(B1311,Plan!$A$5:$A$44,0))&amp;"","Kategori yok"))</f>
        <v/>
      </c>
    </row>
    <row r="1312" customFormat="false" ht="15" hidden="false" customHeight="false" outlineLevel="0" collapsed="false">
      <c r="A1312" s="12"/>
      <c r="B1312" s="13"/>
      <c r="C1312" s="14"/>
      <c r="D1312" s="13"/>
      <c r="E1312" s="15" t="str">
        <f aca="false">IF(B1312="","",IFERROR(INDEX(Plan!$B$5:$B$44,MATCH(B1312,Plan!$A$5:$A$44,0))&amp;"","Kategori yok"))</f>
        <v/>
      </c>
    </row>
    <row r="1313" customFormat="false" ht="15" hidden="false" customHeight="false" outlineLevel="0" collapsed="false">
      <c r="A1313" s="12"/>
      <c r="B1313" s="13"/>
      <c r="C1313" s="14"/>
      <c r="D1313" s="13"/>
      <c r="E1313" s="15" t="str">
        <f aca="false">IF(B1313="","",IFERROR(INDEX(Plan!$B$5:$B$44,MATCH(B1313,Plan!$A$5:$A$44,0))&amp;"","Kategori yok"))</f>
        <v/>
      </c>
    </row>
    <row r="1314" customFormat="false" ht="15" hidden="false" customHeight="false" outlineLevel="0" collapsed="false">
      <c r="A1314" s="12"/>
      <c r="B1314" s="13"/>
      <c r="C1314" s="14"/>
      <c r="D1314" s="13"/>
      <c r="E1314" s="15" t="str">
        <f aca="false">IF(B1314="","",IFERROR(INDEX(Plan!$B$5:$B$44,MATCH(B1314,Plan!$A$5:$A$44,0))&amp;"","Kategori yok"))</f>
        <v/>
      </c>
    </row>
    <row r="1315" customFormat="false" ht="15" hidden="false" customHeight="false" outlineLevel="0" collapsed="false">
      <c r="A1315" s="12"/>
      <c r="B1315" s="13"/>
      <c r="C1315" s="14"/>
      <c r="D1315" s="13"/>
      <c r="E1315" s="15" t="str">
        <f aca="false">IF(B1315="","",IFERROR(INDEX(Plan!$B$5:$B$44,MATCH(B1315,Plan!$A$5:$A$44,0))&amp;"","Kategori yok"))</f>
        <v/>
      </c>
    </row>
    <row r="1316" customFormat="false" ht="15" hidden="false" customHeight="false" outlineLevel="0" collapsed="false">
      <c r="A1316" s="12"/>
      <c r="B1316" s="13"/>
      <c r="C1316" s="14"/>
      <c r="D1316" s="13"/>
      <c r="E1316" s="15" t="str">
        <f aca="false">IF(B1316="","",IFERROR(INDEX(Plan!$B$5:$B$44,MATCH(B1316,Plan!$A$5:$A$44,0))&amp;"","Kategori yok"))</f>
        <v/>
      </c>
    </row>
    <row r="1317" customFormat="false" ht="15" hidden="false" customHeight="false" outlineLevel="0" collapsed="false">
      <c r="A1317" s="12"/>
      <c r="B1317" s="13"/>
      <c r="C1317" s="14"/>
      <c r="D1317" s="13"/>
      <c r="E1317" s="15" t="str">
        <f aca="false">IF(B1317="","",IFERROR(INDEX(Plan!$B$5:$B$44,MATCH(B1317,Plan!$A$5:$A$44,0))&amp;"","Kategori yok"))</f>
        <v/>
      </c>
    </row>
    <row r="1318" customFormat="false" ht="15" hidden="false" customHeight="false" outlineLevel="0" collapsed="false">
      <c r="A1318" s="12"/>
      <c r="B1318" s="13"/>
      <c r="C1318" s="14"/>
      <c r="D1318" s="13"/>
      <c r="E1318" s="15" t="str">
        <f aca="false">IF(B1318="","",IFERROR(INDEX(Plan!$B$5:$B$44,MATCH(B1318,Plan!$A$5:$A$44,0))&amp;"","Kategori yok"))</f>
        <v/>
      </c>
    </row>
    <row r="1319" customFormat="false" ht="15" hidden="false" customHeight="false" outlineLevel="0" collapsed="false">
      <c r="A1319" s="12"/>
      <c r="B1319" s="13"/>
      <c r="C1319" s="14"/>
      <c r="D1319" s="13"/>
      <c r="E1319" s="15" t="str">
        <f aca="false">IF(B1319="","",IFERROR(INDEX(Plan!$B$5:$B$44,MATCH(B1319,Plan!$A$5:$A$44,0))&amp;"","Kategori yok"))</f>
        <v/>
      </c>
    </row>
    <row r="1320" customFormat="false" ht="15" hidden="false" customHeight="false" outlineLevel="0" collapsed="false">
      <c r="A1320" s="12"/>
      <c r="B1320" s="13"/>
      <c r="C1320" s="14"/>
      <c r="D1320" s="13"/>
      <c r="E1320" s="15" t="str">
        <f aca="false">IF(B1320="","",IFERROR(INDEX(Plan!$B$5:$B$44,MATCH(B1320,Plan!$A$5:$A$44,0))&amp;"","Kategori yok"))</f>
        <v/>
      </c>
    </row>
    <row r="1321" customFormat="false" ht="15" hidden="false" customHeight="false" outlineLevel="0" collapsed="false">
      <c r="A1321" s="12"/>
      <c r="B1321" s="13"/>
      <c r="C1321" s="14"/>
      <c r="D1321" s="13"/>
      <c r="E1321" s="15" t="str">
        <f aca="false">IF(B1321="","",IFERROR(INDEX(Plan!$B$5:$B$44,MATCH(B1321,Plan!$A$5:$A$44,0))&amp;"","Kategori yok"))</f>
        <v/>
      </c>
    </row>
    <row r="1322" customFormat="false" ht="15" hidden="false" customHeight="false" outlineLevel="0" collapsed="false">
      <c r="A1322" s="12"/>
      <c r="B1322" s="13"/>
      <c r="C1322" s="14"/>
      <c r="D1322" s="13"/>
      <c r="E1322" s="15" t="str">
        <f aca="false">IF(B1322="","",IFERROR(INDEX(Plan!$B$5:$B$44,MATCH(B1322,Plan!$A$5:$A$44,0))&amp;"","Kategori yok"))</f>
        <v/>
      </c>
    </row>
    <row r="1323" customFormat="false" ht="15" hidden="false" customHeight="false" outlineLevel="0" collapsed="false">
      <c r="A1323" s="12"/>
      <c r="B1323" s="13"/>
      <c r="C1323" s="14"/>
      <c r="D1323" s="13"/>
      <c r="E1323" s="15" t="str">
        <f aca="false">IF(B1323="","",IFERROR(INDEX(Plan!$B$5:$B$44,MATCH(B1323,Plan!$A$5:$A$44,0))&amp;"","Kategori yok"))</f>
        <v/>
      </c>
    </row>
    <row r="1324" customFormat="false" ht="15" hidden="false" customHeight="false" outlineLevel="0" collapsed="false">
      <c r="A1324" s="12"/>
      <c r="B1324" s="13"/>
      <c r="C1324" s="14"/>
      <c r="D1324" s="13"/>
      <c r="E1324" s="15" t="str">
        <f aca="false">IF(B1324="","",IFERROR(INDEX(Plan!$B$5:$B$44,MATCH(B1324,Plan!$A$5:$A$44,0))&amp;"","Kategori yok"))</f>
        <v/>
      </c>
    </row>
    <row r="1325" customFormat="false" ht="15" hidden="false" customHeight="false" outlineLevel="0" collapsed="false">
      <c r="A1325" s="12"/>
      <c r="B1325" s="13"/>
      <c r="C1325" s="14"/>
      <c r="D1325" s="13"/>
      <c r="E1325" s="15" t="str">
        <f aca="false">IF(B1325="","",IFERROR(INDEX(Plan!$B$5:$B$44,MATCH(B1325,Plan!$A$5:$A$44,0))&amp;"","Kategori yok"))</f>
        <v/>
      </c>
    </row>
    <row r="1326" customFormat="false" ht="15" hidden="false" customHeight="false" outlineLevel="0" collapsed="false">
      <c r="A1326" s="12"/>
      <c r="B1326" s="13"/>
      <c r="C1326" s="14"/>
      <c r="D1326" s="13"/>
      <c r="E1326" s="15" t="str">
        <f aca="false">IF(B1326="","",IFERROR(INDEX(Plan!$B$5:$B$44,MATCH(B1326,Plan!$A$5:$A$44,0))&amp;"","Kategori yok"))</f>
        <v/>
      </c>
    </row>
    <row r="1327" customFormat="false" ht="15" hidden="false" customHeight="false" outlineLevel="0" collapsed="false">
      <c r="A1327" s="12"/>
      <c r="B1327" s="13"/>
      <c r="C1327" s="14"/>
      <c r="D1327" s="13"/>
      <c r="E1327" s="15" t="str">
        <f aca="false">IF(B1327="","",IFERROR(INDEX(Plan!$B$5:$B$44,MATCH(B1327,Plan!$A$5:$A$44,0))&amp;"","Kategori yok"))</f>
        <v/>
      </c>
    </row>
    <row r="1328" customFormat="false" ht="15" hidden="false" customHeight="false" outlineLevel="0" collapsed="false">
      <c r="A1328" s="12"/>
      <c r="B1328" s="13"/>
      <c r="C1328" s="14"/>
      <c r="D1328" s="13"/>
      <c r="E1328" s="15" t="str">
        <f aca="false">IF(B1328="","",IFERROR(INDEX(Plan!$B$5:$B$44,MATCH(B1328,Plan!$A$5:$A$44,0))&amp;"","Kategori yok"))</f>
        <v/>
      </c>
    </row>
    <row r="1329" customFormat="false" ht="15" hidden="false" customHeight="false" outlineLevel="0" collapsed="false">
      <c r="A1329" s="12"/>
      <c r="B1329" s="13"/>
      <c r="C1329" s="14"/>
      <c r="D1329" s="13"/>
      <c r="E1329" s="15" t="str">
        <f aca="false">IF(B1329="","",IFERROR(INDEX(Plan!$B$5:$B$44,MATCH(B1329,Plan!$A$5:$A$44,0))&amp;"","Kategori yok"))</f>
        <v/>
      </c>
    </row>
    <row r="1330" customFormat="false" ht="15" hidden="false" customHeight="false" outlineLevel="0" collapsed="false">
      <c r="A1330" s="12"/>
      <c r="B1330" s="13"/>
      <c r="C1330" s="14"/>
      <c r="D1330" s="13"/>
      <c r="E1330" s="15" t="str">
        <f aca="false">IF(B1330="","",IFERROR(INDEX(Plan!$B$5:$B$44,MATCH(B1330,Plan!$A$5:$A$44,0))&amp;"","Kategori yok"))</f>
        <v/>
      </c>
    </row>
    <row r="1331" customFormat="false" ht="15" hidden="false" customHeight="false" outlineLevel="0" collapsed="false">
      <c r="A1331" s="12"/>
      <c r="B1331" s="13"/>
      <c r="C1331" s="14"/>
      <c r="D1331" s="13"/>
      <c r="E1331" s="15" t="str">
        <f aca="false">IF(B1331="","",IFERROR(INDEX(Plan!$B$5:$B$44,MATCH(B1331,Plan!$A$5:$A$44,0))&amp;"","Kategori yok"))</f>
        <v/>
      </c>
    </row>
    <row r="1332" customFormat="false" ht="15" hidden="false" customHeight="false" outlineLevel="0" collapsed="false">
      <c r="A1332" s="12"/>
      <c r="B1332" s="13"/>
      <c r="C1332" s="14"/>
      <c r="D1332" s="13"/>
      <c r="E1332" s="15" t="str">
        <f aca="false">IF(B1332="","",IFERROR(INDEX(Plan!$B$5:$B$44,MATCH(B1332,Plan!$A$5:$A$44,0))&amp;"","Kategori yok"))</f>
        <v/>
      </c>
    </row>
    <row r="1333" customFormat="false" ht="15" hidden="false" customHeight="false" outlineLevel="0" collapsed="false">
      <c r="A1333" s="12"/>
      <c r="B1333" s="13"/>
      <c r="C1333" s="14"/>
      <c r="D1333" s="13"/>
      <c r="E1333" s="15" t="str">
        <f aca="false">IF(B1333="","",IFERROR(INDEX(Plan!$B$5:$B$44,MATCH(B1333,Plan!$A$5:$A$44,0))&amp;"","Kategori yok"))</f>
        <v/>
      </c>
    </row>
    <row r="1334" customFormat="false" ht="15" hidden="false" customHeight="false" outlineLevel="0" collapsed="false">
      <c r="A1334" s="12"/>
      <c r="B1334" s="13"/>
      <c r="C1334" s="14"/>
      <c r="D1334" s="13"/>
      <c r="E1334" s="15" t="str">
        <f aca="false">IF(B1334="","",IFERROR(INDEX(Plan!$B$5:$B$44,MATCH(B1334,Plan!$A$5:$A$44,0))&amp;"","Kategori yok"))</f>
        <v/>
      </c>
    </row>
    <row r="1335" customFormat="false" ht="15" hidden="false" customHeight="false" outlineLevel="0" collapsed="false">
      <c r="A1335" s="12"/>
      <c r="B1335" s="13"/>
      <c r="C1335" s="14"/>
      <c r="D1335" s="13"/>
      <c r="E1335" s="15" t="str">
        <f aca="false">IF(B1335="","",IFERROR(INDEX(Plan!$B$5:$B$44,MATCH(B1335,Plan!$A$5:$A$44,0))&amp;"","Kategori yok"))</f>
        <v/>
      </c>
    </row>
    <row r="1336" customFormat="false" ht="15" hidden="false" customHeight="false" outlineLevel="0" collapsed="false">
      <c r="A1336" s="12"/>
      <c r="B1336" s="13"/>
      <c r="C1336" s="14"/>
      <c r="D1336" s="13"/>
      <c r="E1336" s="15" t="str">
        <f aca="false">IF(B1336="","",IFERROR(INDEX(Plan!$B$5:$B$44,MATCH(B1336,Plan!$A$5:$A$44,0))&amp;"","Kategori yok"))</f>
        <v/>
      </c>
    </row>
    <row r="1337" customFormat="false" ht="15" hidden="false" customHeight="false" outlineLevel="0" collapsed="false">
      <c r="A1337" s="12"/>
      <c r="B1337" s="13"/>
      <c r="C1337" s="14"/>
      <c r="D1337" s="13"/>
      <c r="E1337" s="15" t="str">
        <f aca="false">IF(B1337="","",IFERROR(INDEX(Plan!$B$5:$B$44,MATCH(B1337,Plan!$A$5:$A$44,0))&amp;"","Kategori yok"))</f>
        <v/>
      </c>
    </row>
    <row r="1338" customFormat="false" ht="15" hidden="false" customHeight="false" outlineLevel="0" collapsed="false">
      <c r="A1338" s="12"/>
      <c r="B1338" s="13"/>
      <c r="C1338" s="14"/>
      <c r="D1338" s="13"/>
      <c r="E1338" s="15" t="str">
        <f aca="false">IF(B1338="","",IFERROR(INDEX(Plan!$B$5:$B$44,MATCH(B1338,Plan!$A$5:$A$44,0))&amp;"","Kategori yok"))</f>
        <v/>
      </c>
    </row>
    <row r="1339" customFormat="false" ht="15" hidden="false" customHeight="false" outlineLevel="0" collapsed="false">
      <c r="A1339" s="12"/>
      <c r="B1339" s="13"/>
      <c r="C1339" s="14"/>
      <c r="D1339" s="13"/>
      <c r="E1339" s="15" t="str">
        <f aca="false">IF(B1339="","",IFERROR(INDEX(Plan!$B$5:$B$44,MATCH(B1339,Plan!$A$5:$A$44,0))&amp;"","Kategori yok"))</f>
        <v/>
      </c>
    </row>
    <row r="1340" customFormat="false" ht="15" hidden="false" customHeight="false" outlineLevel="0" collapsed="false">
      <c r="A1340" s="12"/>
      <c r="B1340" s="13"/>
      <c r="C1340" s="14"/>
      <c r="D1340" s="13"/>
      <c r="E1340" s="15" t="str">
        <f aca="false">IF(B1340="","",IFERROR(INDEX(Plan!$B$5:$B$44,MATCH(B1340,Plan!$A$5:$A$44,0))&amp;"","Kategori yok"))</f>
        <v/>
      </c>
    </row>
    <row r="1341" customFormat="false" ht="15" hidden="false" customHeight="false" outlineLevel="0" collapsed="false">
      <c r="A1341" s="12"/>
      <c r="B1341" s="13"/>
      <c r="C1341" s="14"/>
      <c r="D1341" s="13"/>
      <c r="E1341" s="15" t="str">
        <f aca="false">IF(B1341="","",IFERROR(INDEX(Plan!$B$5:$B$44,MATCH(B1341,Plan!$A$5:$A$44,0))&amp;"","Kategori yok"))</f>
        <v/>
      </c>
    </row>
    <row r="1342" customFormat="false" ht="15" hidden="false" customHeight="false" outlineLevel="0" collapsed="false">
      <c r="A1342" s="12"/>
      <c r="B1342" s="13"/>
      <c r="C1342" s="14"/>
      <c r="D1342" s="13"/>
      <c r="E1342" s="15" t="str">
        <f aca="false">IF(B1342="","",IFERROR(INDEX(Plan!$B$5:$B$44,MATCH(B1342,Plan!$A$5:$A$44,0))&amp;"","Kategori yok"))</f>
        <v/>
      </c>
    </row>
    <row r="1343" customFormat="false" ht="15" hidden="false" customHeight="false" outlineLevel="0" collapsed="false">
      <c r="A1343" s="12"/>
      <c r="B1343" s="13"/>
      <c r="C1343" s="14"/>
      <c r="D1343" s="13"/>
      <c r="E1343" s="15" t="str">
        <f aca="false">IF(B1343="","",IFERROR(INDEX(Plan!$B$5:$B$44,MATCH(B1343,Plan!$A$5:$A$44,0))&amp;"","Kategori yok"))</f>
        <v/>
      </c>
    </row>
    <row r="1344" customFormat="false" ht="15" hidden="false" customHeight="false" outlineLevel="0" collapsed="false">
      <c r="A1344" s="12"/>
      <c r="B1344" s="13"/>
      <c r="C1344" s="14"/>
      <c r="D1344" s="13"/>
      <c r="E1344" s="15" t="str">
        <f aca="false">IF(B1344="","",IFERROR(INDEX(Plan!$B$5:$B$44,MATCH(B1344,Plan!$A$5:$A$44,0))&amp;"","Kategori yok"))</f>
        <v/>
      </c>
    </row>
    <row r="1345" customFormat="false" ht="15" hidden="false" customHeight="false" outlineLevel="0" collapsed="false">
      <c r="A1345" s="12"/>
      <c r="B1345" s="13"/>
      <c r="C1345" s="14"/>
      <c r="D1345" s="13"/>
      <c r="E1345" s="15" t="str">
        <f aca="false">IF(B1345="","",IFERROR(INDEX(Plan!$B$5:$B$44,MATCH(B1345,Plan!$A$5:$A$44,0))&amp;"","Kategori yok"))</f>
        <v/>
      </c>
    </row>
    <row r="1346" customFormat="false" ht="15" hidden="false" customHeight="false" outlineLevel="0" collapsed="false">
      <c r="A1346" s="12"/>
      <c r="B1346" s="13"/>
      <c r="C1346" s="14"/>
      <c r="D1346" s="13"/>
      <c r="E1346" s="15" t="str">
        <f aca="false">IF(B1346="","",IFERROR(INDEX(Plan!$B$5:$B$44,MATCH(B1346,Plan!$A$5:$A$44,0))&amp;"","Kategori yok"))</f>
        <v/>
      </c>
    </row>
    <row r="1347" customFormat="false" ht="15" hidden="false" customHeight="false" outlineLevel="0" collapsed="false">
      <c r="A1347" s="12"/>
      <c r="B1347" s="13"/>
      <c r="C1347" s="14"/>
      <c r="D1347" s="13"/>
      <c r="E1347" s="15" t="str">
        <f aca="false">IF(B1347="","",IFERROR(INDEX(Plan!$B$5:$B$44,MATCH(B1347,Plan!$A$5:$A$44,0))&amp;"","Kategori yok"))</f>
        <v/>
      </c>
    </row>
    <row r="1348" customFormat="false" ht="15" hidden="false" customHeight="false" outlineLevel="0" collapsed="false">
      <c r="A1348" s="12"/>
      <c r="B1348" s="13"/>
      <c r="C1348" s="14"/>
      <c r="D1348" s="13"/>
      <c r="E1348" s="15" t="str">
        <f aca="false">IF(B1348="","",IFERROR(INDEX(Plan!$B$5:$B$44,MATCH(B1348,Plan!$A$5:$A$44,0))&amp;"","Kategori yok"))</f>
        <v/>
      </c>
    </row>
    <row r="1349" customFormat="false" ht="15" hidden="false" customHeight="false" outlineLevel="0" collapsed="false">
      <c r="A1349" s="12"/>
      <c r="B1349" s="13"/>
      <c r="C1349" s="14"/>
      <c r="D1349" s="13"/>
      <c r="E1349" s="15" t="str">
        <f aca="false">IF(B1349="","",IFERROR(INDEX(Plan!$B$5:$B$44,MATCH(B1349,Plan!$A$5:$A$44,0))&amp;"","Kategori yok"))</f>
        <v/>
      </c>
    </row>
    <row r="1350" customFormat="false" ht="15" hidden="false" customHeight="false" outlineLevel="0" collapsed="false">
      <c r="A1350" s="12"/>
      <c r="B1350" s="13"/>
      <c r="C1350" s="14"/>
      <c r="D1350" s="13"/>
      <c r="E1350" s="15" t="str">
        <f aca="false">IF(B1350="","",IFERROR(INDEX(Plan!$B$5:$B$44,MATCH(B1350,Plan!$A$5:$A$44,0))&amp;"","Kategori yok"))</f>
        <v/>
      </c>
    </row>
    <row r="1351" customFormat="false" ht="15" hidden="false" customHeight="false" outlineLevel="0" collapsed="false">
      <c r="A1351" s="12"/>
      <c r="B1351" s="13"/>
      <c r="C1351" s="14"/>
      <c r="D1351" s="13"/>
      <c r="E1351" s="15" t="str">
        <f aca="false">IF(B1351="","",IFERROR(INDEX(Plan!$B$5:$B$44,MATCH(B1351,Plan!$A$5:$A$44,0))&amp;"","Kategori yok"))</f>
        <v/>
      </c>
    </row>
    <row r="1352" customFormat="false" ht="15" hidden="false" customHeight="false" outlineLevel="0" collapsed="false">
      <c r="A1352" s="12"/>
      <c r="B1352" s="13"/>
      <c r="C1352" s="14"/>
      <c r="D1352" s="13"/>
      <c r="E1352" s="15" t="str">
        <f aca="false">IF(B1352="","",IFERROR(INDEX(Plan!$B$5:$B$44,MATCH(B1352,Plan!$A$5:$A$44,0))&amp;"","Kategori yok"))</f>
        <v/>
      </c>
    </row>
    <row r="1353" customFormat="false" ht="15" hidden="false" customHeight="false" outlineLevel="0" collapsed="false">
      <c r="A1353" s="12"/>
      <c r="B1353" s="13"/>
      <c r="C1353" s="14"/>
      <c r="D1353" s="13"/>
      <c r="E1353" s="15" t="str">
        <f aca="false">IF(B1353="","",IFERROR(INDEX(Plan!$B$5:$B$44,MATCH(B1353,Plan!$A$5:$A$44,0))&amp;"","Kategori yok"))</f>
        <v/>
      </c>
    </row>
    <row r="1354" customFormat="false" ht="15" hidden="false" customHeight="false" outlineLevel="0" collapsed="false">
      <c r="A1354" s="12"/>
      <c r="B1354" s="13"/>
      <c r="C1354" s="14"/>
      <c r="D1354" s="13"/>
      <c r="E1354" s="15" t="str">
        <f aca="false">IF(B1354="","",IFERROR(INDEX(Plan!$B$5:$B$44,MATCH(B1354,Plan!$A$5:$A$44,0))&amp;"","Kategori yok"))</f>
        <v/>
      </c>
    </row>
    <row r="1355" customFormat="false" ht="15" hidden="false" customHeight="false" outlineLevel="0" collapsed="false">
      <c r="A1355" s="12"/>
      <c r="B1355" s="13"/>
      <c r="C1355" s="14"/>
      <c r="D1355" s="13"/>
      <c r="E1355" s="15" t="str">
        <f aca="false">IF(B1355="","",IFERROR(INDEX(Plan!$B$5:$B$44,MATCH(B1355,Plan!$A$5:$A$44,0))&amp;"","Kategori yok"))</f>
        <v/>
      </c>
    </row>
    <row r="1356" customFormat="false" ht="15" hidden="false" customHeight="false" outlineLevel="0" collapsed="false">
      <c r="A1356" s="12"/>
      <c r="B1356" s="13"/>
      <c r="C1356" s="14"/>
      <c r="D1356" s="13"/>
      <c r="E1356" s="15" t="str">
        <f aca="false">IF(B1356="","",IFERROR(INDEX(Plan!$B$5:$B$44,MATCH(B1356,Plan!$A$5:$A$44,0))&amp;"","Kategori yok"))</f>
        <v/>
      </c>
    </row>
    <row r="1357" customFormat="false" ht="15" hidden="false" customHeight="false" outlineLevel="0" collapsed="false">
      <c r="A1357" s="12"/>
      <c r="B1357" s="13"/>
      <c r="C1357" s="14"/>
      <c r="D1357" s="13"/>
      <c r="E1357" s="15" t="str">
        <f aca="false">IF(B1357="","",IFERROR(INDEX(Plan!$B$5:$B$44,MATCH(B1357,Plan!$A$5:$A$44,0))&amp;"","Kategori yok"))</f>
        <v/>
      </c>
    </row>
    <row r="1358" customFormat="false" ht="15" hidden="false" customHeight="false" outlineLevel="0" collapsed="false">
      <c r="A1358" s="12"/>
      <c r="B1358" s="13"/>
      <c r="C1358" s="14"/>
      <c r="D1358" s="13"/>
      <c r="E1358" s="15" t="str">
        <f aca="false">IF(B1358="","",IFERROR(INDEX(Plan!$B$5:$B$44,MATCH(B1358,Plan!$A$5:$A$44,0))&amp;"","Kategori yok"))</f>
        <v/>
      </c>
    </row>
    <row r="1359" customFormat="false" ht="15" hidden="false" customHeight="false" outlineLevel="0" collapsed="false">
      <c r="A1359" s="12"/>
      <c r="B1359" s="13"/>
      <c r="C1359" s="14"/>
      <c r="D1359" s="13"/>
      <c r="E1359" s="15" t="str">
        <f aca="false">IF(B1359="","",IFERROR(INDEX(Plan!$B$5:$B$44,MATCH(B1359,Plan!$A$5:$A$44,0))&amp;"","Kategori yok"))</f>
        <v/>
      </c>
    </row>
    <row r="1360" customFormat="false" ht="15" hidden="false" customHeight="false" outlineLevel="0" collapsed="false">
      <c r="A1360" s="12"/>
      <c r="B1360" s="13"/>
      <c r="C1360" s="14"/>
      <c r="D1360" s="13"/>
      <c r="E1360" s="15" t="str">
        <f aca="false">IF(B1360="","",IFERROR(INDEX(Plan!$B$5:$B$44,MATCH(B1360,Plan!$A$5:$A$44,0))&amp;"","Kategori yok"))</f>
        <v/>
      </c>
    </row>
    <row r="1361" customFormat="false" ht="15" hidden="false" customHeight="false" outlineLevel="0" collapsed="false">
      <c r="A1361" s="12"/>
      <c r="B1361" s="13"/>
      <c r="C1361" s="14"/>
      <c r="D1361" s="13"/>
      <c r="E1361" s="15" t="str">
        <f aca="false">IF(B1361="","",IFERROR(INDEX(Plan!$B$5:$B$44,MATCH(B1361,Plan!$A$5:$A$44,0))&amp;"","Kategori yok"))</f>
        <v/>
      </c>
    </row>
    <row r="1362" customFormat="false" ht="15" hidden="false" customHeight="false" outlineLevel="0" collapsed="false">
      <c r="A1362" s="12"/>
      <c r="B1362" s="13"/>
      <c r="C1362" s="14"/>
      <c r="D1362" s="13"/>
      <c r="E1362" s="15" t="str">
        <f aca="false">IF(B1362="","",IFERROR(INDEX(Plan!$B$5:$B$44,MATCH(B1362,Plan!$A$5:$A$44,0))&amp;"","Kategori yok"))</f>
        <v/>
      </c>
    </row>
    <row r="1363" customFormat="false" ht="15" hidden="false" customHeight="false" outlineLevel="0" collapsed="false">
      <c r="A1363" s="12"/>
      <c r="B1363" s="13"/>
      <c r="C1363" s="14"/>
      <c r="D1363" s="13"/>
      <c r="E1363" s="15" t="str">
        <f aca="false">IF(B1363="","",IFERROR(INDEX(Plan!$B$5:$B$44,MATCH(B1363,Plan!$A$5:$A$44,0))&amp;"","Kategori yok"))</f>
        <v/>
      </c>
    </row>
    <row r="1364" customFormat="false" ht="15" hidden="false" customHeight="false" outlineLevel="0" collapsed="false">
      <c r="A1364" s="12"/>
      <c r="B1364" s="13"/>
      <c r="C1364" s="14"/>
      <c r="D1364" s="13"/>
      <c r="E1364" s="15" t="str">
        <f aca="false">IF(B1364="","",IFERROR(INDEX(Plan!$B$5:$B$44,MATCH(B1364,Plan!$A$5:$A$44,0))&amp;"","Kategori yok"))</f>
        <v/>
      </c>
    </row>
    <row r="1365" customFormat="false" ht="15" hidden="false" customHeight="false" outlineLevel="0" collapsed="false">
      <c r="A1365" s="12"/>
      <c r="B1365" s="13"/>
      <c r="C1365" s="14"/>
      <c r="D1365" s="13"/>
      <c r="E1365" s="15" t="str">
        <f aca="false">IF(B1365="","",IFERROR(INDEX(Plan!$B$5:$B$44,MATCH(B1365,Plan!$A$5:$A$44,0))&amp;"","Kategori yok"))</f>
        <v/>
      </c>
    </row>
    <row r="1366" customFormat="false" ht="15" hidden="false" customHeight="false" outlineLevel="0" collapsed="false">
      <c r="A1366" s="12"/>
      <c r="B1366" s="13"/>
      <c r="C1366" s="14"/>
      <c r="D1366" s="13"/>
      <c r="E1366" s="15" t="str">
        <f aca="false">IF(B1366="","",IFERROR(INDEX(Plan!$B$5:$B$44,MATCH(B1366,Plan!$A$5:$A$44,0))&amp;"","Kategori yok"))</f>
        <v/>
      </c>
    </row>
    <row r="1367" customFormat="false" ht="15" hidden="false" customHeight="false" outlineLevel="0" collapsed="false">
      <c r="A1367" s="12"/>
      <c r="B1367" s="13"/>
      <c r="C1367" s="14"/>
      <c r="D1367" s="13"/>
      <c r="E1367" s="15" t="str">
        <f aca="false">IF(B1367="","",IFERROR(INDEX(Plan!$B$5:$B$44,MATCH(B1367,Plan!$A$5:$A$44,0))&amp;"","Kategori yok"))</f>
        <v/>
      </c>
    </row>
    <row r="1368" customFormat="false" ht="15" hidden="false" customHeight="false" outlineLevel="0" collapsed="false">
      <c r="A1368" s="12"/>
      <c r="B1368" s="13"/>
      <c r="C1368" s="14"/>
      <c r="D1368" s="13"/>
      <c r="E1368" s="15" t="str">
        <f aca="false">IF(B1368="","",IFERROR(INDEX(Plan!$B$5:$B$44,MATCH(B1368,Plan!$A$5:$A$44,0))&amp;"","Kategori yok"))</f>
        <v/>
      </c>
    </row>
    <row r="1369" customFormat="false" ht="15" hidden="false" customHeight="false" outlineLevel="0" collapsed="false">
      <c r="A1369" s="12"/>
      <c r="B1369" s="13"/>
      <c r="C1369" s="14"/>
      <c r="D1369" s="13"/>
      <c r="E1369" s="15" t="str">
        <f aca="false">IF(B1369="","",IFERROR(INDEX(Plan!$B$5:$B$44,MATCH(B1369,Plan!$A$5:$A$44,0))&amp;"","Kategori yok"))</f>
        <v/>
      </c>
    </row>
    <row r="1370" customFormat="false" ht="15" hidden="false" customHeight="false" outlineLevel="0" collapsed="false">
      <c r="A1370" s="12"/>
      <c r="B1370" s="13"/>
      <c r="C1370" s="14"/>
      <c r="D1370" s="13"/>
      <c r="E1370" s="15" t="str">
        <f aca="false">IF(B1370="","",IFERROR(INDEX(Plan!$B$5:$B$44,MATCH(B1370,Plan!$A$5:$A$44,0))&amp;"","Kategori yok"))</f>
        <v/>
      </c>
    </row>
    <row r="1371" customFormat="false" ht="15" hidden="false" customHeight="false" outlineLevel="0" collapsed="false">
      <c r="A1371" s="12"/>
      <c r="B1371" s="13"/>
      <c r="C1371" s="14"/>
      <c r="D1371" s="13"/>
      <c r="E1371" s="15" t="str">
        <f aca="false">IF(B1371="","",IFERROR(INDEX(Plan!$B$5:$B$44,MATCH(B1371,Plan!$A$5:$A$44,0))&amp;"","Kategori yok"))</f>
        <v/>
      </c>
    </row>
    <row r="1372" customFormat="false" ht="15" hidden="false" customHeight="false" outlineLevel="0" collapsed="false">
      <c r="A1372" s="12"/>
      <c r="B1372" s="13"/>
      <c r="C1372" s="14"/>
      <c r="D1372" s="13"/>
      <c r="E1372" s="15" t="str">
        <f aca="false">IF(B1372="","",IFERROR(INDEX(Plan!$B$5:$B$44,MATCH(B1372,Plan!$A$5:$A$44,0))&amp;"","Kategori yok"))</f>
        <v/>
      </c>
    </row>
    <row r="1373" customFormat="false" ht="15" hidden="false" customHeight="false" outlineLevel="0" collapsed="false">
      <c r="A1373" s="12"/>
      <c r="B1373" s="13"/>
      <c r="C1373" s="14"/>
      <c r="D1373" s="13"/>
      <c r="E1373" s="15" t="str">
        <f aca="false">IF(B1373="","",IFERROR(INDEX(Plan!$B$5:$B$44,MATCH(B1373,Plan!$A$5:$A$44,0))&amp;"","Kategori yok"))</f>
        <v/>
      </c>
    </row>
    <row r="1374" customFormat="false" ht="15" hidden="false" customHeight="false" outlineLevel="0" collapsed="false">
      <c r="A1374" s="12"/>
      <c r="B1374" s="13"/>
      <c r="C1374" s="14"/>
      <c r="D1374" s="13"/>
      <c r="E1374" s="15" t="str">
        <f aca="false">IF(B1374="","",IFERROR(INDEX(Plan!$B$5:$B$44,MATCH(B1374,Plan!$A$5:$A$44,0))&amp;"","Kategori yok"))</f>
        <v/>
      </c>
    </row>
    <row r="1375" customFormat="false" ht="15" hidden="false" customHeight="false" outlineLevel="0" collapsed="false">
      <c r="A1375" s="12"/>
      <c r="B1375" s="13"/>
      <c r="C1375" s="14"/>
      <c r="D1375" s="13"/>
      <c r="E1375" s="15" t="str">
        <f aca="false">IF(B1375="","",IFERROR(INDEX(Plan!$B$5:$B$44,MATCH(B1375,Plan!$A$5:$A$44,0))&amp;"","Kategori yok"))</f>
        <v/>
      </c>
    </row>
    <row r="1376" customFormat="false" ht="15" hidden="false" customHeight="false" outlineLevel="0" collapsed="false">
      <c r="A1376" s="12"/>
      <c r="B1376" s="13"/>
      <c r="C1376" s="14"/>
      <c r="D1376" s="13"/>
      <c r="E1376" s="15" t="str">
        <f aca="false">IF(B1376="","",IFERROR(INDEX(Plan!$B$5:$B$44,MATCH(B1376,Plan!$A$5:$A$44,0))&amp;"","Kategori yok"))</f>
        <v/>
      </c>
    </row>
    <row r="1377" customFormat="false" ht="15" hidden="false" customHeight="false" outlineLevel="0" collapsed="false">
      <c r="A1377" s="12"/>
      <c r="B1377" s="13"/>
      <c r="C1377" s="14"/>
      <c r="D1377" s="13"/>
      <c r="E1377" s="15" t="str">
        <f aca="false">IF(B1377="","",IFERROR(INDEX(Plan!$B$5:$B$44,MATCH(B1377,Plan!$A$5:$A$44,0))&amp;"","Kategori yok"))</f>
        <v/>
      </c>
    </row>
    <row r="1378" customFormat="false" ht="15" hidden="false" customHeight="false" outlineLevel="0" collapsed="false">
      <c r="A1378" s="12"/>
      <c r="B1378" s="13"/>
      <c r="C1378" s="14"/>
      <c r="D1378" s="13"/>
      <c r="E1378" s="15" t="str">
        <f aca="false">IF(B1378="","",IFERROR(INDEX(Plan!$B$5:$B$44,MATCH(B1378,Plan!$A$5:$A$44,0))&amp;"","Kategori yok"))</f>
        <v/>
      </c>
    </row>
    <row r="1379" customFormat="false" ht="15" hidden="false" customHeight="false" outlineLevel="0" collapsed="false">
      <c r="A1379" s="12"/>
      <c r="B1379" s="13"/>
      <c r="C1379" s="14"/>
      <c r="D1379" s="13"/>
      <c r="E1379" s="15" t="str">
        <f aca="false">IF(B1379="","",IFERROR(INDEX(Plan!$B$5:$B$44,MATCH(B1379,Plan!$A$5:$A$44,0))&amp;"","Kategori yok"))</f>
        <v/>
      </c>
    </row>
    <row r="1380" customFormat="false" ht="15" hidden="false" customHeight="false" outlineLevel="0" collapsed="false">
      <c r="A1380" s="12"/>
      <c r="B1380" s="13"/>
      <c r="C1380" s="14"/>
      <c r="D1380" s="13"/>
      <c r="E1380" s="15" t="str">
        <f aca="false">IF(B1380="","",IFERROR(INDEX(Plan!$B$5:$B$44,MATCH(B1380,Plan!$A$5:$A$44,0))&amp;"","Kategori yok"))</f>
        <v/>
      </c>
    </row>
    <row r="1381" customFormat="false" ht="15" hidden="false" customHeight="false" outlineLevel="0" collapsed="false">
      <c r="A1381" s="12"/>
      <c r="B1381" s="13"/>
      <c r="C1381" s="14"/>
      <c r="D1381" s="13"/>
      <c r="E1381" s="15" t="str">
        <f aca="false">IF(B1381="","",IFERROR(INDEX(Plan!$B$5:$B$44,MATCH(B1381,Plan!$A$5:$A$44,0))&amp;"","Kategori yok"))</f>
        <v/>
      </c>
    </row>
    <row r="1382" customFormat="false" ht="15" hidden="false" customHeight="false" outlineLevel="0" collapsed="false">
      <c r="A1382" s="12"/>
      <c r="B1382" s="13"/>
      <c r="C1382" s="14"/>
      <c r="D1382" s="13"/>
      <c r="E1382" s="15" t="str">
        <f aca="false">IF(B1382="","",IFERROR(INDEX(Plan!$B$5:$B$44,MATCH(B1382,Plan!$A$5:$A$44,0))&amp;"","Kategori yok"))</f>
        <v/>
      </c>
    </row>
    <row r="1383" customFormat="false" ht="15" hidden="false" customHeight="false" outlineLevel="0" collapsed="false">
      <c r="A1383" s="12"/>
      <c r="B1383" s="13"/>
      <c r="C1383" s="14"/>
      <c r="D1383" s="13"/>
      <c r="E1383" s="15" t="str">
        <f aca="false">IF(B1383="","",IFERROR(INDEX(Plan!$B$5:$B$44,MATCH(B1383,Plan!$A$5:$A$44,0))&amp;"","Kategori yok"))</f>
        <v/>
      </c>
    </row>
    <row r="1384" customFormat="false" ht="15" hidden="false" customHeight="false" outlineLevel="0" collapsed="false">
      <c r="A1384" s="12"/>
      <c r="B1384" s="13"/>
      <c r="C1384" s="14"/>
      <c r="D1384" s="13"/>
      <c r="E1384" s="15" t="str">
        <f aca="false">IF(B1384="","",IFERROR(INDEX(Plan!$B$5:$B$44,MATCH(B1384,Plan!$A$5:$A$44,0))&amp;"","Kategori yok"))</f>
        <v/>
      </c>
    </row>
    <row r="1385" customFormat="false" ht="15" hidden="false" customHeight="false" outlineLevel="0" collapsed="false">
      <c r="A1385" s="12"/>
      <c r="B1385" s="13"/>
      <c r="C1385" s="14"/>
      <c r="D1385" s="13"/>
      <c r="E1385" s="15" t="str">
        <f aca="false">IF(B1385="","",IFERROR(INDEX(Plan!$B$5:$B$44,MATCH(B1385,Plan!$A$5:$A$44,0))&amp;"","Kategori yok"))</f>
        <v/>
      </c>
    </row>
    <row r="1386" customFormat="false" ht="15" hidden="false" customHeight="false" outlineLevel="0" collapsed="false">
      <c r="A1386" s="12"/>
      <c r="B1386" s="13"/>
      <c r="C1386" s="14"/>
      <c r="D1386" s="13"/>
      <c r="E1386" s="15" t="str">
        <f aca="false">IF(B1386="","",IFERROR(INDEX(Plan!$B$5:$B$44,MATCH(B1386,Plan!$A$5:$A$44,0))&amp;"","Kategori yok"))</f>
        <v/>
      </c>
    </row>
    <row r="1387" customFormat="false" ht="15" hidden="false" customHeight="false" outlineLevel="0" collapsed="false">
      <c r="A1387" s="12"/>
      <c r="B1387" s="13"/>
      <c r="C1387" s="14"/>
      <c r="D1387" s="13"/>
      <c r="E1387" s="15" t="str">
        <f aca="false">IF(B1387="","",IFERROR(INDEX(Plan!$B$5:$B$44,MATCH(B1387,Plan!$A$5:$A$44,0))&amp;"","Kategori yok"))</f>
        <v/>
      </c>
    </row>
    <row r="1388" customFormat="false" ht="15" hidden="false" customHeight="false" outlineLevel="0" collapsed="false">
      <c r="A1388" s="12"/>
      <c r="B1388" s="13"/>
      <c r="C1388" s="14"/>
      <c r="D1388" s="13"/>
      <c r="E1388" s="15" t="str">
        <f aca="false">IF(B1388="","",IFERROR(INDEX(Plan!$B$5:$B$44,MATCH(B1388,Plan!$A$5:$A$44,0))&amp;"","Kategori yok"))</f>
        <v/>
      </c>
    </row>
    <row r="1389" customFormat="false" ht="15" hidden="false" customHeight="false" outlineLevel="0" collapsed="false">
      <c r="A1389" s="12"/>
      <c r="B1389" s="13"/>
      <c r="C1389" s="14"/>
      <c r="D1389" s="13"/>
      <c r="E1389" s="15" t="str">
        <f aca="false">IF(B1389="","",IFERROR(INDEX(Plan!$B$5:$B$44,MATCH(B1389,Plan!$A$5:$A$44,0))&amp;"","Kategori yok"))</f>
        <v/>
      </c>
    </row>
    <row r="1390" customFormat="false" ht="15" hidden="false" customHeight="false" outlineLevel="0" collapsed="false">
      <c r="A1390" s="12"/>
      <c r="B1390" s="13"/>
      <c r="C1390" s="14"/>
      <c r="D1390" s="13"/>
      <c r="E1390" s="15" t="str">
        <f aca="false">IF(B1390="","",IFERROR(INDEX(Plan!$B$5:$B$44,MATCH(B1390,Plan!$A$5:$A$44,0))&amp;"","Kategori yok"))</f>
        <v/>
      </c>
    </row>
    <row r="1391" customFormat="false" ht="15" hidden="false" customHeight="false" outlineLevel="0" collapsed="false">
      <c r="A1391" s="12"/>
      <c r="B1391" s="13"/>
      <c r="C1391" s="14"/>
      <c r="D1391" s="13"/>
      <c r="E1391" s="15" t="str">
        <f aca="false">IF(B1391="","",IFERROR(INDEX(Plan!$B$5:$B$44,MATCH(B1391,Plan!$A$5:$A$44,0))&amp;"","Kategori yok"))</f>
        <v/>
      </c>
    </row>
    <row r="1392" customFormat="false" ht="15" hidden="false" customHeight="false" outlineLevel="0" collapsed="false">
      <c r="A1392" s="12"/>
      <c r="B1392" s="13"/>
      <c r="C1392" s="14"/>
      <c r="D1392" s="13"/>
      <c r="E1392" s="15" t="str">
        <f aca="false">IF(B1392="","",IFERROR(INDEX(Plan!$B$5:$B$44,MATCH(B1392,Plan!$A$5:$A$44,0))&amp;"","Kategori yok"))</f>
        <v/>
      </c>
    </row>
    <row r="1393" customFormat="false" ht="15" hidden="false" customHeight="false" outlineLevel="0" collapsed="false">
      <c r="A1393" s="12"/>
      <c r="B1393" s="13"/>
      <c r="C1393" s="14"/>
      <c r="D1393" s="13"/>
      <c r="E1393" s="15" t="str">
        <f aca="false">IF(B1393="","",IFERROR(INDEX(Plan!$B$5:$B$44,MATCH(B1393,Plan!$A$5:$A$44,0))&amp;"","Kategori yok"))</f>
        <v/>
      </c>
    </row>
    <row r="1394" customFormat="false" ht="15" hidden="false" customHeight="false" outlineLevel="0" collapsed="false">
      <c r="A1394" s="12"/>
      <c r="B1394" s="13"/>
      <c r="C1394" s="14"/>
      <c r="D1394" s="13"/>
      <c r="E1394" s="15" t="str">
        <f aca="false">IF(B1394="","",IFERROR(INDEX(Plan!$B$5:$B$44,MATCH(B1394,Plan!$A$5:$A$44,0))&amp;"","Kategori yok"))</f>
        <v/>
      </c>
    </row>
    <row r="1395" customFormat="false" ht="15" hidden="false" customHeight="false" outlineLevel="0" collapsed="false">
      <c r="A1395" s="12"/>
      <c r="B1395" s="13"/>
      <c r="C1395" s="14"/>
      <c r="D1395" s="13"/>
      <c r="E1395" s="15" t="str">
        <f aca="false">IF(B1395="","",IFERROR(INDEX(Plan!$B$5:$B$44,MATCH(B1395,Plan!$A$5:$A$44,0))&amp;"","Kategori yok"))</f>
        <v/>
      </c>
    </row>
    <row r="1396" customFormat="false" ht="15" hidden="false" customHeight="false" outlineLevel="0" collapsed="false">
      <c r="A1396" s="12"/>
      <c r="B1396" s="13"/>
      <c r="C1396" s="14"/>
      <c r="D1396" s="13"/>
      <c r="E1396" s="15" t="str">
        <f aca="false">IF(B1396="","",IFERROR(INDEX(Plan!$B$5:$B$44,MATCH(B1396,Plan!$A$5:$A$44,0))&amp;"","Kategori yok"))</f>
        <v/>
      </c>
    </row>
    <row r="1397" customFormat="false" ht="15" hidden="false" customHeight="false" outlineLevel="0" collapsed="false">
      <c r="A1397" s="12"/>
      <c r="B1397" s="13"/>
      <c r="C1397" s="14"/>
      <c r="D1397" s="13"/>
      <c r="E1397" s="15" t="str">
        <f aca="false">IF(B1397="","",IFERROR(INDEX(Plan!$B$5:$B$44,MATCH(B1397,Plan!$A$5:$A$44,0))&amp;"","Kategori yok"))</f>
        <v/>
      </c>
    </row>
    <row r="1398" customFormat="false" ht="15" hidden="false" customHeight="false" outlineLevel="0" collapsed="false">
      <c r="A1398" s="12"/>
      <c r="B1398" s="13"/>
      <c r="C1398" s="14"/>
      <c r="D1398" s="13"/>
      <c r="E1398" s="15" t="str">
        <f aca="false">IF(B1398="","",IFERROR(INDEX(Plan!$B$5:$B$44,MATCH(B1398,Plan!$A$5:$A$44,0))&amp;"","Kategori yok"))</f>
        <v/>
      </c>
    </row>
    <row r="1399" customFormat="false" ht="15" hidden="false" customHeight="false" outlineLevel="0" collapsed="false">
      <c r="A1399" s="12"/>
      <c r="B1399" s="13"/>
      <c r="C1399" s="14"/>
      <c r="D1399" s="13"/>
      <c r="E1399" s="15" t="str">
        <f aca="false">IF(B1399="","",IFERROR(INDEX(Plan!$B$5:$B$44,MATCH(B1399,Plan!$A$5:$A$44,0))&amp;"","Kategori yok"))</f>
        <v/>
      </c>
    </row>
    <row r="1400" customFormat="false" ht="15" hidden="false" customHeight="false" outlineLevel="0" collapsed="false">
      <c r="A1400" s="12"/>
      <c r="B1400" s="13"/>
      <c r="C1400" s="14"/>
      <c r="D1400" s="13"/>
      <c r="E1400" s="15" t="str">
        <f aca="false">IF(B1400="","",IFERROR(INDEX(Plan!$B$5:$B$44,MATCH(B1400,Plan!$A$5:$A$44,0))&amp;"","Kategori yok"))</f>
        <v/>
      </c>
    </row>
    <row r="1401" customFormat="false" ht="15" hidden="false" customHeight="false" outlineLevel="0" collapsed="false">
      <c r="A1401" s="12"/>
      <c r="B1401" s="13"/>
      <c r="C1401" s="14"/>
      <c r="D1401" s="13"/>
      <c r="E1401" s="15" t="str">
        <f aca="false">IF(B1401="","",IFERROR(INDEX(Plan!$B$5:$B$44,MATCH(B1401,Plan!$A$5:$A$44,0))&amp;"","Kategori yok"))</f>
        <v/>
      </c>
    </row>
    <row r="1402" customFormat="false" ht="15" hidden="false" customHeight="false" outlineLevel="0" collapsed="false">
      <c r="A1402" s="12"/>
      <c r="B1402" s="13"/>
      <c r="C1402" s="14"/>
      <c r="D1402" s="13"/>
      <c r="E1402" s="15" t="str">
        <f aca="false">IF(B1402="","",IFERROR(INDEX(Plan!$B$5:$B$44,MATCH(B1402,Plan!$A$5:$A$44,0))&amp;"","Kategori yok"))</f>
        <v/>
      </c>
    </row>
    <row r="1403" customFormat="false" ht="15" hidden="false" customHeight="false" outlineLevel="0" collapsed="false">
      <c r="A1403" s="12"/>
      <c r="B1403" s="13"/>
      <c r="C1403" s="14"/>
      <c r="D1403" s="13"/>
      <c r="E1403" s="15" t="str">
        <f aca="false">IF(B1403="","",IFERROR(INDEX(Plan!$B$5:$B$44,MATCH(B1403,Plan!$A$5:$A$44,0))&amp;"","Kategori yok"))</f>
        <v/>
      </c>
    </row>
    <row r="1404" customFormat="false" ht="15" hidden="false" customHeight="false" outlineLevel="0" collapsed="false">
      <c r="A1404" s="12"/>
      <c r="B1404" s="13"/>
      <c r="C1404" s="14"/>
      <c r="D1404" s="13"/>
      <c r="E1404" s="15" t="str">
        <f aca="false">IF(B1404="","",IFERROR(INDEX(Plan!$B$5:$B$44,MATCH(B1404,Plan!$A$5:$A$44,0))&amp;"","Kategori yok"))</f>
        <v/>
      </c>
    </row>
    <row r="1405" customFormat="false" ht="15" hidden="false" customHeight="false" outlineLevel="0" collapsed="false">
      <c r="A1405" s="12"/>
      <c r="B1405" s="13"/>
      <c r="C1405" s="14"/>
      <c r="D1405" s="13"/>
      <c r="E1405" s="15" t="str">
        <f aca="false">IF(B1405="","",IFERROR(INDEX(Plan!$B$5:$B$44,MATCH(B1405,Plan!$A$5:$A$44,0))&amp;"","Kategori yok"))</f>
        <v/>
      </c>
    </row>
    <row r="1406" customFormat="false" ht="15" hidden="false" customHeight="false" outlineLevel="0" collapsed="false">
      <c r="A1406" s="12"/>
      <c r="B1406" s="13"/>
      <c r="C1406" s="14"/>
      <c r="D1406" s="13"/>
      <c r="E1406" s="15" t="str">
        <f aca="false">IF(B1406="","",IFERROR(INDEX(Plan!$B$5:$B$44,MATCH(B1406,Plan!$A$5:$A$44,0))&amp;"","Kategori yok"))</f>
        <v/>
      </c>
    </row>
    <row r="1407" customFormat="false" ht="15" hidden="false" customHeight="false" outlineLevel="0" collapsed="false">
      <c r="A1407" s="12"/>
      <c r="B1407" s="13"/>
      <c r="C1407" s="14"/>
      <c r="D1407" s="13"/>
      <c r="E1407" s="15" t="str">
        <f aca="false">IF(B1407="","",IFERROR(INDEX(Plan!$B$5:$B$44,MATCH(B1407,Plan!$A$5:$A$44,0))&amp;"","Kategori yok"))</f>
        <v/>
      </c>
    </row>
    <row r="1408" customFormat="false" ht="15" hidden="false" customHeight="false" outlineLevel="0" collapsed="false">
      <c r="A1408" s="12"/>
      <c r="B1408" s="13"/>
      <c r="C1408" s="14"/>
      <c r="D1408" s="13"/>
      <c r="E1408" s="15" t="str">
        <f aca="false">IF(B1408="","",IFERROR(INDEX(Plan!$B$5:$B$44,MATCH(B1408,Plan!$A$5:$A$44,0))&amp;"","Kategori yok"))</f>
        <v/>
      </c>
    </row>
    <row r="1409" customFormat="false" ht="15" hidden="false" customHeight="false" outlineLevel="0" collapsed="false">
      <c r="A1409" s="12"/>
      <c r="B1409" s="13"/>
      <c r="C1409" s="14"/>
      <c r="D1409" s="13"/>
      <c r="E1409" s="15" t="str">
        <f aca="false">IF(B1409="","",IFERROR(INDEX(Plan!$B$5:$B$44,MATCH(B1409,Plan!$A$5:$A$44,0))&amp;"","Kategori yok"))</f>
        <v/>
      </c>
    </row>
    <row r="1410" customFormat="false" ht="15" hidden="false" customHeight="false" outlineLevel="0" collapsed="false">
      <c r="A1410" s="12"/>
      <c r="B1410" s="13"/>
      <c r="C1410" s="14"/>
      <c r="D1410" s="13"/>
      <c r="E1410" s="15" t="str">
        <f aca="false">IF(B1410="","",IFERROR(INDEX(Plan!$B$5:$B$44,MATCH(B1410,Plan!$A$5:$A$44,0))&amp;"","Kategori yok"))</f>
        <v/>
      </c>
    </row>
    <row r="1411" customFormat="false" ht="15" hidden="false" customHeight="false" outlineLevel="0" collapsed="false">
      <c r="A1411" s="12"/>
      <c r="B1411" s="13"/>
      <c r="C1411" s="14"/>
      <c r="D1411" s="13"/>
      <c r="E1411" s="15" t="str">
        <f aca="false">IF(B1411="","",IFERROR(INDEX(Plan!$B$5:$B$44,MATCH(B1411,Plan!$A$5:$A$44,0))&amp;"","Kategori yok"))</f>
        <v/>
      </c>
    </row>
    <row r="1412" customFormat="false" ht="15" hidden="false" customHeight="false" outlineLevel="0" collapsed="false">
      <c r="A1412" s="12"/>
      <c r="B1412" s="13"/>
      <c r="C1412" s="14"/>
      <c r="D1412" s="13"/>
      <c r="E1412" s="15" t="str">
        <f aca="false">IF(B1412="","",IFERROR(INDEX(Plan!$B$5:$B$44,MATCH(B1412,Plan!$A$5:$A$44,0))&amp;"","Kategori yok"))</f>
        <v/>
      </c>
    </row>
    <row r="1413" customFormat="false" ht="15" hidden="false" customHeight="false" outlineLevel="0" collapsed="false">
      <c r="A1413" s="12"/>
      <c r="B1413" s="13"/>
      <c r="C1413" s="14"/>
      <c r="D1413" s="13"/>
      <c r="E1413" s="15" t="str">
        <f aca="false">IF(B1413="","",IFERROR(INDEX(Plan!$B$5:$B$44,MATCH(B1413,Plan!$A$5:$A$44,0))&amp;"","Kategori yok"))</f>
        <v/>
      </c>
    </row>
    <row r="1414" customFormat="false" ht="15" hidden="false" customHeight="false" outlineLevel="0" collapsed="false">
      <c r="A1414" s="12"/>
      <c r="B1414" s="13"/>
      <c r="C1414" s="14"/>
      <c r="D1414" s="13"/>
      <c r="E1414" s="15" t="str">
        <f aca="false">IF(B1414="","",IFERROR(INDEX(Plan!$B$5:$B$44,MATCH(B1414,Plan!$A$5:$A$44,0))&amp;"","Kategori yok"))</f>
        <v/>
      </c>
    </row>
    <row r="1415" customFormat="false" ht="15" hidden="false" customHeight="false" outlineLevel="0" collapsed="false">
      <c r="A1415" s="12"/>
      <c r="B1415" s="13"/>
      <c r="C1415" s="14"/>
      <c r="D1415" s="13"/>
      <c r="E1415" s="15" t="str">
        <f aca="false">IF(B1415="","",IFERROR(INDEX(Plan!$B$5:$B$44,MATCH(B1415,Plan!$A$5:$A$44,0))&amp;"","Kategori yok"))</f>
        <v/>
      </c>
    </row>
    <row r="1416" customFormat="false" ht="15" hidden="false" customHeight="false" outlineLevel="0" collapsed="false">
      <c r="A1416" s="12"/>
      <c r="B1416" s="13"/>
      <c r="C1416" s="14"/>
      <c r="D1416" s="13"/>
      <c r="E1416" s="15" t="str">
        <f aca="false">IF(B1416="","",IFERROR(INDEX(Plan!$B$5:$B$44,MATCH(B1416,Plan!$A$5:$A$44,0))&amp;"","Kategori yok"))</f>
        <v/>
      </c>
    </row>
    <row r="1417" customFormat="false" ht="15" hidden="false" customHeight="false" outlineLevel="0" collapsed="false">
      <c r="A1417" s="12"/>
      <c r="B1417" s="13"/>
      <c r="C1417" s="14"/>
      <c r="D1417" s="13"/>
      <c r="E1417" s="15" t="str">
        <f aca="false">IF(B1417="","",IFERROR(INDEX(Plan!$B$5:$B$44,MATCH(B1417,Plan!$A$5:$A$44,0))&amp;"","Kategori yok"))</f>
        <v/>
      </c>
    </row>
    <row r="1418" customFormat="false" ht="15" hidden="false" customHeight="false" outlineLevel="0" collapsed="false">
      <c r="A1418" s="12"/>
      <c r="B1418" s="13"/>
      <c r="C1418" s="14"/>
      <c r="D1418" s="13"/>
      <c r="E1418" s="15" t="str">
        <f aca="false">IF(B1418="","",IFERROR(INDEX(Plan!$B$5:$B$44,MATCH(B1418,Plan!$A$5:$A$44,0))&amp;"","Kategori yok"))</f>
        <v/>
      </c>
    </row>
    <row r="1419" customFormat="false" ht="15" hidden="false" customHeight="false" outlineLevel="0" collapsed="false">
      <c r="A1419" s="12"/>
      <c r="B1419" s="13"/>
      <c r="C1419" s="14"/>
      <c r="D1419" s="13"/>
      <c r="E1419" s="15" t="str">
        <f aca="false">IF(B1419="","",IFERROR(INDEX(Plan!$B$5:$B$44,MATCH(B1419,Plan!$A$5:$A$44,0))&amp;"","Kategori yok"))</f>
        <v/>
      </c>
    </row>
    <row r="1420" customFormat="false" ht="15" hidden="false" customHeight="false" outlineLevel="0" collapsed="false">
      <c r="A1420" s="12"/>
      <c r="B1420" s="13"/>
      <c r="C1420" s="14"/>
      <c r="D1420" s="13"/>
      <c r="E1420" s="15" t="str">
        <f aca="false">IF(B1420="","",IFERROR(INDEX(Plan!$B$5:$B$44,MATCH(B1420,Plan!$A$5:$A$44,0))&amp;"","Kategori yok"))</f>
        <v/>
      </c>
    </row>
    <row r="1421" customFormat="false" ht="15" hidden="false" customHeight="false" outlineLevel="0" collapsed="false">
      <c r="A1421" s="12"/>
      <c r="B1421" s="13"/>
      <c r="C1421" s="14"/>
      <c r="D1421" s="13"/>
      <c r="E1421" s="15" t="str">
        <f aca="false">IF(B1421="","",IFERROR(INDEX(Plan!$B$5:$B$44,MATCH(B1421,Plan!$A$5:$A$44,0))&amp;"","Kategori yok"))</f>
        <v/>
      </c>
    </row>
    <row r="1422" customFormat="false" ht="15" hidden="false" customHeight="false" outlineLevel="0" collapsed="false">
      <c r="A1422" s="12"/>
      <c r="B1422" s="13"/>
      <c r="C1422" s="14"/>
      <c r="D1422" s="13"/>
      <c r="E1422" s="15" t="str">
        <f aca="false">IF(B1422="","",IFERROR(INDEX(Plan!$B$5:$B$44,MATCH(B1422,Plan!$A$5:$A$44,0))&amp;"","Kategori yok"))</f>
        <v/>
      </c>
    </row>
    <row r="1423" customFormat="false" ht="15" hidden="false" customHeight="false" outlineLevel="0" collapsed="false">
      <c r="A1423" s="12"/>
      <c r="B1423" s="13"/>
      <c r="C1423" s="14"/>
      <c r="D1423" s="13"/>
      <c r="E1423" s="15" t="str">
        <f aca="false">IF(B1423="","",IFERROR(INDEX(Plan!$B$5:$B$44,MATCH(B1423,Plan!$A$5:$A$44,0))&amp;"","Kategori yok"))</f>
        <v/>
      </c>
    </row>
    <row r="1424" customFormat="false" ht="15" hidden="false" customHeight="false" outlineLevel="0" collapsed="false">
      <c r="A1424" s="12"/>
      <c r="B1424" s="13"/>
      <c r="C1424" s="14"/>
      <c r="D1424" s="13"/>
      <c r="E1424" s="15" t="str">
        <f aca="false">IF(B1424="","",IFERROR(INDEX(Plan!$B$5:$B$44,MATCH(B1424,Plan!$A$5:$A$44,0))&amp;"","Kategori yok"))</f>
        <v/>
      </c>
    </row>
    <row r="1425" customFormat="false" ht="15" hidden="false" customHeight="false" outlineLevel="0" collapsed="false">
      <c r="A1425" s="12"/>
      <c r="B1425" s="13"/>
      <c r="C1425" s="14"/>
      <c r="D1425" s="13"/>
      <c r="E1425" s="15" t="str">
        <f aca="false">IF(B1425="","",IFERROR(INDEX(Plan!$B$5:$B$44,MATCH(B1425,Plan!$A$5:$A$44,0))&amp;"","Kategori yok"))</f>
        <v/>
      </c>
    </row>
    <row r="1426" customFormat="false" ht="15" hidden="false" customHeight="false" outlineLevel="0" collapsed="false">
      <c r="A1426" s="12"/>
      <c r="B1426" s="13"/>
      <c r="C1426" s="14"/>
      <c r="D1426" s="13"/>
      <c r="E1426" s="15" t="str">
        <f aca="false">IF(B1426="","",IFERROR(INDEX(Plan!$B$5:$B$44,MATCH(B1426,Plan!$A$5:$A$44,0))&amp;"","Kategori yok"))</f>
        <v/>
      </c>
    </row>
    <row r="1427" customFormat="false" ht="15" hidden="false" customHeight="false" outlineLevel="0" collapsed="false">
      <c r="A1427" s="12"/>
      <c r="B1427" s="13"/>
      <c r="C1427" s="14"/>
      <c r="D1427" s="13"/>
      <c r="E1427" s="15" t="str">
        <f aca="false">IF(B1427="","",IFERROR(INDEX(Plan!$B$5:$B$44,MATCH(B1427,Plan!$A$5:$A$44,0))&amp;"","Kategori yok"))</f>
        <v/>
      </c>
    </row>
    <row r="1428" customFormat="false" ht="15" hidden="false" customHeight="false" outlineLevel="0" collapsed="false">
      <c r="A1428" s="12"/>
      <c r="B1428" s="13"/>
      <c r="C1428" s="14"/>
      <c r="D1428" s="13"/>
      <c r="E1428" s="15" t="str">
        <f aca="false">IF(B1428="","",IFERROR(INDEX(Plan!$B$5:$B$44,MATCH(B1428,Plan!$A$5:$A$44,0))&amp;"","Kategori yok"))</f>
        <v/>
      </c>
    </row>
    <row r="1429" customFormat="false" ht="15" hidden="false" customHeight="false" outlineLevel="0" collapsed="false">
      <c r="A1429" s="12"/>
      <c r="B1429" s="13"/>
      <c r="C1429" s="14"/>
      <c r="D1429" s="13"/>
      <c r="E1429" s="15" t="str">
        <f aca="false">IF(B1429="","",IFERROR(INDEX(Plan!$B$5:$B$44,MATCH(B1429,Plan!$A$5:$A$44,0))&amp;"","Kategori yok"))</f>
        <v/>
      </c>
    </row>
    <row r="1430" customFormat="false" ht="15" hidden="false" customHeight="false" outlineLevel="0" collapsed="false">
      <c r="A1430" s="12"/>
      <c r="B1430" s="13"/>
      <c r="C1430" s="14"/>
      <c r="D1430" s="13"/>
      <c r="E1430" s="15" t="str">
        <f aca="false">IF(B1430="","",IFERROR(INDEX(Plan!$B$5:$B$44,MATCH(B1430,Plan!$A$5:$A$44,0))&amp;"","Kategori yok"))</f>
        <v/>
      </c>
    </row>
    <row r="1431" customFormat="false" ht="15" hidden="false" customHeight="false" outlineLevel="0" collapsed="false">
      <c r="A1431" s="12"/>
      <c r="B1431" s="13"/>
      <c r="C1431" s="14"/>
      <c r="D1431" s="13"/>
      <c r="E1431" s="15" t="str">
        <f aca="false">IF(B1431="","",IFERROR(INDEX(Plan!$B$5:$B$44,MATCH(B1431,Plan!$A$5:$A$44,0))&amp;"","Kategori yok"))</f>
        <v/>
      </c>
    </row>
    <row r="1432" customFormat="false" ht="15" hidden="false" customHeight="false" outlineLevel="0" collapsed="false">
      <c r="A1432" s="12"/>
      <c r="B1432" s="13"/>
      <c r="C1432" s="14"/>
      <c r="D1432" s="13"/>
      <c r="E1432" s="15" t="str">
        <f aca="false">IF(B1432="","",IFERROR(INDEX(Plan!$B$5:$B$44,MATCH(B1432,Plan!$A$5:$A$44,0))&amp;"","Kategori yok"))</f>
        <v/>
      </c>
    </row>
    <row r="1433" customFormat="false" ht="15" hidden="false" customHeight="false" outlineLevel="0" collapsed="false">
      <c r="A1433" s="12"/>
      <c r="B1433" s="13"/>
      <c r="C1433" s="14"/>
      <c r="D1433" s="13"/>
      <c r="E1433" s="15" t="str">
        <f aca="false">IF(B1433="","",IFERROR(INDEX(Plan!$B$5:$B$44,MATCH(B1433,Plan!$A$5:$A$44,0))&amp;"","Kategori yok"))</f>
        <v/>
      </c>
    </row>
    <row r="1434" customFormat="false" ht="15" hidden="false" customHeight="false" outlineLevel="0" collapsed="false">
      <c r="A1434" s="12"/>
      <c r="B1434" s="13"/>
      <c r="C1434" s="14"/>
      <c r="D1434" s="13"/>
      <c r="E1434" s="15" t="str">
        <f aca="false">IF(B1434="","",IFERROR(INDEX(Plan!$B$5:$B$44,MATCH(B1434,Plan!$A$5:$A$44,0))&amp;"","Kategori yok"))</f>
        <v/>
      </c>
    </row>
    <row r="1435" customFormat="false" ht="15" hidden="false" customHeight="false" outlineLevel="0" collapsed="false">
      <c r="A1435" s="12"/>
      <c r="B1435" s="13"/>
      <c r="C1435" s="14"/>
      <c r="D1435" s="13"/>
      <c r="E1435" s="15" t="str">
        <f aca="false">IF(B1435="","",IFERROR(INDEX(Plan!$B$5:$B$44,MATCH(B1435,Plan!$A$5:$A$44,0))&amp;"","Kategori yok"))</f>
        <v/>
      </c>
    </row>
    <row r="1436" customFormat="false" ht="15" hidden="false" customHeight="false" outlineLevel="0" collapsed="false">
      <c r="A1436" s="12"/>
      <c r="B1436" s="13"/>
      <c r="C1436" s="14"/>
      <c r="D1436" s="13"/>
      <c r="E1436" s="15" t="str">
        <f aca="false">IF(B1436="","",IFERROR(INDEX(Plan!$B$5:$B$44,MATCH(B1436,Plan!$A$5:$A$44,0))&amp;"","Kategori yok"))</f>
        <v/>
      </c>
    </row>
    <row r="1437" customFormat="false" ht="15" hidden="false" customHeight="false" outlineLevel="0" collapsed="false">
      <c r="A1437" s="12"/>
      <c r="B1437" s="13"/>
      <c r="C1437" s="14"/>
      <c r="D1437" s="13"/>
      <c r="E1437" s="15" t="str">
        <f aca="false">IF(B1437="","",IFERROR(INDEX(Plan!$B$5:$B$44,MATCH(B1437,Plan!$A$5:$A$44,0))&amp;"","Kategori yok"))</f>
        <v/>
      </c>
    </row>
    <row r="1438" customFormat="false" ht="15" hidden="false" customHeight="false" outlineLevel="0" collapsed="false">
      <c r="A1438" s="12"/>
      <c r="B1438" s="13"/>
      <c r="C1438" s="14"/>
      <c r="D1438" s="13"/>
      <c r="E1438" s="15" t="str">
        <f aca="false">IF(B1438="","",IFERROR(INDEX(Plan!$B$5:$B$44,MATCH(B1438,Plan!$A$5:$A$44,0))&amp;"","Kategori yok"))</f>
        <v/>
      </c>
    </row>
    <row r="1439" customFormat="false" ht="15" hidden="false" customHeight="false" outlineLevel="0" collapsed="false">
      <c r="A1439" s="12"/>
      <c r="B1439" s="13"/>
      <c r="C1439" s="14"/>
      <c r="D1439" s="13"/>
      <c r="E1439" s="15" t="str">
        <f aca="false">IF(B1439="","",IFERROR(INDEX(Plan!$B$5:$B$44,MATCH(B1439,Plan!$A$5:$A$44,0))&amp;"","Kategori yok"))</f>
        <v/>
      </c>
    </row>
    <row r="1440" customFormat="false" ht="15" hidden="false" customHeight="false" outlineLevel="0" collapsed="false">
      <c r="A1440" s="12"/>
      <c r="B1440" s="13"/>
      <c r="C1440" s="14"/>
      <c r="D1440" s="13"/>
      <c r="E1440" s="15" t="str">
        <f aca="false">IF(B1440="","",IFERROR(INDEX(Plan!$B$5:$B$44,MATCH(B1440,Plan!$A$5:$A$44,0))&amp;"","Kategori yok"))</f>
        <v/>
      </c>
    </row>
    <row r="1441" customFormat="false" ht="15" hidden="false" customHeight="false" outlineLevel="0" collapsed="false">
      <c r="A1441" s="12"/>
      <c r="B1441" s="13"/>
      <c r="C1441" s="14"/>
      <c r="D1441" s="13"/>
      <c r="E1441" s="15" t="str">
        <f aca="false">IF(B1441="","",IFERROR(INDEX(Plan!$B$5:$B$44,MATCH(B1441,Plan!$A$5:$A$44,0))&amp;"","Kategori yok"))</f>
        <v/>
      </c>
    </row>
    <row r="1442" customFormat="false" ht="15" hidden="false" customHeight="false" outlineLevel="0" collapsed="false">
      <c r="A1442" s="12"/>
      <c r="B1442" s="13"/>
      <c r="C1442" s="14"/>
      <c r="D1442" s="13"/>
      <c r="E1442" s="15" t="str">
        <f aca="false">IF(B1442="","",IFERROR(INDEX(Plan!$B$5:$B$44,MATCH(B1442,Plan!$A$5:$A$44,0))&amp;"","Kategori yok"))</f>
        <v/>
      </c>
    </row>
    <row r="1443" customFormat="false" ht="15" hidden="false" customHeight="false" outlineLevel="0" collapsed="false">
      <c r="A1443" s="12"/>
      <c r="B1443" s="13"/>
      <c r="C1443" s="14"/>
      <c r="D1443" s="13"/>
      <c r="E1443" s="15" t="str">
        <f aca="false">IF(B1443="","",IFERROR(INDEX(Plan!$B$5:$B$44,MATCH(B1443,Plan!$A$5:$A$44,0))&amp;"","Kategori yok"))</f>
        <v/>
      </c>
    </row>
    <row r="1444" customFormat="false" ht="15" hidden="false" customHeight="false" outlineLevel="0" collapsed="false">
      <c r="A1444" s="12"/>
      <c r="B1444" s="13"/>
      <c r="C1444" s="14"/>
      <c r="D1444" s="13"/>
      <c r="E1444" s="15" t="str">
        <f aca="false">IF(B1444="","",IFERROR(INDEX(Plan!$B$5:$B$44,MATCH(B1444,Plan!$A$5:$A$44,0))&amp;"","Kategori yok"))</f>
        <v/>
      </c>
    </row>
    <row r="1445" customFormat="false" ht="15" hidden="false" customHeight="false" outlineLevel="0" collapsed="false">
      <c r="A1445" s="12"/>
      <c r="B1445" s="13"/>
      <c r="C1445" s="14"/>
      <c r="D1445" s="13"/>
      <c r="E1445" s="15" t="str">
        <f aca="false">IF(B1445="","",IFERROR(INDEX(Plan!$B$5:$B$44,MATCH(B1445,Plan!$A$5:$A$44,0))&amp;"","Kategori yok"))</f>
        <v/>
      </c>
    </row>
    <row r="1446" customFormat="false" ht="15" hidden="false" customHeight="false" outlineLevel="0" collapsed="false">
      <c r="A1446" s="12"/>
      <c r="B1446" s="13"/>
      <c r="C1446" s="14"/>
      <c r="D1446" s="13"/>
      <c r="E1446" s="15" t="str">
        <f aca="false">IF(B1446="","",IFERROR(INDEX(Plan!$B$5:$B$44,MATCH(B1446,Plan!$A$5:$A$44,0))&amp;"","Kategori yok"))</f>
        <v/>
      </c>
    </row>
    <row r="1447" customFormat="false" ht="15" hidden="false" customHeight="false" outlineLevel="0" collapsed="false">
      <c r="A1447" s="12"/>
      <c r="B1447" s="13"/>
      <c r="C1447" s="14"/>
      <c r="D1447" s="13"/>
      <c r="E1447" s="15" t="str">
        <f aca="false">IF(B1447="","",IFERROR(INDEX(Plan!$B$5:$B$44,MATCH(B1447,Plan!$A$5:$A$44,0))&amp;"","Kategori yok"))</f>
        <v/>
      </c>
    </row>
    <row r="1448" customFormat="false" ht="15" hidden="false" customHeight="false" outlineLevel="0" collapsed="false">
      <c r="A1448" s="12"/>
      <c r="B1448" s="13"/>
      <c r="C1448" s="14"/>
      <c r="D1448" s="13"/>
      <c r="E1448" s="15" t="str">
        <f aca="false">IF(B1448="","",IFERROR(INDEX(Plan!$B$5:$B$44,MATCH(B1448,Plan!$A$5:$A$44,0))&amp;"","Kategori yok"))</f>
        <v/>
      </c>
    </row>
    <row r="1449" customFormat="false" ht="15" hidden="false" customHeight="false" outlineLevel="0" collapsed="false">
      <c r="A1449" s="12"/>
      <c r="B1449" s="13"/>
      <c r="C1449" s="14"/>
      <c r="D1449" s="13"/>
      <c r="E1449" s="15" t="str">
        <f aca="false">IF(B1449="","",IFERROR(INDEX(Plan!$B$5:$B$44,MATCH(B1449,Plan!$A$5:$A$44,0))&amp;"","Kategori yok"))</f>
        <v/>
      </c>
    </row>
    <row r="1450" customFormat="false" ht="15" hidden="false" customHeight="false" outlineLevel="0" collapsed="false">
      <c r="A1450" s="12"/>
      <c r="B1450" s="13"/>
      <c r="C1450" s="14"/>
      <c r="D1450" s="13"/>
      <c r="E1450" s="15" t="str">
        <f aca="false">IF(B1450="","",IFERROR(INDEX(Plan!$B$5:$B$44,MATCH(B1450,Plan!$A$5:$A$44,0))&amp;"","Kategori yok"))</f>
        <v/>
      </c>
    </row>
    <row r="1451" customFormat="false" ht="15" hidden="false" customHeight="false" outlineLevel="0" collapsed="false">
      <c r="A1451" s="12"/>
      <c r="B1451" s="13"/>
      <c r="C1451" s="14"/>
      <c r="D1451" s="13"/>
      <c r="E1451" s="15" t="str">
        <f aca="false">IF(B1451="","",IFERROR(INDEX(Plan!$B$5:$B$44,MATCH(B1451,Plan!$A$5:$A$44,0))&amp;"","Kategori yok"))</f>
        <v/>
      </c>
    </row>
    <row r="1452" customFormat="false" ht="15" hidden="false" customHeight="false" outlineLevel="0" collapsed="false">
      <c r="A1452" s="12"/>
      <c r="B1452" s="13"/>
      <c r="C1452" s="14"/>
      <c r="D1452" s="13"/>
      <c r="E1452" s="15" t="str">
        <f aca="false">IF(B1452="","",IFERROR(INDEX(Plan!$B$5:$B$44,MATCH(B1452,Plan!$A$5:$A$44,0))&amp;"","Kategori yok"))</f>
        <v/>
      </c>
    </row>
    <row r="1453" customFormat="false" ht="15" hidden="false" customHeight="false" outlineLevel="0" collapsed="false">
      <c r="A1453" s="12"/>
      <c r="B1453" s="13"/>
      <c r="C1453" s="14"/>
      <c r="D1453" s="13"/>
      <c r="E1453" s="15" t="str">
        <f aca="false">IF(B1453="","",IFERROR(INDEX(Plan!$B$5:$B$44,MATCH(B1453,Plan!$A$5:$A$44,0))&amp;"","Kategori yok"))</f>
        <v/>
      </c>
    </row>
    <row r="1454" customFormat="false" ht="15" hidden="false" customHeight="false" outlineLevel="0" collapsed="false">
      <c r="A1454" s="12"/>
      <c r="B1454" s="13"/>
      <c r="C1454" s="14"/>
      <c r="D1454" s="13"/>
      <c r="E1454" s="15" t="str">
        <f aca="false">IF(B1454="","",IFERROR(INDEX(Plan!$B$5:$B$44,MATCH(B1454,Plan!$A$5:$A$44,0))&amp;"","Kategori yok"))</f>
        <v/>
      </c>
    </row>
    <row r="1455" customFormat="false" ht="15" hidden="false" customHeight="false" outlineLevel="0" collapsed="false">
      <c r="A1455" s="12"/>
      <c r="B1455" s="13"/>
      <c r="C1455" s="14"/>
      <c r="D1455" s="13"/>
      <c r="E1455" s="15" t="str">
        <f aca="false">IF(B1455="","",IFERROR(INDEX(Plan!$B$5:$B$44,MATCH(B1455,Plan!$A$5:$A$44,0))&amp;"","Kategori yok"))</f>
        <v/>
      </c>
    </row>
    <row r="1456" customFormat="false" ht="15" hidden="false" customHeight="false" outlineLevel="0" collapsed="false">
      <c r="A1456" s="12"/>
      <c r="B1456" s="13"/>
      <c r="C1456" s="14"/>
      <c r="D1456" s="13"/>
      <c r="E1456" s="15" t="str">
        <f aca="false">IF(B1456="","",IFERROR(INDEX(Plan!$B$5:$B$44,MATCH(B1456,Plan!$A$5:$A$44,0))&amp;"","Kategori yok"))</f>
        <v/>
      </c>
    </row>
    <row r="1457" customFormat="false" ht="15" hidden="false" customHeight="false" outlineLevel="0" collapsed="false">
      <c r="A1457" s="12"/>
      <c r="B1457" s="13"/>
      <c r="C1457" s="14"/>
      <c r="D1457" s="13"/>
      <c r="E1457" s="15" t="str">
        <f aca="false">IF(B1457="","",IFERROR(INDEX(Plan!$B$5:$B$44,MATCH(B1457,Plan!$A$5:$A$44,0))&amp;"","Kategori yok"))</f>
        <v/>
      </c>
    </row>
    <row r="1458" customFormat="false" ht="15" hidden="false" customHeight="false" outlineLevel="0" collapsed="false">
      <c r="A1458" s="12"/>
      <c r="B1458" s="13"/>
      <c r="C1458" s="14"/>
      <c r="D1458" s="13"/>
      <c r="E1458" s="15" t="str">
        <f aca="false">IF(B1458="","",IFERROR(INDEX(Plan!$B$5:$B$44,MATCH(B1458,Plan!$A$5:$A$44,0))&amp;"","Kategori yok"))</f>
        <v/>
      </c>
    </row>
    <row r="1459" customFormat="false" ht="15" hidden="false" customHeight="false" outlineLevel="0" collapsed="false">
      <c r="A1459" s="12"/>
      <c r="B1459" s="13"/>
      <c r="C1459" s="14"/>
      <c r="D1459" s="13"/>
      <c r="E1459" s="15" t="str">
        <f aca="false">IF(B1459="","",IFERROR(INDEX(Plan!$B$5:$B$44,MATCH(B1459,Plan!$A$5:$A$44,0))&amp;"","Kategori yok"))</f>
        <v/>
      </c>
    </row>
    <row r="1460" customFormat="false" ht="15" hidden="false" customHeight="false" outlineLevel="0" collapsed="false">
      <c r="A1460" s="12"/>
      <c r="B1460" s="13"/>
      <c r="C1460" s="14"/>
      <c r="D1460" s="13"/>
      <c r="E1460" s="15" t="str">
        <f aca="false">IF(B1460="","",IFERROR(INDEX(Plan!$B$5:$B$44,MATCH(B1460,Plan!$A$5:$A$44,0))&amp;"","Kategori yok"))</f>
        <v/>
      </c>
    </row>
    <row r="1461" customFormat="false" ht="15" hidden="false" customHeight="false" outlineLevel="0" collapsed="false">
      <c r="A1461" s="12"/>
      <c r="B1461" s="13"/>
      <c r="C1461" s="14"/>
      <c r="D1461" s="13"/>
      <c r="E1461" s="15" t="str">
        <f aca="false">IF(B1461="","",IFERROR(INDEX(Plan!$B$5:$B$44,MATCH(B1461,Plan!$A$5:$A$44,0))&amp;"","Kategori yok"))</f>
        <v/>
      </c>
    </row>
    <row r="1462" customFormat="false" ht="15" hidden="false" customHeight="false" outlineLevel="0" collapsed="false">
      <c r="A1462" s="12"/>
      <c r="B1462" s="13"/>
      <c r="C1462" s="14"/>
      <c r="D1462" s="13"/>
      <c r="E1462" s="15" t="str">
        <f aca="false">IF(B1462="","",IFERROR(INDEX(Plan!$B$5:$B$44,MATCH(B1462,Plan!$A$5:$A$44,0))&amp;"","Kategori yok"))</f>
        <v/>
      </c>
    </row>
    <row r="1463" customFormat="false" ht="15" hidden="false" customHeight="false" outlineLevel="0" collapsed="false">
      <c r="A1463" s="12"/>
      <c r="B1463" s="13"/>
      <c r="C1463" s="14"/>
      <c r="D1463" s="13"/>
      <c r="E1463" s="15" t="str">
        <f aca="false">IF(B1463="","",IFERROR(INDEX(Plan!$B$5:$B$44,MATCH(B1463,Plan!$A$5:$A$44,0))&amp;"","Kategori yok"))</f>
        <v/>
      </c>
    </row>
    <row r="1464" customFormat="false" ht="15" hidden="false" customHeight="false" outlineLevel="0" collapsed="false">
      <c r="A1464" s="12"/>
      <c r="B1464" s="13"/>
      <c r="C1464" s="14"/>
      <c r="D1464" s="13"/>
      <c r="E1464" s="15" t="str">
        <f aca="false">IF(B1464="","",IFERROR(INDEX(Plan!$B$5:$B$44,MATCH(B1464,Plan!$A$5:$A$44,0))&amp;"","Kategori yok"))</f>
        <v/>
      </c>
    </row>
    <row r="1465" customFormat="false" ht="15" hidden="false" customHeight="false" outlineLevel="0" collapsed="false">
      <c r="A1465" s="12"/>
      <c r="B1465" s="13"/>
      <c r="C1465" s="14"/>
      <c r="D1465" s="13"/>
      <c r="E1465" s="15" t="str">
        <f aca="false">IF(B1465="","",IFERROR(INDEX(Plan!$B$5:$B$44,MATCH(B1465,Plan!$A$5:$A$44,0))&amp;"","Kategori yok"))</f>
        <v/>
      </c>
    </row>
    <row r="1466" customFormat="false" ht="15" hidden="false" customHeight="false" outlineLevel="0" collapsed="false">
      <c r="A1466" s="12"/>
      <c r="B1466" s="13"/>
      <c r="C1466" s="14"/>
      <c r="D1466" s="13"/>
      <c r="E1466" s="15" t="str">
        <f aca="false">IF(B1466="","",IFERROR(INDEX(Plan!$B$5:$B$44,MATCH(B1466,Plan!$A$5:$A$44,0))&amp;"","Kategori yok"))</f>
        <v/>
      </c>
    </row>
    <row r="1467" customFormat="false" ht="15" hidden="false" customHeight="false" outlineLevel="0" collapsed="false">
      <c r="A1467" s="12"/>
      <c r="B1467" s="13"/>
      <c r="C1467" s="14"/>
      <c r="D1467" s="13"/>
      <c r="E1467" s="15" t="str">
        <f aca="false">IF(B1467="","",IFERROR(INDEX(Plan!$B$5:$B$44,MATCH(B1467,Plan!$A$5:$A$44,0))&amp;"","Kategori yok"))</f>
        <v/>
      </c>
    </row>
    <row r="1468" customFormat="false" ht="15" hidden="false" customHeight="false" outlineLevel="0" collapsed="false">
      <c r="A1468" s="12"/>
      <c r="B1468" s="13"/>
      <c r="C1468" s="14"/>
      <c r="D1468" s="13"/>
      <c r="E1468" s="15" t="str">
        <f aca="false">IF(B1468="","",IFERROR(INDEX(Plan!$B$5:$B$44,MATCH(B1468,Plan!$A$5:$A$44,0))&amp;"","Kategori yok"))</f>
        <v/>
      </c>
    </row>
    <row r="1469" customFormat="false" ht="15" hidden="false" customHeight="false" outlineLevel="0" collapsed="false">
      <c r="A1469" s="12"/>
      <c r="B1469" s="13"/>
      <c r="C1469" s="14"/>
      <c r="D1469" s="13"/>
      <c r="E1469" s="15" t="str">
        <f aca="false">IF(B1469="","",IFERROR(INDEX(Plan!$B$5:$B$44,MATCH(B1469,Plan!$A$5:$A$44,0))&amp;"","Kategori yok"))</f>
        <v/>
      </c>
    </row>
    <row r="1470" customFormat="false" ht="15" hidden="false" customHeight="false" outlineLevel="0" collapsed="false">
      <c r="A1470" s="12"/>
      <c r="B1470" s="13"/>
      <c r="C1470" s="14"/>
      <c r="D1470" s="13"/>
      <c r="E1470" s="15" t="str">
        <f aca="false">IF(B1470="","",IFERROR(INDEX(Plan!$B$5:$B$44,MATCH(B1470,Plan!$A$5:$A$44,0))&amp;"","Kategori yok"))</f>
        <v/>
      </c>
    </row>
    <row r="1471" customFormat="false" ht="15" hidden="false" customHeight="false" outlineLevel="0" collapsed="false">
      <c r="A1471" s="12"/>
      <c r="B1471" s="13"/>
      <c r="C1471" s="14"/>
      <c r="D1471" s="13"/>
      <c r="E1471" s="15" t="str">
        <f aca="false">IF(B1471="","",IFERROR(INDEX(Plan!$B$5:$B$44,MATCH(B1471,Plan!$A$5:$A$44,0))&amp;"","Kategori yok"))</f>
        <v/>
      </c>
    </row>
    <row r="1472" customFormat="false" ht="15" hidden="false" customHeight="false" outlineLevel="0" collapsed="false">
      <c r="A1472" s="12"/>
      <c r="B1472" s="13"/>
      <c r="C1472" s="14"/>
      <c r="D1472" s="13"/>
      <c r="E1472" s="15" t="str">
        <f aca="false">IF(B1472="","",IFERROR(INDEX(Plan!$B$5:$B$44,MATCH(B1472,Plan!$A$5:$A$44,0))&amp;"","Kategori yok"))</f>
        <v/>
      </c>
    </row>
    <row r="1473" customFormat="false" ht="15" hidden="false" customHeight="false" outlineLevel="0" collapsed="false">
      <c r="A1473" s="12"/>
      <c r="B1473" s="13"/>
      <c r="C1473" s="14"/>
      <c r="D1473" s="13"/>
      <c r="E1473" s="15" t="str">
        <f aca="false">IF(B1473="","",IFERROR(INDEX(Plan!$B$5:$B$44,MATCH(B1473,Plan!$A$5:$A$44,0))&amp;"","Kategori yok"))</f>
        <v/>
      </c>
    </row>
    <row r="1474" customFormat="false" ht="15" hidden="false" customHeight="false" outlineLevel="0" collapsed="false">
      <c r="A1474" s="12"/>
      <c r="B1474" s="13"/>
      <c r="C1474" s="14"/>
      <c r="D1474" s="13"/>
      <c r="E1474" s="15" t="str">
        <f aca="false">IF(B1474="","",IFERROR(INDEX(Plan!$B$5:$B$44,MATCH(B1474,Plan!$A$5:$A$44,0))&amp;"","Kategori yok"))</f>
        <v/>
      </c>
    </row>
    <row r="1475" customFormat="false" ht="15" hidden="false" customHeight="false" outlineLevel="0" collapsed="false">
      <c r="A1475" s="12"/>
      <c r="B1475" s="13"/>
      <c r="C1475" s="14"/>
      <c r="D1475" s="13"/>
      <c r="E1475" s="15" t="str">
        <f aca="false">IF(B1475="","",IFERROR(INDEX(Plan!$B$5:$B$44,MATCH(B1475,Plan!$A$5:$A$44,0))&amp;"","Kategori yok"))</f>
        <v/>
      </c>
    </row>
    <row r="1476" customFormat="false" ht="15" hidden="false" customHeight="false" outlineLevel="0" collapsed="false">
      <c r="A1476" s="12"/>
      <c r="B1476" s="13"/>
      <c r="C1476" s="14"/>
      <c r="D1476" s="13"/>
      <c r="E1476" s="15" t="str">
        <f aca="false">IF(B1476="","",IFERROR(INDEX(Plan!$B$5:$B$44,MATCH(B1476,Plan!$A$5:$A$44,0))&amp;"","Kategori yok"))</f>
        <v/>
      </c>
    </row>
    <row r="1477" customFormat="false" ht="15" hidden="false" customHeight="false" outlineLevel="0" collapsed="false">
      <c r="A1477" s="12"/>
      <c r="B1477" s="13"/>
      <c r="C1477" s="14"/>
      <c r="D1477" s="13"/>
      <c r="E1477" s="15" t="str">
        <f aca="false">IF(B1477="","",IFERROR(INDEX(Plan!$B$5:$B$44,MATCH(B1477,Plan!$A$5:$A$44,0))&amp;"","Kategori yok"))</f>
        <v/>
      </c>
    </row>
    <row r="1478" customFormat="false" ht="15" hidden="false" customHeight="false" outlineLevel="0" collapsed="false">
      <c r="A1478" s="12"/>
      <c r="B1478" s="13"/>
      <c r="C1478" s="14"/>
      <c r="D1478" s="13"/>
      <c r="E1478" s="15" t="str">
        <f aca="false">IF(B1478="","",IFERROR(INDEX(Plan!$B$5:$B$44,MATCH(B1478,Plan!$A$5:$A$44,0))&amp;"","Kategori yok"))</f>
        <v/>
      </c>
    </row>
    <row r="1479" customFormat="false" ht="15" hidden="false" customHeight="false" outlineLevel="0" collapsed="false">
      <c r="A1479" s="12"/>
      <c r="B1479" s="13"/>
      <c r="C1479" s="14"/>
      <c r="D1479" s="13"/>
      <c r="E1479" s="15" t="str">
        <f aca="false">IF(B1479="","",IFERROR(INDEX(Plan!$B$5:$B$44,MATCH(B1479,Plan!$A$5:$A$44,0))&amp;"","Kategori yok"))</f>
        <v/>
      </c>
    </row>
    <row r="1480" customFormat="false" ht="15" hidden="false" customHeight="false" outlineLevel="0" collapsed="false">
      <c r="A1480" s="12"/>
      <c r="B1480" s="13"/>
      <c r="C1480" s="14"/>
      <c r="D1480" s="13"/>
      <c r="E1480" s="15" t="str">
        <f aca="false">IF(B1480="","",IFERROR(INDEX(Plan!$B$5:$B$44,MATCH(B1480,Plan!$A$5:$A$44,0))&amp;"","Kategori yok"))</f>
        <v/>
      </c>
    </row>
    <row r="1481" customFormat="false" ht="15" hidden="false" customHeight="false" outlineLevel="0" collapsed="false">
      <c r="A1481" s="12"/>
      <c r="B1481" s="13"/>
      <c r="C1481" s="14"/>
      <c r="D1481" s="13"/>
      <c r="E1481" s="15" t="str">
        <f aca="false">IF(B1481="","",IFERROR(INDEX(Plan!$B$5:$B$44,MATCH(B1481,Plan!$A$5:$A$44,0))&amp;"","Kategori yok"))</f>
        <v/>
      </c>
    </row>
    <row r="1482" customFormat="false" ht="15" hidden="false" customHeight="false" outlineLevel="0" collapsed="false">
      <c r="A1482" s="12"/>
      <c r="B1482" s="13"/>
      <c r="C1482" s="14"/>
      <c r="D1482" s="13"/>
      <c r="E1482" s="15" t="str">
        <f aca="false">IF(B1482="","",IFERROR(INDEX(Plan!$B$5:$B$44,MATCH(B1482,Plan!$A$5:$A$44,0))&amp;"","Kategori yok"))</f>
        <v/>
      </c>
    </row>
    <row r="1483" customFormat="false" ht="15" hidden="false" customHeight="false" outlineLevel="0" collapsed="false">
      <c r="A1483" s="12"/>
      <c r="B1483" s="13"/>
      <c r="C1483" s="14"/>
      <c r="D1483" s="13"/>
      <c r="E1483" s="15" t="str">
        <f aca="false">IF(B1483="","",IFERROR(INDEX(Plan!$B$5:$B$44,MATCH(B1483,Plan!$A$5:$A$44,0))&amp;"","Kategori yok"))</f>
        <v/>
      </c>
    </row>
    <row r="1484" customFormat="false" ht="15" hidden="false" customHeight="false" outlineLevel="0" collapsed="false">
      <c r="A1484" s="12"/>
      <c r="B1484" s="13"/>
      <c r="C1484" s="14"/>
      <c r="D1484" s="13"/>
      <c r="E1484" s="15" t="str">
        <f aca="false">IF(B1484="","",IFERROR(INDEX(Plan!$B$5:$B$44,MATCH(B1484,Plan!$A$5:$A$44,0))&amp;"","Kategori yok"))</f>
        <v/>
      </c>
    </row>
    <row r="1485" customFormat="false" ht="15" hidden="false" customHeight="false" outlineLevel="0" collapsed="false">
      <c r="A1485" s="12"/>
      <c r="B1485" s="13"/>
      <c r="C1485" s="14"/>
      <c r="D1485" s="13"/>
      <c r="E1485" s="15" t="str">
        <f aca="false">IF(B1485="","",IFERROR(INDEX(Plan!$B$5:$B$44,MATCH(B1485,Plan!$A$5:$A$44,0))&amp;"","Kategori yok"))</f>
        <v/>
      </c>
    </row>
    <row r="1486" customFormat="false" ht="15" hidden="false" customHeight="false" outlineLevel="0" collapsed="false">
      <c r="A1486" s="12"/>
      <c r="B1486" s="13"/>
      <c r="C1486" s="14"/>
      <c r="D1486" s="13"/>
      <c r="E1486" s="15" t="str">
        <f aca="false">IF(B1486="","",IFERROR(INDEX(Plan!$B$5:$B$44,MATCH(B1486,Plan!$A$5:$A$44,0))&amp;"","Kategori yok"))</f>
        <v/>
      </c>
    </row>
    <row r="1487" customFormat="false" ht="15" hidden="false" customHeight="false" outlineLevel="0" collapsed="false">
      <c r="A1487" s="12"/>
      <c r="B1487" s="13"/>
      <c r="C1487" s="14"/>
      <c r="D1487" s="13"/>
      <c r="E1487" s="15" t="str">
        <f aca="false">IF(B1487="","",IFERROR(INDEX(Plan!$B$5:$B$44,MATCH(B1487,Plan!$A$5:$A$44,0))&amp;"","Kategori yok"))</f>
        <v/>
      </c>
    </row>
    <row r="1488" customFormat="false" ht="15" hidden="false" customHeight="false" outlineLevel="0" collapsed="false">
      <c r="A1488" s="12"/>
      <c r="B1488" s="13"/>
      <c r="C1488" s="14"/>
      <c r="D1488" s="13"/>
      <c r="E1488" s="15" t="str">
        <f aca="false">IF(B1488="","",IFERROR(INDEX(Plan!$B$5:$B$44,MATCH(B1488,Plan!$A$5:$A$44,0))&amp;"","Kategori yok"))</f>
        <v/>
      </c>
    </row>
    <row r="1489" customFormat="false" ht="15" hidden="false" customHeight="false" outlineLevel="0" collapsed="false">
      <c r="A1489" s="12"/>
      <c r="B1489" s="13"/>
      <c r="C1489" s="14"/>
      <c r="D1489" s="13"/>
      <c r="E1489" s="15" t="str">
        <f aca="false">IF(B1489="","",IFERROR(INDEX(Plan!$B$5:$B$44,MATCH(B1489,Plan!$A$5:$A$44,0))&amp;"","Kategori yok"))</f>
        <v/>
      </c>
    </row>
    <row r="1490" customFormat="false" ht="15" hidden="false" customHeight="false" outlineLevel="0" collapsed="false">
      <c r="A1490" s="12"/>
      <c r="B1490" s="13"/>
      <c r="C1490" s="14"/>
      <c r="D1490" s="13"/>
      <c r="E1490" s="15" t="str">
        <f aca="false">IF(B1490="","",IFERROR(INDEX(Plan!$B$5:$B$44,MATCH(B1490,Plan!$A$5:$A$44,0))&amp;"","Kategori yok"))</f>
        <v/>
      </c>
    </row>
    <row r="1491" customFormat="false" ht="15" hidden="false" customHeight="false" outlineLevel="0" collapsed="false">
      <c r="A1491" s="12"/>
      <c r="B1491" s="13"/>
      <c r="C1491" s="14"/>
      <c r="D1491" s="13"/>
      <c r="E1491" s="15" t="str">
        <f aca="false">IF(B1491="","",IFERROR(INDEX(Plan!$B$5:$B$44,MATCH(B1491,Plan!$A$5:$A$44,0))&amp;"","Kategori yok"))</f>
        <v/>
      </c>
    </row>
    <row r="1492" customFormat="false" ht="15" hidden="false" customHeight="false" outlineLevel="0" collapsed="false">
      <c r="A1492" s="12"/>
      <c r="B1492" s="13"/>
      <c r="C1492" s="14"/>
      <c r="D1492" s="13"/>
      <c r="E1492" s="15" t="str">
        <f aca="false">IF(B1492="","",IFERROR(INDEX(Plan!$B$5:$B$44,MATCH(B1492,Plan!$A$5:$A$44,0))&amp;"","Kategori yok"))</f>
        <v/>
      </c>
    </row>
    <row r="1493" customFormat="false" ht="15" hidden="false" customHeight="false" outlineLevel="0" collapsed="false">
      <c r="A1493" s="12"/>
      <c r="B1493" s="13"/>
      <c r="C1493" s="14"/>
      <c r="D1493" s="13"/>
      <c r="E1493" s="15" t="str">
        <f aca="false">IF(B1493="","",IFERROR(INDEX(Plan!$B$5:$B$44,MATCH(B1493,Plan!$A$5:$A$44,0))&amp;"","Kategori yok"))</f>
        <v/>
      </c>
    </row>
    <row r="1494" customFormat="false" ht="15" hidden="false" customHeight="false" outlineLevel="0" collapsed="false">
      <c r="A1494" s="12"/>
      <c r="B1494" s="13"/>
      <c r="C1494" s="14"/>
      <c r="D1494" s="13"/>
      <c r="E1494" s="15" t="str">
        <f aca="false">IF(B1494="","",IFERROR(INDEX(Plan!$B$5:$B$44,MATCH(B1494,Plan!$A$5:$A$44,0))&amp;"","Kategori yok"))</f>
        <v/>
      </c>
    </row>
    <row r="1495" customFormat="false" ht="15" hidden="false" customHeight="false" outlineLevel="0" collapsed="false">
      <c r="A1495" s="12"/>
      <c r="B1495" s="13"/>
      <c r="C1495" s="14"/>
      <c r="D1495" s="13"/>
      <c r="E1495" s="15" t="str">
        <f aca="false">IF(B1495="","",IFERROR(INDEX(Plan!$B$5:$B$44,MATCH(B1495,Plan!$A$5:$A$44,0))&amp;"","Kategori yok"))</f>
        <v/>
      </c>
    </row>
    <row r="1496" customFormat="false" ht="15" hidden="false" customHeight="false" outlineLevel="0" collapsed="false">
      <c r="A1496" s="12"/>
      <c r="B1496" s="13"/>
      <c r="C1496" s="14"/>
      <c r="D1496" s="13"/>
      <c r="E1496" s="15" t="str">
        <f aca="false">IF(B1496="","",IFERROR(INDEX(Plan!$B$5:$B$44,MATCH(B1496,Plan!$A$5:$A$44,0))&amp;"","Kategori yok"))</f>
        <v/>
      </c>
    </row>
    <row r="1497" customFormat="false" ht="15" hidden="false" customHeight="false" outlineLevel="0" collapsed="false">
      <c r="A1497" s="12"/>
      <c r="B1497" s="13"/>
      <c r="C1497" s="14"/>
      <c r="D1497" s="13"/>
      <c r="E1497" s="15" t="str">
        <f aca="false">IF(B1497="","",IFERROR(INDEX(Plan!$B$5:$B$44,MATCH(B1497,Plan!$A$5:$A$44,0))&amp;"","Kategori yok"))</f>
        <v/>
      </c>
    </row>
    <row r="1498" customFormat="false" ht="15" hidden="false" customHeight="false" outlineLevel="0" collapsed="false">
      <c r="A1498" s="12"/>
      <c r="B1498" s="13"/>
      <c r="C1498" s="14"/>
      <c r="D1498" s="13"/>
      <c r="E1498" s="15" t="str">
        <f aca="false">IF(B1498="","",IFERROR(INDEX(Plan!$B$5:$B$44,MATCH(B1498,Plan!$A$5:$A$44,0))&amp;"","Kategori yok"))</f>
        <v/>
      </c>
    </row>
    <row r="1499" customFormat="false" ht="15" hidden="false" customHeight="false" outlineLevel="0" collapsed="false">
      <c r="A1499" s="12"/>
      <c r="B1499" s="13"/>
      <c r="C1499" s="14"/>
      <c r="D1499" s="13"/>
      <c r="E1499" s="15" t="str">
        <f aca="false">IF(B1499="","",IFERROR(INDEX(Plan!$B$5:$B$44,MATCH(B1499,Plan!$A$5:$A$44,0))&amp;"","Kategori yok"))</f>
        <v/>
      </c>
    </row>
    <row r="1500" customFormat="false" ht="15" hidden="false" customHeight="false" outlineLevel="0" collapsed="false">
      <c r="A1500" s="12"/>
      <c r="B1500" s="13"/>
      <c r="C1500" s="14"/>
      <c r="D1500" s="13"/>
      <c r="E1500" s="15" t="str">
        <f aca="false">IF(B1500="","",IFERROR(INDEX(Plan!$B$5:$B$44,MATCH(B1500,Plan!$A$5:$A$44,0))&amp;"","Kategori yok"))</f>
        <v/>
      </c>
    </row>
    <row r="1501" customFormat="false" ht="15" hidden="false" customHeight="false" outlineLevel="0" collapsed="false">
      <c r="A1501" s="12"/>
      <c r="B1501" s="13"/>
      <c r="C1501" s="14"/>
      <c r="D1501" s="13"/>
      <c r="E1501" s="15" t="str">
        <f aca="false">IF(B1501="","",IFERROR(INDEX(Plan!$B$5:$B$44,MATCH(B1501,Plan!$A$5:$A$44,0))&amp;"","Kategori yok"))</f>
        <v/>
      </c>
    </row>
    <row r="1502" customFormat="false" ht="15" hidden="false" customHeight="false" outlineLevel="0" collapsed="false">
      <c r="A1502" s="12"/>
      <c r="B1502" s="13"/>
      <c r="C1502" s="14"/>
      <c r="D1502" s="13"/>
      <c r="E1502" s="15" t="str">
        <f aca="false">IF(B1502="","",IFERROR(INDEX(Plan!$B$5:$B$44,MATCH(B1502,Plan!$A$5:$A$44,0))&amp;"","Kategori yok"))</f>
        <v/>
      </c>
    </row>
    <row r="1503" customFormat="false" ht="15" hidden="false" customHeight="false" outlineLevel="0" collapsed="false">
      <c r="A1503" s="12"/>
      <c r="B1503" s="13"/>
      <c r="C1503" s="14"/>
      <c r="D1503" s="13"/>
      <c r="E1503" s="15" t="str">
        <f aca="false">IF(B1503="","",IFERROR(INDEX(Plan!$B$5:$B$44,MATCH(B1503,Plan!$A$5:$A$44,0))&amp;"","Kategori yok"))</f>
        <v/>
      </c>
    </row>
    <row r="1504" customFormat="false" ht="15" hidden="false" customHeight="false" outlineLevel="0" collapsed="false">
      <c r="A1504" s="12"/>
      <c r="B1504" s="13"/>
      <c r="C1504" s="14"/>
      <c r="D1504" s="13"/>
      <c r="E1504" s="15" t="str">
        <f aca="false">IF(B1504="","",IFERROR(INDEX(Plan!$B$5:$B$44,MATCH(B1504,Plan!$A$5:$A$44,0))&amp;"","Kategori yok"))</f>
        <v/>
      </c>
    </row>
    <row r="1505" customFormat="false" ht="15" hidden="false" customHeight="false" outlineLevel="0" collapsed="false">
      <c r="A1505" s="12"/>
      <c r="B1505" s="13"/>
      <c r="C1505" s="14"/>
      <c r="D1505" s="13"/>
      <c r="E1505" s="15" t="str">
        <f aca="false">IF(B1505="","",IFERROR(INDEX(Plan!$B$5:$B$44,MATCH(B1505,Plan!$A$5:$A$44,0))&amp;"","Kategori yok"))</f>
        <v/>
      </c>
    </row>
    <row r="1506" customFormat="false" ht="15" hidden="false" customHeight="false" outlineLevel="0" collapsed="false">
      <c r="A1506" s="12"/>
      <c r="B1506" s="13"/>
      <c r="C1506" s="14"/>
      <c r="D1506" s="13"/>
      <c r="E1506" s="15" t="str">
        <f aca="false">IF(B1506="","",IFERROR(INDEX(Plan!$B$5:$B$44,MATCH(B1506,Plan!$A$5:$A$44,0))&amp;"","Kategori yok"))</f>
        <v/>
      </c>
    </row>
    <row r="1507" customFormat="false" ht="15" hidden="false" customHeight="false" outlineLevel="0" collapsed="false">
      <c r="A1507" s="12"/>
      <c r="B1507" s="13"/>
      <c r="C1507" s="14"/>
      <c r="D1507" s="13"/>
      <c r="E1507" s="15" t="str">
        <f aca="false">IF(B1507="","",IFERROR(INDEX(Plan!$B$5:$B$44,MATCH(B1507,Plan!$A$5:$A$44,0))&amp;"","Kategori yok"))</f>
        <v/>
      </c>
    </row>
    <row r="1508" customFormat="false" ht="15" hidden="false" customHeight="false" outlineLevel="0" collapsed="false">
      <c r="A1508" s="12"/>
      <c r="B1508" s="13"/>
      <c r="C1508" s="14"/>
      <c r="D1508" s="13"/>
      <c r="E1508" s="15" t="str">
        <f aca="false">IF(B1508="","",IFERROR(INDEX(Plan!$B$5:$B$44,MATCH(B1508,Plan!$A$5:$A$44,0))&amp;"","Kategori yok"))</f>
        <v/>
      </c>
    </row>
    <row r="1509" customFormat="false" ht="15" hidden="false" customHeight="false" outlineLevel="0" collapsed="false">
      <c r="A1509" s="12"/>
      <c r="B1509" s="13"/>
      <c r="C1509" s="14"/>
      <c r="D1509" s="13"/>
      <c r="E1509" s="15" t="str">
        <f aca="false">IF(B1509="","",IFERROR(INDEX(Plan!$B$5:$B$44,MATCH(B1509,Plan!$A$5:$A$44,0))&amp;"","Kategori yok"))</f>
        <v/>
      </c>
    </row>
    <row r="1510" customFormat="false" ht="15" hidden="false" customHeight="false" outlineLevel="0" collapsed="false">
      <c r="A1510" s="12"/>
      <c r="B1510" s="13"/>
      <c r="C1510" s="14"/>
      <c r="D1510" s="13"/>
      <c r="E1510" s="15" t="str">
        <f aca="false">IF(B1510="","",IFERROR(INDEX(Plan!$B$5:$B$44,MATCH(B1510,Plan!$A$5:$A$44,0))&amp;"","Kategori yok"))</f>
        <v/>
      </c>
    </row>
    <row r="1511" customFormat="false" ht="15" hidden="false" customHeight="false" outlineLevel="0" collapsed="false">
      <c r="A1511" s="12"/>
      <c r="B1511" s="13"/>
      <c r="C1511" s="14"/>
      <c r="D1511" s="13"/>
      <c r="E1511" s="15" t="str">
        <f aca="false">IF(B1511="","",IFERROR(INDEX(Plan!$B$5:$B$44,MATCH(B1511,Plan!$A$5:$A$44,0))&amp;"","Kategori yok"))</f>
        <v/>
      </c>
    </row>
    <row r="1512" customFormat="false" ht="15" hidden="false" customHeight="false" outlineLevel="0" collapsed="false">
      <c r="A1512" s="12"/>
      <c r="B1512" s="13"/>
      <c r="C1512" s="14"/>
      <c r="D1512" s="13"/>
      <c r="E1512" s="15" t="str">
        <f aca="false">IF(B1512="","",IFERROR(INDEX(Plan!$B$5:$B$44,MATCH(B1512,Plan!$A$5:$A$44,0))&amp;"","Kategori yok"))</f>
        <v/>
      </c>
    </row>
    <row r="1513" customFormat="false" ht="15" hidden="false" customHeight="false" outlineLevel="0" collapsed="false">
      <c r="A1513" s="12"/>
      <c r="B1513" s="13"/>
      <c r="C1513" s="14"/>
      <c r="D1513" s="13"/>
      <c r="E1513" s="15" t="str">
        <f aca="false">IF(B1513="","",IFERROR(INDEX(Plan!$B$5:$B$44,MATCH(B1513,Plan!$A$5:$A$44,0))&amp;"","Kategori yok"))</f>
        <v/>
      </c>
    </row>
    <row r="1514" customFormat="false" ht="15" hidden="false" customHeight="false" outlineLevel="0" collapsed="false">
      <c r="A1514" s="12"/>
      <c r="B1514" s="13"/>
      <c r="C1514" s="14"/>
      <c r="D1514" s="13"/>
      <c r="E1514" s="15" t="str">
        <f aca="false">IF(B1514="","",IFERROR(INDEX(Plan!$B$5:$B$44,MATCH(B1514,Plan!$A$5:$A$44,0))&amp;"","Kategori yok"))</f>
        <v/>
      </c>
    </row>
    <row r="1515" customFormat="false" ht="15" hidden="false" customHeight="false" outlineLevel="0" collapsed="false">
      <c r="A1515" s="12"/>
      <c r="B1515" s="13"/>
      <c r="C1515" s="14"/>
      <c r="D1515" s="13"/>
      <c r="E1515" s="15" t="str">
        <f aca="false">IF(B1515="","",IFERROR(INDEX(Plan!$B$5:$B$44,MATCH(B1515,Plan!$A$5:$A$44,0))&amp;"","Kategori yok"))</f>
        <v/>
      </c>
    </row>
    <row r="1516" customFormat="false" ht="15" hidden="false" customHeight="false" outlineLevel="0" collapsed="false">
      <c r="A1516" s="12"/>
      <c r="B1516" s="13"/>
      <c r="C1516" s="14"/>
      <c r="D1516" s="13"/>
      <c r="E1516" s="15" t="str">
        <f aca="false">IF(B1516="","",IFERROR(INDEX(Plan!$B$5:$B$44,MATCH(B1516,Plan!$A$5:$A$44,0))&amp;"","Kategori yok"))</f>
        <v/>
      </c>
    </row>
    <row r="1517" customFormat="false" ht="15" hidden="false" customHeight="false" outlineLevel="0" collapsed="false">
      <c r="A1517" s="12"/>
      <c r="B1517" s="13"/>
      <c r="C1517" s="14"/>
      <c r="D1517" s="13"/>
      <c r="E1517" s="15" t="str">
        <f aca="false">IF(B1517="","",IFERROR(INDEX(Plan!$B$5:$B$44,MATCH(B1517,Plan!$A$5:$A$44,0))&amp;"","Kategori yok"))</f>
        <v/>
      </c>
    </row>
    <row r="1518" customFormat="false" ht="15" hidden="false" customHeight="false" outlineLevel="0" collapsed="false">
      <c r="A1518" s="12"/>
      <c r="B1518" s="13"/>
      <c r="C1518" s="14"/>
      <c r="D1518" s="13"/>
      <c r="E1518" s="15" t="str">
        <f aca="false">IF(B1518="","",IFERROR(INDEX(Plan!$B$5:$B$44,MATCH(B1518,Plan!$A$5:$A$44,0))&amp;"","Kategori yok"))</f>
        <v/>
      </c>
    </row>
    <row r="1519" customFormat="false" ht="15" hidden="false" customHeight="false" outlineLevel="0" collapsed="false">
      <c r="A1519" s="12"/>
      <c r="B1519" s="13"/>
      <c r="C1519" s="14"/>
      <c r="D1519" s="13"/>
      <c r="E1519" s="15" t="str">
        <f aca="false">IF(B1519="","",IFERROR(INDEX(Plan!$B$5:$B$44,MATCH(B1519,Plan!$A$5:$A$44,0))&amp;"","Kategori yok"))</f>
        <v/>
      </c>
    </row>
    <row r="1520" customFormat="false" ht="15" hidden="false" customHeight="false" outlineLevel="0" collapsed="false">
      <c r="A1520" s="12"/>
      <c r="B1520" s="13"/>
      <c r="C1520" s="14"/>
      <c r="D1520" s="13"/>
      <c r="E1520" s="15" t="str">
        <f aca="false">IF(B1520="","",IFERROR(INDEX(Plan!$B$5:$B$44,MATCH(B1520,Plan!$A$5:$A$44,0))&amp;"","Kategori yok"))</f>
        <v/>
      </c>
    </row>
    <row r="1521" customFormat="false" ht="15" hidden="false" customHeight="false" outlineLevel="0" collapsed="false">
      <c r="A1521" s="12"/>
      <c r="B1521" s="13"/>
      <c r="C1521" s="14"/>
      <c r="D1521" s="13"/>
      <c r="E1521" s="15" t="str">
        <f aca="false">IF(B1521="","",IFERROR(INDEX(Plan!$B$5:$B$44,MATCH(B1521,Plan!$A$5:$A$44,0))&amp;"","Kategori yok"))</f>
        <v/>
      </c>
    </row>
    <row r="1522" customFormat="false" ht="15" hidden="false" customHeight="false" outlineLevel="0" collapsed="false">
      <c r="A1522" s="12"/>
      <c r="B1522" s="13"/>
      <c r="C1522" s="14"/>
      <c r="D1522" s="13"/>
      <c r="E1522" s="15" t="str">
        <f aca="false">IF(B1522="","",IFERROR(INDEX(Plan!$B$5:$B$44,MATCH(B1522,Plan!$A$5:$A$44,0))&amp;"","Kategori yok"))</f>
        <v/>
      </c>
    </row>
    <row r="1523" customFormat="false" ht="15" hidden="false" customHeight="false" outlineLevel="0" collapsed="false">
      <c r="A1523" s="12"/>
      <c r="B1523" s="13"/>
      <c r="C1523" s="14"/>
      <c r="D1523" s="13"/>
      <c r="E1523" s="15" t="str">
        <f aca="false">IF(B1523="","",IFERROR(INDEX(Plan!$B$5:$B$44,MATCH(B1523,Plan!$A$5:$A$44,0))&amp;"","Kategori yok"))</f>
        <v/>
      </c>
    </row>
    <row r="1524" customFormat="false" ht="15" hidden="false" customHeight="false" outlineLevel="0" collapsed="false">
      <c r="A1524" s="12"/>
      <c r="B1524" s="13"/>
      <c r="C1524" s="14"/>
      <c r="D1524" s="13"/>
      <c r="E1524" s="15" t="str">
        <f aca="false">IF(B1524="","",IFERROR(INDEX(Plan!$B$5:$B$44,MATCH(B1524,Plan!$A$5:$A$44,0))&amp;"","Kategori yok"))</f>
        <v/>
      </c>
    </row>
    <row r="1525" customFormat="false" ht="15" hidden="false" customHeight="false" outlineLevel="0" collapsed="false">
      <c r="A1525" s="12"/>
      <c r="B1525" s="13"/>
      <c r="C1525" s="14"/>
      <c r="D1525" s="13"/>
      <c r="E1525" s="15" t="str">
        <f aca="false">IF(B1525="","",IFERROR(INDEX(Plan!$B$5:$B$44,MATCH(B1525,Plan!$A$5:$A$44,0))&amp;"","Kategori yok"))</f>
        <v/>
      </c>
    </row>
    <row r="1526" customFormat="false" ht="15" hidden="false" customHeight="false" outlineLevel="0" collapsed="false">
      <c r="A1526" s="12"/>
      <c r="B1526" s="13"/>
      <c r="C1526" s="14"/>
      <c r="D1526" s="13"/>
      <c r="E1526" s="15" t="str">
        <f aca="false">IF(B1526="","",IFERROR(INDEX(Plan!$B$5:$B$44,MATCH(B1526,Plan!$A$5:$A$44,0))&amp;"","Kategori yok"))</f>
        <v/>
      </c>
    </row>
    <row r="1527" customFormat="false" ht="15" hidden="false" customHeight="false" outlineLevel="0" collapsed="false">
      <c r="A1527" s="12"/>
      <c r="B1527" s="13"/>
      <c r="C1527" s="14"/>
      <c r="D1527" s="13"/>
      <c r="E1527" s="15" t="str">
        <f aca="false">IF(B1527="","",IFERROR(INDEX(Plan!$B$5:$B$44,MATCH(B1527,Plan!$A$5:$A$44,0))&amp;"","Kategori yok"))</f>
        <v/>
      </c>
    </row>
    <row r="1528" customFormat="false" ht="15" hidden="false" customHeight="false" outlineLevel="0" collapsed="false">
      <c r="A1528" s="12"/>
      <c r="B1528" s="13"/>
      <c r="C1528" s="14"/>
      <c r="D1528" s="13"/>
      <c r="E1528" s="15" t="str">
        <f aca="false">IF(B1528="","",IFERROR(INDEX(Plan!$B$5:$B$44,MATCH(B1528,Plan!$A$5:$A$44,0))&amp;"","Kategori yok"))</f>
        <v/>
      </c>
    </row>
    <row r="1529" customFormat="false" ht="15" hidden="false" customHeight="false" outlineLevel="0" collapsed="false">
      <c r="A1529" s="12"/>
      <c r="B1529" s="13"/>
      <c r="C1529" s="14"/>
      <c r="D1529" s="13"/>
      <c r="E1529" s="15" t="str">
        <f aca="false">IF(B1529="","",IFERROR(INDEX(Plan!$B$5:$B$44,MATCH(B1529,Plan!$A$5:$A$44,0))&amp;"","Kategori yok"))</f>
        <v/>
      </c>
    </row>
    <row r="1530" customFormat="false" ht="15" hidden="false" customHeight="false" outlineLevel="0" collapsed="false">
      <c r="A1530" s="12"/>
      <c r="B1530" s="13"/>
      <c r="C1530" s="14"/>
      <c r="D1530" s="13"/>
      <c r="E1530" s="15" t="str">
        <f aca="false">IF(B1530="","",IFERROR(INDEX(Plan!$B$5:$B$44,MATCH(B1530,Plan!$A$5:$A$44,0))&amp;"","Kategori yok"))</f>
        <v/>
      </c>
    </row>
    <row r="1531" customFormat="false" ht="15" hidden="false" customHeight="false" outlineLevel="0" collapsed="false">
      <c r="A1531" s="12"/>
      <c r="B1531" s="13"/>
      <c r="C1531" s="14"/>
      <c r="D1531" s="13"/>
      <c r="E1531" s="15" t="str">
        <f aca="false">IF(B1531="","",IFERROR(INDEX(Plan!$B$5:$B$44,MATCH(B1531,Plan!$A$5:$A$44,0))&amp;"","Kategori yok"))</f>
        <v/>
      </c>
    </row>
    <row r="1532" customFormat="false" ht="15" hidden="false" customHeight="false" outlineLevel="0" collapsed="false">
      <c r="A1532" s="12"/>
      <c r="B1532" s="13"/>
      <c r="C1532" s="14"/>
      <c r="D1532" s="13"/>
      <c r="E1532" s="15" t="str">
        <f aca="false">IF(B1532="","",IFERROR(INDEX(Plan!$B$5:$B$44,MATCH(B1532,Plan!$A$5:$A$44,0))&amp;"","Kategori yok"))</f>
        <v/>
      </c>
    </row>
    <row r="1533" customFormat="false" ht="15" hidden="false" customHeight="false" outlineLevel="0" collapsed="false">
      <c r="A1533" s="12"/>
      <c r="B1533" s="13"/>
      <c r="C1533" s="14"/>
      <c r="D1533" s="13"/>
      <c r="E1533" s="15" t="str">
        <f aca="false">IF(B1533="","",IFERROR(INDEX(Plan!$B$5:$B$44,MATCH(B1533,Plan!$A$5:$A$44,0))&amp;"","Kategori yok"))</f>
        <v/>
      </c>
    </row>
    <row r="1534" customFormat="false" ht="15" hidden="false" customHeight="false" outlineLevel="0" collapsed="false">
      <c r="A1534" s="12"/>
      <c r="B1534" s="13"/>
      <c r="C1534" s="14"/>
      <c r="D1534" s="13"/>
      <c r="E1534" s="15" t="str">
        <f aca="false">IF(B1534="","",IFERROR(INDEX(Plan!$B$5:$B$44,MATCH(B1534,Plan!$A$5:$A$44,0))&amp;"","Kategori yok"))</f>
        <v/>
      </c>
    </row>
    <row r="1535" customFormat="false" ht="15" hidden="false" customHeight="false" outlineLevel="0" collapsed="false">
      <c r="A1535" s="12"/>
      <c r="B1535" s="13"/>
      <c r="C1535" s="14"/>
      <c r="D1535" s="13"/>
      <c r="E1535" s="15" t="str">
        <f aca="false">IF(B1535="","",IFERROR(INDEX(Plan!$B$5:$B$44,MATCH(B1535,Plan!$A$5:$A$44,0))&amp;"","Kategori yok"))</f>
        <v/>
      </c>
    </row>
    <row r="1536" customFormat="false" ht="15" hidden="false" customHeight="false" outlineLevel="0" collapsed="false">
      <c r="A1536" s="12"/>
      <c r="B1536" s="13"/>
      <c r="C1536" s="14"/>
      <c r="D1536" s="13"/>
      <c r="E1536" s="15" t="str">
        <f aca="false">IF(B1536="","",IFERROR(INDEX(Plan!$B$5:$B$44,MATCH(B1536,Plan!$A$5:$A$44,0))&amp;"","Kategori yok"))</f>
        <v/>
      </c>
    </row>
    <row r="1537" customFormat="false" ht="15" hidden="false" customHeight="false" outlineLevel="0" collapsed="false">
      <c r="A1537" s="12"/>
      <c r="B1537" s="13"/>
      <c r="C1537" s="14"/>
      <c r="D1537" s="13"/>
      <c r="E1537" s="15" t="str">
        <f aca="false">IF(B1537="","",IFERROR(INDEX(Plan!$B$5:$B$44,MATCH(B1537,Plan!$A$5:$A$44,0))&amp;"","Kategori yok"))</f>
        <v/>
      </c>
    </row>
    <row r="1538" customFormat="false" ht="15" hidden="false" customHeight="false" outlineLevel="0" collapsed="false">
      <c r="A1538" s="12"/>
      <c r="B1538" s="13"/>
      <c r="C1538" s="14"/>
      <c r="D1538" s="13"/>
      <c r="E1538" s="15" t="str">
        <f aca="false">IF(B1538="","",IFERROR(INDEX(Plan!$B$5:$B$44,MATCH(B1538,Plan!$A$5:$A$44,0))&amp;"","Kategori yok"))</f>
        <v/>
      </c>
    </row>
    <row r="1539" customFormat="false" ht="15" hidden="false" customHeight="false" outlineLevel="0" collapsed="false">
      <c r="A1539" s="12"/>
      <c r="B1539" s="13"/>
      <c r="C1539" s="14"/>
      <c r="D1539" s="13"/>
      <c r="E1539" s="15" t="str">
        <f aca="false">IF(B1539="","",IFERROR(INDEX(Plan!$B$5:$B$44,MATCH(B1539,Plan!$A$5:$A$44,0))&amp;"","Kategori yok"))</f>
        <v/>
      </c>
    </row>
    <row r="1540" customFormat="false" ht="15" hidden="false" customHeight="false" outlineLevel="0" collapsed="false">
      <c r="A1540" s="12"/>
      <c r="B1540" s="13"/>
      <c r="C1540" s="14"/>
      <c r="D1540" s="13"/>
      <c r="E1540" s="15" t="str">
        <f aca="false">IF(B1540="","",IFERROR(INDEX(Plan!$B$5:$B$44,MATCH(B1540,Plan!$A$5:$A$44,0))&amp;"","Kategori yok"))</f>
        <v/>
      </c>
    </row>
    <row r="1541" customFormat="false" ht="15" hidden="false" customHeight="false" outlineLevel="0" collapsed="false">
      <c r="A1541" s="12"/>
      <c r="B1541" s="13"/>
      <c r="C1541" s="14"/>
      <c r="D1541" s="13"/>
      <c r="E1541" s="15" t="str">
        <f aca="false">IF(B1541="","",IFERROR(INDEX(Plan!$B$5:$B$44,MATCH(B1541,Plan!$A$5:$A$44,0))&amp;"","Kategori yok"))</f>
        <v/>
      </c>
    </row>
    <row r="1542" customFormat="false" ht="15" hidden="false" customHeight="false" outlineLevel="0" collapsed="false">
      <c r="A1542" s="12"/>
      <c r="B1542" s="13"/>
      <c r="C1542" s="14"/>
      <c r="D1542" s="13"/>
      <c r="E1542" s="15" t="str">
        <f aca="false">IF(B1542="","",IFERROR(INDEX(Plan!$B$5:$B$44,MATCH(B1542,Plan!$A$5:$A$44,0))&amp;"","Kategori yok"))</f>
        <v/>
      </c>
    </row>
    <row r="1543" customFormat="false" ht="15" hidden="false" customHeight="false" outlineLevel="0" collapsed="false">
      <c r="A1543" s="12"/>
      <c r="B1543" s="13"/>
      <c r="C1543" s="14"/>
      <c r="D1543" s="13"/>
      <c r="E1543" s="15" t="str">
        <f aca="false">IF(B1543="","",IFERROR(INDEX(Plan!$B$5:$B$44,MATCH(B1543,Plan!$A$5:$A$44,0))&amp;"","Kategori yok"))</f>
        <v/>
      </c>
    </row>
    <row r="1544" customFormat="false" ht="15" hidden="false" customHeight="false" outlineLevel="0" collapsed="false">
      <c r="A1544" s="12"/>
      <c r="B1544" s="13"/>
      <c r="C1544" s="14"/>
      <c r="D1544" s="13"/>
      <c r="E1544" s="15" t="str">
        <f aca="false">IF(B1544="","",IFERROR(INDEX(Plan!$B$5:$B$44,MATCH(B1544,Plan!$A$5:$A$44,0))&amp;"","Kategori yok"))</f>
        <v/>
      </c>
    </row>
    <row r="1545" customFormat="false" ht="15" hidden="false" customHeight="false" outlineLevel="0" collapsed="false">
      <c r="A1545" s="12"/>
      <c r="B1545" s="13"/>
      <c r="C1545" s="14"/>
      <c r="D1545" s="13"/>
      <c r="E1545" s="15" t="str">
        <f aca="false">IF(B1545="","",IFERROR(INDEX(Plan!$B$5:$B$44,MATCH(B1545,Plan!$A$5:$A$44,0))&amp;"","Kategori yok"))</f>
        <v/>
      </c>
    </row>
    <row r="1546" customFormat="false" ht="15" hidden="false" customHeight="false" outlineLevel="0" collapsed="false">
      <c r="A1546" s="12"/>
      <c r="B1546" s="13"/>
      <c r="C1546" s="14"/>
      <c r="D1546" s="13"/>
      <c r="E1546" s="15" t="str">
        <f aca="false">IF(B1546="","",IFERROR(INDEX(Plan!$B$5:$B$44,MATCH(B1546,Plan!$A$5:$A$44,0))&amp;"","Kategori yok"))</f>
        <v/>
      </c>
    </row>
    <row r="1547" customFormat="false" ht="15" hidden="false" customHeight="false" outlineLevel="0" collapsed="false">
      <c r="A1547" s="12"/>
      <c r="B1547" s="13"/>
      <c r="C1547" s="14"/>
      <c r="D1547" s="13"/>
      <c r="E1547" s="15" t="str">
        <f aca="false">IF(B1547="","",IFERROR(INDEX(Plan!$B$5:$B$44,MATCH(B1547,Plan!$A$5:$A$44,0))&amp;"","Kategori yok"))</f>
        <v/>
      </c>
    </row>
    <row r="1548" customFormat="false" ht="15" hidden="false" customHeight="false" outlineLevel="0" collapsed="false">
      <c r="A1548" s="12"/>
      <c r="B1548" s="13"/>
      <c r="C1548" s="14"/>
      <c r="D1548" s="13"/>
      <c r="E1548" s="15" t="str">
        <f aca="false">IF(B1548="","",IFERROR(INDEX(Plan!$B$5:$B$44,MATCH(B1548,Plan!$A$5:$A$44,0))&amp;"","Kategori yok"))</f>
        <v/>
      </c>
    </row>
    <row r="1549" customFormat="false" ht="15" hidden="false" customHeight="false" outlineLevel="0" collapsed="false">
      <c r="A1549" s="12"/>
      <c r="B1549" s="13"/>
      <c r="C1549" s="14"/>
      <c r="D1549" s="13"/>
      <c r="E1549" s="15" t="str">
        <f aca="false">IF(B1549="","",IFERROR(INDEX(Plan!$B$5:$B$44,MATCH(B1549,Plan!$A$5:$A$44,0))&amp;"","Kategori yok"))</f>
        <v/>
      </c>
    </row>
    <row r="1550" customFormat="false" ht="15" hidden="false" customHeight="false" outlineLevel="0" collapsed="false">
      <c r="A1550" s="12"/>
      <c r="B1550" s="13"/>
      <c r="C1550" s="14"/>
      <c r="D1550" s="13"/>
      <c r="E1550" s="15" t="str">
        <f aca="false">IF(B1550="","",IFERROR(INDEX(Plan!$B$5:$B$44,MATCH(B1550,Plan!$A$5:$A$44,0))&amp;"","Kategori yok"))</f>
        <v/>
      </c>
    </row>
    <row r="1551" customFormat="false" ht="15" hidden="false" customHeight="false" outlineLevel="0" collapsed="false">
      <c r="A1551" s="12"/>
      <c r="B1551" s="13"/>
      <c r="C1551" s="14"/>
      <c r="D1551" s="13"/>
      <c r="E1551" s="15" t="str">
        <f aca="false">IF(B1551="","",IFERROR(INDEX(Plan!$B$5:$B$44,MATCH(B1551,Plan!$A$5:$A$44,0))&amp;"","Kategori yok"))</f>
        <v/>
      </c>
    </row>
    <row r="1552" customFormat="false" ht="15" hidden="false" customHeight="false" outlineLevel="0" collapsed="false">
      <c r="A1552" s="12"/>
      <c r="B1552" s="13"/>
      <c r="C1552" s="14"/>
      <c r="D1552" s="13"/>
      <c r="E1552" s="15" t="str">
        <f aca="false">IF(B1552="","",IFERROR(INDEX(Plan!$B$5:$B$44,MATCH(B1552,Plan!$A$5:$A$44,0))&amp;"","Kategori yok"))</f>
        <v/>
      </c>
    </row>
    <row r="1553" customFormat="false" ht="15" hidden="false" customHeight="false" outlineLevel="0" collapsed="false">
      <c r="A1553" s="12"/>
      <c r="B1553" s="13"/>
      <c r="C1553" s="14"/>
      <c r="D1553" s="13"/>
      <c r="E1553" s="15" t="str">
        <f aca="false">IF(B1553="","",IFERROR(INDEX(Plan!$B$5:$B$44,MATCH(B1553,Plan!$A$5:$A$44,0))&amp;"","Kategori yok"))</f>
        <v/>
      </c>
    </row>
    <row r="1554" customFormat="false" ht="15" hidden="false" customHeight="false" outlineLevel="0" collapsed="false">
      <c r="A1554" s="12"/>
      <c r="B1554" s="13"/>
      <c r="C1554" s="14"/>
      <c r="D1554" s="13"/>
      <c r="E1554" s="15" t="str">
        <f aca="false">IF(B1554="","",IFERROR(INDEX(Plan!$B$5:$B$44,MATCH(B1554,Plan!$A$5:$A$44,0))&amp;"","Kategori yok"))</f>
        <v/>
      </c>
    </row>
    <row r="1555" customFormat="false" ht="15" hidden="false" customHeight="false" outlineLevel="0" collapsed="false">
      <c r="A1555" s="12"/>
      <c r="B1555" s="13"/>
      <c r="C1555" s="14"/>
      <c r="D1555" s="13"/>
      <c r="E1555" s="15" t="str">
        <f aca="false">IF(B1555="","",IFERROR(INDEX(Plan!$B$5:$B$44,MATCH(B1555,Plan!$A$5:$A$44,0))&amp;"","Kategori yok"))</f>
        <v/>
      </c>
    </row>
    <row r="1556" customFormat="false" ht="15" hidden="false" customHeight="false" outlineLevel="0" collapsed="false">
      <c r="A1556" s="12"/>
      <c r="B1556" s="13"/>
      <c r="C1556" s="14"/>
      <c r="D1556" s="13"/>
      <c r="E1556" s="15" t="str">
        <f aca="false">IF(B1556="","",IFERROR(INDEX(Plan!$B$5:$B$44,MATCH(B1556,Plan!$A$5:$A$44,0))&amp;"","Kategori yok"))</f>
        <v/>
      </c>
    </row>
    <row r="1557" customFormat="false" ht="15" hidden="false" customHeight="false" outlineLevel="0" collapsed="false">
      <c r="A1557" s="12"/>
      <c r="B1557" s="13"/>
      <c r="C1557" s="14"/>
      <c r="D1557" s="13"/>
      <c r="E1557" s="15" t="str">
        <f aca="false">IF(B1557="","",IFERROR(INDEX(Plan!$B$5:$B$44,MATCH(B1557,Plan!$A$5:$A$44,0))&amp;"","Kategori yok"))</f>
        <v/>
      </c>
    </row>
    <row r="1558" customFormat="false" ht="15" hidden="false" customHeight="false" outlineLevel="0" collapsed="false">
      <c r="A1558" s="12"/>
      <c r="B1558" s="13"/>
      <c r="C1558" s="14"/>
      <c r="D1558" s="13"/>
      <c r="E1558" s="15" t="str">
        <f aca="false">IF(B1558="","",IFERROR(INDEX(Plan!$B$5:$B$44,MATCH(B1558,Plan!$A$5:$A$44,0))&amp;"","Kategori yok"))</f>
        <v/>
      </c>
    </row>
    <row r="1559" customFormat="false" ht="15" hidden="false" customHeight="false" outlineLevel="0" collapsed="false">
      <c r="A1559" s="12"/>
      <c r="B1559" s="13"/>
      <c r="C1559" s="14"/>
      <c r="D1559" s="13"/>
      <c r="E1559" s="15" t="str">
        <f aca="false">IF(B1559="","",IFERROR(INDEX(Plan!$B$5:$B$44,MATCH(B1559,Plan!$A$5:$A$44,0))&amp;"","Kategori yok"))</f>
        <v/>
      </c>
    </row>
    <row r="1560" customFormat="false" ht="15" hidden="false" customHeight="false" outlineLevel="0" collapsed="false">
      <c r="A1560" s="12"/>
      <c r="B1560" s="13"/>
      <c r="C1560" s="14"/>
      <c r="D1560" s="13"/>
      <c r="E1560" s="15" t="str">
        <f aca="false">IF(B1560="","",IFERROR(INDEX(Plan!$B$5:$B$44,MATCH(B1560,Plan!$A$5:$A$44,0))&amp;"","Kategori yok"))</f>
        <v/>
      </c>
    </row>
    <row r="1561" customFormat="false" ht="15" hidden="false" customHeight="false" outlineLevel="0" collapsed="false">
      <c r="A1561" s="12"/>
      <c r="B1561" s="13"/>
      <c r="C1561" s="14"/>
      <c r="D1561" s="13"/>
      <c r="E1561" s="15" t="str">
        <f aca="false">IF(B1561="","",IFERROR(INDEX(Plan!$B$5:$B$44,MATCH(B1561,Plan!$A$5:$A$44,0))&amp;"","Kategori yok"))</f>
        <v/>
      </c>
    </row>
    <row r="1562" customFormat="false" ht="15" hidden="false" customHeight="false" outlineLevel="0" collapsed="false">
      <c r="A1562" s="12"/>
      <c r="B1562" s="13"/>
      <c r="C1562" s="14"/>
      <c r="D1562" s="13"/>
      <c r="E1562" s="15" t="str">
        <f aca="false">IF(B1562="","",IFERROR(INDEX(Plan!$B$5:$B$44,MATCH(B1562,Plan!$A$5:$A$44,0))&amp;"","Kategori yok"))</f>
        <v/>
      </c>
    </row>
    <row r="1563" customFormat="false" ht="15" hidden="false" customHeight="false" outlineLevel="0" collapsed="false">
      <c r="A1563" s="12"/>
      <c r="B1563" s="13"/>
      <c r="C1563" s="14"/>
      <c r="D1563" s="13"/>
      <c r="E1563" s="15" t="str">
        <f aca="false">IF(B1563="","",IFERROR(INDEX(Plan!$B$5:$B$44,MATCH(B1563,Plan!$A$5:$A$44,0))&amp;"","Kategori yok"))</f>
        <v/>
      </c>
    </row>
    <row r="1564" customFormat="false" ht="15" hidden="false" customHeight="false" outlineLevel="0" collapsed="false">
      <c r="A1564" s="12"/>
      <c r="B1564" s="13"/>
      <c r="C1564" s="14"/>
      <c r="D1564" s="13"/>
      <c r="E1564" s="15" t="str">
        <f aca="false">IF(B1564="","",IFERROR(INDEX(Plan!$B$5:$B$44,MATCH(B1564,Plan!$A$5:$A$44,0))&amp;"","Kategori yok"))</f>
        <v/>
      </c>
    </row>
    <row r="1565" customFormat="false" ht="15" hidden="false" customHeight="false" outlineLevel="0" collapsed="false">
      <c r="A1565" s="12"/>
      <c r="B1565" s="13"/>
      <c r="C1565" s="14"/>
      <c r="D1565" s="13"/>
      <c r="E1565" s="15" t="str">
        <f aca="false">IF(B1565="","",IFERROR(INDEX(Plan!$B$5:$B$44,MATCH(B1565,Plan!$A$5:$A$44,0))&amp;"","Kategori yok"))</f>
        <v/>
      </c>
    </row>
    <row r="1566" customFormat="false" ht="15" hidden="false" customHeight="false" outlineLevel="0" collapsed="false">
      <c r="A1566" s="12"/>
      <c r="B1566" s="13"/>
      <c r="C1566" s="14"/>
      <c r="D1566" s="13"/>
      <c r="E1566" s="15" t="str">
        <f aca="false">IF(B1566="","",IFERROR(INDEX(Plan!$B$5:$B$44,MATCH(B1566,Plan!$A$5:$A$44,0))&amp;"","Kategori yok"))</f>
        <v/>
      </c>
    </row>
    <row r="1567" customFormat="false" ht="15" hidden="false" customHeight="false" outlineLevel="0" collapsed="false">
      <c r="A1567" s="12"/>
      <c r="B1567" s="13"/>
      <c r="C1567" s="14"/>
      <c r="D1567" s="13"/>
      <c r="E1567" s="15" t="str">
        <f aca="false">IF(B1567="","",IFERROR(INDEX(Plan!$B$5:$B$44,MATCH(B1567,Plan!$A$5:$A$44,0))&amp;"","Kategori yok"))</f>
        <v/>
      </c>
    </row>
    <row r="1568" customFormat="false" ht="15" hidden="false" customHeight="false" outlineLevel="0" collapsed="false">
      <c r="A1568" s="12"/>
      <c r="B1568" s="13"/>
      <c r="C1568" s="14"/>
      <c r="D1568" s="13"/>
      <c r="E1568" s="15" t="str">
        <f aca="false">IF(B1568="","",IFERROR(INDEX(Plan!$B$5:$B$44,MATCH(B1568,Plan!$A$5:$A$44,0))&amp;"","Kategori yok"))</f>
        <v/>
      </c>
    </row>
    <row r="1569" customFormat="false" ht="15" hidden="false" customHeight="false" outlineLevel="0" collapsed="false">
      <c r="A1569" s="12"/>
      <c r="B1569" s="13"/>
      <c r="C1569" s="14"/>
      <c r="D1569" s="13"/>
      <c r="E1569" s="15" t="str">
        <f aca="false">IF(B1569="","",IFERROR(INDEX(Plan!$B$5:$B$44,MATCH(B1569,Plan!$A$5:$A$44,0))&amp;"","Kategori yok"))</f>
        <v/>
      </c>
    </row>
    <row r="1570" customFormat="false" ht="15" hidden="false" customHeight="false" outlineLevel="0" collapsed="false">
      <c r="A1570" s="12"/>
      <c r="B1570" s="13"/>
      <c r="C1570" s="14"/>
      <c r="D1570" s="13"/>
      <c r="E1570" s="15" t="str">
        <f aca="false">IF(B1570="","",IFERROR(INDEX(Plan!$B$5:$B$44,MATCH(B1570,Plan!$A$5:$A$44,0))&amp;"","Kategori yok"))</f>
        <v/>
      </c>
    </row>
    <row r="1571" customFormat="false" ht="15" hidden="false" customHeight="false" outlineLevel="0" collapsed="false">
      <c r="A1571" s="12"/>
      <c r="B1571" s="13"/>
      <c r="C1571" s="14"/>
      <c r="D1571" s="13"/>
      <c r="E1571" s="15" t="str">
        <f aca="false">IF(B1571="","",IFERROR(INDEX(Plan!$B$5:$B$44,MATCH(B1571,Plan!$A$5:$A$44,0))&amp;"","Kategori yok"))</f>
        <v/>
      </c>
    </row>
    <row r="1572" customFormat="false" ht="15" hidden="false" customHeight="false" outlineLevel="0" collapsed="false">
      <c r="A1572" s="12"/>
      <c r="B1572" s="13"/>
      <c r="C1572" s="14"/>
      <c r="D1572" s="13"/>
      <c r="E1572" s="15" t="str">
        <f aca="false">IF(B1572="","",IFERROR(INDEX(Plan!$B$5:$B$44,MATCH(B1572,Plan!$A$5:$A$44,0))&amp;"","Kategori yok"))</f>
        <v/>
      </c>
    </row>
    <row r="1573" customFormat="false" ht="15" hidden="false" customHeight="false" outlineLevel="0" collapsed="false">
      <c r="A1573" s="12"/>
      <c r="B1573" s="13"/>
      <c r="C1573" s="14"/>
      <c r="D1573" s="13"/>
      <c r="E1573" s="15" t="str">
        <f aca="false">IF(B1573="","",IFERROR(INDEX(Plan!$B$5:$B$44,MATCH(B1573,Plan!$A$5:$A$44,0))&amp;"","Kategori yok"))</f>
        <v/>
      </c>
    </row>
    <row r="1574" customFormat="false" ht="15" hidden="false" customHeight="false" outlineLevel="0" collapsed="false">
      <c r="A1574" s="12"/>
      <c r="B1574" s="13"/>
      <c r="C1574" s="14"/>
      <c r="D1574" s="13"/>
      <c r="E1574" s="15" t="str">
        <f aca="false">IF(B1574="","",IFERROR(INDEX(Plan!$B$5:$B$44,MATCH(B1574,Plan!$A$5:$A$44,0))&amp;"","Kategori yok"))</f>
        <v/>
      </c>
    </row>
    <row r="1575" customFormat="false" ht="15" hidden="false" customHeight="false" outlineLevel="0" collapsed="false">
      <c r="A1575" s="12"/>
      <c r="B1575" s="13"/>
      <c r="C1575" s="14"/>
      <c r="D1575" s="13"/>
      <c r="E1575" s="15" t="str">
        <f aca="false">IF(B1575="","",IFERROR(INDEX(Plan!$B$5:$B$44,MATCH(B1575,Plan!$A$5:$A$44,0))&amp;"","Kategori yok"))</f>
        <v/>
      </c>
    </row>
    <row r="1576" customFormat="false" ht="15" hidden="false" customHeight="false" outlineLevel="0" collapsed="false">
      <c r="A1576" s="12"/>
      <c r="B1576" s="13"/>
      <c r="C1576" s="14"/>
      <c r="D1576" s="13"/>
      <c r="E1576" s="15" t="str">
        <f aca="false">IF(B1576="","",IFERROR(INDEX(Plan!$B$5:$B$44,MATCH(B1576,Plan!$A$5:$A$44,0))&amp;"","Kategori yok"))</f>
        <v/>
      </c>
    </row>
    <row r="1577" customFormat="false" ht="15" hidden="false" customHeight="false" outlineLevel="0" collapsed="false">
      <c r="A1577" s="12"/>
      <c r="B1577" s="13"/>
      <c r="C1577" s="14"/>
      <c r="D1577" s="13"/>
      <c r="E1577" s="15" t="str">
        <f aca="false">IF(B1577="","",IFERROR(INDEX(Plan!$B$5:$B$44,MATCH(B1577,Plan!$A$5:$A$44,0))&amp;"","Kategori yok"))</f>
        <v/>
      </c>
    </row>
    <row r="1578" customFormat="false" ht="15" hidden="false" customHeight="false" outlineLevel="0" collapsed="false">
      <c r="A1578" s="12"/>
      <c r="B1578" s="13"/>
      <c r="C1578" s="14"/>
      <c r="D1578" s="13"/>
      <c r="E1578" s="15" t="str">
        <f aca="false">IF(B1578="","",IFERROR(INDEX(Plan!$B$5:$B$44,MATCH(B1578,Plan!$A$5:$A$44,0))&amp;"","Kategori yok"))</f>
        <v/>
      </c>
    </row>
    <row r="1579" customFormat="false" ht="15" hidden="false" customHeight="false" outlineLevel="0" collapsed="false">
      <c r="A1579" s="12"/>
      <c r="B1579" s="13"/>
      <c r="C1579" s="14"/>
      <c r="D1579" s="13"/>
      <c r="E1579" s="15" t="str">
        <f aca="false">IF(B1579="","",IFERROR(INDEX(Plan!$B$5:$B$44,MATCH(B1579,Plan!$A$5:$A$44,0))&amp;"","Kategori yok"))</f>
        <v/>
      </c>
    </row>
    <row r="1580" customFormat="false" ht="15" hidden="false" customHeight="false" outlineLevel="0" collapsed="false">
      <c r="A1580" s="12"/>
      <c r="B1580" s="13"/>
      <c r="C1580" s="14"/>
      <c r="D1580" s="13"/>
      <c r="E1580" s="15" t="str">
        <f aca="false">IF(B1580="","",IFERROR(INDEX(Plan!$B$5:$B$44,MATCH(B1580,Plan!$A$5:$A$44,0))&amp;"","Kategori yok"))</f>
        <v/>
      </c>
    </row>
    <row r="1581" customFormat="false" ht="15" hidden="false" customHeight="false" outlineLevel="0" collapsed="false">
      <c r="A1581" s="12"/>
      <c r="B1581" s="13"/>
      <c r="C1581" s="14"/>
      <c r="D1581" s="13"/>
      <c r="E1581" s="15" t="str">
        <f aca="false">IF(B1581="","",IFERROR(INDEX(Plan!$B$5:$B$44,MATCH(B1581,Plan!$A$5:$A$44,0))&amp;"","Kategori yok"))</f>
        <v/>
      </c>
    </row>
    <row r="1582" customFormat="false" ht="15" hidden="false" customHeight="false" outlineLevel="0" collapsed="false">
      <c r="A1582" s="12"/>
      <c r="B1582" s="13"/>
      <c r="C1582" s="14"/>
      <c r="D1582" s="13"/>
      <c r="E1582" s="15" t="str">
        <f aca="false">IF(B1582="","",IFERROR(INDEX(Plan!$B$5:$B$44,MATCH(B1582,Plan!$A$5:$A$44,0))&amp;"","Kategori yok"))</f>
        <v/>
      </c>
    </row>
    <row r="1583" customFormat="false" ht="15" hidden="false" customHeight="false" outlineLevel="0" collapsed="false">
      <c r="A1583" s="12"/>
      <c r="B1583" s="13"/>
      <c r="C1583" s="14"/>
      <c r="D1583" s="13"/>
      <c r="E1583" s="15" t="str">
        <f aca="false">IF(B1583="","",IFERROR(INDEX(Plan!$B$5:$B$44,MATCH(B1583,Plan!$A$5:$A$44,0))&amp;"","Kategori yok"))</f>
        <v/>
      </c>
    </row>
    <row r="1584" customFormat="false" ht="15" hidden="false" customHeight="false" outlineLevel="0" collapsed="false">
      <c r="A1584" s="12"/>
      <c r="B1584" s="13"/>
      <c r="C1584" s="14"/>
      <c r="D1584" s="13"/>
      <c r="E1584" s="15" t="str">
        <f aca="false">IF(B1584="","",IFERROR(INDEX(Plan!$B$5:$B$44,MATCH(B1584,Plan!$A$5:$A$44,0))&amp;"","Kategori yok"))</f>
        <v/>
      </c>
    </row>
    <row r="1585" customFormat="false" ht="15" hidden="false" customHeight="false" outlineLevel="0" collapsed="false">
      <c r="A1585" s="12"/>
      <c r="B1585" s="13"/>
      <c r="C1585" s="14"/>
      <c r="D1585" s="13"/>
      <c r="E1585" s="15" t="str">
        <f aca="false">IF(B1585="","",IFERROR(INDEX(Plan!$B$5:$B$44,MATCH(B1585,Plan!$A$5:$A$44,0))&amp;"","Kategori yok"))</f>
        <v/>
      </c>
    </row>
    <row r="1586" customFormat="false" ht="15" hidden="false" customHeight="false" outlineLevel="0" collapsed="false">
      <c r="A1586" s="12"/>
      <c r="B1586" s="13"/>
      <c r="C1586" s="14"/>
      <c r="D1586" s="13"/>
      <c r="E1586" s="15" t="str">
        <f aca="false">IF(B1586="","",IFERROR(INDEX(Plan!$B$5:$B$44,MATCH(B1586,Plan!$A$5:$A$44,0))&amp;"","Kategori yok"))</f>
        <v/>
      </c>
    </row>
    <row r="1587" customFormat="false" ht="15" hidden="false" customHeight="false" outlineLevel="0" collapsed="false">
      <c r="A1587" s="12"/>
      <c r="B1587" s="13"/>
      <c r="C1587" s="14"/>
      <c r="D1587" s="13"/>
      <c r="E1587" s="15" t="str">
        <f aca="false">IF(B1587="","",IFERROR(INDEX(Plan!$B$5:$B$44,MATCH(B1587,Plan!$A$5:$A$44,0))&amp;"","Kategori yok"))</f>
        <v/>
      </c>
    </row>
    <row r="1588" customFormat="false" ht="15" hidden="false" customHeight="false" outlineLevel="0" collapsed="false">
      <c r="A1588" s="12"/>
      <c r="B1588" s="13"/>
      <c r="C1588" s="14"/>
      <c r="D1588" s="13"/>
      <c r="E1588" s="15" t="str">
        <f aca="false">IF(B1588="","",IFERROR(INDEX(Plan!$B$5:$B$44,MATCH(B1588,Plan!$A$5:$A$44,0))&amp;"","Kategori yok"))</f>
        <v/>
      </c>
    </row>
    <row r="1589" customFormat="false" ht="15" hidden="false" customHeight="false" outlineLevel="0" collapsed="false">
      <c r="A1589" s="12"/>
      <c r="B1589" s="13"/>
      <c r="C1589" s="14"/>
      <c r="D1589" s="13"/>
      <c r="E1589" s="15" t="str">
        <f aca="false">IF(B1589="","",IFERROR(INDEX(Plan!$B$5:$B$44,MATCH(B1589,Plan!$A$5:$A$44,0))&amp;"","Kategori yok"))</f>
        <v/>
      </c>
    </row>
    <row r="1590" customFormat="false" ht="15" hidden="false" customHeight="false" outlineLevel="0" collapsed="false">
      <c r="A1590" s="12"/>
      <c r="B1590" s="13"/>
      <c r="C1590" s="14"/>
      <c r="D1590" s="13"/>
      <c r="E1590" s="15" t="str">
        <f aca="false">IF(B1590="","",IFERROR(INDEX(Plan!$B$5:$B$44,MATCH(B1590,Plan!$A$5:$A$44,0))&amp;"","Kategori yok"))</f>
        <v/>
      </c>
    </row>
    <row r="1591" customFormat="false" ht="15" hidden="false" customHeight="false" outlineLevel="0" collapsed="false">
      <c r="A1591" s="12"/>
      <c r="B1591" s="13"/>
      <c r="C1591" s="14"/>
      <c r="D1591" s="13"/>
      <c r="E1591" s="15" t="str">
        <f aca="false">IF(B1591="","",IFERROR(INDEX(Plan!$B$5:$B$44,MATCH(B1591,Plan!$A$5:$A$44,0))&amp;"","Kategori yok"))</f>
        <v/>
      </c>
    </row>
    <row r="1592" customFormat="false" ht="15" hidden="false" customHeight="false" outlineLevel="0" collapsed="false">
      <c r="A1592" s="12"/>
      <c r="B1592" s="13"/>
      <c r="C1592" s="14"/>
      <c r="D1592" s="13"/>
      <c r="E1592" s="15" t="str">
        <f aca="false">IF(B1592="","",IFERROR(INDEX(Plan!$B$5:$B$44,MATCH(B1592,Plan!$A$5:$A$44,0))&amp;"","Kategori yok"))</f>
        <v/>
      </c>
    </row>
    <row r="1593" customFormat="false" ht="15" hidden="false" customHeight="false" outlineLevel="0" collapsed="false">
      <c r="A1593" s="12"/>
      <c r="B1593" s="13"/>
      <c r="C1593" s="14"/>
      <c r="D1593" s="13"/>
      <c r="E1593" s="15" t="str">
        <f aca="false">IF(B1593="","",IFERROR(INDEX(Plan!$B$5:$B$44,MATCH(B1593,Plan!$A$5:$A$44,0))&amp;"","Kategori yok"))</f>
        <v/>
      </c>
    </row>
    <row r="1594" customFormat="false" ht="15" hidden="false" customHeight="false" outlineLevel="0" collapsed="false">
      <c r="A1594" s="12"/>
      <c r="B1594" s="13"/>
      <c r="C1594" s="14"/>
      <c r="D1594" s="13"/>
      <c r="E1594" s="15" t="str">
        <f aca="false">IF(B1594="","",IFERROR(INDEX(Plan!$B$5:$B$44,MATCH(B1594,Plan!$A$5:$A$44,0))&amp;"","Kategori yok"))</f>
        <v/>
      </c>
    </row>
    <row r="1595" customFormat="false" ht="15" hidden="false" customHeight="false" outlineLevel="0" collapsed="false">
      <c r="A1595" s="12"/>
      <c r="B1595" s="13"/>
      <c r="C1595" s="14"/>
      <c r="D1595" s="13"/>
      <c r="E1595" s="15" t="str">
        <f aca="false">IF(B1595="","",IFERROR(INDEX(Plan!$B$5:$B$44,MATCH(B1595,Plan!$A$5:$A$44,0))&amp;"","Kategori yok"))</f>
        <v/>
      </c>
    </row>
    <row r="1596" customFormat="false" ht="15" hidden="false" customHeight="false" outlineLevel="0" collapsed="false">
      <c r="A1596" s="12"/>
      <c r="B1596" s="13"/>
      <c r="C1596" s="14"/>
      <c r="D1596" s="13"/>
      <c r="E1596" s="15" t="str">
        <f aca="false">IF(B1596="","",IFERROR(INDEX(Plan!$B$5:$B$44,MATCH(B1596,Plan!$A$5:$A$44,0))&amp;"","Kategori yok"))</f>
        <v/>
      </c>
    </row>
    <row r="1597" customFormat="false" ht="15" hidden="false" customHeight="false" outlineLevel="0" collapsed="false">
      <c r="A1597" s="12"/>
      <c r="B1597" s="13"/>
      <c r="C1597" s="14"/>
      <c r="D1597" s="13"/>
      <c r="E1597" s="15" t="str">
        <f aca="false">IF(B1597="","",IFERROR(INDEX(Plan!$B$5:$B$44,MATCH(B1597,Plan!$A$5:$A$44,0))&amp;"","Kategori yok"))</f>
        <v/>
      </c>
    </row>
    <row r="1598" customFormat="false" ht="15" hidden="false" customHeight="false" outlineLevel="0" collapsed="false">
      <c r="A1598" s="12"/>
      <c r="B1598" s="13"/>
      <c r="C1598" s="14"/>
      <c r="D1598" s="13"/>
      <c r="E1598" s="15" t="str">
        <f aca="false">IF(B1598="","",IFERROR(INDEX(Plan!$B$5:$B$44,MATCH(B1598,Plan!$A$5:$A$44,0))&amp;"","Kategori yok"))</f>
        <v/>
      </c>
    </row>
    <row r="1599" customFormat="false" ht="15" hidden="false" customHeight="false" outlineLevel="0" collapsed="false">
      <c r="A1599" s="12"/>
      <c r="B1599" s="13"/>
      <c r="C1599" s="14"/>
      <c r="D1599" s="13"/>
      <c r="E1599" s="15" t="str">
        <f aca="false">IF(B1599="","",IFERROR(INDEX(Plan!$B$5:$B$44,MATCH(B1599,Plan!$A$5:$A$44,0))&amp;"","Kategori yok"))</f>
        <v/>
      </c>
    </row>
    <row r="1600" customFormat="false" ht="15" hidden="false" customHeight="false" outlineLevel="0" collapsed="false">
      <c r="A1600" s="12"/>
      <c r="B1600" s="13"/>
      <c r="C1600" s="14"/>
      <c r="D1600" s="13"/>
      <c r="E1600" s="15" t="str">
        <f aca="false">IF(B1600="","",IFERROR(INDEX(Plan!$B$5:$B$44,MATCH(B1600,Plan!$A$5:$A$44,0))&amp;"","Kategori yok"))</f>
        <v/>
      </c>
    </row>
    <row r="1601" customFormat="false" ht="15" hidden="false" customHeight="false" outlineLevel="0" collapsed="false">
      <c r="A1601" s="12"/>
      <c r="B1601" s="13"/>
      <c r="C1601" s="14"/>
      <c r="D1601" s="13"/>
      <c r="E1601" s="15" t="str">
        <f aca="false">IF(B1601="","",IFERROR(INDEX(Plan!$B$5:$B$44,MATCH(B1601,Plan!$A$5:$A$44,0))&amp;"","Kategori yok"))</f>
        <v/>
      </c>
    </row>
    <row r="1602" customFormat="false" ht="15" hidden="false" customHeight="false" outlineLevel="0" collapsed="false">
      <c r="A1602" s="12"/>
      <c r="B1602" s="13"/>
      <c r="C1602" s="14"/>
      <c r="D1602" s="13"/>
      <c r="E1602" s="15" t="str">
        <f aca="false">IF(B1602="","",IFERROR(INDEX(Plan!$B$5:$B$44,MATCH(B1602,Plan!$A$5:$A$44,0))&amp;"","Kategori yok"))</f>
        <v/>
      </c>
    </row>
    <row r="1603" customFormat="false" ht="15" hidden="false" customHeight="false" outlineLevel="0" collapsed="false">
      <c r="A1603" s="12"/>
      <c r="B1603" s="13"/>
      <c r="C1603" s="14"/>
      <c r="D1603" s="13"/>
      <c r="E1603" s="15" t="str">
        <f aca="false">IF(B1603="","",IFERROR(INDEX(Plan!$B$5:$B$44,MATCH(B1603,Plan!$A$5:$A$44,0))&amp;"","Kategori yok"))</f>
        <v/>
      </c>
    </row>
    <row r="1604" customFormat="false" ht="15" hidden="false" customHeight="false" outlineLevel="0" collapsed="false">
      <c r="A1604" s="12"/>
      <c r="B1604" s="13"/>
      <c r="C1604" s="14"/>
      <c r="D1604" s="13"/>
      <c r="E1604" s="15" t="str">
        <f aca="false">IF(B1604="","",IFERROR(INDEX(Plan!$B$5:$B$44,MATCH(B1604,Plan!$A$5:$A$44,0))&amp;"","Kategori yok"))</f>
        <v/>
      </c>
    </row>
    <row r="1605" customFormat="false" ht="15" hidden="false" customHeight="false" outlineLevel="0" collapsed="false">
      <c r="A1605" s="12"/>
      <c r="B1605" s="13"/>
      <c r="C1605" s="14"/>
      <c r="D1605" s="13"/>
      <c r="E1605" s="15" t="str">
        <f aca="false">IF(B1605="","",IFERROR(INDEX(Plan!$B$5:$B$44,MATCH(B1605,Plan!$A$5:$A$44,0))&amp;"","Kategori yok"))</f>
        <v/>
      </c>
    </row>
    <row r="1606" customFormat="false" ht="15" hidden="false" customHeight="false" outlineLevel="0" collapsed="false">
      <c r="A1606" s="12"/>
      <c r="B1606" s="13"/>
      <c r="C1606" s="14"/>
      <c r="D1606" s="13"/>
      <c r="E1606" s="15" t="str">
        <f aca="false">IF(B1606="","",IFERROR(INDEX(Plan!$B$5:$B$44,MATCH(B1606,Plan!$A$5:$A$44,0))&amp;"","Kategori yok"))</f>
        <v/>
      </c>
    </row>
    <row r="1607" customFormat="false" ht="15" hidden="false" customHeight="false" outlineLevel="0" collapsed="false">
      <c r="A1607" s="12"/>
      <c r="B1607" s="13"/>
      <c r="C1607" s="14"/>
      <c r="D1607" s="13"/>
      <c r="E1607" s="15" t="str">
        <f aca="false">IF(B1607="","",IFERROR(INDEX(Plan!$B$5:$B$44,MATCH(B1607,Plan!$A$5:$A$44,0))&amp;"","Kategori yok"))</f>
        <v/>
      </c>
    </row>
    <row r="1608" customFormat="false" ht="15" hidden="false" customHeight="false" outlineLevel="0" collapsed="false">
      <c r="A1608" s="12"/>
      <c r="B1608" s="13"/>
      <c r="C1608" s="14"/>
      <c r="D1608" s="13"/>
      <c r="E1608" s="15" t="str">
        <f aca="false">IF(B1608="","",IFERROR(INDEX(Plan!$B$5:$B$44,MATCH(B1608,Plan!$A$5:$A$44,0))&amp;"","Kategori yok"))</f>
        <v/>
      </c>
    </row>
    <row r="1609" customFormat="false" ht="15" hidden="false" customHeight="false" outlineLevel="0" collapsed="false">
      <c r="A1609" s="12"/>
      <c r="B1609" s="13"/>
      <c r="C1609" s="14"/>
      <c r="D1609" s="13"/>
      <c r="E1609" s="15" t="str">
        <f aca="false">IF(B1609="","",IFERROR(INDEX(Plan!$B$5:$B$44,MATCH(B1609,Plan!$A$5:$A$44,0))&amp;"","Kategori yok"))</f>
        <v/>
      </c>
    </row>
    <row r="1610" customFormat="false" ht="15" hidden="false" customHeight="false" outlineLevel="0" collapsed="false">
      <c r="A1610" s="12"/>
      <c r="B1610" s="13"/>
      <c r="C1610" s="14"/>
      <c r="D1610" s="13"/>
      <c r="E1610" s="15" t="str">
        <f aca="false">IF(B1610="","",IFERROR(INDEX(Plan!$B$5:$B$44,MATCH(B1610,Plan!$A$5:$A$44,0))&amp;"","Kategori yok"))</f>
        <v/>
      </c>
    </row>
    <row r="1611" customFormat="false" ht="15" hidden="false" customHeight="false" outlineLevel="0" collapsed="false">
      <c r="A1611" s="12"/>
      <c r="B1611" s="13"/>
      <c r="C1611" s="14"/>
      <c r="D1611" s="13"/>
      <c r="E1611" s="15" t="str">
        <f aca="false">IF(B1611="","",IFERROR(INDEX(Plan!$B$5:$B$44,MATCH(B1611,Plan!$A$5:$A$44,0))&amp;"","Kategori yok"))</f>
        <v/>
      </c>
    </row>
    <row r="1612" customFormat="false" ht="15" hidden="false" customHeight="false" outlineLevel="0" collapsed="false">
      <c r="A1612" s="12"/>
      <c r="B1612" s="13"/>
      <c r="C1612" s="14"/>
      <c r="D1612" s="13"/>
      <c r="E1612" s="15" t="str">
        <f aca="false">IF(B1612="","",IFERROR(INDEX(Plan!$B$5:$B$44,MATCH(B1612,Plan!$A$5:$A$44,0))&amp;"","Kategori yok"))</f>
        <v/>
      </c>
    </row>
    <row r="1613" customFormat="false" ht="15" hidden="false" customHeight="false" outlineLevel="0" collapsed="false">
      <c r="A1613" s="12"/>
      <c r="B1613" s="13"/>
      <c r="C1613" s="14"/>
      <c r="D1613" s="13"/>
      <c r="E1613" s="15" t="str">
        <f aca="false">IF(B1613="","",IFERROR(INDEX(Plan!$B$5:$B$44,MATCH(B1613,Plan!$A$5:$A$44,0))&amp;"","Kategori yok"))</f>
        <v/>
      </c>
    </row>
    <row r="1614" customFormat="false" ht="15" hidden="false" customHeight="false" outlineLevel="0" collapsed="false">
      <c r="A1614" s="12"/>
      <c r="B1614" s="13"/>
      <c r="C1614" s="14"/>
      <c r="D1614" s="13"/>
      <c r="E1614" s="15" t="str">
        <f aca="false">IF(B1614="","",IFERROR(INDEX(Plan!$B$5:$B$44,MATCH(B1614,Plan!$A$5:$A$44,0))&amp;"","Kategori yok"))</f>
        <v/>
      </c>
    </row>
    <row r="1615" customFormat="false" ht="15" hidden="false" customHeight="false" outlineLevel="0" collapsed="false">
      <c r="A1615" s="12"/>
      <c r="B1615" s="13"/>
      <c r="C1615" s="14"/>
      <c r="D1615" s="13"/>
      <c r="E1615" s="15" t="str">
        <f aca="false">IF(B1615="","",IFERROR(INDEX(Plan!$B$5:$B$44,MATCH(B1615,Plan!$A$5:$A$44,0))&amp;"","Kategori yok"))</f>
        <v/>
      </c>
    </row>
    <row r="1616" customFormat="false" ht="15" hidden="false" customHeight="false" outlineLevel="0" collapsed="false">
      <c r="A1616" s="12"/>
      <c r="B1616" s="13"/>
      <c r="C1616" s="14"/>
      <c r="D1616" s="13"/>
      <c r="E1616" s="15" t="str">
        <f aca="false">IF(B1616="","",IFERROR(INDEX(Plan!$B$5:$B$44,MATCH(B1616,Plan!$A$5:$A$44,0))&amp;"","Kategori yok"))</f>
        <v/>
      </c>
    </row>
    <row r="1617" customFormat="false" ht="15" hidden="false" customHeight="false" outlineLevel="0" collapsed="false">
      <c r="A1617" s="12"/>
      <c r="B1617" s="13"/>
      <c r="C1617" s="14"/>
      <c r="D1617" s="13"/>
      <c r="E1617" s="15" t="str">
        <f aca="false">IF(B1617="","",IFERROR(INDEX(Plan!$B$5:$B$44,MATCH(B1617,Plan!$A$5:$A$44,0))&amp;"","Kategori yok"))</f>
        <v/>
      </c>
    </row>
    <row r="1618" customFormat="false" ht="15" hidden="false" customHeight="false" outlineLevel="0" collapsed="false">
      <c r="A1618" s="12"/>
      <c r="B1618" s="13"/>
      <c r="C1618" s="14"/>
      <c r="D1618" s="13"/>
      <c r="E1618" s="15" t="str">
        <f aca="false">IF(B1618="","",IFERROR(INDEX(Plan!$B$5:$B$44,MATCH(B1618,Plan!$A$5:$A$44,0))&amp;"","Kategori yok"))</f>
        <v/>
      </c>
    </row>
    <row r="1619" customFormat="false" ht="15" hidden="false" customHeight="false" outlineLevel="0" collapsed="false">
      <c r="A1619" s="12"/>
      <c r="B1619" s="13"/>
      <c r="C1619" s="14"/>
      <c r="D1619" s="13"/>
      <c r="E1619" s="15" t="str">
        <f aca="false">IF(B1619="","",IFERROR(INDEX(Plan!$B$5:$B$44,MATCH(B1619,Plan!$A$5:$A$44,0))&amp;"","Kategori yok"))</f>
        <v/>
      </c>
    </row>
    <row r="1620" customFormat="false" ht="15" hidden="false" customHeight="false" outlineLevel="0" collapsed="false">
      <c r="A1620" s="12"/>
      <c r="B1620" s="13"/>
      <c r="C1620" s="14"/>
      <c r="D1620" s="13"/>
      <c r="E1620" s="15" t="str">
        <f aca="false">IF(B1620="","",IFERROR(INDEX(Plan!$B$5:$B$44,MATCH(B1620,Plan!$A$5:$A$44,0))&amp;"","Kategori yok"))</f>
        <v/>
      </c>
    </row>
    <row r="1621" customFormat="false" ht="15" hidden="false" customHeight="false" outlineLevel="0" collapsed="false">
      <c r="A1621" s="12"/>
      <c r="B1621" s="13"/>
      <c r="C1621" s="14"/>
      <c r="D1621" s="13"/>
      <c r="E1621" s="15" t="str">
        <f aca="false">IF(B1621="","",IFERROR(INDEX(Plan!$B$5:$B$44,MATCH(B1621,Plan!$A$5:$A$44,0))&amp;"","Kategori yok"))</f>
        <v/>
      </c>
    </row>
    <row r="1622" customFormat="false" ht="15" hidden="false" customHeight="false" outlineLevel="0" collapsed="false">
      <c r="A1622" s="12"/>
      <c r="B1622" s="13"/>
      <c r="C1622" s="14"/>
      <c r="D1622" s="13"/>
      <c r="E1622" s="15" t="str">
        <f aca="false">IF(B1622="","",IFERROR(INDEX(Plan!$B$5:$B$44,MATCH(B1622,Plan!$A$5:$A$44,0))&amp;"","Kategori yok"))</f>
        <v/>
      </c>
    </row>
    <row r="1623" customFormat="false" ht="15" hidden="false" customHeight="false" outlineLevel="0" collapsed="false">
      <c r="A1623" s="12"/>
      <c r="B1623" s="13"/>
      <c r="C1623" s="14"/>
      <c r="D1623" s="13"/>
      <c r="E1623" s="15" t="str">
        <f aca="false">IF(B1623="","",IFERROR(INDEX(Plan!$B$5:$B$44,MATCH(B1623,Plan!$A$5:$A$44,0))&amp;"","Kategori yok"))</f>
        <v/>
      </c>
    </row>
    <row r="1624" customFormat="false" ht="15" hidden="false" customHeight="false" outlineLevel="0" collapsed="false">
      <c r="A1624" s="12"/>
      <c r="B1624" s="13"/>
      <c r="C1624" s="14"/>
      <c r="D1624" s="13"/>
      <c r="E1624" s="15" t="str">
        <f aca="false">IF(B1624="","",IFERROR(INDEX(Plan!$B$5:$B$44,MATCH(B1624,Plan!$A$5:$A$44,0))&amp;"","Kategori yok"))</f>
        <v/>
      </c>
    </row>
    <row r="1625" customFormat="false" ht="15" hidden="false" customHeight="false" outlineLevel="0" collapsed="false">
      <c r="A1625" s="12"/>
      <c r="B1625" s="13"/>
      <c r="C1625" s="14"/>
      <c r="D1625" s="13"/>
      <c r="E1625" s="15" t="str">
        <f aca="false">IF(B1625="","",IFERROR(INDEX(Plan!$B$5:$B$44,MATCH(B1625,Plan!$A$5:$A$44,0))&amp;"","Kategori yok"))</f>
        <v/>
      </c>
    </row>
    <row r="1626" customFormat="false" ht="15" hidden="false" customHeight="false" outlineLevel="0" collapsed="false">
      <c r="A1626" s="12"/>
      <c r="B1626" s="13"/>
      <c r="C1626" s="14"/>
      <c r="D1626" s="13"/>
      <c r="E1626" s="15" t="str">
        <f aca="false">IF(B1626="","",IFERROR(INDEX(Plan!$B$5:$B$44,MATCH(B1626,Plan!$A$5:$A$44,0))&amp;"","Kategori yok"))</f>
        <v/>
      </c>
    </row>
    <row r="1627" customFormat="false" ht="15" hidden="false" customHeight="false" outlineLevel="0" collapsed="false">
      <c r="A1627" s="12"/>
      <c r="B1627" s="13"/>
      <c r="C1627" s="14"/>
      <c r="D1627" s="13"/>
      <c r="E1627" s="15" t="str">
        <f aca="false">IF(B1627="","",IFERROR(INDEX(Plan!$B$5:$B$44,MATCH(B1627,Plan!$A$5:$A$44,0))&amp;"","Kategori yok"))</f>
        <v/>
      </c>
    </row>
    <row r="1628" customFormat="false" ht="15" hidden="false" customHeight="false" outlineLevel="0" collapsed="false">
      <c r="A1628" s="12"/>
      <c r="B1628" s="13"/>
      <c r="C1628" s="14"/>
      <c r="D1628" s="13"/>
      <c r="E1628" s="15" t="str">
        <f aca="false">IF(B1628="","",IFERROR(INDEX(Plan!$B$5:$B$44,MATCH(B1628,Plan!$A$5:$A$44,0))&amp;"","Kategori yok"))</f>
        <v/>
      </c>
    </row>
    <row r="1629" customFormat="false" ht="15" hidden="false" customHeight="false" outlineLevel="0" collapsed="false">
      <c r="A1629" s="12"/>
      <c r="B1629" s="13"/>
      <c r="C1629" s="14"/>
      <c r="D1629" s="13"/>
      <c r="E1629" s="15" t="str">
        <f aca="false">IF(B1629="","",IFERROR(INDEX(Plan!$B$5:$B$44,MATCH(B1629,Plan!$A$5:$A$44,0))&amp;"","Kategori yok"))</f>
        <v/>
      </c>
    </row>
    <row r="1630" customFormat="false" ht="15" hidden="false" customHeight="false" outlineLevel="0" collapsed="false">
      <c r="A1630" s="12"/>
      <c r="B1630" s="13"/>
      <c r="C1630" s="14"/>
      <c r="D1630" s="13"/>
      <c r="E1630" s="15" t="str">
        <f aca="false">IF(B1630="","",IFERROR(INDEX(Plan!$B$5:$B$44,MATCH(B1630,Plan!$A$5:$A$44,0))&amp;"","Kategori yok"))</f>
        <v/>
      </c>
    </row>
    <row r="1631" customFormat="false" ht="15" hidden="false" customHeight="false" outlineLevel="0" collapsed="false">
      <c r="A1631" s="12"/>
      <c r="B1631" s="13"/>
      <c r="C1631" s="14"/>
      <c r="D1631" s="13"/>
      <c r="E1631" s="15" t="str">
        <f aca="false">IF(B1631="","",IFERROR(INDEX(Plan!$B$5:$B$44,MATCH(B1631,Plan!$A$5:$A$44,0))&amp;"","Kategori yok"))</f>
        <v/>
      </c>
    </row>
    <row r="1632" customFormat="false" ht="15" hidden="false" customHeight="false" outlineLevel="0" collapsed="false">
      <c r="A1632" s="12"/>
      <c r="B1632" s="13"/>
      <c r="C1632" s="14"/>
      <c r="D1632" s="13"/>
      <c r="E1632" s="15" t="str">
        <f aca="false">IF(B1632="","",IFERROR(INDEX(Plan!$B$5:$B$44,MATCH(B1632,Plan!$A$5:$A$44,0))&amp;"","Kategori yok"))</f>
        <v/>
      </c>
    </row>
    <row r="1633" customFormat="false" ht="15" hidden="false" customHeight="false" outlineLevel="0" collapsed="false">
      <c r="A1633" s="12"/>
      <c r="B1633" s="13"/>
      <c r="C1633" s="14"/>
      <c r="D1633" s="13"/>
      <c r="E1633" s="15" t="str">
        <f aca="false">IF(B1633="","",IFERROR(INDEX(Plan!$B$5:$B$44,MATCH(B1633,Plan!$A$5:$A$44,0))&amp;"","Kategori yok"))</f>
        <v/>
      </c>
    </row>
    <row r="1634" customFormat="false" ht="15" hidden="false" customHeight="false" outlineLevel="0" collapsed="false">
      <c r="A1634" s="12"/>
      <c r="B1634" s="13"/>
      <c r="C1634" s="14"/>
      <c r="D1634" s="13"/>
      <c r="E1634" s="15" t="str">
        <f aca="false">IF(B1634="","",IFERROR(INDEX(Plan!$B$5:$B$44,MATCH(B1634,Plan!$A$5:$A$44,0))&amp;"","Kategori yok"))</f>
        <v/>
      </c>
    </row>
    <row r="1635" customFormat="false" ht="15" hidden="false" customHeight="false" outlineLevel="0" collapsed="false">
      <c r="A1635" s="12"/>
      <c r="B1635" s="13"/>
      <c r="C1635" s="14"/>
      <c r="D1635" s="13"/>
      <c r="E1635" s="15" t="str">
        <f aca="false">IF(B1635="","",IFERROR(INDEX(Plan!$B$5:$B$44,MATCH(B1635,Plan!$A$5:$A$44,0))&amp;"","Kategori yok"))</f>
        <v/>
      </c>
    </row>
    <row r="1636" customFormat="false" ht="15" hidden="false" customHeight="false" outlineLevel="0" collapsed="false">
      <c r="A1636" s="12"/>
      <c r="B1636" s="13"/>
      <c r="C1636" s="14"/>
      <c r="D1636" s="13"/>
      <c r="E1636" s="15" t="str">
        <f aca="false">IF(B1636="","",IFERROR(INDEX(Plan!$B$5:$B$44,MATCH(B1636,Plan!$A$5:$A$44,0))&amp;"","Kategori yok"))</f>
        <v/>
      </c>
    </row>
    <row r="1637" customFormat="false" ht="15" hidden="false" customHeight="false" outlineLevel="0" collapsed="false">
      <c r="A1637" s="12"/>
      <c r="B1637" s="13"/>
      <c r="C1637" s="14"/>
      <c r="D1637" s="13"/>
      <c r="E1637" s="15" t="str">
        <f aca="false">IF(B1637="","",IFERROR(INDEX(Plan!$B$5:$B$44,MATCH(B1637,Plan!$A$5:$A$44,0))&amp;"","Kategori yok"))</f>
        <v/>
      </c>
    </row>
    <row r="1638" customFormat="false" ht="15" hidden="false" customHeight="false" outlineLevel="0" collapsed="false">
      <c r="A1638" s="12"/>
      <c r="B1638" s="13"/>
      <c r="C1638" s="14"/>
      <c r="D1638" s="13"/>
      <c r="E1638" s="15" t="str">
        <f aca="false">IF(B1638="","",IFERROR(INDEX(Plan!$B$5:$B$44,MATCH(B1638,Plan!$A$5:$A$44,0))&amp;"","Kategori yok"))</f>
        <v/>
      </c>
    </row>
    <row r="1639" customFormat="false" ht="15" hidden="false" customHeight="false" outlineLevel="0" collapsed="false">
      <c r="A1639" s="12"/>
      <c r="B1639" s="13"/>
      <c r="C1639" s="14"/>
      <c r="D1639" s="13"/>
      <c r="E1639" s="15" t="str">
        <f aca="false">IF(B1639="","",IFERROR(INDEX(Plan!$B$5:$B$44,MATCH(B1639,Plan!$A$5:$A$44,0))&amp;"","Kategori yok"))</f>
        <v/>
      </c>
    </row>
    <row r="1640" customFormat="false" ht="15" hidden="false" customHeight="false" outlineLevel="0" collapsed="false">
      <c r="A1640" s="12"/>
      <c r="B1640" s="13"/>
      <c r="C1640" s="14"/>
      <c r="D1640" s="13"/>
      <c r="E1640" s="15" t="str">
        <f aca="false">IF(B1640="","",IFERROR(INDEX(Plan!$B$5:$B$44,MATCH(B1640,Plan!$A$5:$A$44,0))&amp;"","Kategori yok"))</f>
        <v/>
      </c>
    </row>
    <row r="1641" customFormat="false" ht="15" hidden="false" customHeight="false" outlineLevel="0" collapsed="false">
      <c r="A1641" s="12"/>
      <c r="B1641" s="13"/>
      <c r="C1641" s="14"/>
      <c r="D1641" s="13"/>
      <c r="E1641" s="15" t="str">
        <f aca="false">IF(B1641="","",IFERROR(INDEX(Plan!$B$5:$B$44,MATCH(B1641,Plan!$A$5:$A$44,0))&amp;"","Kategori yok"))</f>
        <v/>
      </c>
    </row>
    <row r="1642" customFormat="false" ht="15" hidden="false" customHeight="false" outlineLevel="0" collapsed="false">
      <c r="A1642" s="12"/>
      <c r="B1642" s="13"/>
      <c r="C1642" s="14"/>
      <c r="D1642" s="13"/>
      <c r="E1642" s="15" t="str">
        <f aca="false">IF(B1642="","",IFERROR(INDEX(Plan!$B$5:$B$44,MATCH(B1642,Plan!$A$5:$A$44,0))&amp;"","Kategori yok"))</f>
        <v/>
      </c>
    </row>
    <row r="1643" customFormat="false" ht="15" hidden="false" customHeight="false" outlineLevel="0" collapsed="false">
      <c r="A1643" s="12"/>
      <c r="B1643" s="13"/>
      <c r="C1643" s="14"/>
      <c r="D1643" s="13"/>
      <c r="E1643" s="15" t="str">
        <f aca="false">IF(B1643="","",IFERROR(INDEX(Plan!$B$5:$B$44,MATCH(B1643,Plan!$A$5:$A$44,0))&amp;"","Kategori yok"))</f>
        <v/>
      </c>
    </row>
    <row r="1644" customFormat="false" ht="15" hidden="false" customHeight="false" outlineLevel="0" collapsed="false">
      <c r="A1644" s="12"/>
      <c r="B1644" s="13"/>
      <c r="C1644" s="14"/>
      <c r="D1644" s="13"/>
      <c r="E1644" s="15" t="str">
        <f aca="false">IF(B1644="","",IFERROR(INDEX(Plan!$B$5:$B$44,MATCH(B1644,Plan!$A$5:$A$44,0))&amp;"","Kategori yok"))</f>
        <v/>
      </c>
    </row>
    <row r="1645" customFormat="false" ht="15" hidden="false" customHeight="false" outlineLevel="0" collapsed="false">
      <c r="A1645" s="12"/>
      <c r="B1645" s="13"/>
      <c r="C1645" s="14"/>
      <c r="D1645" s="13"/>
      <c r="E1645" s="15" t="str">
        <f aca="false">IF(B1645="","",IFERROR(INDEX(Plan!$B$5:$B$44,MATCH(B1645,Plan!$A$5:$A$44,0))&amp;"","Kategori yok"))</f>
        <v/>
      </c>
    </row>
    <row r="1646" customFormat="false" ht="15" hidden="false" customHeight="false" outlineLevel="0" collapsed="false">
      <c r="A1646" s="12"/>
      <c r="B1646" s="13"/>
      <c r="C1646" s="14"/>
      <c r="D1646" s="13"/>
      <c r="E1646" s="15" t="str">
        <f aca="false">IF(B1646="","",IFERROR(INDEX(Plan!$B$5:$B$44,MATCH(B1646,Plan!$A$5:$A$44,0))&amp;"","Kategori yok"))</f>
        <v/>
      </c>
    </row>
    <row r="1647" customFormat="false" ht="15" hidden="false" customHeight="false" outlineLevel="0" collapsed="false">
      <c r="A1647" s="12"/>
      <c r="B1647" s="13"/>
      <c r="C1647" s="14"/>
      <c r="D1647" s="13"/>
      <c r="E1647" s="15" t="str">
        <f aca="false">IF(B1647="","",IFERROR(INDEX(Plan!$B$5:$B$44,MATCH(B1647,Plan!$A$5:$A$44,0))&amp;"","Kategori yok"))</f>
        <v/>
      </c>
    </row>
    <row r="1648" customFormat="false" ht="15" hidden="false" customHeight="false" outlineLevel="0" collapsed="false">
      <c r="A1648" s="12"/>
      <c r="B1648" s="13"/>
      <c r="C1648" s="14"/>
      <c r="D1648" s="13"/>
      <c r="E1648" s="15" t="str">
        <f aca="false">IF(B1648="","",IFERROR(INDEX(Plan!$B$5:$B$44,MATCH(B1648,Plan!$A$5:$A$44,0))&amp;"","Kategori yok"))</f>
        <v/>
      </c>
    </row>
    <row r="1649" customFormat="false" ht="15" hidden="false" customHeight="false" outlineLevel="0" collapsed="false">
      <c r="A1649" s="12"/>
      <c r="B1649" s="13"/>
      <c r="C1649" s="14"/>
      <c r="D1649" s="13"/>
      <c r="E1649" s="15" t="str">
        <f aca="false">IF(B1649="","",IFERROR(INDEX(Plan!$B$5:$B$44,MATCH(B1649,Plan!$A$5:$A$44,0))&amp;"","Kategori yok"))</f>
        <v/>
      </c>
    </row>
    <row r="1650" customFormat="false" ht="15" hidden="false" customHeight="false" outlineLevel="0" collapsed="false">
      <c r="A1650" s="12"/>
      <c r="B1650" s="13"/>
      <c r="C1650" s="14"/>
      <c r="D1650" s="13"/>
      <c r="E1650" s="15" t="str">
        <f aca="false">IF(B1650="","",IFERROR(INDEX(Plan!$B$5:$B$44,MATCH(B1650,Plan!$A$5:$A$44,0))&amp;"","Kategori yok"))</f>
        <v/>
      </c>
    </row>
    <row r="1651" customFormat="false" ht="15" hidden="false" customHeight="false" outlineLevel="0" collapsed="false">
      <c r="A1651" s="12"/>
      <c r="B1651" s="13"/>
      <c r="C1651" s="14"/>
      <c r="D1651" s="13"/>
      <c r="E1651" s="15" t="str">
        <f aca="false">IF(B1651="","",IFERROR(INDEX(Plan!$B$5:$B$44,MATCH(B1651,Plan!$A$5:$A$44,0))&amp;"","Kategori yok"))</f>
        <v/>
      </c>
    </row>
    <row r="1652" customFormat="false" ht="15" hidden="false" customHeight="false" outlineLevel="0" collapsed="false">
      <c r="A1652" s="12"/>
      <c r="B1652" s="13"/>
      <c r="C1652" s="14"/>
      <c r="D1652" s="13"/>
      <c r="E1652" s="15" t="str">
        <f aca="false">IF(B1652="","",IFERROR(INDEX(Plan!$B$5:$B$44,MATCH(B1652,Plan!$A$5:$A$44,0))&amp;"","Kategori yok"))</f>
        <v/>
      </c>
    </row>
    <row r="1653" customFormat="false" ht="15" hidden="false" customHeight="false" outlineLevel="0" collapsed="false">
      <c r="A1653" s="12"/>
      <c r="B1653" s="13"/>
      <c r="C1653" s="14"/>
      <c r="D1653" s="13"/>
      <c r="E1653" s="15" t="str">
        <f aca="false">IF(B1653="","",IFERROR(INDEX(Plan!$B$5:$B$44,MATCH(B1653,Plan!$A$5:$A$44,0))&amp;"","Kategori yok"))</f>
        <v/>
      </c>
    </row>
    <row r="1654" customFormat="false" ht="15" hidden="false" customHeight="false" outlineLevel="0" collapsed="false">
      <c r="A1654" s="12"/>
      <c r="B1654" s="13"/>
      <c r="C1654" s="14"/>
      <c r="D1654" s="13"/>
      <c r="E1654" s="15" t="str">
        <f aca="false">IF(B1654="","",IFERROR(INDEX(Plan!$B$5:$B$44,MATCH(B1654,Plan!$A$5:$A$44,0))&amp;"","Kategori yok"))</f>
        <v/>
      </c>
    </row>
    <row r="1655" customFormat="false" ht="15" hidden="false" customHeight="false" outlineLevel="0" collapsed="false">
      <c r="A1655" s="12"/>
      <c r="B1655" s="13"/>
      <c r="C1655" s="14"/>
      <c r="D1655" s="13"/>
      <c r="E1655" s="15" t="str">
        <f aca="false">IF(B1655="","",IFERROR(INDEX(Plan!$B$5:$B$44,MATCH(B1655,Plan!$A$5:$A$44,0))&amp;"","Kategori yok"))</f>
        <v/>
      </c>
    </row>
    <row r="1656" customFormat="false" ht="15" hidden="false" customHeight="false" outlineLevel="0" collapsed="false">
      <c r="A1656" s="12"/>
      <c r="B1656" s="13"/>
      <c r="C1656" s="14"/>
      <c r="D1656" s="13"/>
      <c r="E1656" s="15" t="str">
        <f aca="false">IF(B1656="","",IFERROR(INDEX(Plan!$B$5:$B$44,MATCH(B1656,Plan!$A$5:$A$44,0))&amp;"","Kategori yok"))</f>
        <v/>
      </c>
    </row>
    <row r="1657" customFormat="false" ht="15" hidden="false" customHeight="false" outlineLevel="0" collapsed="false">
      <c r="A1657" s="12"/>
      <c r="B1657" s="13"/>
      <c r="C1657" s="14"/>
      <c r="D1657" s="13"/>
      <c r="E1657" s="15" t="str">
        <f aca="false">IF(B1657="","",IFERROR(INDEX(Plan!$B$5:$B$44,MATCH(B1657,Plan!$A$5:$A$44,0))&amp;"","Kategori yok"))</f>
        <v/>
      </c>
    </row>
    <row r="1658" customFormat="false" ht="15" hidden="false" customHeight="false" outlineLevel="0" collapsed="false">
      <c r="A1658" s="12"/>
      <c r="B1658" s="13"/>
      <c r="C1658" s="14"/>
      <c r="D1658" s="13"/>
      <c r="E1658" s="15" t="str">
        <f aca="false">IF(B1658="","",IFERROR(INDEX(Plan!$B$5:$B$44,MATCH(B1658,Plan!$A$5:$A$44,0))&amp;"","Kategori yok"))</f>
        <v/>
      </c>
    </row>
    <row r="1659" customFormat="false" ht="15" hidden="false" customHeight="false" outlineLevel="0" collapsed="false">
      <c r="A1659" s="12"/>
      <c r="B1659" s="13"/>
      <c r="C1659" s="14"/>
      <c r="D1659" s="13"/>
      <c r="E1659" s="15" t="str">
        <f aca="false">IF(B1659="","",IFERROR(INDEX(Plan!$B$5:$B$44,MATCH(B1659,Plan!$A$5:$A$44,0))&amp;"","Kategori yok"))</f>
        <v/>
      </c>
    </row>
    <row r="1660" customFormat="false" ht="15" hidden="false" customHeight="false" outlineLevel="0" collapsed="false">
      <c r="A1660" s="12"/>
      <c r="B1660" s="13"/>
      <c r="C1660" s="14"/>
      <c r="D1660" s="13"/>
      <c r="E1660" s="15" t="str">
        <f aca="false">IF(B1660="","",IFERROR(INDEX(Plan!$B$5:$B$44,MATCH(B1660,Plan!$A$5:$A$44,0))&amp;"","Kategori yok"))</f>
        <v/>
      </c>
    </row>
    <row r="1661" customFormat="false" ht="15" hidden="false" customHeight="false" outlineLevel="0" collapsed="false">
      <c r="A1661" s="12"/>
      <c r="B1661" s="13"/>
      <c r="C1661" s="14"/>
      <c r="D1661" s="13"/>
      <c r="E1661" s="15" t="str">
        <f aca="false">IF(B1661="","",IFERROR(INDEX(Plan!$B$5:$B$44,MATCH(B1661,Plan!$A$5:$A$44,0))&amp;"","Kategori yok"))</f>
        <v/>
      </c>
    </row>
    <row r="1662" customFormat="false" ht="15" hidden="false" customHeight="false" outlineLevel="0" collapsed="false">
      <c r="A1662" s="12"/>
      <c r="B1662" s="13"/>
      <c r="C1662" s="14"/>
      <c r="D1662" s="13"/>
      <c r="E1662" s="15" t="str">
        <f aca="false">IF(B1662="","",IFERROR(INDEX(Plan!$B$5:$B$44,MATCH(B1662,Plan!$A$5:$A$44,0))&amp;"","Kategori yok"))</f>
        <v/>
      </c>
    </row>
    <row r="1663" customFormat="false" ht="15" hidden="false" customHeight="false" outlineLevel="0" collapsed="false">
      <c r="A1663" s="12"/>
      <c r="B1663" s="13"/>
      <c r="C1663" s="14"/>
      <c r="D1663" s="13"/>
      <c r="E1663" s="15" t="str">
        <f aca="false">IF(B1663="","",IFERROR(INDEX(Plan!$B$5:$B$44,MATCH(B1663,Plan!$A$5:$A$44,0))&amp;"","Kategori yok"))</f>
        <v/>
      </c>
    </row>
    <row r="1664" customFormat="false" ht="15" hidden="false" customHeight="false" outlineLevel="0" collapsed="false">
      <c r="A1664" s="12"/>
      <c r="B1664" s="13"/>
      <c r="C1664" s="14"/>
      <c r="D1664" s="13"/>
      <c r="E1664" s="15" t="str">
        <f aca="false">IF(B1664="","",IFERROR(INDEX(Plan!$B$5:$B$44,MATCH(B1664,Plan!$A$5:$A$44,0))&amp;"","Kategori yok"))</f>
        <v/>
      </c>
    </row>
    <row r="1665" customFormat="false" ht="15" hidden="false" customHeight="false" outlineLevel="0" collapsed="false">
      <c r="A1665" s="12"/>
      <c r="B1665" s="13"/>
      <c r="C1665" s="14"/>
      <c r="D1665" s="13"/>
      <c r="E1665" s="15" t="str">
        <f aca="false">IF(B1665="","",IFERROR(INDEX(Plan!$B$5:$B$44,MATCH(B1665,Plan!$A$5:$A$44,0))&amp;"","Kategori yok"))</f>
        <v/>
      </c>
    </row>
    <row r="1666" customFormat="false" ht="15" hidden="false" customHeight="false" outlineLevel="0" collapsed="false">
      <c r="A1666" s="12"/>
      <c r="B1666" s="13"/>
      <c r="C1666" s="14"/>
      <c r="D1666" s="13"/>
      <c r="E1666" s="15" t="str">
        <f aca="false">IF(B1666="","",IFERROR(INDEX(Plan!$B$5:$B$44,MATCH(B1666,Plan!$A$5:$A$44,0))&amp;"","Kategori yok"))</f>
        <v/>
      </c>
    </row>
    <row r="1667" customFormat="false" ht="15" hidden="false" customHeight="false" outlineLevel="0" collapsed="false">
      <c r="A1667" s="12"/>
      <c r="B1667" s="13"/>
      <c r="C1667" s="14"/>
      <c r="D1667" s="13"/>
      <c r="E1667" s="15" t="str">
        <f aca="false">IF(B1667="","",IFERROR(INDEX(Plan!$B$5:$B$44,MATCH(B1667,Plan!$A$5:$A$44,0))&amp;"","Kategori yok"))</f>
        <v/>
      </c>
    </row>
    <row r="1668" customFormat="false" ht="15" hidden="false" customHeight="false" outlineLevel="0" collapsed="false">
      <c r="A1668" s="12"/>
      <c r="B1668" s="13"/>
      <c r="C1668" s="14"/>
      <c r="D1668" s="13"/>
      <c r="E1668" s="15" t="str">
        <f aca="false">IF(B1668="","",IFERROR(INDEX(Plan!$B$5:$B$44,MATCH(B1668,Plan!$A$5:$A$44,0))&amp;"","Kategori yok"))</f>
        <v/>
      </c>
    </row>
    <row r="1669" customFormat="false" ht="15" hidden="false" customHeight="false" outlineLevel="0" collapsed="false">
      <c r="A1669" s="12"/>
      <c r="B1669" s="13"/>
      <c r="C1669" s="14"/>
      <c r="D1669" s="13"/>
      <c r="E1669" s="15" t="str">
        <f aca="false">IF(B1669="","",IFERROR(INDEX(Plan!$B$5:$B$44,MATCH(B1669,Plan!$A$5:$A$44,0))&amp;"","Kategori yok"))</f>
        <v/>
      </c>
    </row>
    <row r="1670" customFormat="false" ht="15" hidden="false" customHeight="false" outlineLevel="0" collapsed="false">
      <c r="A1670" s="12"/>
      <c r="B1670" s="13"/>
      <c r="C1670" s="14"/>
      <c r="D1670" s="13"/>
      <c r="E1670" s="15" t="str">
        <f aca="false">IF(B1670="","",IFERROR(INDEX(Plan!$B$5:$B$44,MATCH(B1670,Plan!$A$5:$A$44,0))&amp;"","Kategori yok"))</f>
        <v/>
      </c>
    </row>
    <row r="1671" customFormat="false" ht="15" hidden="false" customHeight="false" outlineLevel="0" collapsed="false">
      <c r="A1671" s="12"/>
      <c r="B1671" s="13"/>
      <c r="C1671" s="14"/>
      <c r="D1671" s="13"/>
      <c r="E1671" s="15" t="str">
        <f aca="false">IF(B1671="","",IFERROR(INDEX(Plan!$B$5:$B$44,MATCH(B1671,Plan!$A$5:$A$44,0))&amp;"","Kategori yok"))</f>
        <v/>
      </c>
    </row>
    <row r="1672" customFormat="false" ht="15" hidden="false" customHeight="false" outlineLevel="0" collapsed="false">
      <c r="A1672" s="12"/>
      <c r="B1672" s="13"/>
      <c r="C1672" s="14"/>
      <c r="D1672" s="13"/>
      <c r="E1672" s="15" t="str">
        <f aca="false">IF(B1672="","",IFERROR(INDEX(Plan!$B$5:$B$44,MATCH(B1672,Plan!$A$5:$A$44,0))&amp;"","Kategori yok"))</f>
        <v/>
      </c>
    </row>
    <row r="1673" customFormat="false" ht="15" hidden="false" customHeight="false" outlineLevel="0" collapsed="false">
      <c r="A1673" s="12"/>
      <c r="B1673" s="13"/>
      <c r="C1673" s="14"/>
      <c r="D1673" s="13"/>
      <c r="E1673" s="15" t="str">
        <f aca="false">IF(B1673="","",IFERROR(INDEX(Plan!$B$5:$B$44,MATCH(B1673,Plan!$A$5:$A$44,0))&amp;"","Kategori yok"))</f>
        <v/>
      </c>
    </row>
    <row r="1674" customFormat="false" ht="15" hidden="false" customHeight="false" outlineLevel="0" collapsed="false">
      <c r="A1674" s="12"/>
      <c r="B1674" s="13"/>
      <c r="C1674" s="14"/>
      <c r="D1674" s="13"/>
      <c r="E1674" s="15" t="str">
        <f aca="false">IF(B1674="","",IFERROR(INDEX(Plan!$B$5:$B$44,MATCH(B1674,Plan!$A$5:$A$44,0))&amp;"","Kategori yok"))</f>
        <v/>
      </c>
    </row>
    <row r="1675" customFormat="false" ht="15" hidden="false" customHeight="false" outlineLevel="0" collapsed="false">
      <c r="A1675" s="12"/>
      <c r="B1675" s="13"/>
      <c r="C1675" s="14"/>
      <c r="D1675" s="13"/>
      <c r="E1675" s="15" t="str">
        <f aca="false">IF(B1675="","",IFERROR(INDEX(Plan!$B$5:$B$44,MATCH(B1675,Plan!$A$5:$A$44,0))&amp;"","Kategori yok"))</f>
        <v/>
      </c>
    </row>
    <row r="1676" customFormat="false" ht="15" hidden="false" customHeight="false" outlineLevel="0" collapsed="false">
      <c r="A1676" s="12"/>
      <c r="B1676" s="13"/>
      <c r="C1676" s="14"/>
      <c r="D1676" s="13"/>
      <c r="E1676" s="15" t="str">
        <f aca="false">IF(B1676="","",IFERROR(INDEX(Plan!$B$5:$B$44,MATCH(B1676,Plan!$A$5:$A$44,0))&amp;"","Kategori yok"))</f>
        <v/>
      </c>
    </row>
    <row r="1677" customFormat="false" ht="15" hidden="false" customHeight="false" outlineLevel="0" collapsed="false">
      <c r="A1677" s="12"/>
      <c r="B1677" s="13"/>
      <c r="C1677" s="14"/>
      <c r="D1677" s="13"/>
      <c r="E1677" s="15" t="str">
        <f aca="false">IF(B1677="","",IFERROR(INDEX(Plan!$B$5:$B$44,MATCH(B1677,Plan!$A$5:$A$44,0))&amp;"","Kategori yok"))</f>
        <v/>
      </c>
    </row>
    <row r="1678" customFormat="false" ht="15" hidden="false" customHeight="false" outlineLevel="0" collapsed="false">
      <c r="A1678" s="12"/>
      <c r="B1678" s="13"/>
      <c r="C1678" s="14"/>
      <c r="D1678" s="13"/>
      <c r="E1678" s="15" t="str">
        <f aca="false">IF(B1678="","",IFERROR(INDEX(Plan!$B$5:$B$44,MATCH(B1678,Plan!$A$5:$A$44,0))&amp;"","Kategori yok"))</f>
        <v/>
      </c>
    </row>
    <row r="1679" customFormat="false" ht="15" hidden="false" customHeight="false" outlineLevel="0" collapsed="false">
      <c r="A1679" s="12"/>
      <c r="B1679" s="13"/>
      <c r="C1679" s="14"/>
      <c r="D1679" s="13"/>
      <c r="E1679" s="15" t="str">
        <f aca="false">IF(B1679="","",IFERROR(INDEX(Plan!$B$5:$B$44,MATCH(B1679,Plan!$A$5:$A$44,0))&amp;"","Kategori yok"))</f>
        <v/>
      </c>
    </row>
    <row r="1680" customFormat="false" ht="15" hidden="false" customHeight="false" outlineLevel="0" collapsed="false">
      <c r="A1680" s="12"/>
      <c r="B1680" s="13"/>
      <c r="C1680" s="14"/>
      <c r="D1680" s="13"/>
      <c r="E1680" s="15" t="str">
        <f aca="false">IF(B1680="","",IFERROR(INDEX(Plan!$B$5:$B$44,MATCH(B1680,Plan!$A$5:$A$44,0))&amp;"","Kategori yok"))</f>
        <v/>
      </c>
    </row>
    <row r="1681" customFormat="false" ht="15" hidden="false" customHeight="false" outlineLevel="0" collapsed="false">
      <c r="A1681" s="12"/>
      <c r="B1681" s="13"/>
      <c r="C1681" s="14"/>
      <c r="D1681" s="13"/>
      <c r="E1681" s="15" t="str">
        <f aca="false">IF(B1681="","",IFERROR(INDEX(Plan!$B$5:$B$44,MATCH(B1681,Plan!$A$5:$A$44,0))&amp;"","Kategori yok"))</f>
        <v/>
      </c>
    </row>
    <row r="1682" customFormat="false" ht="15" hidden="false" customHeight="false" outlineLevel="0" collapsed="false">
      <c r="A1682" s="12"/>
      <c r="B1682" s="13"/>
      <c r="C1682" s="14"/>
      <c r="D1682" s="13"/>
      <c r="E1682" s="15" t="str">
        <f aca="false">IF(B1682="","",IFERROR(INDEX(Plan!$B$5:$B$44,MATCH(B1682,Plan!$A$5:$A$44,0))&amp;"","Kategori yok"))</f>
        <v/>
      </c>
    </row>
    <row r="1683" customFormat="false" ht="15" hidden="false" customHeight="false" outlineLevel="0" collapsed="false">
      <c r="A1683" s="12"/>
      <c r="B1683" s="13"/>
      <c r="C1683" s="14"/>
      <c r="D1683" s="13"/>
      <c r="E1683" s="15" t="str">
        <f aca="false">IF(B1683="","",IFERROR(INDEX(Plan!$B$5:$B$44,MATCH(B1683,Plan!$A$5:$A$44,0))&amp;"","Kategori yok"))</f>
        <v/>
      </c>
    </row>
    <row r="1684" customFormat="false" ht="15" hidden="false" customHeight="false" outlineLevel="0" collapsed="false">
      <c r="A1684" s="12"/>
      <c r="B1684" s="13"/>
      <c r="C1684" s="14"/>
      <c r="D1684" s="13"/>
      <c r="E1684" s="15" t="str">
        <f aca="false">IF(B1684="","",IFERROR(INDEX(Plan!$B$5:$B$44,MATCH(B1684,Plan!$A$5:$A$44,0))&amp;"","Kategori yok"))</f>
        <v/>
      </c>
    </row>
    <row r="1685" customFormat="false" ht="15" hidden="false" customHeight="false" outlineLevel="0" collapsed="false">
      <c r="A1685" s="12"/>
      <c r="B1685" s="13"/>
      <c r="C1685" s="14"/>
      <c r="D1685" s="13"/>
      <c r="E1685" s="15" t="str">
        <f aca="false">IF(B1685="","",IFERROR(INDEX(Plan!$B$5:$B$44,MATCH(B1685,Plan!$A$5:$A$44,0))&amp;"","Kategori yok"))</f>
        <v/>
      </c>
    </row>
    <row r="1686" customFormat="false" ht="15" hidden="false" customHeight="false" outlineLevel="0" collapsed="false">
      <c r="A1686" s="12"/>
      <c r="B1686" s="13"/>
      <c r="C1686" s="14"/>
      <c r="D1686" s="13"/>
      <c r="E1686" s="15" t="str">
        <f aca="false">IF(B1686="","",IFERROR(INDEX(Plan!$B$5:$B$44,MATCH(B1686,Plan!$A$5:$A$44,0))&amp;"","Kategori yok"))</f>
        <v/>
      </c>
    </row>
    <row r="1687" customFormat="false" ht="15" hidden="false" customHeight="false" outlineLevel="0" collapsed="false">
      <c r="A1687" s="12"/>
      <c r="B1687" s="13"/>
      <c r="C1687" s="14"/>
      <c r="D1687" s="13"/>
      <c r="E1687" s="15" t="str">
        <f aca="false">IF(B1687="","",IFERROR(INDEX(Plan!$B$5:$B$44,MATCH(B1687,Plan!$A$5:$A$44,0))&amp;"","Kategori yok"))</f>
        <v/>
      </c>
    </row>
    <row r="1688" customFormat="false" ht="15" hidden="false" customHeight="false" outlineLevel="0" collapsed="false">
      <c r="A1688" s="12"/>
      <c r="B1688" s="13"/>
      <c r="C1688" s="14"/>
      <c r="D1688" s="13"/>
      <c r="E1688" s="15" t="str">
        <f aca="false">IF(B1688="","",IFERROR(INDEX(Plan!$B$5:$B$44,MATCH(B1688,Plan!$A$5:$A$44,0))&amp;"","Kategori yok"))</f>
        <v/>
      </c>
    </row>
    <row r="1689" customFormat="false" ht="15" hidden="false" customHeight="false" outlineLevel="0" collapsed="false">
      <c r="A1689" s="12"/>
      <c r="B1689" s="13"/>
      <c r="C1689" s="14"/>
      <c r="D1689" s="13"/>
      <c r="E1689" s="15" t="str">
        <f aca="false">IF(B1689="","",IFERROR(INDEX(Plan!$B$5:$B$44,MATCH(B1689,Plan!$A$5:$A$44,0))&amp;"","Kategori yok"))</f>
        <v/>
      </c>
    </row>
    <row r="1690" customFormat="false" ht="15" hidden="false" customHeight="false" outlineLevel="0" collapsed="false">
      <c r="A1690" s="12"/>
      <c r="B1690" s="13"/>
      <c r="C1690" s="14"/>
      <c r="D1690" s="13"/>
      <c r="E1690" s="15" t="str">
        <f aca="false">IF(B1690="","",IFERROR(INDEX(Plan!$B$5:$B$44,MATCH(B1690,Plan!$A$5:$A$44,0))&amp;"","Kategori yok"))</f>
        <v/>
      </c>
    </row>
    <row r="1691" customFormat="false" ht="15" hidden="false" customHeight="false" outlineLevel="0" collapsed="false">
      <c r="A1691" s="12"/>
      <c r="B1691" s="13"/>
      <c r="C1691" s="14"/>
      <c r="D1691" s="13"/>
      <c r="E1691" s="15" t="str">
        <f aca="false">IF(B1691="","",IFERROR(INDEX(Plan!$B$5:$B$44,MATCH(B1691,Plan!$A$5:$A$44,0))&amp;"","Kategori yok"))</f>
        <v/>
      </c>
    </row>
    <row r="1692" customFormat="false" ht="15" hidden="false" customHeight="false" outlineLevel="0" collapsed="false">
      <c r="A1692" s="12"/>
      <c r="B1692" s="13"/>
      <c r="C1692" s="14"/>
      <c r="D1692" s="13"/>
      <c r="E1692" s="15" t="str">
        <f aca="false">IF(B1692="","",IFERROR(INDEX(Plan!$B$5:$B$44,MATCH(B1692,Plan!$A$5:$A$44,0))&amp;"","Kategori yok"))</f>
        <v/>
      </c>
    </row>
    <row r="1693" customFormat="false" ht="15" hidden="false" customHeight="false" outlineLevel="0" collapsed="false">
      <c r="A1693" s="12"/>
      <c r="B1693" s="13"/>
      <c r="C1693" s="14"/>
      <c r="D1693" s="13"/>
      <c r="E1693" s="15" t="str">
        <f aca="false">IF(B1693="","",IFERROR(INDEX(Plan!$B$5:$B$44,MATCH(B1693,Plan!$A$5:$A$44,0))&amp;"","Kategori yok"))</f>
        <v/>
      </c>
    </row>
    <row r="1694" customFormat="false" ht="15" hidden="false" customHeight="false" outlineLevel="0" collapsed="false">
      <c r="A1694" s="12"/>
      <c r="B1694" s="13"/>
      <c r="C1694" s="14"/>
      <c r="D1694" s="13"/>
      <c r="E1694" s="15" t="str">
        <f aca="false">IF(B1694="","",IFERROR(INDEX(Plan!$B$5:$B$44,MATCH(B1694,Plan!$A$5:$A$44,0))&amp;"","Kategori yok"))</f>
        <v/>
      </c>
    </row>
    <row r="1695" customFormat="false" ht="15" hidden="false" customHeight="false" outlineLevel="0" collapsed="false">
      <c r="A1695" s="12"/>
      <c r="B1695" s="13"/>
      <c r="C1695" s="14"/>
      <c r="D1695" s="13"/>
      <c r="E1695" s="15" t="str">
        <f aca="false">IF(B1695="","",IFERROR(INDEX(Plan!$B$5:$B$44,MATCH(B1695,Plan!$A$5:$A$44,0))&amp;"","Kategori yok"))</f>
        <v/>
      </c>
    </row>
    <row r="1696" customFormat="false" ht="15" hidden="false" customHeight="false" outlineLevel="0" collapsed="false">
      <c r="A1696" s="12"/>
      <c r="B1696" s="13"/>
      <c r="C1696" s="14"/>
      <c r="D1696" s="13"/>
      <c r="E1696" s="15" t="str">
        <f aca="false">IF(B1696="","",IFERROR(INDEX(Plan!$B$5:$B$44,MATCH(B1696,Plan!$A$5:$A$44,0))&amp;"","Kategori yok"))</f>
        <v/>
      </c>
    </row>
    <row r="1697" customFormat="false" ht="15" hidden="false" customHeight="false" outlineLevel="0" collapsed="false">
      <c r="A1697" s="12"/>
      <c r="B1697" s="13"/>
      <c r="C1697" s="14"/>
      <c r="D1697" s="13"/>
      <c r="E1697" s="15" t="str">
        <f aca="false">IF(B1697="","",IFERROR(INDEX(Plan!$B$5:$B$44,MATCH(B1697,Plan!$A$5:$A$44,0))&amp;"","Kategori yok"))</f>
        <v/>
      </c>
    </row>
    <row r="1698" customFormat="false" ht="15" hidden="false" customHeight="false" outlineLevel="0" collapsed="false">
      <c r="A1698" s="12"/>
      <c r="B1698" s="13"/>
      <c r="C1698" s="14"/>
      <c r="D1698" s="13"/>
      <c r="E1698" s="15" t="str">
        <f aca="false">IF(B1698="","",IFERROR(INDEX(Plan!$B$5:$B$44,MATCH(B1698,Plan!$A$5:$A$44,0))&amp;"","Kategori yok"))</f>
        <v/>
      </c>
    </row>
    <row r="1699" customFormat="false" ht="15" hidden="false" customHeight="false" outlineLevel="0" collapsed="false">
      <c r="A1699" s="12"/>
      <c r="B1699" s="13"/>
      <c r="C1699" s="14"/>
      <c r="D1699" s="13"/>
      <c r="E1699" s="15" t="str">
        <f aca="false">IF(B1699="","",IFERROR(INDEX(Plan!$B$5:$B$44,MATCH(B1699,Plan!$A$5:$A$44,0))&amp;"","Kategori yok"))</f>
        <v/>
      </c>
    </row>
    <row r="1700" customFormat="false" ht="15" hidden="false" customHeight="false" outlineLevel="0" collapsed="false">
      <c r="A1700" s="12"/>
      <c r="B1700" s="13"/>
      <c r="C1700" s="14"/>
      <c r="D1700" s="13"/>
      <c r="E1700" s="15" t="str">
        <f aca="false">IF(B1700="","",IFERROR(INDEX(Plan!$B$5:$B$44,MATCH(B1700,Plan!$A$5:$A$44,0))&amp;"","Kategori yok"))</f>
        <v/>
      </c>
    </row>
    <row r="1701" customFormat="false" ht="15" hidden="false" customHeight="false" outlineLevel="0" collapsed="false">
      <c r="A1701" s="12"/>
      <c r="B1701" s="13"/>
      <c r="C1701" s="14"/>
      <c r="D1701" s="13"/>
      <c r="E1701" s="15" t="str">
        <f aca="false">IF(B1701="","",IFERROR(INDEX(Plan!$B$5:$B$44,MATCH(B1701,Plan!$A$5:$A$44,0))&amp;"","Kategori yok"))</f>
        <v/>
      </c>
    </row>
    <row r="1702" customFormat="false" ht="15" hidden="false" customHeight="false" outlineLevel="0" collapsed="false">
      <c r="A1702" s="12"/>
      <c r="B1702" s="13"/>
      <c r="C1702" s="14"/>
      <c r="D1702" s="13"/>
      <c r="E1702" s="15" t="str">
        <f aca="false">IF(B1702="","",IFERROR(INDEX(Plan!$B$5:$B$44,MATCH(B1702,Plan!$A$5:$A$44,0))&amp;"","Kategori yok"))</f>
        <v/>
      </c>
    </row>
    <row r="1703" customFormat="false" ht="15" hidden="false" customHeight="false" outlineLevel="0" collapsed="false">
      <c r="A1703" s="12"/>
      <c r="B1703" s="13"/>
      <c r="C1703" s="14"/>
      <c r="D1703" s="13"/>
      <c r="E1703" s="15" t="str">
        <f aca="false">IF(B1703="","",IFERROR(INDEX(Plan!$B$5:$B$44,MATCH(B1703,Plan!$A$5:$A$44,0))&amp;"","Kategori yok"))</f>
        <v/>
      </c>
    </row>
    <row r="1704" customFormat="false" ht="15" hidden="false" customHeight="false" outlineLevel="0" collapsed="false">
      <c r="A1704" s="12"/>
      <c r="B1704" s="13"/>
      <c r="C1704" s="14"/>
      <c r="D1704" s="13"/>
      <c r="E1704" s="15" t="str">
        <f aca="false">IF(B1704="","",IFERROR(INDEX(Plan!$B$5:$B$44,MATCH(B1704,Plan!$A$5:$A$44,0))&amp;"","Kategori yok"))</f>
        <v/>
      </c>
    </row>
    <row r="1705" customFormat="false" ht="15" hidden="false" customHeight="false" outlineLevel="0" collapsed="false">
      <c r="A1705" s="12"/>
      <c r="B1705" s="13"/>
      <c r="C1705" s="14"/>
      <c r="D1705" s="13"/>
      <c r="E1705" s="15" t="str">
        <f aca="false">IF(B1705="","",IFERROR(INDEX(Plan!$B$5:$B$44,MATCH(B1705,Plan!$A$5:$A$44,0))&amp;"","Kategori yok"))</f>
        <v/>
      </c>
    </row>
    <row r="1706" customFormat="false" ht="15" hidden="false" customHeight="false" outlineLevel="0" collapsed="false">
      <c r="A1706" s="12"/>
      <c r="B1706" s="13"/>
      <c r="C1706" s="14"/>
      <c r="D1706" s="13"/>
      <c r="E1706" s="15" t="str">
        <f aca="false">IF(B1706="","",IFERROR(INDEX(Plan!$B$5:$B$44,MATCH(B1706,Plan!$A$5:$A$44,0))&amp;"","Kategori yok"))</f>
        <v/>
      </c>
    </row>
    <row r="1707" customFormat="false" ht="15" hidden="false" customHeight="false" outlineLevel="0" collapsed="false">
      <c r="A1707" s="12"/>
      <c r="B1707" s="13"/>
      <c r="C1707" s="14"/>
      <c r="D1707" s="13"/>
      <c r="E1707" s="15" t="str">
        <f aca="false">IF(B1707="","",IFERROR(INDEX(Plan!$B$5:$B$44,MATCH(B1707,Plan!$A$5:$A$44,0))&amp;"","Kategori yok"))</f>
        <v/>
      </c>
    </row>
    <row r="1708" customFormat="false" ht="15" hidden="false" customHeight="false" outlineLevel="0" collapsed="false">
      <c r="A1708" s="12"/>
      <c r="B1708" s="13"/>
      <c r="C1708" s="14"/>
      <c r="D1708" s="13"/>
      <c r="E1708" s="15" t="str">
        <f aca="false">IF(B1708="","",IFERROR(INDEX(Plan!$B$5:$B$44,MATCH(B1708,Plan!$A$5:$A$44,0))&amp;"","Kategori yok"))</f>
        <v/>
      </c>
    </row>
    <row r="1709" customFormat="false" ht="15" hidden="false" customHeight="false" outlineLevel="0" collapsed="false">
      <c r="A1709" s="12"/>
      <c r="B1709" s="13"/>
      <c r="C1709" s="14"/>
      <c r="D1709" s="13"/>
      <c r="E1709" s="15" t="str">
        <f aca="false">IF(B1709="","",IFERROR(INDEX(Plan!$B$5:$B$44,MATCH(B1709,Plan!$A$5:$A$44,0))&amp;"","Kategori yok"))</f>
        <v/>
      </c>
    </row>
    <row r="1710" customFormat="false" ht="15" hidden="false" customHeight="false" outlineLevel="0" collapsed="false">
      <c r="A1710" s="12"/>
      <c r="B1710" s="13"/>
      <c r="C1710" s="14"/>
      <c r="D1710" s="13"/>
      <c r="E1710" s="15" t="str">
        <f aca="false">IF(B1710="","",IFERROR(INDEX(Plan!$B$5:$B$44,MATCH(B1710,Plan!$A$5:$A$44,0))&amp;"","Kategori yok"))</f>
        <v/>
      </c>
    </row>
    <row r="1711" customFormat="false" ht="15" hidden="false" customHeight="false" outlineLevel="0" collapsed="false">
      <c r="A1711" s="12"/>
      <c r="B1711" s="13"/>
      <c r="C1711" s="14"/>
      <c r="D1711" s="13"/>
      <c r="E1711" s="15" t="str">
        <f aca="false">IF(B1711="","",IFERROR(INDEX(Plan!$B$5:$B$44,MATCH(B1711,Plan!$A$5:$A$44,0))&amp;"","Kategori yok"))</f>
        <v/>
      </c>
    </row>
    <row r="1712" customFormat="false" ht="15" hidden="false" customHeight="false" outlineLevel="0" collapsed="false">
      <c r="A1712" s="12"/>
      <c r="B1712" s="13"/>
      <c r="C1712" s="14"/>
      <c r="D1712" s="13"/>
      <c r="E1712" s="15" t="str">
        <f aca="false">IF(B1712="","",IFERROR(INDEX(Plan!$B$5:$B$44,MATCH(B1712,Plan!$A$5:$A$44,0))&amp;"","Kategori yok"))</f>
        <v/>
      </c>
    </row>
    <row r="1713" customFormat="false" ht="15" hidden="false" customHeight="false" outlineLevel="0" collapsed="false">
      <c r="A1713" s="12"/>
      <c r="B1713" s="13"/>
      <c r="C1713" s="14"/>
      <c r="D1713" s="13"/>
      <c r="E1713" s="15" t="str">
        <f aca="false">IF(B1713="","",IFERROR(INDEX(Plan!$B$5:$B$44,MATCH(B1713,Plan!$A$5:$A$44,0))&amp;"","Kategori yok"))</f>
        <v/>
      </c>
    </row>
    <row r="1714" customFormat="false" ht="15" hidden="false" customHeight="false" outlineLevel="0" collapsed="false">
      <c r="A1714" s="12"/>
      <c r="B1714" s="13"/>
      <c r="C1714" s="14"/>
      <c r="D1714" s="13"/>
      <c r="E1714" s="15" t="str">
        <f aca="false">IF(B1714="","",IFERROR(INDEX(Plan!$B$5:$B$44,MATCH(B1714,Plan!$A$5:$A$44,0))&amp;"","Kategori yok"))</f>
        <v/>
      </c>
    </row>
    <row r="1715" customFormat="false" ht="15" hidden="false" customHeight="false" outlineLevel="0" collapsed="false">
      <c r="A1715" s="12"/>
      <c r="B1715" s="13"/>
      <c r="C1715" s="14"/>
      <c r="D1715" s="13"/>
      <c r="E1715" s="15" t="str">
        <f aca="false">IF(B1715="","",IFERROR(INDEX(Plan!$B$5:$B$44,MATCH(B1715,Plan!$A$5:$A$44,0))&amp;"","Kategori yok"))</f>
        <v/>
      </c>
    </row>
    <row r="1716" customFormat="false" ht="15" hidden="false" customHeight="false" outlineLevel="0" collapsed="false">
      <c r="A1716" s="12"/>
      <c r="B1716" s="13"/>
      <c r="C1716" s="14"/>
      <c r="D1716" s="13"/>
      <c r="E1716" s="15" t="str">
        <f aca="false">IF(B1716="","",IFERROR(INDEX(Plan!$B$5:$B$44,MATCH(B1716,Plan!$A$5:$A$44,0))&amp;"","Kategori yok"))</f>
        <v/>
      </c>
    </row>
    <row r="1717" customFormat="false" ht="15" hidden="false" customHeight="false" outlineLevel="0" collapsed="false">
      <c r="A1717" s="12"/>
      <c r="B1717" s="13"/>
      <c r="C1717" s="14"/>
      <c r="D1717" s="13"/>
      <c r="E1717" s="15" t="str">
        <f aca="false">IF(B1717="","",IFERROR(INDEX(Plan!$B$5:$B$44,MATCH(B1717,Plan!$A$5:$A$44,0))&amp;"","Kategori yok"))</f>
        <v/>
      </c>
    </row>
    <row r="1718" customFormat="false" ht="15" hidden="false" customHeight="false" outlineLevel="0" collapsed="false">
      <c r="A1718" s="12"/>
      <c r="B1718" s="13"/>
      <c r="C1718" s="14"/>
      <c r="D1718" s="13"/>
      <c r="E1718" s="15" t="str">
        <f aca="false">IF(B1718="","",IFERROR(INDEX(Plan!$B$5:$B$44,MATCH(B1718,Plan!$A$5:$A$44,0))&amp;"","Kategori yok"))</f>
        <v/>
      </c>
    </row>
    <row r="1719" customFormat="false" ht="15" hidden="false" customHeight="false" outlineLevel="0" collapsed="false">
      <c r="A1719" s="12"/>
      <c r="B1719" s="13"/>
      <c r="C1719" s="14"/>
      <c r="D1719" s="13"/>
      <c r="E1719" s="15" t="str">
        <f aca="false">IF(B1719="","",IFERROR(INDEX(Plan!$B$5:$B$44,MATCH(B1719,Plan!$A$5:$A$44,0))&amp;"","Kategori yok"))</f>
        <v/>
      </c>
    </row>
    <row r="1720" customFormat="false" ht="15" hidden="false" customHeight="false" outlineLevel="0" collapsed="false">
      <c r="A1720" s="12"/>
      <c r="B1720" s="13"/>
      <c r="C1720" s="14"/>
      <c r="D1720" s="13"/>
      <c r="E1720" s="15" t="str">
        <f aca="false">IF(B1720="","",IFERROR(INDEX(Plan!$B$5:$B$44,MATCH(B1720,Plan!$A$5:$A$44,0))&amp;"","Kategori yok"))</f>
        <v/>
      </c>
    </row>
    <row r="1721" customFormat="false" ht="15" hidden="false" customHeight="false" outlineLevel="0" collapsed="false">
      <c r="A1721" s="12"/>
      <c r="B1721" s="13"/>
      <c r="C1721" s="14"/>
      <c r="D1721" s="13"/>
      <c r="E1721" s="15" t="str">
        <f aca="false">IF(B1721="","",IFERROR(INDEX(Plan!$B$5:$B$44,MATCH(B1721,Plan!$A$5:$A$44,0))&amp;"","Kategori yok"))</f>
        <v/>
      </c>
    </row>
    <row r="1722" customFormat="false" ht="15" hidden="false" customHeight="false" outlineLevel="0" collapsed="false">
      <c r="A1722" s="12"/>
      <c r="B1722" s="13"/>
      <c r="C1722" s="14"/>
      <c r="D1722" s="13"/>
      <c r="E1722" s="15" t="str">
        <f aca="false">IF(B1722="","",IFERROR(INDEX(Plan!$B$5:$B$44,MATCH(B1722,Plan!$A$5:$A$44,0))&amp;"","Kategori yok"))</f>
        <v/>
      </c>
    </row>
    <row r="1723" customFormat="false" ht="15" hidden="false" customHeight="false" outlineLevel="0" collapsed="false">
      <c r="A1723" s="12"/>
      <c r="B1723" s="13"/>
      <c r="C1723" s="14"/>
      <c r="D1723" s="13"/>
      <c r="E1723" s="15" t="str">
        <f aca="false">IF(B1723="","",IFERROR(INDEX(Plan!$B$5:$B$44,MATCH(B1723,Plan!$A$5:$A$44,0))&amp;"","Kategori yok"))</f>
        <v/>
      </c>
    </row>
    <row r="1724" customFormat="false" ht="15" hidden="false" customHeight="false" outlineLevel="0" collapsed="false">
      <c r="A1724" s="12"/>
      <c r="B1724" s="13"/>
      <c r="C1724" s="14"/>
      <c r="D1724" s="13"/>
      <c r="E1724" s="15" t="str">
        <f aca="false">IF(B1724="","",IFERROR(INDEX(Plan!$B$5:$B$44,MATCH(B1724,Plan!$A$5:$A$44,0))&amp;"","Kategori yok"))</f>
        <v/>
      </c>
    </row>
    <row r="1725" customFormat="false" ht="15" hidden="false" customHeight="false" outlineLevel="0" collapsed="false">
      <c r="A1725" s="12"/>
      <c r="B1725" s="13"/>
      <c r="C1725" s="14"/>
      <c r="D1725" s="13"/>
      <c r="E1725" s="15" t="str">
        <f aca="false">IF(B1725="","",IFERROR(INDEX(Plan!$B$5:$B$44,MATCH(B1725,Plan!$A$5:$A$44,0))&amp;"","Kategori yok"))</f>
        <v/>
      </c>
    </row>
    <row r="1726" customFormat="false" ht="15" hidden="false" customHeight="false" outlineLevel="0" collapsed="false">
      <c r="A1726" s="12"/>
      <c r="B1726" s="13"/>
      <c r="C1726" s="14"/>
      <c r="D1726" s="13"/>
      <c r="E1726" s="15" t="str">
        <f aca="false">IF(B1726="","",IFERROR(INDEX(Plan!$B$5:$B$44,MATCH(B1726,Plan!$A$5:$A$44,0))&amp;"","Kategori yok"))</f>
        <v/>
      </c>
    </row>
    <row r="1727" customFormat="false" ht="15" hidden="false" customHeight="false" outlineLevel="0" collapsed="false">
      <c r="A1727" s="12"/>
      <c r="B1727" s="13"/>
      <c r="C1727" s="14"/>
      <c r="D1727" s="13"/>
      <c r="E1727" s="15" t="str">
        <f aca="false">IF(B1727="","",IFERROR(INDEX(Plan!$B$5:$B$44,MATCH(B1727,Plan!$A$5:$A$44,0))&amp;"","Kategori yok"))</f>
        <v/>
      </c>
    </row>
    <row r="1728" customFormat="false" ht="15" hidden="false" customHeight="false" outlineLevel="0" collapsed="false">
      <c r="A1728" s="12"/>
      <c r="B1728" s="13"/>
      <c r="C1728" s="14"/>
      <c r="D1728" s="13"/>
      <c r="E1728" s="15" t="str">
        <f aca="false">IF(B1728="","",IFERROR(INDEX(Plan!$B$5:$B$44,MATCH(B1728,Plan!$A$5:$A$44,0))&amp;"","Kategori yok"))</f>
        <v/>
      </c>
    </row>
    <row r="1729" customFormat="false" ht="15" hidden="false" customHeight="false" outlineLevel="0" collapsed="false">
      <c r="A1729" s="12"/>
      <c r="B1729" s="13"/>
      <c r="C1729" s="14"/>
      <c r="D1729" s="13"/>
      <c r="E1729" s="15" t="str">
        <f aca="false">IF(B1729="","",IFERROR(INDEX(Plan!$B$5:$B$44,MATCH(B1729,Plan!$A$5:$A$44,0))&amp;"","Kategori yok"))</f>
        <v/>
      </c>
    </row>
    <row r="1730" customFormat="false" ht="15" hidden="false" customHeight="false" outlineLevel="0" collapsed="false">
      <c r="A1730" s="12"/>
      <c r="B1730" s="13"/>
      <c r="C1730" s="14"/>
      <c r="D1730" s="13"/>
      <c r="E1730" s="15" t="str">
        <f aca="false">IF(B1730="","",IFERROR(INDEX(Plan!$B$5:$B$44,MATCH(B1730,Plan!$A$5:$A$44,0))&amp;"","Kategori yok"))</f>
        <v/>
      </c>
    </row>
    <row r="1731" customFormat="false" ht="15" hidden="false" customHeight="false" outlineLevel="0" collapsed="false">
      <c r="A1731" s="12"/>
      <c r="B1731" s="13"/>
      <c r="C1731" s="14"/>
      <c r="D1731" s="13"/>
      <c r="E1731" s="15" t="str">
        <f aca="false">IF(B1731="","",IFERROR(INDEX(Plan!$B$5:$B$44,MATCH(B1731,Plan!$A$5:$A$44,0))&amp;"","Kategori yok"))</f>
        <v/>
      </c>
    </row>
    <row r="1732" customFormat="false" ht="15" hidden="false" customHeight="false" outlineLevel="0" collapsed="false">
      <c r="A1732" s="12"/>
      <c r="B1732" s="13"/>
      <c r="C1732" s="14"/>
      <c r="D1732" s="13"/>
      <c r="E1732" s="15" t="str">
        <f aca="false">IF(B1732="","",IFERROR(INDEX(Plan!$B$5:$B$44,MATCH(B1732,Plan!$A$5:$A$44,0))&amp;"","Kategori yok"))</f>
        <v/>
      </c>
    </row>
    <row r="1733" customFormat="false" ht="15" hidden="false" customHeight="false" outlineLevel="0" collapsed="false">
      <c r="A1733" s="12"/>
      <c r="B1733" s="13"/>
      <c r="C1733" s="14"/>
      <c r="D1733" s="13"/>
      <c r="E1733" s="15" t="str">
        <f aca="false">IF(B1733="","",IFERROR(INDEX(Plan!$B$5:$B$44,MATCH(B1733,Plan!$A$5:$A$44,0))&amp;"","Kategori yok"))</f>
        <v/>
      </c>
    </row>
    <row r="1734" customFormat="false" ht="15" hidden="false" customHeight="false" outlineLevel="0" collapsed="false">
      <c r="A1734" s="12"/>
      <c r="B1734" s="13"/>
      <c r="C1734" s="14"/>
      <c r="D1734" s="13"/>
      <c r="E1734" s="15" t="str">
        <f aca="false">IF(B1734="","",IFERROR(INDEX(Plan!$B$5:$B$44,MATCH(B1734,Plan!$A$5:$A$44,0))&amp;"","Kategori yok"))</f>
        <v/>
      </c>
    </row>
    <row r="1735" customFormat="false" ht="15" hidden="false" customHeight="false" outlineLevel="0" collapsed="false">
      <c r="A1735" s="12"/>
      <c r="B1735" s="13"/>
      <c r="C1735" s="14"/>
      <c r="D1735" s="13"/>
      <c r="E1735" s="15" t="str">
        <f aca="false">IF(B1735="","",IFERROR(INDEX(Plan!$B$5:$B$44,MATCH(B1735,Plan!$A$5:$A$44,0))&amp;"","Kategori yok"))</f>
        <v/>
      </c>
    </row>
    <row r="1736" customFormat="false" ht="15" hidden="false" customHeight="false" outlineLevel="0" collapsed="false">
      <c r="A1736" s="12"/>
      <c r="B1736" s="13"/>
      <c r="C1736" s="14"/>
      <c r="D1736" s="13"/>
      <c r="E1736" s="15" t="str">
        <f aca="false">IF(B1736="","",IFERROR(INDEX(Plan!$B$5:$B$44,MATCH(B1736,Plan!$A$5:$A$44,0))&amp;"","Kategori yok"))</f>
        <v/>
      </c>
    </row>
    <row r="1737" customFormat="false" ht="15" hidden="false" customHeight="false" outlineLevel="0" collapsed="false">
      <c r="A1737" s="12"/>
      <c r="B1737" s="13"/>
      <c r="C1737" s="14"/>
      <c r="D1737" s="13"/>
      <c r="E1737" s="15" t="str">
        <f aca="false">IF(B1737="","",IFERROR(INDEX(Plan!$B$5:$B$44,MATCH(B1737,Plan!$A$5:$A$44,0))&amp;"","Kategori yok"))</f>
        <v/>
      </c>
    </row>
    <row r="1738" customFormat="false" ht="15" hidden="false" customHeight="false" outlineLevel="0" collapsed="false">
      <c r="A1738" s="12"/>
      <c r="B1738" s="13"/>
      <c r="C1738" s="14"/>
      <c r="D1738" s="13"/>
      <c r="E1738" s="15" t="str">
        <f aca="false">IF(B1738="","",IFERROR(INDEX(Plan!$B$5:$B$44,MATCH(B1738,Plan!$A$5:$A$44,0))&amp;"","Kategori yok"))</f>
        <v/>
      </c>
    </row>
    <row r="1739" customFormat="false" ht="15" hidden="false" customHeight="false" outlineLevel="0" collapsed="false">
      <c r="A1739" s="12"/>
      <c r="B1739" s="13"/>
      <c r="C1739" s="14"/>
      <c r="D1739" s="13"/>
      <c r="E1739" s="15" t="str">
        <f aca="false">IF(B1739="","",IFERROR(INDEX(Plan!$B$5:$B$44,MATCH(B1739,Plan!$A$5:$A$44,0))&amp;"","Kategori yok"))</f>
        <v/>
      </c>
    </row>
    <row r="1740" customFormat="false" ht="15" hidden="false" customHeight="false" outlineLevel="0" collapsed="false">
      <c r="A1740" s="12"/>
      <c r="B1740" s="13"/>
      <c r="C1740" s="14"/>
      <c r="D1740" s="13"/>
      <c r="E1740" s="15" t="str">
        <f aca="false">IF(B1740="","",IFERROR(INDEX(Plan!$B$5:$B$44,MATCH(B1740,Plan!$A$5:$A$44,0))&amp;"","Kategori yok"))</f>
        <v/>
      </c>
    </row>
    <row r="1741" customFormat="false" ht="15" hidden="false" customHeight="false" outlineLevel="0" collapsed="false">
      <c r="A1741" s="12"/>
      <c r="B1741" s="13"/>
      <c r="C1741" s="14"/>
      <c r="D1741" s="13"/>
      <c r="E1741" s="15" t="str">
        <f aca="false">IF(B1741="","",IFERROR(INDEX(Plan!$B$5:$B$44,MATCH(B1741,Plan!$A$5:$A$44,0))&amp;"","Kategori yok"))</f>
        <v/>
      </c>
    </row>
    <row r="1742" customFormat="false" ht="15" hidden="false" customHeight="false" outlineLevel="0" collapsed="false">
      <c r="A1742" s="12"/>
      <c r="B1742" s="13"/>
      <c r="C1742" s="14"/>
      <c r="D1742" s="13"/>
      <c r="E1742" s="15" t="str">
        <f aca="false">IF(B1742="","",IFERROR(INDEX(Plan!$B$5:$B$44,MATCH(B1742,Plan!$A$5:$A$44,0))&amp;"","Kategori yok"))</f>
        <v/>
      </c>
    </row>
    <row r="1743" customFormat="false" ht="15" hidden="false" customHeight="false" outlineLevel="0" collapsed="false">
      <c r="A1743" s="12"/>
      <c r="B1743" s="13"/>
      <c r="C1743" s="14"/>
      <c r="D1743" s="13"/>
      <c r="E1743" s="15" t="str">
        <f aca="false">IF(B1743="","",IFERROR(INDEX(Plan!$B$5:$B$44,MATCH(B1743,Plan!$A$5:$A$44,0))&amp;"","Kategori yok"))</f>
        <v/>
      </c>
    </row>
    <row r="1744" customFormat="false" ht="15" hidden="false" customHeight="false" outlineLevel="0" collapsed="false">
      <c r="A1744" s="12"/>
      <c r="B1744" s="13"/>
      <c r="C1744" s="14"/>
      <c r="D1744" s="13"/>
      <c r="E1744" s="15" t="str">
        <f aca="false">IF(B1744="","",IFERROR(INDEX(Plan!$B$5:$B$44,MATCH(B1744,Plan!$A$5:$A$44,0))&amp;"","Kategori yok"))</f>
        <v/>
      </c>
    </row>
    <row r="1745" customFormat="false" ht="15" hidden="false" customHeight="false" outlineLevel="0" collapsed="false">
      <c r="A1745" s="12"/>
      <c r="B1745" s="13"/>
      <c r="C1745" s="14"/>
      <c r="D1745" s="13"/>
      <c r="E1745" s="15" t="str">
        <f aca="false">IF(B1745="","",IFERROR(INDEX(Plan!$B$5:$B$44,MATCH(B1745,Plan!$A$5:$A$44,0))&amp;"","Kategori yok"))</f>
        <v/>
      </c>
    </row>
    <row r="1746" customFormat="false" ht="15" hidden="false" customHeight="false" outlineLevel="0" collapsed="false">
      <c r="A1746" s="12"/>
      <c r="B1746" s="13"/>
      <c r="C1746" s="14"/>
      <c r="D1746" s="13"/>
      <c r="E1746" s="15" t="str">
        <f aca="false">IF(B1746="","",IFERROR(INDEX(Plan!$B$5:$B$44,MATCH(B1746,Plan!$A$5:$A$44,0))&amp;"","Kategori yok"))</f>
        <v/>
      </c>
    </row>
    <row r="1747" customFormat="false" ht="15" hidden="false" customHeight="false" outlineLevel="0" collapsed="false">
      <c r="A1747" s="12"/>
      <c r="B1747" s="13"/>
      <c r="C1747" s="14"/>
      <c r="D1747" s="13"/>
      <c r="E1747" s="15" t="str">
        <f aca="false">IF(B1747="","",IFERROR(INDEX(Plan!$B$5:$B$44,MATCH(B1747,Plan!$A$5:$A$44,0))&amp;"","Kategori yok"))</f>
        <v/>
      </c>
    </row>
    <row r="1748" customFormat="false" ht="15" hidden="false" customHeight="false" outlineLevel="0" collapsed="false">
      <c r="A1748" s="12"/>
      <c r="B1748" s="13"/>
      <c r="C1748" s="14"/>
      <c r="D1748" s="13"/>
      <c r="E1748" s="15" t="str">
        <f aca="false">IF(B1748="","",IFERROR(INDEX(Plan!$B$5:$B$44,MATCH(B1748,Plan!$A$5:$A$44,0))&amp;"","Kategori yok"))</f>
        <v/>
      </c>
    </row>
    <row r="1749" customFormat="false" ht="15" hidden="false" customHeight="false" outlineLevel="0" collapsed="false">
      <c r="A1749" s="12"/>
      <c r="B1749" s="13"/>
      <c r="C1749" s="14"/>
      <c r="D1749" s="13"/>
      <c r="E1749" s="15" t="str">
        <f aca="false">IF(B1749="","",IFERROR(INDEX(Plan!$B$5:$B$44,MATCH(B1749,Plan!$A$5:$A$44,0))&amp;"","Kategori yok"))</f>
        <v/>
      </c>
    </row>
    <row r="1750" customFormat="false" ht="15" hidden="false" customHeight="false" outlineLevel="0" collapsed="false">
      <c r="A1750" s="12"/>
      <c r="B1750" s="13"/>
      <c r="C1750" s="14"/>
      <c r="D1750" s="13"/>
      <c r="E1750" s="15" t="str">
        <f aca="false">IF(B1750="","",IFERROR(INDEX(Plan!$B$5:$B$44,MATCH(B1750,Plan!$A$5:$A$44,0))&amp;"","Kategori yok"))</f>
        <v/>
      </c>
    </row>
    <row r="1751" customFormat="false" ht="15" hidden="false" customHeight="false" outlineLevel="0" collapsed="false">
      <c r="A1751" s="12"/>
      <c r="B1751" s="13"/>
      <c r="C1751" s="14"/>
      <c r="D1751" s="13"/>
      <c r="E1751" s="15" t="str">
        <f aca="false">IF(B1751="","",IFERROR(INDEX(Plan!$B$5:$B$44,MATCH(B1751,Plan!$A$5:$A$44,0))&amp;"","Kategori yok"))</f>
        <v/>
      </c>
    </row>
    <row r="1752" customFormat="false" ht="15" hidden="false" customHeight="false" outlineLevel="0" collapsed="false">
      <c r="A1752" s="12"/>
      <c r="B1752" s="13"/>
      <c r="C1752" s="14"/>
      <c r="D1752" s="13"/>
      <c r="E1752" s="15" t="str">
        <f aca="false">IF(B1752="","",IFERROR(INDEX(Plan!$B$5:$B$44,MATCH(B1752,Plan!$A$5:$A$44,0))&amp;"","Kategori yok"))</f>
        <v/>
      </c>
    </row>
    <row r="1753" customFormat="false" ht="15" hidden="false" customHeight="false" outlineLevel="0" collapsed="false">
      <c r="A1753" s="12"/>
      <c r="B1753" s="13"/>
      <c r="C1753" s="14"/>
      <c r="D1753" s="13"/>
      <c r="E1753" s="15" t="str">
        <f aca="false">IF(B1753="","",IFERROR(INDEX(Plan!$B$5:$B$44,MATCH(B1753,Plan!$A$5:$A$44,0))&amp;"","Kategori yok"))</f>
        <v/>
      </c>
    </row>
    <row r="1754" customFormat="false" ht="15" hidden="false" customHeight="false" outlineLevel="0" collapsed="false">
      <c r="A1754" s="12"/>
      <c r="B1754" s="13"/>
      <c r="C1754" s="14"/>
      <c r="D1754" s="13"/>
      <c r="E1754" s="15" t="str">
        <f aca="false">IF(B1754="","",IFERROR(INDEX(Plan!$B$5:$B$44,MATCH(B1754,Plan!$A$5:$A$44,0))&amp;"","Kategori yok"))</f>
        <v/>
      </c>
    </row>
    <row r="1755" customFormat="false" ht="15" hidden="false" customHeight="false" outlineLevel="0" collapsed="false">
      <c r="A1755" s="12"/>
      <c r="B1755" s="13"/>
      <c r="C1755" s="14"/>
      <c r="D1755" s="13"/>
      <c r="E1755" s="15" t="str">
        <f aca="false">IF(B1755="","",IFERROR(INDEX(Plan!$B$5:$B$44,MATCH(B1755,Plan!$A$5:$A$44,0))&amp;"","Kategori yok"))</f>
        <v/>
      </c>
    </row>
    <row r="1756" customFormat="false" ht="15" hidden="false" customHeight="false" outlineLevel="0" collapsed="false">
      <c r="A1756" s="12"/>
      <c r="B1756" s="13"/>
      <c r="C1756" s="14"/>
      <c r="D1756" s="13"/>
      <c r="E1756" s="15" t="str">
        <f aca="false">IF(B1756="","",IFERROR(INDEX(Plan!$B$5:$B$44,MATCH(B1756,Plan!$A$5:$A$44,0))&amp;"","Kategori yok"))</f>
        <v/>
      </c>
    </row>
    <row r="1757" customFormat="false" ht="15" hidden="false" customHeight="false" outlineLevel="0" collapsed="false">
      <c r="A1757" s="12"/>
      <c r="B1757" s="13"/>
      <c r="C1757" s="14"/>
      <c r="D1757" s="13"/>
      <c r="E1757" s="15" t="str">
        <f aca="false">IF(B1757="","",IFERROR(INDEX(Plan!$B$5:$B$44,MATCH(B1757,Plan!$A$5:$A$44,0))&amp;"","Kategori yok"))</f>
        <v/>
      </c>
    </row>
    <row r="1758" customFormat="false" ht="15" hidden="false" customHeight="false" outlineLevel="0" collapsed="false">
      <c r="A1758" s="12"/>
      <c r="B1758" s="13"/>
      <c r="C1758" s="14"/>
      <c r="D1758" s="13"/>
      <c r="E1758" s="15" t="str">
        <f aca="false">IF(B1758="","",IFERROR(INDEX(Plan!$B$5:$B$44,MATCH(B1758,Plan!$A$5:$A$44,0))&amp;"","Kategori yok"))</f>
        <v/>
      </c>
    </row>
    <row r="1759" customFormat="false" ht="15" hidden="false" customHeight="false" outlineLevel="0" collapsed="false">
      <c r="A1759" s="12"/>
      <c r="B1759" s="13"/>
      <c r="C1759" s="14"/>
      <c r="D1759" s="13"/>
      <c r="E1759" s="15" t="str">
        <f aca="false">IF(B1759="","",IFERROR(INDEX(Plan!$B$5:$B$44,MATCH(B1759,Plan!$A$5:$A$44,0))&amp;"","Kategori yok"))</f>
        <v/>
      </c>
    </row>
    <row r="1760" customFormat="false" ht="15" hidden="false" customHeight="false" outlineLevel="0" collapsed="false">
      <c r="A1760" s="12"/>
      <c r="B1760" s="13"/>
      <c r="C1760" s="14"/>
      <c r="D1760" s="13"/>
      <c r="E1760" s="15" t="str">
        <f aca="false">IF(B1760="","",IFERROR(INDEX(Plan!$B$5:$B$44,MATCH(B1760,Plan!$A$5:$A$44,0))&amp;"","Kategori yok"))</f>
        <v/>
      </c>
    </row>
    <row r="1761" customFormat="false" ht="15" hidden="false" customHeight="false" outlineLevel="0" collapsed="false">
      <c r="A1761" s="12"/>
      <c r="B1761" s="13"/>
      <c r="C1761" s="14"/>
      <c r="D1761" s="13"/>
      <c r="E1761" s="15" t="str">
        <f aca="false">IF(B1761="","",IFERROR(INDEX(Plan!$B$5:$B$44,MATCH(B1761,Plan!$A$5:$A$44,0))&amp;"","Kategori yok"))</f>
        <v/>
      </c>
    </row>
    <row r="1762" customFormat="false" ht="15" hidden="false" customHeight="false" outlineLevel="0" collapsed="false">
      <c r="A1762" s="12"/>
      <c r="B1762" s="13"/>
      <c r="C1762" s="14"/>
      <c r="D1762" s="13"/>
      <c r="E1762" s="15" t="str">
        <f aca="false">IF(B1762="","",IFERROR(INDEX(Plan!$B$5:$B$44,MATCH(B1762,Plan!$A$5:$A$44,0))&amp;"","Kategori yok"))</f>
        <v/>
      </c>
    </row>
    <row r="1763" customFormat="false" ht="15" hidden="false" customHeight="false" outlineLevel="0" collapsed="false">
      <c r="A1763" s="12"/>
      <c r="B1763" s="13"/>
      <c r="C1763" s="14"/>
      <c r="D1763" s="13"/>
      <c r="E1763" s="15" t="str">
        <f aca="false">IF(B1763="","",IFERROR(INDEX(Plan!$B$5:$B$44,MATCH(B1763,Plan!$A$5:$A$44,0))&amp;"","Kategori yok"))</f>
        <v/>
      </c>
    </row>
    <row r="1764" customFormat="false" ht="15" hidden="false" customHeight="false" outlineLevel="0" collapsed="false">
      <c r="A1764" s="12"/>
      <c r="B1764" s="13"/>
      <c r="C1764" s="14"/>
      <c r="D1764" s="13"/>
      <c r="E1764" s="15" t="str">
        <f aca="false">IF(B1764="","",IFERROR(INDEX(Plan!$B$5:$B$44,MATCH(B1764,Plan!$A$5:$A$44,0))&amp;"","Kategori yok"))</f>
        <v/>
      </c>
    </row>
    <row r="1765" customFormat="false" ht="15" hidden="false" customHeight="false" outlineLevel="0" collapsed="false">
      <c r="A1765" s="12"/>
      <c r="B1765" s="13"/>
      <c r="C1765" s="14"/>
      <c r="D1765" s="13"/>
      <c r="E1765" s="15" t="str">
        <f aca="false">IF(B1765="","",IFERROR(INDEX(Plan!$B$5:$B$44,MATCH(B1765,Plan!$A$5:$A$44,0))&amp;"","Kategori yok"))</f>
        <v/>
      </c>
    </row>
    <row r="1766" customFormat="false" ht="15" hidden="false" customHeight="false" outlineLevel="0" collapsed="false">
      <c r="A1766" s="12"/>
      <c r="B1766" s="13"/>
      <c r="C1766" s="14"/>
      <c r="D1766" s="13"/>
      <c r="E1766" s="15" t="str">
        <f aca="false">IF(B1766="","",IFERROR(INDEX(Plan!$B$5:$B$44,MATCH(B1766,Plan!$A$5:$A$44,0))&amp;"","Kategori yok"))</f>
        <v/>
      </c>
    </row>
    <row r="1767" customFormat="false" ht="15" hidden="false" customHeight="false" outlineLevel="0" collapsed="false">
      <c r="A1767" s="12"/>
      <c r="B1767" s="13"/>
      <c r="C1767" s="14"/>
      <c r="D1767" s="13"/>
      <c r="E1767" s="15" t="str">
        <f aca="false">IF(B1767="","",IFERROR(INDEX(Plan!$B$5:$B$44,MATCH(B1767,Plan!$A$5:$A$44,0))&amp;"","Kategori yok"))</f>
        <v/>
      </c>
    </row>
    <row r="1768" customFormat="false" ht="15" hidden="false" customHeight="false" outlineLevel="0" collapsed="false">
      <c r="A1768" s="12"/>
      <c r="B1768" s="13"/>
      <c r="C1768" s="14"/>
      <c r="D1768" s="13"/>
      <c r="E1768" s="15" t="str">
        <f aca="false">IF(B1768="","",IFERROR(INDEX(Plan!$B$5:$B$44,MATCH(B1768,Plan!$A$5:$A$44,0))&amp;"","Kategori yok"))</f>
        <v/>
      </c>
    </row>
    <row r="1769" customFormat="false" ht="15" hidden="false" customHeight="false" outlineLevel="0" collapsed="false">
      <c r="A1769" s="12"/>
      <c r="B1769" s="13"/>
      <c r="C1769" s="14"/>
      <c r="D1769" s="13"/>
      <c r="E1769" s="15" t="str">
        <f aca="false">IF(B1769="","",IFERROR(INDEX(Plan!$B$5:$B$44,MATCH(B1769,Plan!$A$5:$A$44,0))&amp;"","Kategori yok"))</f>
        <v/>
      </c>
    </row>
    <row r="1770" customFormat="false" ht="15" hidden="false" customHeight="false" outlineLevel="0" collapsed="false">
      <c r="A1770" s="12"/>
      <c r="B1770" s="13"/>
      <c r="C1770" s="14"/>
      <c r="D1770" s="13"/>
      <c r="E1770" s="15" t="str">
        <f aca="false">IF(B1770="","",IFERROR(INDEX(Plan!$B$5:$B$44,MATCH(B1770,Plan!$A$5:$A$44,0))&amp;"","Kategori yok"))</f>
        <v/>
      </c>
    </row>
    <row r="1771" customFormat="false" ht="15" hidden="false" customHeight="false" outlineLevel="0" collapsed="false">
      <c r="A1771" s="12"/>
      <c r="B1771" s="13"/>
      <c r="C1771" s="14"/>
      <c r="D1771" s="13"/>
      <c r="E1771" s="15" t="str">
        <f aca="false">IF(B1771="","",IFERROR(INDEX(Plan!$B$5:$B$44,MATCH(B1771,Plan!$A$5:$A$44,0))&amp;"","Kategori yok"))</f>
        <v/>
      </c>
    </row>
    <row r="1772" customFormat="false" ht="15" hidden="false" customHeight="false" outlineLevel="0" collapsed="false">
      <c r="A1772" s="12"/>
      <c r="B1772" s="13"/>
      <c r="C1772" s="14"/>
      <c r="D1772" s="13"/>
      <c r="E1772" s="15" t="str">
        <f aca="false">IF(B1772="","",IFERROR(INDEX(Plan!$B$5:$B$44,MATCH(B1772,Plan!$A$5:$A$44,0))&amp;"","Kategori yok"))</f>
        <v/>
      </c>
    </row>
    <row r="1773" customFormat="false" ht="15" hidden="false" customHeight="false" outlineLevel="0" collapsed="false">
      <c r="A1773" s="12"/>
      <c r="B1773" s="13"/>
      <c r="C1773" s="14"/>
      <c r="D1773" s="13"/>
      <c r="E1773" s="15" t="str">
        <f aca="false">IF(B1773="","",IFERROR(INDEX(Plan!$B$5:$B$44,MATCH(B1773,Plan!$A$5:$A$44,0))&amp;"","Kategori yok"))</f>
        <v/>
      </c>
    </row>
    <row r="1774" customFormat="false" ht="15" hidden="false" customHeight="false" outlineLevel="0" collapsed="false">
      <c r="A1774" s="12"/>
      <c r="B1774" s="13"/>
      <c r="C1774" s="14"/>
      <c r="D1774" s="13"/>
      <c r="E1774" s="15" t="str">
        <f aca="false">IF(B1774="","",IFERROR(INDEX(Plan!$B$5:$B$44,MATCH(B1774,Plan!$A$5:$A$44,0))&amp;"","Kategori yok"))</f>
        <v/>
      </c>
    </row>
    <row r="1775" customFormat="false" ht="15" hidden="false" customHeight="false" outlineLevel="0" collapsed="false">
      <c r="A1775" s="12"/>
      <c r="B1775" s="13"/>
      <c r="C1775" s="14"/>
      <c r="D1775" s="13"/>
      <c r="E1775" s="15" t="str">
        <f aca="false">IF(B1775="","",IFERROR(INDEX(Plan!$B$5:$B$44,MATCH(B1775,Plan!$A$5:$A$44,0))&amp;"","Kategori yok"))</f>
        <v/>
      </c>
    </row>
    <row r="1776" customFormat="false" ht="15" hidden="false" customHeight="false" outlineLevel="0" collapsed="false">
      <c r="A1776" s="12"/>
      <c r="B1776" s="13"/>
      <c r="C1776" s="14"/>
      <c r="D1776" s="13"/>
      <c r="E1776" s="15" t="str">
        <f aca="false">IF(B1776="","",IFERROR(INDEX(Plan!$B$5:$B$44,MATCH(B1776,Plan!$A$5:$A$44,0))&amp;"","Kategori yok"))</f>
        <v/>
      </c>
    </row>
    <row r="1777" customFormat="false" ht="15" hidden="false" customHeight="false" outlineLevel="0" collapsed="false">
      <c r="A1777" s="12"/>
      <c r="B1777" s="13"/>
      <c r="C1777" s="14"/>
      <c r="D1777" s="13"/>
      <c r="E1777" s="15" t="str">
        <f aca="false">IF(B1777="","",IFERROR(INDEX(Plan!$B$5:$B$44,MATCH(B1777,Plan!$A$5:$A$44,0))&amp;"","Kategori yok"))</f>
        <v/>
      </c>
    </row>
    <row r="1778" customFormat="false" ht="15" hidden="false" customHeight="false" outlineLevel="0" collapsed="false">
      <c r="A1778" s="12"/>
      <c r="B1778" s="13"/>
      <c r="C1778" s="14"/>
      <c r="D1778" s="13"/>
      <c r="E1778" s="15" t="str">
        <f aca="false">IF(B1778="","",IFERROR(INDEX(Plan!$B$5:$B$44,MATCH(B1778,Plan!$A$5:$A$44,0))&amp;"","Kategori yok"))</f>
        <v/>
      </c>
    </row>
    <row r="1779" customFormat="false" ht="15" hidden="false" customHeight="false" outlineLevel="0" collapsed="false">
      <c r="A1779" s="12"/>
      <c r="B1779" s="13"/>
      <c r="C1779" s="14"/>
      <c r="D1779" s="13"/>
      <c r="E1779" s="15" t="str">
        <f aca="false">IF(B1779="","",IFERROR(INDEX(Plan!$B$5:$B$44,MATCH(B1779,Plan!$A$5:$A$44,0))&amp;"","Kategori yok"))</f>
        <v/>
      </c>
    </row>
    <row r="1780" customFormat="false" ht="15" hidden="false" customHeight="false" outlineLevel="0" collapsed="false">
      <c r="A1780" s="12"/>
      <c r="B1780" s="13"/>
      <c r="C1780" s="14"/>
      <c r="D1780" s="13"/>
      <c r="E1780" s="15" t="str">
        <f aca="false">IF(B1780="","",IFERROR(INDEX(Plan!$B$5:$B$44,MATCH(B1780,Plan!$A$5:$A$44,0))&amp;"","Kategori yok"))</f>
        <v/>
      </c>
    </row>
    <row r="1781" customFormat="false" ht="15" hidden="false" customHeight="false" outlineLevel="0" collapsed="false">
      <c r="A1781" s="12"/>
      <c r="B1781" s="13"/>
      <c r="C1781" s="14"/>
      <c r="D1781" s="13"/>
      <c r="E1781" s="15" t="str">
        <f aca="false">IF(B1781="","",IFERROR(INDEX(Plan!$B$5:$B$44,MATCH(B1781,Plan!$A$5:$A$44,0))&amp;"","Kategori yok"))</f>
        <v/>
      </c>
    </row>
    <row r="1782" customFormat="false" ht="15" hidden="false" customHeight="false" outlineLevel="0" collapsed="false">
      <c r="A1782" s="12"/>
      <c r="B1782" s="13"/>
      <c r="C1782" s="14"/>
      <c r="D1782" s="13"/>
      <c r="E1782" s="15" t="str">
        <f aca="false">IF(B1782="","",IFERROR(INDEX(Plan!$B$5:$B$44,MATCH(B1782,Plan!$A$5:$A$44,0))&amp;"","Kategori yok"))</f>
        <v/>
      </c>
    </row>
    <row r="1783" customFormat="false" ht="15" hidden="false" customHeight="false" outlineLevel="0" collapsed="false">
      <c r="A1783" s="12"/>
      <c r="B1783" s="13"/>
      <c r="C1783" s="14"/>
      <c r="D1783" s="13"/>
      <c r="E1783" s="15" t="str">
        <f aca="false">IF(B1783="","",IFERROR(INDEX(Plan!$B$5:$B$44,MATCH(B1783,Plan!$A$5:$A$44,0))&amp;"","Kategori yok"))</f>
        <v/>
      </c>
    </row>
    <row r="1784" customFormat="false" ht="15" hidden="false" customHeight="false" outlineLevel="0" collapsed="false">
      <c r="A1784" s="12"/>
      <c r="B1784" s="13"/>
      <c r="C1784" s="14"/>
      <c r="D1784" s="13"/>
      <c r="E1784" s="15" t="str">
        <f aca="false">IF(B1784="","",IFERROR(INDEX(Plan!$B$5:$B$44,MATCH(B1784,Plan!$A$5:$A$44,0))&amp;"","Kategori yok"))</f>
        <v/>
      </c>
    </row>
    <row r="1785" customFormat="false" ht="15" hidden="false" customHeight="false" outlineLevel="0" collapsed="false">
      <c r="A1785" s="12"/>
      <c r="B1785" s="13"/>
      <c r="C1785" s="14"/>
      <c r="D1785" s="13"/>
      <c r="E1785" s="15" t="str">
        <f aca="false">IF(B1785="","",IFERROR(INDEX(Plan!$B$5:$B$44,MATCH(B1785,Plan!$A$5:$A$44,0))&amp;"","Kategori yok"))</f>
        <v/>
      </c>
    </row>
    <row r="1786" customFormat="false" ht="15" hidden="false" customHeight="false" outlineLevel="0" collapsed="false">
      <c r="A1786" s="12"/>
      <c r="B1786" s="13"/>
      <c r="C1786" s="14"/>
      <c r="D1786" s="13"/>
      <c r="E1786" s="15" t="str">
        <f aca="false">IF(B1786="","",IFERROR(INDEX(Plan!$B$5:$B$44,MATCH(B1786,Plan!$A$5:$A$44,0))&amp;"","Kategori yok"))</f>
        <v/>
      </c>
    </row>
    <row r="1787" customFormat="false" ht="15" hidden="false" customHeight="false" outlineLevel="0" collapsed="false">
      <c r="A1787" s="12"/>
      <c r="B1787" s="13"/>
      <c r="C1787" s="14"/>
      <c r="D1787" s="13"/>
      <c r="E1787" s="15" t="str">
        <f aca="false">IF(B1787="","",IFERROR(INDEX(Plan!$B$5:$B$44,MATCH(B1787,Plan!$A$5:$A$44,0))&amp;"","Kategori yok"))</f>
        <v/>
      </c>
    </row>
    <row r="1788" customFormat="false" ht="15" hidden="false" customHeight="false" outlineLevel="0" collapsed="false">
      <c r="A1788" s="12"/>
      <c r="B1788" s="13"/>
      <c r="C1788" s="14"/>
      <c r="D1788" s="13"/>
      <c r="E1788" s="15" t="str">
        <f aca="false">IF(B1788="","",IFERROR(INDEX(Plan!$B$5:$B$44,MATCH(B1788,Plan!$A$5:$A$44,0))&amp;"","Kategori yok"))</f>
        <v/>
      </c>
    </row>
    <row r="1789" customFormat="false" ht="15" hidden="false" customHeight="false" outlineLevel="0" collapsed="false">
      <c r="A1789" s="12"/>
      <c r="B1789" s="13"/>
      <c r="C1789" s="14"/>
      <c r="D1789" s="13"/>
      <c r="E1789" s="15" t="str">
        <f aca="false">IF(B1789="","",IFERROR(INDEX(Plan!$B$5:$B$44,MATCH(B1789,Plan!$A$5:$A$44,0))&amp;"","Kategori yok"))</f>
        <v/>
      </c>
    </row>
    <row r="1790" customFormat="false" ht="15" hidden="false" customHeight="false" outlineLevel="0" collapsed="false">
      <c r="A1790" s="12"/>
      <c r="B1790" s="13"/>
      <c r="C1790" s="14"/>
      <c r="D1790" s="13"/>
      <c r="E1790" s="15" t="str">
        <f aca="false">IF(B1790="","",IFERROR(INDEX(Plan!$B$5:$B$44,MATCH(B1790,Plan!$A$5:$A$44,0))&amp;"","Kategori yok"))</f>
        <v/>
      </c>
    </row>
    <row r="1791" customFormat="false" ht="15" hidden="false" customHeight="false" outlineLevel="0" collapsed="false">
      <c r="A1791" s="12"/>
      <c r="B1791" s="13"/>
      <c r="C1791" s="14"/>
      <c r="D1791" s="13"/>
      <c r="E1791" s="15" t="str">
        <f aca="false">IF(B1791="","",IFERROR(INDEX(Plan!$B$5:$B$44,MATCH(B1791,Plan!$A$5:$A$44,0))&amp;"","Kategori yok"))</f>
        <v/>
      </c>
    </row>
    <row r="1792" customFormat="false" ht="15" hidden="false" customHeight="false" outlineLevel="0" collapsed="false">
      <c r="A1792" s="12"/>
      <c r="B1792" s="13"/>
      <c r="C1792" s="14"/>
      <c r="D1792" s="13"/>
      <c r="E1792" s="15" t="str">
        <f aca="false">IF(B1792="","",IFERROR(INDEX(Plan!$B$5:$B$44,MATCH(B1792,Plan!$A$5:$A$44,0))&amp;"","Kategori yok"))</f>
        <v/>
      </c>
    </row>
    <row r="1793" customFormat="false" ht="15" hidden="false" customHeight="false" outlineLevel="0" collapsed="false">
      <c r="A1793" s="12"/>
      <c r="B1793" s="13"/>
      <c r="C1793" s="14"/>
      <c r="D1793" s="13"/>
      <c r="E1793" s="15" t="str">
        <f aca="false">IF(B1793="","",IFERROR(INDEX(Plan!$B$5:$B$44,MATCH(B1793,Plan!$A$5:$A$44,0))&amp;"","Kategori yok"))</f>
        <v/>
      </c>
    </row>
    <row r="1794" customFormat="false" ht="15" hidden="false" customHeight="false" outlineLevel="0" collapsed="false">
      <c r="A1794" s="12"/>
      <c r="B1794" s="13"/>
      <c r="C1794" s="14"/>
      <c r="D1794" s="13"/>
      <c r="E1794" s="15" t="str">
        <f aca="false">IF(B1794="","",IFERROR(INDEX(Plan!$B$5:$B$44,MATCH(B1794,Plan!$A$5:$A$44,0))&amp;"","Kategori yok"))</f>
        <v/>
      </c>
    </row>
    <row r="1795" customFormat="false" ht="15" hidden="false" customHeight="false" outlineLevel="0" collapsed="false">
      <c r="A1795" s="12"/>
      <c r="B1795" s="13"/>
      <c r="C1795" s="14"/>
      <c r="D1795" s="13"/>
      <c r="E1795" s="15" t="str">
        <f aca="false">IF(B1795="","",IFERROR(INDEX(Plan!$B$5:$B$44,MATCH(B1795,Plan!$A$5:$A$44,0))&amp;"","Kategori yok"))</f>
        <v/>
      </c>
    </row>
    <row r="1796" customFormat="false" ht="15" hidden="false" customHeight="false" outlineLevel="0" collapsed="false">
      <c r="A1796" s="12"/>
      <c r="B1796" s="13"/>
      <c r="C1796" s="14"/>
      <c r="D1796" s="13"/>
      <c r="E1796" s="15" t="str">
        <f aca="false">IF(B1796="","",IFERROR(INDEX(Plan!$B$5:$B$44,MATCH(B1796,Plan!$A$5:$A$44,0))&amp;"","Kategori yok"))</f>
        <v/>
      </c>
    </row>
    <row r="1797" customFormat="false" ht="15" hidden="false" customHeight="false" outlineLevel="0" collapsed="false">
      <c r="A1797" s="12"/>
      <c r="B1797" s="13"/>
      <c r="C1797" s="14"/>
      <c r="D1797" s="13"/>
      <c r="E1797" s="15" t="str">
        <f aca="false">IF(B1797="","",IFERROR(INDEX(Plan!$B$5:$B$44,MATCH(B1797,Plan!$A$5:$A$44,0))&amp;"","Kategori yok"))</f>
        <v/>
      </c>
    </row>
    <row r="1798" customFormat="false" ht="15" hidden="false" customHeight="false" outlineLevel="0" collapsed="false">
      <c r="A1798" s="12"/>
      <c r="B1798" s="13"/>
      <c r="C1798" s="14"/>
      <c r="D1798" s="13"/>
      <c r="E1798" s="15" t="str">
        <f aca="false">IF(B1798="","",IFERROR(INDEX(Plan!$B$5:$B$44,MATCH(B1798,Plan!$A$5:$A$44,0))&amp;"","Kategori yok"))</f>
        <v/>
      </c>
    </row>
    <row r="1799" customFormat="false" ht="15" hidden="false" customHeight="false" outlineLevel="0" collapsed="false">
      <c r="A1799" s="12"/>
      <c r="B1799" s="13"/>
      <c r="C1799" s="14"/>
      <c r="D1799" s="13"/>
      <c r="E1799" s="15" t="str">
        <f aca="false">IF(B1799="","",IFERROR(INDEX(Plan!$B$5:$B$44,MATCH(B1799,Plan!$A$5:$A$44,0))&amp;"","Kategori yok"))</f>
        <v/>
      </c>
    </row>
    <row r="1800" customFormat="false" ht="15" hidden="false" customHeight="false" outlineLevel="0" collapsed="false">
      <c r="A1800" s="12"/>
      <c r="B1800" s="13"/>
      <c r="C1800" s="14"/>
      <c r="D1800" s="13"/>
      <c r="E1800" s="15" t="str">
        <f aca="false">IF(B1800="","",IFERROR(INDEX(Plan!$B$5:$B$44,MATCH(B1800,Plan!$A$5:$A$44,0))&amp;"","Kategori yok"))</f>
        <v/>
      </c>
    </row>
    <row r="1801" customFormat="false" ht="15" hidden="false" customHeight="false" outlineLevel="0" collapsed="false">
      <c r="A1801" s="12"/>
      <c r="B1801" s="13"/>
      <c r="C1801" s="14"/>
      <c r="D1801" s="13"/>
      <c r="E1801" s="15" t="str">
        <f aca="false">IF(B1801="","",IFERROR(INDEX(Plan!$B$5:$B$44,MATCH(B1801,Plan!$A$5:$A$44,0))&amp;"","Kategori yok"))</f>
        <v/>
      </c>
    </row>
    <row r="1802" customFormat="false" ht="15" hidden="false" customHeight="false" outlineLevel="0" collapsed="false">
      <c r="A1802" s="12"/>
      <c r="B1802" s="13"/>
      <c r="C1802" s="14"/>
      <c r="D1802" s="13"/>
      <c r="E1802" s="15" t="str">
        <f aca="false">IF(B1802="","",IFERROR(INDEX(Plan!$B$5:$B$44,MATCH(B1802,Plan!$A$5:$A$44,0))&amp;"","Kategori yok"))</f>
        <v/>
      </c>
    </row>
    <row r="1803" customFormat="false" ht="15" hidden="false" customHeight="false" outlineLevel="0" collapsed="false">
      <c r="A1803" s="12"/>
      <c r="B1803" s="13"/>
      <c r="C1803" s="14"/>
      <c r="D1803" s="13"/>
      <c r="E1803" s="15" t="str">
        <f aca="false">IF(B1803="","",IFERROR(INDEX(Plan!$B$5:$B$44,MATCH(B1803,Plan!$A$5:$A$44,0))&amp;"","Kategori yok"))</f>
        <v/>
      </c>
    </row>
    <row r="1804" customFormat="false" ht="15" hidden="false" customHeight="false" outlineLevel="0" collapsed="false">
      <c r="A1804" s="12"/>
      <c r="B1804" s="13"/>
      <c r="C1804" s="14"/>
      <c r="D1804" s="13"/>
      <c r="E1804" s="15" t="str">
        <f aca="false">IF(B1804="","",IFERROR(INDEX(Plan!$B$5:$B$44,MATCH(B1804,Plan!$A$5:$A$44,0))&amp;"","Kategori yok"))</f>
        <v/>
      </c>
    </row>
    <row r="1805" customFormat="false" ht="15" hidden="false" customHeight="false" outlineLevel="0" collapsed="false">
      <c r="A1805" s="12"/>
      <c r="B1805" s="13"/>
      <c r="C1805" s="14"/>
      <c r="D1805" s="13"/>
      <c r="E1805" s="15" t="str">
        <f aca="false">IF(B1805="","",IFERROR(INDEX(Plan!$B$5:$B$44,MATCH(B1805,Plan!$A$5:$A$44,0))&amp;"","Kategori yok"))</f>
        <v/>
      </c>
    </row>
    <row r="1806" customFormat="false" ht="15" hidden="false" customHeight="false" outlineLevel="0" collapsed="false">
      <c r="A1806" s="12"/>
      <c r="B1806" s="13"/>
      <c r="C1806" s="14"/>
      <c r="D1806" s="13"/>
      <c r="E1806" s="15" t="str">
        <f aca="false">IF(B1806="","",IFERROR(INDEX(Plan!$B$5:$B$44,MATCH(B1806,Plan!$A$5:$A$44,0))&amp;"","Kategori yok"))</f>
        <v/>
      </c>
    </row>
    <row r="1807" customFormat="false" ht="15" hidden="false" customHeight="false" outlineLevel="0" collapsed="false">
      <c r="A1807" s="12"/>
      <c r="B1807" s="13"/>
      <c r="C1807" s="14"/>
      <c r="D1807" s="13"/>
      <c r="E1807" s="15" t="str">
        <f aca="false">IF(B1807="","",IFERROR(INDEX(Plan!$B$5:$B$44,MATCH(B1807,Plan!$A$5:$A$44,0))&amp;"","Kategori yok"))</f>
        <v/>
      </c>
    </row>
    <row r="1808" customFormat="false" ht="15" hidden="false" customHeight="false" outlineLevel="0" collapsed="false">
      <c r="A1808" s="12"/>
      <c r="B1808" s="13"/>
      <c r="C1808" s="14"/>
      <c r="D1808" s="13"/>
      <c r="E1808" s="15" t="str">
        <f aca="false">IF(B1808="","",IFERROR(INDEX(Plan!$B$5:$B$44,MATCH(B1808,Plan!$A$5:$A$44,0))&amp;"","Kategori yok"))</f>
        <v/>
      </c>
    </row>
    <row r="1809" customFormat="false" ht="15" hidden="false" customHeight="false" outlineLevel="0" collapsed="false">
      <c r="A1809" s="12"/>
      <c r="B1809" s="13"/>
      <c r="C1809" s="14"/>
      <c r="D1809" s="13"/>
      <c r="E1809" s="15" t="str">
        <f aca="false">IF(B1809="","",IFERROR(INDEX(Plan!$B$5:$B$44,MATCH(B1809,Plan!$A$5:$A$44,0))&amp;"","Kategori yok"))</f>
        <v/>
      </c>
    </row>
    <row r="1810" customFormat="false" ht="15" hidden="false" customHeight="false" outlineLevel="0" collapsed="false">
      <c r="A1810" s="12"/>
      <c r="B1810" s="13"/>
      <c r="C1810" s="14"/>
      <c r="D1810" s="13"/>
      <c r="E1810" s="15" t="str">
        <f aca="false">IF(B1810="","",IFERROR(INDEX(Plan!$B$5:$B$44,MATCH(B1810,Plan!$A$5:$A$44,0))&amp;"","Kategori yok"))</f>
        <v/>
      </c>
    </row>
    <row r="1811" customFormat="false" ht="15" hidden="false" customHeight="false" outlineLevel="0" collapsed="false">
      <c r="A1811" s="12"/>
      <c r="B1811" s="13"/>
      <c r="C1811" s="14"/>
      <c r="D1811" s="13"/>
      <c r="E1811" s="15" t="str">
        <f aca="false">IF(B1811="","",IFERROR(INDEX(Plan!$B$5:$B$44,MATCH(B1811,Plan!$A$5:$A$44,0))&amp;"","Kategori yok"))</f>
        <v/>
      </c>
    </row>
    <row r="1812" customFormat="false" ht="15" hidden="false" customHeight="false" outlineLevel="0" collapsed="false">
      <c r="A1812" s="12"/>
      <c r="B1812" s="13"/>
      <c r="C1812" s="14"/>
      <c r="D1812" s="13"/>
      <c r="E1812" s="15" t="str">
        <f aca="false">IF(B1812="","",IFERROR(INDEX(Plan!$B$5:$B$44,MATCH(B1812,Plan!$A$5:$A$44,0))&amp;"","Kategori yok"))</f>
        <v/>
      </c>
    </row>
    <row r="1813" customFormat="false" ht="15" hidden="false" customHeight="false" outlineLevel="0" collapsed="false">
      <c r="A1813" s="12"/>
      <c r="B1813" s="13"/>
      <c r="C1813" s="14"/>
      <c r="D1813" s="13"/>
      <c r="E1813" s="15" t="str">
        <f aca="false">IF(B1813="","",IFERROR(INDEX(Plan!$B$5:$B$44,MATCH(B1813,Plan!$A$5:$A$44,0))&amp;"","Kategori yok"))</f>
        <v/>
      </c>
    </row>
    <row r="1814" customFormat="false" ht="15" hidden="false" customHeight="false" outlineLevel="0" collapsed="false">
      <c r="A1814" s="12"/>
      <c r="B1814" s="13"/>
      <c r="C1814" s="14"/>
      <c r="D1814" s="13"/>
      <c r="E1814" s="15" t="str">
        <f aca="false">IF(B1814="","",IFERROR(INDEX(Plan!$B$5:$B$44,MATCH(B1814,Plan!$A$5:$A$44,0))&amp;"","Kategori yok"))</f>
        <v/>
      </c>
    </row>
    <row r="1815" customFormat="false" ht="15" hidden="false" customHeight="false" outlineLevel="0" collapsed="false">
      <c r="A1815" s="12"/>
      <c r="B1815" s="13"/>
      <c r="C1815" s="14"/>
      <c r="D1815" s="13"/>
      <c r="E1815" s="15" t="str">
        <f aca="false">IF(B1815="","",IFERROR(INDEX(Plan!$B$5:$B$44,MATCH(B1815,Plan!$A$5:$A$44,0))&amp;"","Kategori yok"))</f>
        <v/>
      </c>
    </row>
    <row r="1816" customFormat="false" ht="15" hidden="false" customHeight="false" outlineLevel="0" collapsed="false">
      <c r="A1816" s="12"/>
      <c r="B1816" s="13"/>
      <c r="C1816" s="14"/>
      <c r="D1816" s="13"/>
      <c r="E1816" s="15" t="str">
        <f aca="false">IF(B1816="","",IFERROR(INDEX(Plan!$B$5:$B$44,MATCH(B1816,Plan!$A$5:$A$44,0))&amp;"","Kategori yok"))</f>
        <v/>
      </c>
    </row>
    <row r="1817" customFormat="false" ht="15" hidden="false" customHeight="false" outlineLevel="0" collapsed="false">
      <c r="A1817" s="12"/>
      <c r="B1817" s="13"/>
      <c r="C1817" s="14"/>
      <c r="D1817" s="13"/>
      <c r="E1817" s="15" t="str">
        <f aca="false">IF(B1817="","",IFERROR(INDEX(Plan!$B$5:$B$44,MATCH(B1817,Plan!$A$5:$A$44,0))&amp;"","Kategori yok"))</f>
        <v/>
      </c>
    </row>
    <row r="1818" customFormat="false" ht="15" hidden="false" customHeight="false" outlineLevel="0" collapsed="false">
      <c r="A1818" s="12"/>
      <c r="B1818" s="13"/>
      <c r="C1818" s="14"/>
      <c r="D1818" s="13"/>
      <c r="E1818" s="15" t="str">
        <f aca="false">IF(B1818="","",IFERROR(INDEX(Plan!$B$5:$B$44,MATCH(B1818,Plan!$A$5:$A$44,0))&amp;"","Kategori yok"))</f>
        <v/>
      </c>
    </row>
    <row r="1819" customFormat="false" ht="15" hidden="false" customHeight="false" outlineLevel="0" collapsed="false">
      <c r="A1819" s="12"/>
      <c r="B1819" s="13"/>
      <c r="C1819" s="14"/>
      <c r="D1819" s="13"/>
      <c r="E1819" s="15" t="str">
        <f aca="false">IF(B1819="","",IFERROR(INDEX(Plan!$B$5:$B$44,MATCH(B1819,Plan!$A$5:$A$44,0))&amp;"","Kategori yok"))</f>
        <v/>
      </c>
    </row>
    <row r="1820" customFormat="false" ht="15" hidden="false" customHeight="false" outlineLevel="0" collapsed="false">
      <c r="A1820" s="12"/>
      <c r="B1820" s="13"/>
      <c r="C1820" s="14"/>
      <c r="D1820" s="13"/>
      <c r="E1820" s="15" t="str">
        <f aca="false">IF(B1820="","",IFERROR(INDEX(Plan!$B$5:$B$44,MATCH(B1820,Plan!$A$5:$A$44,0))&amp;"","Kategori yok"))</f>
        <v/>
      </c>
    </row>
    <row r="1821" customFormat="false" ht="15" hidden="false" customHeight="false" outlineLevel="0" collapsed="false">
      <c r="A1821" s="12"/>
      <c r="B1821" s="13"/>
      <c r="C1821" s="14"/>
      <c r="D1821" s="13"/>
      <c r="E1821" s="15" t="str">
        <f aca="false">IF(B1821="","",IFERROR(INDEX(Plan!$B$5:$B$44,MATCH(B1821,Plan!$A$5:$A$44,0))&amp;"","Kategori yok"))</f>
        <v/>
      </c>
    </row>
    <row r="1822" customFormat="false" ht="15" hidden="false" customHeight="false" outlineLevel="0" collapsed="false">
      <c r="A1822" s="12"/>
      <c r="B1822" s="13"/>
      <c r="C1822" s="14"/>
      <c r="D1822" s="13"/>
      <c r="E1822" s="15" t="str">
        <f aca="false">IF(B1822="","",IFERROR(INDEX(Plan!$B$5:$B$44,MATCH(B1822,Plan!$A$5:$A$44,0))&amp;"","Kategori yok"))</f>
        <v/>
      </c>
    </row>
    <row r="1823" customFormat="false" ht="15" hidden="false" customHeight="false" outlineLevel="0" collapsed="false">
      <c r="A1823" s="12"/>
      <c r="B1823" s="13"/>
      <c r="C1823" s="14"/>
      <c r="D1823" s="13"/>
      <c r="E1823" s="15" t="str">
        <f aca="false">IF(B1823="","",IFERROR(INDEX(Plan!$B$5:$B$44,MATCH(B1823,Plan!$A$5:$A$44,0))&amp;"","Kategori yok"))</f>
        <v/>
      </c>
    </row>
    <row r="1824" customFormat="false" ht="15" hidden="false" customHeight="false" outlineLevel="0" collapsed="false">
      <c r="A1824" s="12"/>
      <c r="B1824" s="13"/>
      <c r="C1824" s="14"/>
      <c r="D1824" s="13"/>
      <c r="E1824" s="15" t="str">
        <f aca="false">IF(B1824="","",IFERROR(INDEX(Plan!$B$5:$B$44,MATCH(B1824,Plan!$A$5:$A$44,0))&amp;"","Kategori yok"))</f>
        <v/>
      </c>
    </row>
    <row r="1825" customFormat="false" ht="15" hidden="false" customHeight="false" outlineLevel="0" collapsed="false">
      <c r="A1825" s="12"/>
      <c r="B1825" s="13"/>
      <c r="C1825" s="14"/>
      <c r="D1825" s="13"/>
      <c r="E1825" s="15" t="str">
        <f aca="false">IF(B1825="","",IFERROR(INDEX(Plan!$B$5:$B$44,MATCH(B1825,Plan!$A$5:$A$44,0))&amp;"","Kategori yok"))</f>
        <v/>
      </c>
    </row>
    <row r="1826" customFormat="false" ht="15" hidden="false" customHeight="false" outlineLevel="0" collapsed="false">
      <c r="A1826" s="12"/>
      <c r="B1826" s="13"/>
      <c r="C1826" s="14"/>
      <c r="D1826" s="13"/>
      <c r="E1826" s="15" t="str">
        <f aca="false">IF(B1826="","",IFERROR(INDEX(Plan!$B$5:$B$44,MATCH(B1826,Plan!$A$5:$A$44,0))&amp;"","Kategori yok"))</f>
        <v/>
      </c>
    </row>
    <row r="1827" customFormat="false" ht="15" hidden="false" customHeight="false" outlineLevel="0" collapsed="false">
      <c r="A1827" s="12"/>
      <c r="B1827" s="13"/>
      <c r="C1827" s="14"/>
      <c r="D1827" s="13"/>
      <c r="E1827" s="15" t="str">
        <f aca="false">IF(B1827="","",IFERROR(INDEX(Plan!$B$5:$B$44,MATCH(B1827,Plan!$A$5:$A$44,0))&amp;"","Kategori yok"))</f>
        <v/>
      </c>
    </row>
    <row r="1828" customFormat="false" ht="15" hidden="false" customHeight="false" outlineLevel="0" collapsed="false">
      <c r="A1828" s="12"/>
      <c r="B1828" s="13"/>
      <c r="C1828" s="14"/>
      <c r="D1828" s="13"/>
      <c r="E1828" s="15" t="str">
        <f aca="false">IF(B1828="","",IFERROR(INDEX(Plan!$B$5:$B$44,MATCH(B1828,Plan!$A$5:$A$44,0))&amp;"","Kategori yok"))</f>
        <v/>
      </c>
    </row>
    <row r="1829" customFormat="false" ht="15" hidden="false" customHeight="false" outlineLevel="0" collapsed="false">
      <c r="A1829" s="12"/>
      <c r="B1829" s="13"/>
      <c r="C1829" s="14"/>
      <c r="D1829" s="13"/>
      <c r="E1829" s="15" t="str">
        <f aca="false">IF(B1829="","",IFERROR(INDEX(Plan!$B$5:$B$44,MATCH(B1829,Plan!$A$5:$A$44,0))&amp;"","Kategori yok"))</f>
        <v/>
      </c>
    </row>
    <row r="1830" customFormat="false" ht="15" hidden="false" customHeight="false" outlineLevel="0" collapsed="false">
      <c r="A1830" s="12"/>
      <c r="B1830" s="13"/>
      <c r="C1830" s="14"/>
      <c r="D1830" s="13"/>
      <c r="E1830" s="15" t="str">
        <f aca="false">IF(B1830="","",IFERROR(INDEX(Plan!$B$5:$B$44,MATCH(B1830,Plan!$A$5:$A$44,0))&amp;"","Kategori yok"))</f>
        <v/>
      </c>
    </row>
    <row r="1831" customFormat="false" ht="15" hidden="false" customHeight="false" outlineLevel="0" collapsed="false">
      <c r="A1831" s="12"/>
      <c r="B1831" s="13"/>
      <c r="C1831" s="14"/>
      <c r="D1831" s="13"/>
      <c r="E1831" s="15" t="str">
        <f aca="false">IF(B1831="","",IFERROR(INDEX(Plan!$B$5:$B$44,MATCH(B1831,Plan!$A$5:$A$44,0))&amp;"","Kategori yok"))</f>
        <v/>
      </c>
    </row>
    <row r="1832" customFormat="false" ht="15" hidden="false" customHeight="false" outlineLevel="0" collapsed="false">
      <c r="A1832" s="12"/>
      <c r="B1832" s="13"/>
      <c r="C1832" s="14"/>
      <c r="D1832" s="13"/>
      <c r="E1832" s="15" t="str">
        <f aca="false">IF(B1832="","",IFERROR(INDEX(Plan!$B$5:$B$44,MATCH(B1832,Plan!$A$5:$A$44,0))&amp;"","Kategori yok"))</f>
        <v/>
      </c>
    </row>
    <row r="1833" customFormat="false" ht="15" hidden="false" customHeight="false" outlineLevel="0" collapsed="false">
      <c r="A1833" s="12"/>
      <c r="B1833" s="13"/>
      <c r="C1833" s="14"/>
      <c r="D1833" s="13"/>
      <c r="E1833" s="15" t="str">
        <f aca="false">IF(B1833="","",IFERROR(INDEX(Plan!$B$5:$B$44,MATCH(B1833,Plan!$A$5:$A$44,0))&amp;"","Kategori yok"))</f>
        <v/>
      </c>
    </row>
    <row r="1834" customFormat="false" ht="15" hidden="false" customHeight="false" outlineLevel="0" collapsed="false">
      <c r="A1834" s="12"/>
      <c r="B1834" s="13"/>
      <c r="C1834" s="14"/>
      <c r="D1834" s="13"/>
      <c r="E1834" s="15" t="str">
        <f aca="false">IF(B1834="","",IFERROR(INDEX(Plan!$B$5:$B$44,MATCH(B1834,Plan!$A$5:$A$44,0))&amp;"","Kategori yok"))</f>
        <v/>
      </c>
    </row>
    <row r="1835" customFormat="false" ht="15" hidden="false" customHeight="false" outlineLevel="0" collapsed="false">
      <c r="A1835" s="12"/>
      <c r="B1835" s="13"/>
      <c r="C1835" s="14"/>
      <c r="D1835" s="13"/>
      <c r="E1835" s="15" t="str">
        <f aca="false">IF(B1835="","",IFERROR(INDEX(Plan!$B$5:$B$44,MATCH(B1835,Plan!$A$5:$A$44,0))&amp;"","Kategori yok"))</f>
        <v/>
      </c>
    </row>
    <row r="1836" customFormat="false" ht="15" hidden="false" customHeight="false" outlineLevel="0" collapsed="false">
      <c r="A1836" s="12"/>
      <c r="B1836" s="13"/>
      <c r="C1836" s="14"/>
      <c r="D1836" s="13"/>
      <c r="E1836" s="15" t="str">
        <f aca="false">IF(B1836="","",IFERROR(INDEX(Plan!$B$5:$B$44,MATCH(B1836,Plan!$A$5:$A$44,0))&amp;"","Kategori yok"))</f>
        <v/>
      </c>
    </row>
    <row r="1837" customFormat="false" ht="15" hidden="false" customHeight="false" outlineLevel="0" collapsed="false">
      <c r="A1837" s="12"/>
      <c r="B1837" s="13"/>
      <c r="C1837" s="14"/>
      <c r="D1837" s="13"/>
      <c r="E1837" s="15" t="str">
        <f aca="false">IF(B1837="","",IFERROR(INDEX(Plan!$B$5:$B$44,MATCH(B1837,Plan!$A$5:$A$44,0))&amp;"","Kategori yok"))</f>
        <v/>
      </c>
    </row>
    <row r="1838" customFormat="false" ht="15" hidden="false" customHeight="false" outlineLevel="0" collapsed="false">
      <c r="A1838" s="12"/>
      <c r="B1838" s="13"/>
      <c r="C1838" s="14"/>
      <c r="D1838" s="13"/>
      <c r="E1838" s="15" t="str">
        <f aca="false">IF(B1838="","",IFERROR(INDEX(Plan!$B$5:$B$44,MATCH(B1838,Plan!$A$5:$A$44,0))&amp;"","Kategori yok"))</f>
        <v/>
      </c>
    </row>
    <row r="1839" customFormat="false" ht="15" hidden="false" customHeight="false" outlineLevel="0" collapsed="false">
      <c r="A1839" s="12"/>
      <c r="B1839" s="13"/>
      <c r="C1839" s="14"/>
      <c r="D1839" s="13"/>
      <c r="E1839" s="15" t="str">
        <f aca="false">IF(B1839="","",IFERROR(INDEX(Plan!$B$5:$B$44,MATCH(B1839,Plan!$A$5:$A$44,0))&amp;"","Kategori yok"))</f>
        <v/>
      </c>
    </row>
    <row r="1840" customFormat="false" ht="15" hidden="false" customHeight="false" outlineLevel="0" collapsed="false">
      <c r="A1840" s="12"/>
      <c r="B1840" s="13"/>
      <c r="C1840" s="14"/>
      <c r="D1840" s="13"/>
      <c r="E1840" s="15" t="str">
        <f aca="false">IF(B1840="","",IFERROR(INDEX(Plan!$B$5:$B$44,MATCH(B1840,Plan!$A$5:$A$44,0))&amp;"","Kategori yok"))</f>
        <v/>
      </c>
    </row>
    <row r="1841" customFormat="false" ht="15" hidden="false" customHeight="false" outlineLevel="0" collapsed="false">
      <c r="A1841" s="12"/>
      <c r="B1841" s="13"/>
      <c r="C1841" s="14"/>
      <c r="D1841" s="13"/>
      <c r="E1841" s="15" t="str">
        <f aca="false">IF(B1841="","",IFERROR(INDEX(Plan!$B$5:$B$44,MATCH(B1841,Plan!$A$5:$A$44,0))&amp;"","Kategori yok"))</f>
        <v/>
      </c>
    </row>
    <row r="1842" customFormat="false" ht="15" hidden="false" customHeight="false" outlineLevel="0" collapsed="false">
      <c r="A1842" s="12"/>
      <c r="B1842" s="13"/>
      <c r="C1842" s="14"/>
      <c r="D1842" s="13"/>
      <c r="E1842" s="15" t="str">
        <f aca="false">IF(B1842="","",IFERROR(INDEX(Plan!$B$5:$B$44,MATCH(B1842,Plan!$A$5:$A$44,0))&amp;"","Kategori yok"))</f>
        <v/>
      </c>
    </row>
    <row r="1843" customFormat="false" ht="15" hidden="false" customHeight="false" outlineLevel="0" collapsed="false">
      <c r="A1843" s="12"/>
      <c r="B1843" s="13"/>
      <c r="C1843" s="14"/>
      <c r="D1843" s="13"/>
      <c r="E1843" s="15" t="str">
        <f aca="false">IF(B1843="","",IFERROR(INDEX(Plan!$B$5:$B$44,MATCH(B1843,Plan!$A$5:$A$44,0))&amp;"","Kategori yok"))</f>
        <v/>
      </c>
    </row>
    <row r="1844" customFormat="false" ht="15" hidden="false" customHeight="false" outlineLevel="0" collapsed="false">
      <c r="A1844" s="12"/>
      <c r="B1844" s="13"/>
      <c r="C1844" s="14"/>
      <c r="D1844" s="13"/>
      <c r="E1844" s="15" t="str">
        <f aca="false">IF(B1844="","",IFERROR(INDEX(Plan!$B$5:$B$44,MATCH(B1844,Plan!$A$5:$A$44,0))&amp;"","Kategori yok"))</f>
        <v/>
      </c>
    </row>
    <row r="1845" customFormat="false" ht="15" hidden="false" customHeight="false" outlineLevel="0" collapsed="false">
      <c r="A1845" s="12"/>
      <c r="B1845" s="13"/>
      <c r="C1845" s="14"/>
      <c r="D1845" s="13"/>
      <c r="E1845" s="15" t="str">
        <f aca="false">IF(B1845="","",IFERROR(INDEX(Plan!$B$5:$B$44,MATCH(B1845,Plan!$A$5:$A$44,0))&amp;"","Kategori yok"))</f>
        <v/>
      </c>
    </row>
    <row r="1846" customFormat="false" ht="15" hidden="false" customHeight="false" outlineLevel="0" collapsed="false">
      <c r="A1846" s="12"/>
      <c r="B1846" s="13"/>
      <c r="C1846" s="14"/>
      <c r="D1846" s="13"/>
      <c r="E1846" s="15" t="str">
        <f aca="false">IF(B1846="","",IFERROR(INDEX(Plan!$B$5:$B$44,MATCH(B1846,Plan!$A$5:$A$44,0))&amp;"","Kategori yok"))</f>
        <v/>
      </c>
    </row>
    <row r="1847" customFormat="false" ht="15" hidden="false" customHeight="false" outlineLevel="0" collapsed="false">
      <c r="A1847" s="12"/>
      <c r="B1847" s="13"/>
      <c r="C1847" s="14"/>
      <c r="D1847" s="13"/>
      <c r="E1847" s="15" t="str">
        <f aca="false">IF(B1847="","",IFERROR(INDEX(Plan!$B$5:$B$44,MATCH(B1847,Plan!$A$5:$A$44,0))&amp;"","Kategori yok"))</f>
        <v/>
      </c>
    </row>
    <row r="1848" customFormat="false" ht="15" hidden="false" customHeight="false" outlineLevel="0" collapsed="false">
      <c r="A1848" s="12"/>
      <c r="B1848" s="13"/>
      <c r="C1848" s="14"/>
      <c r="D1848" s="13"/>
      <c r="E1848" s="15" t="str">
        <f aca="false">IF(B1848="","",IFERROR(INDEX(Plan!$B$5:$B$44,MATCH(B1848,Plan!$A$5:$A$44,0))&amp;"","Kategori yok"))</f>
        <v/>
      </c>
    </row>
    <row r="1849" customFormat="false" ht="15" hidden="false" customHeight="false" outlineLevel="0" collapsed="false">
      <c r="A1849" s="12"/>
      <c r="B1849" s="13"/>
      <c r="C1849" s="14"/>
      <c r="D1849" s="13"/>
      <c r="E1849" s="15" t="str">
        <f aca="false">IF(B1849="","",IFERROR(INDEX(Plan!$B$5:$B$44,MATCH(B1849,Plan!$A$5:$A$44,0))&amp;"","Kategori yok"))</f>
        <v/>
      </c>
    </row>
    <row r="1850" customFormat="false" ht="15" hidden="false" customHeight="false" outlineLevel="0" collapsed="false">
      <c r="A1850" s="12"/>
      <c r="B1850" s="13"/>
      <c r="C1850" s="14"/>
      <c r="D1850" s="13"/>
      <c r="E1850" s="15" t="str">
        <f aca="false">IF(B1850="","",IFERROR(INDEX(Plan!$B$5:$B$44,MATCH(B1850,Plan!$A$5:$A$44,0))&amp;"","Kategori yok"))</f>
        <v/>
      </c>
    </row>
    <row r="1851" customFormat="false" ht="15" hidden="false" customHeight="false" outlineLevel="0" collapsed="false">
      <c r="A1851" s="12"/>
      <c r="B1851" s="13"/>
      <c r="C1851" s="14"/>
      <c r="D1851" s="13"/>
      <c r="E1851" s="15" t="str">
        <f aca="false">IF(B1851="","",IFERROR(INDEX(Plan!$B$5:$B$44,MATCH(B1851,Plan!$A$5:$A$44,0))&amp;"","Kategori yok"))</f>
        <v/>
      </c>
    </row>
    <row r="1852" customFormat="false" ht="15" hidden="false" customHeight="false" outlineLevel="0" collapsed="false">
      <c r="A1852" s="12"/>
      <c r="B1852" s="13"/>
      <c r="C1852" s="14"/>
      <c r="D1852" s="13"/>
      <c r="E1852" s="15" t="str">
        <f aca="false">IF(B1852="","",IFERROR(INDEX(Plan!$B$5:$B$44,MATCH(B1852,Plan!$A$5:$A$44,0))&amp;"","Kategori yok"))</f>
        <v/>
      </c>
    </row>
    <row r="1853" customFormat="false" ht="15" hidden="false" customHeight="false" outlineLevel="0" collapsed="false">
      <c r="A1853" s="12"/>
      <c r="B1853" s="13"/>
      <c r="C1853" s="14"/>
      <c r="D1853" s="13"/>
      <c r="E1853" s="15" t="str">
        <f aca="false">IF(B1853="","",IFERROR(INDEX(Plan!$B$5:$B$44,MATCH(B1853,Plan!$A$5:$A$44,0))&amp;"","Kategori yok"))</f>
        <v/>
      </c>
    </row>
    <row r="1854" customFormat="false" ht="15" hidden="false" customHeight="false" outlineLevel="0" collapsed="false">
      <c r="A1854" s="12"/>
      <c r="B1854" s="13"/>
      <c r="C1854" s="14"/>
      <c r="D1854" s="13"/>
      <c r="E1854" s="15" t="str">
        <f aca="false">IF(B1854="","",IFERROR(INDEX(Plan!$B$5:$B$44,MATCH(B1854,Plan!$A$5:$A$44,0))&amp;"","Kategori yok"))</f>
        <v/>
      </c>
    </row>
    <row r="1855" customFormat="false" ht="15" hidden="false" customHeight="false" outlineLevel="0" collapsed="false">
      <c r="A1855" s="12"/>
      <c r="B1855" s="13"/>
      <c r="C1855" s="14"/>
      <c r="D1855" s="13"/>
      <c r="E1855" s="15" t="str">
        <f aca="false">IF(B1855="","",IFERROR(INDEX(Plan!$B$5:$B$44,MATCH(B1855,Plan!$A$5:$A$44,0))&amp;"","Kategori yok"))</f>
        <v/>
      </c>
    </row>
    <row r="1856" customFormat="false" ht="15" hidden="false" customHeight="false" outlineLevel="0" collapsed="false">
      <c r="A1856" s="12"/>
      <c r="B1856" s="13"/>
      <c r="C1856" s="14"/>
      <c r="D1856" s="13"/>
      <c r="E1856" s="15" t="str">
        <f aca="false">IF(B1856="","",IFERROR(INDEX(Plan!$B$5:$B$44,MATCH(B1856,Plan!$A$5:$A$44,0))&amp;"","Kategori yok"))</f>
        <v/>
      </c>
    </row>
    <row r="1857" customFormat="false" ht="15" hidden="false" customHeight="false" outlineLevel="0" collapsed="false">
      <c r="A1857" s="12"/>
      <c r="B1857" s="13"/>
      <c r="C1857" s="14"/>
      <c r="D1857" s="13"/>
      <c r="E1857" s="15" t="str">
        <f aca="false">IF(B1857="","",IFERROR(INDEX(Plan!$B$5:$B$44,MATCH(B1857,Plan!$A$5:$A$44,0))&amp;"","Kategori yok"))</f>
        <v/>
      </c>
    </row>
    <row r="1858" customFormat="false" ht="15" hidden="false" customHeight="false" outlineLevel="0" collapsed="false">
      <c r="A1858" s="12"/>
      <c r="B1858" s="13"/>
      <c r="C1858" s="14"/>
      <c r="D1858" s="13"/>
      <c r="E1858" s="15" t="str">
        <f aca="false">IF(B1858="","",IFERROR(INDEX(Plan!$B$5:$B$44,MATCH(B1858,Plan!$A$5:$A$44,0))&amp;"","Kategori yok"))</f>
        <v/>
      </c>
    </row>
    <row r="1859" customFormat="false" ht="15" hidden="false" customHeight="false" outlineLevel="0" collapsed="false">
      <c r="A1859" s="12"/>
      <c r="B1859" s="13"/>
      <c r="C1859" s="14"/>
      <c r="D1859" s="13"/>
      <c r="E1859" s="15" t="str">
        <f aca="false">IF(B1859="","",IFERROR(INDEX(Plan!$B$5:$B$44,MATCH(B1859,Plan!$A$5:$A$44,0))&amp;"","Kategori yok"))</f>
        <v/>
      </c>
    </row>
    <row r="1860" customFormat="false" ht="15" hidden="false" customHeight="false" outlineLevel="0" collapsed="false">
      <c r="A1860" s="12"/>
      <c r="B1860" s="13"/>
      <c r="C1860" s="14"/>
      <c r="D1860" s="13"/>
      <c r="E1860" s="15" t="str">
        <f aca="false">IF(B1860="","",IFERROR(INDEX(Plan!$B$5:$B$44,MATCH(B1860,Plan!$A$5:$A$44,0))&amp;"","Kategori yok"))</f>
        <v/>
      </c>
    </row>
    <row r="1861" customFormat="false" ht="15" hidden="false" customHeight="false" outlineLevel="0" collapsed="false">
      <c r="A1861" s="12"/>
      <c r="B1861" s="13"/>
      <c r="C1861" s="14"/>
      <c r="D1861" s="13"/>
      <c r="E1861" s="15" t="str">
        <f aca="false">IF(B1861="","",IFERROR(INDEX(Plan!$B$5:$B$44,MATCH(B1861,Plan!$A$5:$A$44,0))&amp;"","Kategori yok"))</f>
        <v/>
      </c>
    </row>
    <row r="1862" customFormat="false" ht="15" hidden="false" customHeight="false" outlineLevel="0" collapsed="false">
      <c r="A1862" s="12"/>
      <c r="B1862" s="13"/>
      <c r="C1862" s="14"/>
      <c r="D1862" s="13"/>
      <c r="E1862" s="15" t="str">
        <f aca="false">IF(B1862="","",IFERROR(INDEX(Plan!$B$5:$B$44,MATCH(B1862,Plan!$A$5:$A$44,0))&amp;"","Kategori yok"))</f>
        <v/>
      </c>
    </row>
    <row r="1863" customFormat="false" ht="15" hidden="false" customHeight="false" outlineLevel="0" collapsed="false">
      <c r="A1863" s="12"/>
      <c r="B1863" s="13"/>
      <c r="C1863" s="14"/>
      <c r="D1863" s="13"/>
      <c r="E1863" s="15" t="str">
        <f aca="false">IF(B1863="","",IFERROR(INDEX(Plan!$B$5:$B$44,MATCH(B1863,Plan!$A$5:$A$44,0))&amp;"","Kategori yok"))</f>
        <v/>
      </c>
    </row>
    <row r="1864" customFormat="false" ht="15" hidden="false" customHeight="false" outlineLevel="0" collapsed="false">
      <c r="A1864" s="12"/>
      <c r="B1864" s="13"/>
      <c r="C1864" s="14"/>
      <c r="D1864" s="13"/>
      <c r="E1864" s="15" t="str">
        <f aca="false">IF(B1864="","",IFERROR(INDEX(Plan!$B$5:$B$44,MATCH(B1864,Plan!$A$5:$A$44,0))&amp;"","Kategori yok"))</f>
        <v/>
      </c>
    </row>
    <row r="1865" customFormat="false" ht="15" hidden="false" customHeight="false" outlineLevel="0" collapsed="false">
      <c r="A1865" s="12"/>
      <c r="B1865" s="13"/>
      <c r="C1865" s="14"/>
      <c r="D1865" s="13"/>
      <c r="E1865" s="15" t="str">
        <f aca="false">IF(B1865="","",IFERROR(INDEX(Plan!$B$5:$B$44,MATCH(B1865,Plan!$A$5:$A$44,0))&amp;"","Kategori yok"))</f>
        <v/>
      </c>
    </row>
    <row r="1866" customFormat="false" ht="15" hidden="false" customHeight="false" outlineLevel="0" collapsed="false">
      <c r="A1866" s="12"/>
      <c r="B1866" s="13"/>
      <c r="C1866" s="14"/>
      <c r="D1866" s="13"/>
      <c r="E1866" s="15" t="str">
        <f aca="false">IF(B1866="","",IFERROR(INDEX(Plan!$B$5:$B$44,MATCH(B1866,Plan!$A$5:$A$44,0))&amp;"","Kategori yok"))</f>
        <v/>
      </c>
    </row>
    <row r="1867" customFormat="false" ht="15" hidden="false" customHeight="false" outlineLevel="0" collapsed="false">
      <c r="A1867" s="12"/>
      <c r="B1867" s="13"/>
      <c r="C1867" s="14"/>
      <c r="D1867" s="13"/>
      <c r="E1867" s="15" t="str">
        <f aca="false">IF(B1867="","",IFERROR(INDEX(Plan!$B$5:$B$44,MATCH(B1867,Plan!$A$5:$A$44,0))&amp;"","Kategori yok"))</f>
        <v/>
      </c>
    </row>
    <row r="1868" customFormat="false" ht="15" hidden="false" customHeight="false" outlineLevel="0" collapsed="false">
      <c r="A1868" s="12"/>
      <c r="B1868" s="13"/>
      <c r="C1868" s="14"/>
      <c r="D1868" s="13"/>
      <c r="E1868" s="15" t="str">
        <f aca="false">IF(B1868="","",IFERROR(INDEX(Plan!$B$5:$B$44,MATCH(B1868,Plan!$A$5:$A$44,0))&amp;"","Kategori yok"))</f>
        <v/>
      </c>
    </row>
    <row r="1869" customFormat="false" ht="15" hidden="false" customHeight="false" outlineLevel="0" collapsed="false">
      <c r="A1869" s="12"/>
      <c r="B1869" s="13"/>
      <c r="C1869" s="14"/>
      <c r="D1869" s="13"/>
      <c r="E1869" s="15" t="str">
        <f aca="false">IF(B1869="","",IFERROR(INDEX(Plan!$B$5:$B$44,MATCH(B1869,Plan!$A$5:$A$44,0))&amp;"","Kategori yok"))</f>
        <v/>
      </c>
    </row>
    <row r="1870" customFormat="false" ht="15" hidden="false" customHeight="false" outlineLevel="0" collapsed="false">
      <c r="A1870" s="12"/>
      <c r="B1870" s="13"/>
      <c r="C1870" s="14"/>
      <c r="D1870" s="13"/>
      <c r="E1870" s="15" t="str">
        <f aca="false">IF(B1870="","",IFERROR(INDEX(Plan!$B$5:$B$44,MATCH(B1870,Plan!$A$5:$A$44,0))&amp;"","Kategori yok"))</f>
        <v/>
      </c>
    </row>
    <row r="1871" customFormat="false" ht="15" hidden="false" customHeight="false" outlineLevel="0" collapsed="false">
      <c r="A1871" s="12"/>
      <c r="B1871" s="13"/>
      <c r="C1871" s="14"/>
      <c r="D1871" s="13"/>
      <c r="E1871" s="15" t="str">
        <f aca="false">IF(B1871="","",IFERROR(INDEX(Plan!$B$5:$B$44,MATCH(B1871,Plan!$A$5:$A$44,0))&amp;"","Kategori yok"))</f>
        <v/>
      </c>
    </row>
    <row r="1872" customFormat="false" ht="15" hidden="false" customHeight="false" outlineLevel="0" collapsed="false">
      <c r="A1872" s="12"/>
      <c r="B1872" s="13"/>
      <c r="C1872" s="14"/>
      <c r="D1872" s="13"/>
      <c r="E1872" s="15" t="str">
        <f aca="false">IF(B1872="","",IFERROR(INDEX(Plan!$B$5:$B$44,MATCH(B1872,Plan!$A$5:$A$44,0))&amp;"","Kategori yok"))</f>
        <v/>
      </c>
    </row>
    <row r="1873" customFormat="false" ht="15" hidden="false" customHeight="false" outlineLevel="0" collapsed="false">
      <c r="A1873" s="12"/>
      <c r="B1873" s="13"/>
      <c r="C1873" s="14"/>
      <c r="D1873" s="13"/>
      <c r="E1873" s="15" t="str">
        <f aca="false">IF(B1873="","",IFERROR(INDEX(Plan!$B$5:$B$44,MATCH(B1873,Plan!$A$5:$A$44,0))&amp;"","Kategori yok"))</f>
        <v/>
      </c>
    </row>
    <row r="1874" customFormat="false" ht="15" hidden="false" customHeight="false" outlineLevel="0" collapsed="false">
      <c r="A1874" s="12"/>
      <c r="B1874" s="13"/>
      <c r="C1874" s="14"/>
      <c r="D1874" s="13"/>
      <c r="E1874" s="15" t="str">
        <f aca="false">IF(B1874="","",IFERROR(INDEX(Plan!$B$5:$B$44,MATCH(B1874,Plan!$A$5:$A$44,0))&amp;"","Kategori yok"))</f>
        <v/>
      </c>
    </row>
    <row r="1875" customFormat="false" ht="15" hidden="false" customHeight="false" outlineLevel="0" collapsed="false">
      <c r="A1875" s="12"/>
      <c r="B1875" s="13"/>
      <c r="C1875" s="14"/>
      <c r="D1875" s="13"/>
      <c r="E1875" s="15" t="str">
        <f aca="false">IF(B1875="","",IFERROR(INDEX(Plan!$B$5:$B$44,MATCH(B1875,Plan!$A$5:$A$44,0))&amp;"","Kategori yok"))</f>
        <v/>
      </c>
    </row>
    <row r="1876" customFormat="false" ht="15" hidden="false" customHeight="false" outlineLevel="0" collapsed="false">
      <c r="A1876" s="12"/>
      <c r="B1876" s="13"/>
      <c r="C1876" s="14"/>
      <c r="D1876" s="13"/>
      <c r="E1876" s="15" t="str">
        <f aca="false">IF(B1876="","",IFERROR(INDEX(Plan!$B$5:$B$44,MATCH(B1876,Plan!$A$5:$A$44,0))&amp;"","Kategori yok"))</f>
        <v/>
      </c>
    </row>
    <row r="1877" customFormat="false" ht="15" hidden="false" customHeight="false" outlineLevel="0" collapsed="false">
      <c r="A1877" s="12"/>
      <c r="B1877" s="13"/>
      <c r="C1877" s="14"/>
      <c r="D1877" s="13"/>
      <c r="E1877" s="15" t="str">
        <f aca="false">IF(B1877="","",IFERROR(INDEX(Plan!$B$5:$B$44,MATCH(B1877,Plan!$A$5:$A$44,0))&amp;"","Kategori yok"))</f>
        <v/>
      </c>
    </row>
    <row r="1878" customFormat="false" ht="15" hidden="false" customHeight="false" outlineLevel="0" collapsed="false">
      <c r="A1878" s="12"/>
      <c r="B1878" s="13"/>
      <c r="C1878" s="14"/>
      <c r="D1878" s="13"/>
      <c r="E1878" s="15" t="str">
        <f aca="false">IF(B1878="","",IFERROR(INDEX(Plan!$B$5:$B$44,MATCH(B1878,Plan!$A$5:$A$44,0))&amp;"","Kategori yok"))</f>
        <v/>
      </c>
    </row>
    <row r="1879" customFormat="false" ht="15" hidden="false" customHeight="false" outlineLevel="0" collapsed="false">
      <c r="A1879" s="12"/>
      <c r="B1879" s="13"/>
      <c r="C1879" s="14"/>
      <c r="D1879" s="13"/>
      <c r="E1879" s="15" t="str">
        <f aca="false">IF(B1879="","",IFERROR(INDEX(Plan!$B$5:$B$44,MATCH(B1879,Plan!$A$5:$A$44,0))&amp;"","Kategori yok"))</f>
        <v/>
      </c>
    </row>
    <row r="1880" customFormat="false" ht="15" hidden="false" customHeight="false" outlineLevel="0" collapsed="false">
      <c r="A1880" s="12"/>
      <c r="B1880" s="13"/>
      <c r="C1880" s="14"/>
      <c r="D1880" s="13"/>
      <c r="E1880" s="15" t="str">
        <f aca="false">IF(B1880="","",IFERROR(INDEX(Plan!$B$5:$B$44,MATCH(B1880,Plan!$A$5:$A$44,0))&amp;"","Kategori yok"))</f>
        <v/>
      </c>
    </row>
    <row r="1881" customFormat="false" ht="15" hidden="false" customHeight="false" outlineLevel="0" collapsed="false">
      <c r="A1881" s="12"/>
      <c r="B1881" s="13"/>
      <c r="C1881" s="14"/>
      <c r="D1881" s="13"/>
      <c r="E1881" s="15" t="str">
        <f aca="false">IF(B1881="","",IFERROR(INDEX(Plan!$B$5:$B$44,MATCH(B1881,Plan!$A$5:$A$44,0))&amp;"","Kategori yok"))</f>
        <v/>
      </c>
    </row>
    <row r="1882" customFormat="false" ht="15" hidden="false" customHeight="false" outlineLevel="0" collapsed="false">
      <c r="A1882" s="12"/>
      <c r="B1882" s="13"/>
      <c r="C1882" s="14"/>
      <c r="D1882" s="13"/>
      <c r="E1882" s="15" t="str">
        <f aca="false">IF(B1882="","",IFERROR(INDEX(Plan!$B$5:$B$44,MATCH(B1882,Plan!$A$5:$A$44,0))&amp;"","Kategori yok"))</f>
        <v/>
      </c>
    </row>
    <row r="1883" customFormat="false" ht="15" hidden="false" customHeight="false" outlineLevel="0" collapsed="false">
      <c r="A1883" s="12"/>
      <c r="B1883" s="13"/>
      <c r="C1883" s="14"/>
      <c r="D1883" s="13"/>
      <c r="E1883" s="15" t="str">
        <f aca="false">IF(B1883="","",IFERROR(INDEX(Plan!$B$5:$B$44,MATCH(B1883,Plan!$A$5:$A$44,0))&amp;"","Kategori yok"))</f>
        <v/>
      </c>
    </row>
    <row r="1884" customFormat="false" ht="15" hidden="false" customHeight="false" outlineLevel="0" collapsed="false">
      <c r="A1884" s="12"/>
      <c r="B1884" s="13"/>
      <c r="C1884" s="14"/>
      <c r="D1884" s="13"/>
      <c r="E1884" s="15" t="str">
        <f aca="false">IF(B1884="","",IFERROR(INDEX(Plan!$B$5:$B$44,MATCH(B1884,Plan!$A$5:$A$44,0))&amp;"","Kategori yok"))</f>
        <v/>
      </c>
    </row>
    <row r="1885" customFormat="false" ht="15" hidden="false" customHeight="false" outlineLevel="0" collapsed="false">
      <c r="A1885" s="12"/>
      <c r="B1885" s="13"/>
      <c r="C1885" s="14"/>
      <c r="D1885" s="13"/>
      <c r="E1885" s="15" t="str">
        <f aca="false">IF(B1885="","",IFERROR(INDEX(Plan!$B$5:$B$44,MATCH(B1885,Plan!$A$5:$A$44,0))&amp;"","Kategori yok"))</f>
        <v/>
      </c>
    </row>
    <row r="1886" customFormat="false" ht="15" hidden="false" customHeight="false" outlineLevel="0" collapsed="false">
      <c r="A1886" s="12"/>
      <c r="B1886" s="13"/>
      <c r="C1886" s="14"/>
      <c r="D1886" s="13"/>
      <c r="E1886" s="15" t="str">
        <f aca="false">IF(B1886="","",IFERROR(INDEX(Plan!$B$5:$B$44,MATCH(B1886,Plan!$A$5:$A$44,0))&amp;"","Kategori yok"))</f>
        <v/>
      </c>
    </row>
    <row r="1887" customFormat="false" ht="15" hidden="false" customHeight="false" outlineLevel="0" collapsed="false">
      <c r="A1887" s="12"/>
      <c r="B1887" s="13"/>
      <c r="C1887" s="14"/>
      <c r="D1887" s="13"/>
      <c r="E1887" s="15" t="str">
        <f aca="false">IF(B1887="","",IFERROR(INDEX(Plan!$B$5:$B$44,MATCH(B1887,Plan!$A$5:$A$44,0))&amp;"","Kategori yok"))</f>
        <v/>
      </c>
    </row>
    <row r="1888" customFormat="false" ht="15" hidden="false" customHeight="false" outlineLevel="0" collapsed="false">
      <c r="A1888" s="12"/>
      <c r="B1888" s="13"/>
      <c r="C1888" s="14"/>
      <c r="D1888" s="13"/>
      <c r="E1888" s="15" t="str">
        <f aca="false">IF(B1888="","",IFERROR(INDEX(Plan!$B$5:$B$44,MATCH(B1888,Plan!$A$5:$A$44,0))&amp;"","Kategori yok"))</f>
        <v/>
      </c>
    </row>
    <row r="1889" customFormat="false" ht="15" hidden="false" customHeight="false" outlineLevel="0" collapsed="false">
      <c r="A1889" s="12"/>
      <c r="B1889" s="13"/>
      <c r="C1889" s="14"/>
      <c r="D1889" s="13"/>
      <c r="E1889" s="15" t="str">
        <f aca="false">IF(B1889="","",IFERROR(INDEX(Plan!$B$5:$B$44,MATCH(B1889,Plan!$A$5:$A$44,0))&amp;"","Kategori yok"))</f>
        <v/>
      </c>
    </row>
    <row r="1890" customFormat="false" ht="15" hidden="false" customHeight="false" outlineLevel="0" collapsed="false">
      <c r="A1890" s="12"/>
      <c r="B1890" s="13"/>
      <c r="C1890" s="14"/>
      <c r="D1890" s="13"/>
      <c r="E1890" s="15" t="str">
        <f aca="false">IF(B1890="","",IFERROR(INDEX(Plan!$B$5:$B$44,MATCH(B1890,Plan!$A$5:$A$44,0))&amp;"","Kategori yok"))</f>
        <v/>
      </c>
    </row>
    <row r="1891" customFormat="false" ht="15" hidden="false" customHeight="false" outlineLevel="0" collapsed="false">
      <c r="A1891" s="12"/>
      <c r="B1891" s="13"/>
      <c r="C1891" s="14"/>
      <c r="D1891" s="13"/>
      <c r="E1891" s="15" t="str">
        <f aca="false">IF(B1891="","",IFERROR(INDEX(Plan!$B$5:$B$44,MATCH(B1891,Plan!$A$5:$A$44,0))&amp;"","Kategori yok"))</f>
        <v/>
      </c>
    </row>
    <row r="1892" customFormat="false" ht="15" hidden="false" customHeight="false" outlineLevel="0" collapsed="false">
      <c r="A1892" s="12"/>
      <c r="B1892" s="13"/>
      <c r="C1892" s="14"/>
      <c r="D1892" s="13"/>
      <c r="E1892" s="15" t="str">
        <f aca="false">IF(B1892="","",IFERROR(INDEX(Plan!$B$5:$B$44,MATCH(B1892,Plan!$A$5:$A$44,0))&amp;"","Kategori yok"))</f>
        <v/>
      </c>
    </row>
    <row r="1893" customFormat="false" ht="15" hidden="false" customHeight="false" outlineLevel="0" collapsed="false">
      <c r="A1893" s="12"/>
      <c r="B1893" s="13"/>
      <c r="C1893" s="14"/>
      <c r="D1893" s="13"/>
      <c r="E1893" s="15" t="str">
        <f aca="false">IF(B1893="","",IFERROR(INDEX(Plan!$B$5:$B$44,MATCH(B1893,Plan!$A$5:$A$44,0))&amp;"","Kategori yok"))</f>
        <v/>
      </c>
    </row>
    <row r="1894" customFormat="false" ht="15" hidden="false" customHeight="false" outlineLevel="0" collapsed="false">
      <c r="A1894" s="12"/>
      <c r="B1894" s="13"/>
      <c r="C1894" s="14"/>
      <c r="D1894" s="13"/>
      <c r="E1894" s="15" t="str">
        <f aca="false">IF(B1894="","",IFERROR(INDEX(Plan!$B$5:$B$44,MATCH(B1894,Plan!$A$5:$A$44,0))&amp;"","Kategori yok"))</f>
        <v/>
      </c>
    </row>
    <row r="1895" customFormat="false" ht="15" hidden="false" customHeight="false" outlineLevel="0" collapsed="false">
      <c r="A1895" s="12"/>
      <c r="B1895" s="13"/>
      <c r="C1895" s="14"/>
      <c r="D1895" s="13"/>
      <c r="E1895" s="15" t="str">
        <f aca="false">IF(B1895="","",IFERROR(INDEX(Plan!$B$5:$B$44,MATCH(B1895,Plan!$A$5:$A$44,0))&amp;"","Kategori yok"))</f>
        <v/>
      </c>
    </row>
    <row r="1896" customFormat="false" ht="15" hidden="false" customHeight="false" outlineLevel="0" collapsed="false">
      <c r="A1896" s="12"/>
      <c r="B1896" s="13"/>
      <c r="C1896" s="14"/>
      <c r="D1896" s="13"/>
      <c r="E1896" s="15" t="str">
        <f aca="false">IF(B1896="","",IFERROR(INDEX(Plan!$B$5:$B$44,MATCH(B1896,Plan!$A$5:$A$44,0))&amp;"","Kategori yok"))</f>
        <v/>
      </c>
    </row>
    <row r="1897" customFormat="false" ht="15" hidden="false" customHeight="false" outlineLevel="0" collapsed="false">
      <c r="A1897" s="12"/>
      <c r="B1897" s="13"/>
      <c r="C1897" s="14"/>
      <c r="D1897" s="13"/>
      <c r="E1897" s="15" t="str">
        <f aca="false">IF(B1897="","",IFERROR(INDEX(Plan!$B$5:$B$44,MATCH(B1897,Plan!$A$5:$A$44,0))&amp;"","Kategori yok"))</f>
        <v/>
      </c>
    </row>
    <row r="1898" customFormat="false" ht="15" hidden="false" customHeight="false" outlineLevel="0" collapsed="false">
      <c r="A1898" s="12"/>
      <c r="B1898" s="13"/>
      <c r="C1898" s="14"/>
      <c r="D1898" s="13"/>
      <c r="E1898" s="15" t="str">
        <f aca="false">IF(B1898="","",IFERROR(INDEX(Plan!$B$5:$B$44,MATCH(B1898,Plan!$A$5:$A$44,0))&amp;"","Kategori yok"))</f>
        <v/>
      </c>
    </row>
    <row r="1899" customFormat="false" ht="15" hidden="false" customHeight="false" outlineLevel="0" collapsed="false">
      <c r="A1899" s="12"/>
      <c r="B1899" s="13"/>
      <c r="C1899" s="14"/>
      <c r="D1899" s="13"/>
      <c r="E1899" s="15" t="str">
        <f aca="false">IF(B1899="","",IFERROR(INDEX(Plan!$B$5:$B$44,MATCH(B1899,Plan!$A$5:$A$44,0))&amp;"","Kategori yok"))</f>
        <v/>
      </c>
    </row>
    <row r="1900" customFormat="false" ht="15" hidden="false" customHeight="false" outlineLevel="0" collapsed="false">
      <c r="A1900" s="12"/>
      <c r="B1900" s="13"/>
      <c r="C1900" s="14"/>
      <c r="D1900" s="13"/>
      <c r="E1900" s="15" t="str">
        <f aca="false">IF(B1900="","",IFERROR(INDEX(Plan!$B$5:$B$44,MATCH(B1900,Plan!$A$5:$A$44,0))&amp;"","Kategori yok"))</f>
        <v/>
      </c>
    </row>
    <row r="1901" customFormat="false" ht="15" hidden="false" customHeight="false" outlineLevel="0" collapsed="false">
      <c r="A1901" s="12"/>
      <c r="B1901" s="13"/>
      <c r="C1901" s="14"/>
      <c r="D1901" s="13"/>
      <c r="E1901" s="15" t="str">
        <f aca="false">IF(B1901="","",IFERROR(INDEX(Plan!$B$5:$B$44,MATCH(B1901,Plan!$A$5:$A$44,0))&amp;"","Kategori yok"))</f>
        <v/>
      </c>
    </row>
    <row r="1902" customFormat="false" ht="15" hidden="false" customHeight="false" outlineLevel="0" collapsed="false">
      <c r="A1902" s="12"/>
      <c r="B1902" s="13"/>
      <c r="C1902" s="14"/>
      <c r="D1902" s="13"/>
      <c r="E1902" s="15" t="str">
        <f aca="false">IF(B1902="","",IFERROR(INDEX(Plan!$B$5:$B$44,MATCH(B1902,Plan!$A$5:$A$44,0))&amp;"","Kategori yok"))</f>
        <v/>
      </c>
    </row>
    <row r="1903" customFormat="false" ht="15" hidden="false" customHeight="false" outlineLevel="0" collapsed="false">
      <c r="A1903" s="12"/>
      <c r="B1903" s="13"/>
      <c r="C1903" s="14"/>
      <c r="D1903" s="13"/>
      <c r="E1903" s="15" t="str">
        <f aca="false">IF(B1903="","",IFERROR(INDEX(Plan!$B$5:$B$44,MATCH(B1903,Plan!$A$5:$A$44,0))&amp;"","Kategori yok"))</f>
        <v/>
      </c>
    </row>
    <row r="1904" customFormat="false" ht="15" hidden="false" customHeight="false" outlineLevel="0" collapsed="false">
      <c r="A1904" s="12"/>
      <c r="B1904" s="13"/>
      <c r="C1904" s="14"/>
      <c r="D1904" s="13"/>
      <c r="E1904" s="15" t="str">
        <f aca="false">IF(B1904="","",IFERROR(INDEX(Plan!$B$5:$B$44,MATCH(B1904,Plan!$A$5:$A$44,0))&amp;"","Kategori yok"))</f>
        <v/>
      </c>
    </row>
    <row r="1905" customFormat="false" ht="15" hidden="false" customHeight="false" outlineLevel="0" collapsed="false">
      <c r="A1905" s="12"/>
      <c r="B1905" s="13"/>
      <c r="C1905" s="14"/>
      <c r="D1905" s="13"/>
      <c r="E1905" s="15" t="str">
        <f aca="false">IF(B1905="","",IFERROR(INDEX(Plan!$B$5:$B$44,MATCH(B1905,Plan!$A$5:$A$44,0))&amp;"","Kategori yok"))</f>
        <v/>
      </c>
    </row>
    <row r="1906" customFormat="false" ht="15" hidden="false" customHeight="false" outlineLevel="0" collapsed="false">
      <c r="A1906" s="12"/>
      <c r="B1906" s="13"/>
      <c r="C1906" s="14"/>
      <c r="D1906" s="13"/>
      <c r="E1906" s="15" t="str">
        <f aca="false">IF(B1906="","",IFERROR(INDEX(Plan!$B$5:$B$44,MATCH(B1906,Plan!$A$5:$A$44,0))&amp;"","Kategori yok"))</f>
        <v/>
      </c>
    </row>
    <row r="1907" customFormat="false" ht="15" hidden="false" customHeight="false" outlineLevel="0" collapsed="false">
      <c r="A1907" s="12"/>
      <c r="B1907" s="13"/>
      <c r="C1907" s="14"/>
      <c r="D1907" s="13"/>
      <c r="E1907" s="15" t="str">
        <f aca="false">IF(B1907="","",IFERROR(INDEX(Plan!$B$5:$B$44,MATCH(B1907,Plan!$A$5:$A$44,0))&amp;"","Kategori yok"))</f>
        <v/>
      </c>
    </row>
    <row r="1908" customFormat="false" ht="15" hidden="false" customHeight="false" outlineLevel="0" collapsed="false">
      <c r="A1908" s="12"/>
      <c r="B1908" s="13"/>
      <c r="C1908" s="14"/>
      <c r="D1908" s="13"/>
      <c r="E1908" s="15" t="str">
        <f aca="false">IF(B1908="","",IFERROR(INDEX(Plan!$B$5:$B$44,MATCH(B1908,Plan!$A$5:$A$44,0))&amp;"","Kategori yok"))</f>
        <v/>
      </c>
    </row>
    <row r="1909" customFormat="false" ht="15" hidden="false" customHeight="false" outlineLevel="0" collapsed="false">
      <c r="A1909" s="12"/>
      <c r="B1909" s="13"/>
      <c r="C1909" s="14"/>
      <c r="D1909" s="13"/>
      <c r="E1909" s="15" t="str">
        <f aca="false">IF(B1909="","",IFERROR(INDEX(Plan!$B$5:$B$44,MATCH(B1909,Plan!$A$5:$A$44,0))&amp;"","Kategori yok"))</f>
        <v/>
      </c>
    </row>
    <row r="1910" customFormat="false" ht="15" hidden="false" customHeight="false" outlineLevel="0" collapsed="false">
      <c r="A1910" s="12"/>
      <c r="B1910" s="13"/>
      <c r="C1910" s="14"/>
      <c r="D1910" s="13"/>
      <c r="E1910" s="15" t="str">
        <f aca="false">IF(B1910="","",IFERROR(INDEX(Plan!$B$5:$B$44,MATCH(B1910,Plan!$A$5:$A$44,0))&amp;"","Kategori yok"))</f>
        <v/>
      </c>
    </row>
    <row r="1911" customFormat="false" ht="15" hidden="false" customHeight="false" outlineLevel="0" collapsed="false">
      <c r="A1911" s="12"/>
      <c r="B1911" s="13"/>
      <c r="C1911" s="14"/>
      <c r="D1911" s="13"/>
      <c r="E1911" s="15" t="str">
        <f aca="false">IF(B1911="","",IFERROR(INDEX(Plan!$B$5:$B$44,MATCH(B1911,Plan!$A$5:$A$44,0))&amp;"","Kategori yok"))</f>
        <v/>
      </c>
    </row>
    <row r="1912" customFormat="false" ht="15" hidden="false" customHeight="false" outlineLevel="0" collapsed="false">
      <c r="A1912" s="12"/>
      <c r="B1912" s="13"/>
      <c r="C1912" s="14"/>
      <c r="D1912" s="13"/>
      <c r="E1912" s="15" t="str">
        <f aca="false">IF(B1912="","",IFERROR(INDEX(Plan!$B$5:$B$44,MATCH(B1912,Plan!$A$5:$A$44,0))&amp;"","Kategori yok"))</f>
        <v/>
      </c>
    </row>
    <row r="1913" customFormat="false" ht="15" hidden="false" customHeight="false" outlineLevel="0" collapsed="false">
      <c r="A1913" s="12"/>
      <c r="B1913" s="13"/>
      <c r="C1913" s="14"/>
      <c r="D1913" s="13"/>
      <c r="E1913" s="15" t="str">
        <f aca="false">IF(B1913="","",IFERROR(INDEX(Plan!$B$5:$B$44,MATCH(B1913,Plan!$A$5:$A$44,0))&amp;"","Kategori yok"))</f>
        <v/>
      </c>
    </row>
    <row r="1914" customFormat="false" ht="15" hidden="false" customHeight="false" outlineLevel="0" collapsed="false">
      <c r="A1914" s="12"/>
      <c r="B1914" s="13"/>
      <c r="C1914" s="14"/>
      <c r="D1914" s="13"/>
      <c r="E1914" s="15" t="str">
        <f aca="false">IF(B1914="","",IFERROR(INDEX(Plan!$B$5:$B$44,MATCH(B1914,Plan!$A$5:$A$44,0))&amp;"","Kategori yok"))</f>
        <v/>
      </c>
    </row>
    <row r="1915" customFormat="false" ht="15" hidden="false" customHeight="false" outlineLevel="0" collapsed="false">
      <c r="A1915" s="12"/>
      <c r="B1915" s="13"/>
      <c r="C1915" s="14"/>
      <c r="D1915" s="13"/>
      <c r="E1915" s="15" t="str">
        <f aca="false">IF(B1915="","",IFERROR(INDEX(Plan!$B$5:$B$44,MATCH(B1915,Plan!$A$5:$A$44,0))&amp;"","Kategori yok"))</f>
        <v/>
      </c>
    </row>
    <row r="1916" customFormat="false" ht="15" hidden="false" customHeight="false" outlineLevel="0" collapsed="false">
      <c r="A1916" s="12"/>
      <c r="B1916" s="13"/>
      <c r="C1916" s="14"/>
      <c r="D1916" s="13"/>
      <c r="E1916" s="15" t="str">
        <f aca="false">IF(B1916="","",IFERROR(INDEX(Plan!$B$5:$B$44,MATCH(B1916,Plan!$A$5:$A$44,0))&amp;"","Kategori yok"))</f>
        <v/>
      </c>
    </row>
    <row r="1917" customFormat="false" ht="15" hidden="false" customHeight="false" outlineLevel="0" collapsed="false">
      <c r="A1917" s="12"/>
      <c r="B1917" s="13"/>
      <c r="C1917" s="14"/>
      <c r="D1917" s="13"/>
      <c r="E1917" s="15" t="str">
        <f aca="false">IF(B1917="","",IFERROR(INDEX(Plan!$B$5:$B$44,MATCH(B1917,Plan!$A$5:$A$44,0))&amp;"","Kategori yok"))</f>
        <v/>
      </c>
    </row>
    <row r="1918" customFormat="false" ht="15" hidden="false" customHeight="false" outlineLevel="0" collapsed="false">
      <c r="A1918" s="12"/>
      <c r="B1918" s="13"/>
      <c r="C1918" s="14"/>
      <c r="D1918" s="13"/>
      <c r="E1918" s="15" t="str">
        <f aca="false">IF(B1918="","",IFERROR(INDEX(Plan!$B$5:$B$44,MATCH(B1918,Plan!$A$5:$A$44,0))&amp;"","Kategori yok"))</f>
        <v/>
      </c>
    </row>
    <row r="1919" customFormat="false" ht="15" hidden="false" customHeight="false" outlineLevel="0" collapsed="false">
      <c r="A1919" s="12"/>
      <c r="B1919" s="13"/>
      <c r="C1919" s="14"/>
      <c r="D1919" s="13"/>
      <c r="E1919" s="15" t="str">
        <f aca="false">IF(B1919="","",IFERROR(INDEX(Plan!$B$5:$B$44,MATCH(B1919,Plan!$A$5:$A$44,0))&amp;"","Kategori yok"))</f>
        <v/>
      </c>
    </row>
    <row r="1920" customFormat="false" ht="15" hidden="false" customHeight="false" outlineLevel="0" collapsed="false">
      <c r="A1920" s="12"/>
      <c r="B1920" s="13"/>
      <c r="C1920" s="14"/>
      <c r="D1920" s="13"/>
      <c r="E1920" s="15" t="str">
        <f aca="false">IF(B1920="","",IFERROR(INDEX(Plan!$B$5:$B$44,MATCH(B1920,Plan!$A$5:$A$44,0))&amp;"","Kategori yok"))</f>
        <v/>
      </c>
    </row>
    <row r="1921" customFormat="false" ht="15" hidden="false" customHeight="false" outlineLevel="0" collapsed="false">
      <c r="A1921" s="12"/>
      <c r="B1921" s="13"/>
      <c r="C1921" s="14"/>
      <c r="D1921" s="13"/>
      <c r="E1921" s="15" t="str">
        <f aca="false">IF(B1921="","",IFERROR(INDEX(Plan!$B$5:$B$44,MATCH(B1921,Plan!$A$5:$A$44,0))&amp;"","Kategori yok"))</f>
        <v/>
      </c>
    </row>
    <row r="1922" customFormat="false" ht="15" hidden="false" customHeight="false" outlineLevel="0" collapsed="false">
      <c r="A1922" s="12"/>
      <c r="B1922" s="13"/>
      <c r="C1922" s="14"/>
      <c r="D1922" s="13"/>
      <c r="E1922" s="15" t="str">
        <f aca="false">IF(B1922="","",IFERROR(INDEX(Plan!$B$5:$B$44,MATCH(B1922,Plan!$A$5:$A$44,0))&amp;"","Kategori yok"))</f>
        <v/>
      </c>
    </row>
    <row r="1923" customFormat="false" ht="15" hidden="false" customHeight="false" outlineLevel="0" collapsed="false">
      <c r="A1923" s="12"/>
      <c r="B1923" s="13"/>
      <c r="C1923" s="14"/>
      <c r="D1923" s="13"/>
      <c r="E1923" s="15" t="str">
        <f aca="false">IF(B1923="","",IFERROR(INDEX(Plan!$B$5:$B$44,MATCH(B1923,Plan!$A$5:$A$44,0))&amp;"","Kategori yok"))</f>
        <v/>
      </c>
    </row>
    <row r="1924" customFormat="false" ht="15" hidden="false" customHeight="false" outlineLevel="0" collapsed="false">
      <c r="A1924" s="12"/>
      <c r="B1924" s="13"/>
      <c r="C1924" s="14"/>
      <c r="D1924" s="13"/>
      <c r="E1924" s="15" t="str">
        <f aca="false">IF(B1924="","",IFERROR(INDEX(Plan!$B$5:$B$44,MATCH(B1924,Plan!$A$5:$A$44,0))&amp;"","Kategori yok"))</f>
        <v/>
      </c>
    </row>
    <row r="1925" customFormat="false" ht="15" hidden="false" customHeight="false" outlineLevel="0" collapsed="false">
      <c r="A1925" s="12"/>
      <c r="B1925" s="13"/>
      <c r="C1925" s="14"/>
      <c r="D1925" s="13"/>
      <c r="E1925" s="15" t="str">
        <f aca="false">IF(B1925="","",IFERROR(INDEX(Plan!$B$5:$B$44,MATCH(B1925,Plan!$A$5:$A$44,0))&amp;"","Kategori yok"))</f>
        <v/>
      </c>
    </row>
    <row r="1926" customFormat="false" ht="15" hidden="false" customHeight="false" outlineLevel="0" collapsed="false">
      <c r="A1926" s="12"/>
      <c r="B1926" s="13"/>
      <c r="C1926" s="14"/>
      <c r="D1926" s="13"/>
      <c r="E1926" s="15" t="str">
        <f aca="false">IF(B1926="","",IFERROR(INDEX(Plan!$B$5:$B$44,MATCH(B1926,Plan!$A$5:$A$44,0))&amp;"","Kategori yok"))</f>
        <v/>
      </c>
    </row>
    <row r="1927" customFormat="false" ht="15" hidden="false" customHeight="false" outlineLevel="0" collapsed="false">
      <c r="A1927" s="12"/>
      <c r="B1927" s="13"/>
      <c r="C1927" s="14"/>
      <c r="D1927" s="13"/>
      <c r="E1927" s="15" t="str">
        <f aca="false">IF(B1927="","",IFERROR(INDEX(Plan!$B$5:$B$44,MATCH(B1927,Plan!$A$5:$A$44,0))&amp;"","Kategori yok"))</f>
        <v/>
      </c>
    </row>
    <row r="1928" customFormat="false" ht="15" hidden="false" customHeight="false" outlineLevel="0" collapsed="false">
      <c r="A1928" s="12"/>
      <c r="B1928" s="13"/>
      <c r="C1928" s="14"/>
      <c r="D1928" s="13"/>
      <c r="E1928" s="15" t="str">
        <f aca="false">IF(B1928="","",IFERROR(INDEX(Plan!$B$5:$B$44,MATCH(B1928,Plan!$A$5:$A$44,0))&amp;"","Kategori yok"))</f>
        <v/>
      </c>
    </row>
    <row r="1929" customFormat="false" ht="15" hidden="false" customHeight="false" outlineLevel="0" collapsed="false">
      <c r="A1929" s="12"/>
      <c r="B1929" s="13"/>
      <c r="C1929" s="14"/>
      <c r="D1929" s="13"/>
      <c r="E1929" s="15" t="str">
        <f aca="false">IF(B1929="","",IFERROR(INDEX(Plan!$B$5:$B$44,MATCH(B1929,Plan!$A$5:$A$44,0))&amp;"","Kategori yok"))</f>
        <v/>
      </c>
    </row>
    <row r="1930" customFormat="false" ht="15" hidden="false" customHeight="false" outlineLevel="0" collapsed="false">
      <c r="A1930" s="12"/>
      <c r="B1930" s="13"/>
      <c r="C1930" s="14"/>
      <c r="D1930" s="13"/>
      <c r="E1930" s="15" t="str">
        <f aca="false">IF(B1930="","",IFERROR(INDEX(Plan!$B$5:$B$44,MATCH(B1930,Plan!$A$5:$A$44,0))&amp;"","Kategori yok"))</f>
        <v/>
      </c>
    </row>
    <row r="1931" customFormat="false" ht="15" hidden="false" customHeight="false" outlineLevel="0" collapsed="false">
      <c r="A1931" s="12"/>
      <c r="B1931" s="13"/>
      <c r="C1931" s="14"/>
      <c r="D1931" s="13"/>
      <c r="E1931" s="15" t="str">
        <f aca="false">IF(B1931="","",IFERROR(INDEX(Plan!$B$5:$B$44,MATCH(B1931,Plan!$A$5:$A$44,0))&amp;"","Kategori yok"))</f>
        <v/>
      </c>
    </row>
    <row r="1932" customFormat="false" ht="15" hidden="false" customHeight="false" outlineLevel="0" collapsed="false">
      <c r="A1932" s="12"/>
      <c r="B1932" s="13"/>
      <c r="C1932" s="14"/>
      <c r="D1932" s="13"/>
      <c r="E1932" s="15" t="str">
        <f aca="false">IF(B1932="","",IFERROR(INDEX(Plan!$B$5:$B$44,MATCH(B1932,Plan!$A$5:$A$44,0))&amp;"","Kategori yok"))</f>
        <v/>
      </c>
    </row>
    <row r="1933" customFormat="false" ht="15" hidden="false" customHeight="false" outlineLevel="0" collapsed="false">
      <c r="A1933" s="12"/>
      <c r="B1933" s="13"/>
      <c r="C1933" s="14"/>
      <c r="D1933" s="13"/>
      <c r="E1933" s="15" t="str">
        <f aca="false">IF(B1933="","",IFERROR(INDEX(Plan!$B$5:$B$44,MATCH(B1933,Plan!$A$5:$A$44,0))&amp;"","Kategori yok"))</f>
        <v/>
      </c>
    </row>
    <row r="1934" customFormat="false" ht="15" hidden="false" customHeight="false" outlineLevel="0" collapsed="false">
      <c r="A1934" s="12"/>
      <c r="B1934" s="13"/>
      <c r="C1934" s="14"/>
      <c r="D1934" s="13"/>
      <c r="E1934" s="15" t="str">
        <f aca="false">IF(B1934="","",IFERROR(INDEX(Plan!$B$5:$B$44,MATCH(B1934,Plan!$A$5:$A$44,0))&amp;"","Kategori yok"))</f>
        <v/>
      </c>
    </row>
    <row r="1935" customFormat="false" ht="15" hidden="false" customHeight="false" outlineLevel="0" collapsed="false">
      <c r="A1935" s="12"/>
      <c r="B1935" s="13"/>
      <c r="C1935" s="14"/>
      <c r="D1935" s="13"/>
      <c r="E1935" s="15" t="str">
        <f aca="false">IF(B1935="","",IFERROR(INDEX(Plan!$B$5:$B$44,MATCH(B1935,Plan!$A$5:$A$44,0))&amp;"","Kategori yok"))</f>
        <v/>
      </c>
    </row>
    <row r="1936" customFormat="false" ht="15" hidden="false" customHeight="false" outlineLevel="0" collapsed="false">
      <c r="A1936" s="12"/>
      <c r="B1936" s="13"/>
      <c r="C1936" s="14"/>
      <c r="D1936" s="13"/>
      <c r="E1936" s="15" t="str">
        <f aca="false">IF(B1936="","",IFERROR(INDEX(Plan!$B$5:$B$44,MATCH(B1936,Plan!$A$5:$A$44,0))&amp;"","Kategori yok"))</f>
        <v/>
      </c>
    </row>
    <row r="1937" customFormat="false" ht="15" hidden="false" customHeight="false" outlineLevel="0" collapsed="false">
      <c r="A1937" s="12"/>
      <c r="B1937" s="13"/>
      <c r="C1937" s="14"/>
      <c r="D1937" s="13"/>
      <c r="E1937" s="15" t="str">
        <f aca="false">IF(B1937="","",IFERROR(INDEX(Plan!$B$5:$B$44,MATCH(B1937,Plan!$A$5:$A$44,0))&amp;"","Kategori yok"))</f>
        <v/>
      </c>
    </row>
    <row r="1938" customFormat="false" ht="15" hidden="false" customHeight="false" outlineLevel="0" collapsed="false">
      <c r="A1938" s="12"/>
      <c r="B1938" s="13"/>
      <c r="C1938" s="14"/>
      <c r="D1938" s="13"/>
      <c r="E1938" s="15" t="str">
        <f aca="false">IF(B1938="","",IFERROR(INDEX(Plan!$B$5:$B$44,MATCH(B1938,Plan!$A$5:$A$44,0))&amp;"","Kategori yok"))</f>
        <v/>
      </c>
    </row>
    <row r="1939" customFormat="false" ht="15" hidden="false" customHeight="false" outlineLevel="0" collapsed="false">
      <c r="A1939" s="12"/>
      <c r="B1939" s="13"/>
      <c r="C1939" s="14"/>
      <c r="D1939" s="13"/>
      <c r="E1939" s="15" t="str">
        <f aca="false">IF(B1939="","",IFERROR(INDEX(Plan!$B$5:$B$44,MATCH(B1939,Plan!$A$5:$A$44,0))&amp;"","Kategori yok"))</f>
        <v/>
      </c>
    </row>
    <row r="1940" customFormat="false" ht="15" hidden="false" customHeight="false" outlineLevel="0" collapsed="false">
      <c r="A1940" s="12"/>
      <c r="B1940" s="13"/>
      <c r="C1940" s="14"/>
      <c r="D1940" s="13"/>
      <c r="E1940" s="15" t="str">
        <f aca="false">IF(B1940="","",IFERROR(INDEX(Plan!$B$5:$B$44,MATCH(B1940,Plan!$A$5:$A$44,0))&amp;"","Kategori yok"))</f>
        <v/>
      </c>
    </row>
    <row r="1941" customFormat="false" ht="15" hidden="false" customHeight="false" outlineLevel="0" collapsed="false">
      <c r="A1941" s="12"/>
      <c r="B1941" s="13"/>
      <c r="C1941" s="14"/>
      <c r="D1941" s="13"/>
      <c r="E1941" s="15" t="str">
        <f aca="false">IF(B1941="","",IFERROR(INDEX(Plan!$B$5:$B$44,MATCH(B1941,Plan!$A$5:$A$44,0))&amp;"","Kategori yok"))</f>
        <v/>
      </c>
    </row>
    <row r="1942" customFormat="false" ht="15" hidden="false" customHeight="false" outlineLevel="0" collapsed="false">
      <c r="A1942" s="12"/>
      <c r="B1942" s="13"/>
      <c r="C1942" s="14"/>
      <c r="D1942" s="13"/>
      <c r="E1942" s="15" t="str">
        <f aca="false">IF(B1942="","",IFERROR(INDEX(Plan!$B$5:$B$44,MATCH(B1942,Plan!$A$5:$A$44,0))&amp;"","Kategori yok"))</f>
        <v/>
      </c>
    </row>
    <row r="1943" customFormat="false" ht="15" hidden="false" customHeight="false" outlineLevel="0" collapsed="false">
      <c r="A1943" s="12"/>
      <c r="B1943" s="13"/>
      <c r="C1943" s="14"/>
      <c r="D1943" s="13"/>
      <c r="E1943" s="15" t="str">
        <f aca="false">IF(B1943="","",IFERROR(INDEX(Plan!$B$5:$B$44,MATCH(B1943,Plan!$A$5:$A$44,0))&amp;"","Kategori yok"))</f>
        <v/>
      </c>
    </row>
    <row r="1944" customFormat="false" ht="15" hidden="false" customHeight="false" outlineLevel="0" collapsed="false">
      <c r="A1944" s="12"/>
      <c r="B1944" s="13"/>
      <c r="C1944" s="14"/>
      <c r="D1944" s="13"/>
      <c r="E1944" s="15" t="str">
        <f aca="false">IF(B1944="","",IFERROR(INDEX(Plan!$B$5:$B$44,MATCH(B1944,Plan!$A$5:$A$44,0))&amp;"","Kategori yok"))</f>
        <v/>
      </c>
    </row>
    <row r="1945" customFormat="false" ht="15" hidden="false" customHeight="false" outlineLevel="0" collapsed="false">
      <c r="A1945" s="12"/>
      <c r="B1945" s="13"/>
      <c r="C1945" s="14"/>
      <c r="D1945" s="13"/>
      <c r="E1945" s="15" t="str">
        <f aca="false">IF(B1945="","",IFERROR(INDEX(Plan!$B$5:$B$44,MATCH(B1945,Plan!$A$5:$A$44,0))&amp;"","Kategori yok"))</f>
        <v/>
      </c>
    </row>
    <row r="1946" customFormat="false" ht="15" hidden="false" customHeight="false" outlineLevel="0" collapsed="false">
      <c r="A1946" s="12"/>
      <c r="B1946" s="13"/>
      <c r="C1946" s="14"/>
      <c r="D1946" s="13"/>
      <c r="E1946" s="15" t="str">
        <f aca="false">IF(B1946="","",IFERROR(INDEX(Plan!$B$5:$B$44,MATCH(B1946,Plan!$A$5:$A$44,0))&amp;"","Kategori yok"))</f>
        <v/>
      </c>
    </row>
    <row r="1947" customFormat="false" ht="15" hidden="false" customHeight="false" outlineLevel="0" collapsed="false">
      <c r="A1947" s="12"/>
      <c r="B1947" s="13"/>
      <c r="C1947" s="14"/>
      <c r="D1947" s="13"/>
      <c r="E1947" s="15" t="str">
        <f aca="false">IF(B1947="","",IFERROR(INDEX(Plan!$B$5:$B$44,MATCH(B1947,Plan!$A$5:$A$44,0))&amp;"","Kategori yok"))</f>
        <v/>
      </c>
    </row>
    <row r="1948" customFormat="false" ht="15" hidden="false" customHeight="false" outlineLevel="0" collapsed="false">
      <c r="A1948" s="12"/>
      <c r="B1948" s="13"/>
      <c r="C1948" s="14"/>
      <c r="D1948" s="13"/>
      <c r="E1948" s="15" t="str">
        <f aca="false">IF(B1948="","",IFERROR(INDEX(Plan!$B$5:$B$44,MATCH(B1948,Plan!$A$5:$A$44,0))&amp;"","Kategori yok"))</f>
        <v/>
      </c>
    </row>
    <row r="1949" customFormat="false" ht="15" hidden="false" customHeight="false" outlineLevel="0" collapsed="false">
      <c r="A1949" s="12"/>
      <c r="B1949" s="13"/>
      <c r="C1949" s="14"/>
      <c r="D1949" s="13"/>
      <c r="E1949" s="15" t="str">
        <f aca="false">IF(B1949="","",IFERROR(INDEX(Plan!$B$5:$B$44,MATCH(B1949,Plan!$A$5:$A$44,0))&amp;"","Kategori yok"))</f>
        <v/>
      </c>
    </row>
    <row r="1950" customFormat="false" ht="15" hidden="false" customHeight="false" outlineLevel="0" collapsed="false">
      <c r="A1950" s="12"/>
      <c r="B1950" s="13"/>
      <c r="C1950" s="14"/>
      <c r="D1950" s="13"/>
      <c r="E1950" s="15" t="str">
        <f aca="false">IF(B1950="","",IFERROR(INDEX(Plan!$B$5:$B$44,MATCH(B1950,Plan!$A$5:$A$44,0))&amp;"","Kategori yok"))</f>
        <v/>
      </c>
    </row>
    <row r="1951" customFormat="false" ht="15" hidden="false" customHeight="false" outlineLevel="0" collapsed="false">
      <c r="A1951" s="12"/>
      <c r="B1951" s="13"/>
      <c r="C1951" s="14"/>
      <c r="D1951" s="13"/>
      <c r="E1951" s="15" t="str">
        <f aca="false">IF(B1951="","",IFERROR(INDEX(Plan!$B$5:$B$44,MATCH(B1951,Plan!$A$5:$A$44,0))&amp;"","Kategori yok"))</f>
        <v/>
      </c>
    </row>
    <row r="1952" customFormat="false" ht="15" hidden="false" customHeight="false" outlineLevel="0" collapsed="false">
      <c r="A1952" s="12"/>
      <c r="B1952" s="13"/>
      <c r="C1952" s="14"/>
      <c r="D1952" s="13"/>
      <c r="E1952" s="15" t="str">
        <f aca="false">IF(B1952="","",IFERROR(INDEX(Plan!$B$5:$B$44,MATCH(B1952,Plan!$A$5:$A$44,0))&amp;"","Kategori yok"))</f>
        <v/>
      </c>
    </row>
    <row r="1953" customFormat="false" ht="15" hidden="false" customHeight="false" outlineLevel="0" collapsed="false">
      <c r="A1953" s="12"/>
      <c r="B1953" s="13"/>
      <c r="C1953" s="14"/>
      <c r="D1953" s="13"/>
      <c r="E1953" s="15" t="str">
        <f aca="false">IF(B1953="","",IFERROR(INDEX(Plan!$B$5:$B$44,MATCH(B1953,Plan!$A$5:$A$44,0))&amp;"","Kategori yok"))</f>
        <v/>
      </c>
    </row>
    <row r="1954" customFormat="false" ht="15" hidden="false" customHeight="false" outlineLevel="0" collapsed="false">
      <c r="A1954" s="12"/>
      <c r="B1954" s="13"/>
      <c r="C1954" s="14"/>
      <c r="D1954" s="13"/>
      <c r="E1954" s="15" t="str">
        <f aca="false">IF(B1954="","",IFERROR(INDEX(Plan!$B$5:$B$44,MATCH(B1954,Plan!$A$5:$A$44,0))&amp;"","Kategori yok"))</f>
        <v/>
      </c>
    </row>
    <row r="1955" customFormat="false" ht="15" hidden="false" customHeight="false" outlineLevel="0" collapsed="false">
      <c r="A1955" s="12"/>
      <c r="B1955" s="13"/>
      <c r="C1955" s="14"/>
      <c r="D1955" s="13"/>
      <c r="E1955" s="15" t="str">
        <f aca="false">IF(B1955="","",IFERROR(INDEX(Plan!$B$5:$B$44,MATCH(B1955,Plan!$A$5:$A$44,0))&amp;"","Kategori yok"))</f>
        <v/>
      </c>
    </row>
    <row r="1956" customFormat="false" ht="15" hidden="false" customHeight="false" outlineLevel="0" collapsed="false">
      <c r="A1956" s="12"/>
      <c r="B1956" s="13"/>
      <c r="C1956" s="14"/>
      <c r="D1956" s="13"/>
      <c r="E1956" s="15" t="str">
        <f aca="false">IF(B1956="","",IFERROR(INDEX(Plan!$B$5:$B$44,MATCH(B1956,Plan!$A$5:$A$44,0))&amp;"","Kategori yok"))</f>
        <v/>
      </c>
    </row>
    <row r="1957" customFormat="false" ht="15" hidden="false" customHeight="false" outlineLevel="0" collapsed="false">
      <c r="A1957" s="12"/>
      <c r="B1957" s="13"/>
      <c r="C1957" s="14"/>
      <c r="D1957" s="13"/>
      <c r="E1957" s="15" t="str">
        <f aca="false">IF(B1957="","",IFERROR(INDEX(Plan!$B$5:$B$44,MATCH(B1957,Plan!$A$5:$A$44,0))&amp;"","Kategori yok"))</f>
        <v/>
      </c>
    </row>
    <row r="1958" customFormat="false" ht="15" hidden="false" customHeight="false" outlineLevel="0" collapsed="false">
      <c r="A1958" s="12"/>
      <c r="B1958" s="13"/>
      <c r="C1958" s="14"/>
      <c r="D1958" s="13"/>
      <c r="E1958" s="15" t="str">
        <f aca="false">IF(B1958="","",IFERROR(INDEX(Plan!$B$5:$B$44,MATCH(B1958,Plan!$A$5:$A$44,0))&amp;"","Kategori yok"))</f>
        <v/>
      </c>
    </row>
    <row r="1959" customFormat="false" ht="15" hidden="false" customHeight="false" outlineLevel="0" collapsed="false">
      <c r="A1959" s="12"/>
      <c r="B1959" s="13"/>
      <c r="C1959" s="14"/>
      <c r="D1959" s="13"/>
      <c r="E1959" s="15" t="str">
        <f aca="false">IF(B1959="","",IFERROR(INDEX(Plan!$B$5:$B$44,MATCH(B1959,Plan!$A$5:$A$44,0))&amp;"","Kategori yok"))</f>
        <v/>
      </c>
    </row>
    <row r="1960" customFormat="false" ht="15" hidden="false" customHeight="false" outlineLevel="0" collapsed="false">
      <c r="A1960" s="12"/>
      <c r="B1960" s="13"/>
      <c r="C1960" s="14"/>
      <c r="D1960" s="13"/>
      <c r="E1960" s="15" t="str">
        <f aca="false">IF(B1960="","",IFERROR(INDEX(Plan!$B$5:$B$44,MATCH(B1960,Plan!$A$5:$A$44,0))&amp;"","Kategori yok"))</f>
        <v/>
      </c>
    </row>
    <row r="1961" customFormat="false" ht="15" hidden="false" customHeight="false" outlineLevel="0" collapsed="false">
      <c r="A1961" s="12"/>
      <c r="B1961" s="13"/>
      <c r="C1961" s="14"/>
      <c r="D1961" s="13"/>
      <c r="E1961" s="15" t="str">
        <f aca="false">IF(B1961="","",IFERROR(INDEX(Plan!$B$5:$B$44,MATCH(B1961,Plan!$A$5:$A$44,0))&amp;"","Kategori yok"))</f>
        <v/>
      </c>
    </row>
    <row r="1962" customFormat="false" ht="15" hidden="false" customHeight="false" outlineLevel="0" collapsed="false">
      <c r="A1962" s="12"/>
      <c r="B1962" s="13"/>
      <c r="C1962" s="14"/>
      <c r="D1962" s="13"/>
      <c r="E1962" s="15" t="str">
        <f aca="false">IF(B1962="","",IFERROR(INDEX(Plan!$B$5:$B$44,MATCH(B1962,Plan!$A$5:$A$44,0))&amp;"","Kategori yok"))</f>
        <v/>
      </c>
    </row>
    <row r="1963" customFormat="false" ht="15" hidden="false" customHeight="false" outlineLevel="0" collapsed="false">
      <c r="A1963" s="12"/>
      <c r="B1963" s="13"/>
      <c r="C1963" s="14"/>
      <c r="D1963" s="13"/>
      <c r="E1963" s="15" t="str">
        <f aca="false">IF(B1963="","",IFERROR(INDEX(Plan!$B$5:$B$44,MATCH(B1963,Plan!$A$5:$A$44,0))&amp;"","Kategori yok"))</f>
        <v/>
      </c>
    </row>
    <row r="1964" customFormat="false" ht="15" hidden="false" customHeight="false" outlineLevel="0" collapsed="false">
      <c r="A1964" s="12"/>
      <c r="B1964" s="13"/>
      <c r="C1964" s="14"/>
      <c r="D1964" s="13"/>
      <c r="E1964" s="15" t="str">
        <f aca="false">IF(B1964="","",IFERROR(INDEX(Plan!$B$5:$B$44,MATCH(B1964,Plan!$A$5:$A$44,0))&amp;"","Kategori yok"))</f>
        <v/>
      </c>
    </row>
    <row r="1965" customFormat="false" ht="15" hidden="false" customHeight="false" outlineLevel="0" collapsed="false">
      <c r="A1965" s="12"/>
      <c r="B1965" s="13"/>
      <c r="C1965" s="14"/>
      <c r="D1965" s="13"/>
      <c r="E1965" s="15" t="str">
        <f aca="false">IF(B1965="","",IFERROR(INDEX(Plan!$B$5:$B$44,MATCH(B1965,Plan!$A$5:$A$44,0))&amp;"","Kategori yok"))</f>
        <v/>
      </c>
    </row>
    <row r="1966" customFormat="false" ht="15" hidden="false" customHeight="false" outlineLevel="0" collapsed="false">
      <c r="A1966" s="12"/>
      <c r="B1966" s="13"/>
      <c r="C1966" s="14"/>
      <c r="D1966" s="13"/>
      <c r="E1966" s="15" t="str">
        <f aca="false">IF(B1966="","",IFERROR(INDEX(Plan!$B$5:$B$44,MATCH(B1966,Plan!$A$5:$A$44,0))&amp;"","Kategori yok"))</f>
        <v/>
      </c>
    </row>
    <row r="1967" customFormat="false" ht="15" hidden="false" customHeight="false" outlineLevel="0" collapsed="false">
      <c r="A1967" s="12"/>
      <c r="B1967" s="13"/>
      <c r="C1967" s="14"/>
      <c r="D1967" s="13"/>
      <c r="E1967" s="15" t="str">
        <f aca="false">IF(B1967="","",IFERROR(INDEX(Plan!$B$5:$B$44,MATCH(B1967,Plan!$A$5:$A$44,0))&amp;"","Kategori yok"))</f>
        <v/>
      </c>
    </row>
    <row r="1968" customFormat="false" ht="15" hidden="false" customHeight="false" outlineLevel="0" collapsed="false">
      <c r="A1968" s="12"/>
      <c r="B1968" s="13"/>
      <c r="C1968" s="14"/>
      <c r="D1968" s="13"/>
      <c r="E1968" s="15" t="str">
        <f aca="false">IF(B1968="","",IFERROR(INDEX(Plan!$B$5:$B$44,MATCH(B1968,Plan!$A$5:$A$44,0))&amp;"","Kategori yok"))</f>
        <v/>
      </c>
    </row>
    <row r="1969" customFormat="false" ht="15" hidden="false" customHeight="false" outlineLevel="0" collapsed="false">
      <c r="A1969" s="12"/>
      <c r="B1969" s="13"/>
      <c r="C1969" s="14"/>
      <c r="D1969" s="13"/>
      <c r="E1969" s="15" t="str">
        <f aca="false">IF(B1969="","",IFERROR(INDEX(Plan!$B$5:$B$44,MATCH(B1969,Plan!$A$5:$A$44,0))&amp;"","Kategori yok"))</f>
        <v/>
      </c>
    </row>
    <row r="1970" customFormat="false" ht="15" hidden="false" customHeight="false" outlineLevel="0" collapsed="false">
      <c r="A1970" s="12"/>
      <c r="B1970" s="13"/>
      <c r="C1970" s="14"/>
      <c r="D1970" s="13"/>
      <c r="E1970" s="15" t="str">
        <f aca="false">IF(B1970="","",IFERROR(INDEX(Plan!$B$5:$B$44,MATCH(B1970,Plan!$A$5:$A$44,0))&amp;"","Kategori yok"))</f>
        <v/>
      </c>
    </row>
    <row r="1971" customFormat="false" ht="15" hidden="false" customHeight="false" outlineLevel="0" collapsed="false">
      <c r="A1971" s="12"/>
      <c r="B1971" s="13"/>
      <c r="C1971" s="14"/>
      <c r="D1971" s="13"/>
      <c r="E1971" s="15" t="str">
        <f aca="false">IF(B1971="","",IFERROR(INDEX(Plan!$B$5:$B$44,MATCH(B1971,Plan!$A$5:$A$44,0))&amp;"","Kategori yok"))</f>
        <v/>
      </c>
    </row>
    <row r="1972" customFormat="false" ht="15" hidden="false" customHeight="false" outlineLevel="0" collapsed="false">
      <c r="A1972" s="12"/>
      <c r="B1972" s="13"/>
      <c r="C1972" s="14"/>
      <c r="D1972" s="13"/>
      <c r="E1972" s="15" t="str">
        <f aca="false">IF(B1972="","",IFERROR(INDEX(Plan!$B$5:$B$44,MATCH(B1972,Plan!$A$5:$A$44,0))&amp;"","Kategori yok"))</f>
        <v/>
      </c>
    </row>
    <row r="1973" customFormat="false" ht="15" hidden="false" customHeight="false" outlineLevel="0" collapsed="false">
      <c r="A1973" s="12"/>
      <c r="B1973" s="13"/>
      <c r="C1973" s="14"/>
      <c r="D1973" s="13"/>
      <c r="E1973" s="15" t="str">
        <f aca="false">IF(B1973="","",IFERROR(INDEX(Plan!$B$5:$B$44,MATCH(B1973,Plan!$A$5:$A$44,0))&amp;"","Kategori yok"))</f>
        <v/>
      </c>
    </row>
    <row r="1974" customFormat="false" ht="15" hidden="false" customHeight="false" outlineLevel="0" collapsed="false">
      <c r="A1974" s="12"/>
      <c r="B1974" s="13"/>
      <c r="C1974" s="14"/>
      <c r="D1974" s="13"/>
      <c r="E1974" s="15" t="str">
        <f aca="false">IF(B1974="","",IFERROR(INDEX(Plan!$B$5:$B$44,MATCH(B1974,Plan!$A$5:$A$44,0))&amp;"","Kategori yok"))</f>
        <v/>
      </c>
    </row>
    <row r="1975" customFormat="false" ht="15" hidden="false" customHeight="false" outlineLevel="0" collapsed="false">
      <c r="A1975" s="12"/>
      <c r="B1975" s="13"/>
      <c r="C1975" s="14"/>
      <c r="D1975" s="13"/>
      <c r="E1975" s="15" t="str">
        <f aca="false">IF(B1975="","",IFERROR(INDEX(Plan!$B$5:$B$44,MATCH(B1975,Plan!$A$5:$A$44,0))&amp;"","Kategori yok"))</f>
        <v/>
      </c>
    </row>
    <row r="1976" customFormat="false" ht="15" hidden="false" customHeight="false" outlineLevel="0" collapsed="false">
      <c r="A1976" s="12"/>
      <c r="B1976" s="13"/>
      <c r="C1976" s="14"/>
      <c r="D1976" s="13"/>
      <c r="E1976" s="15" t="str">
        <f aca="false">IF(B1976="","",IFERROR(INDEX(Plan!$B$5:$B$44,MATCH(B1976,Plan!$A$5:$A$44,0))&amp;"","Kategori yok"))</f>
        <v/>
      </c>
    </row>
    <row r="1977" customFormat="false" ht="15" hidden="false" customHeight="false" outlineLevel="0" collapsed="false">
      <c r="A1977" s="12"/>
      <c r="B1977" s="13"/>
      <c r="C1977" s="14"/>
      <c r="D1977" s="13"/>
      <c r="E1977" s="15" t="str">
        <f aca="false">IF(B1977="","",IFERROR(INDEX(Plan!$B$5:$B$44,MATCH(B1977,Plan!$A$5:$A$44,0))&amp;"","Kategori yok"))</f>
        <v/>
      </c>
    </row>
    <row r="1978" customFormat="false" ht="15" hidden="false" customHeight="false" outlineLevel="0" collapsed="false">
      <c r="A1978" s="12"/>
      <c r="B1978" s="13"/>
      <c r="C1978" s="14"/>
      <c r="D1978" s="13"/>
      <c r="E1978" s="15" t="str">
        <f aca="false">IF(B1978="","",IFERROR(INDEX(Plan!$B$5:$B$44,MATCH(B1978,Plan!$A$5:$A$44,0))&amp;"","Kategori yok"))</f>
        <v/>
      </c>
    </row>
    <row r="1979" customFormat="false" ht="15" hidden="false" customHeight="false" outlineLevel="0" collapsed="false">
      <c r="A1979" s="12"/>
      <c r="B1979" s="13"/>
      <c r="C1979" s="14"/>
      <c r="D1979" s="13"/>
      <c r="E1979" s="15" t="str">
        <f aca="false">IF(B1979="","",IFERROR(INDEX(Plan!$B$5:$B$44,MATCH(B1979,Plan!$A$5:$A$44,0))&amp;"","Kategori yok"))</f>
        <v/>
      </c>
    </row>
    <row r="1980" customFormat="false" ht="15" hidden="false" customHeight="false" outlineLevel="0" collapsed="false">
      <c r="A1980" s="12"/>
      <c r="B1980" s="13"/>
      <c r="C1980" s="14"/>
      <c r="D1980" s="13"/>
      <c r="E1980" s="15" t="str">
        <f aca="false">IF(B1980="","",IFERROR(INDEX(Plan!$B$5:$B$44,MATCH(B1980,Plan!$A$5:$A$44,0))&amp;"","Kategori yok"))</f>
        <v/>
      </c>
    </row>
    <row r="1981" customFormat="false" ht="15" hidden="false" customHeight="false" outlineLevel="0" collapsed="false">
      <c r="A1981" s="12"/>
      <c r="B1981" s="13"/>
      <c r="C1981" s="14"/>
      <c r="D1981" s="13"/>
      <c r="E1981" s="15" t="str">
        <f aca="false">IF(B1981="","",IFERROR(INDEX(Plan!$B$5:$B$44,MATCH(B1981,Plan!$A$5:$A$44,0))&amp;"","Kategori yok"))</f>
        <v/>
      </c>
    </row>
    <row r="1982" customFormat="false" ht="15" hidden="false" customHeight="false" outlineLevel="0" collapsed="false">
      <c r="A1982" s="12"/>
      <c r="B1982" s="13"/>
      <c r="C1982" s="14"/>
      <c r="D1982" s="13"/>
      <c r="E1982" s="15" t="str">
        <f aca="false">IF(B1982="","",IFERROR(INDEX(Plan!$B$5:$B$44,MATCH(B1982,Plan!$A$5:$A$44,0))&amp;"","Kategori yok"))</f>
        <v/>
      </c>
    </row>
    <row r="1983" customFormat="false" ht="15" hidden="false" customHeight="false" outlineLevel="0" collapsed="false">
      <c r="A1983" s="12"/>
      <c r="B1983" s="13"/>
      <c r="C1983" s="14"/>
      <c r="D1983" s="13"/>
      <c r="E1983" s="15" t="str">
        <f aca="false">IF(B1983="","",IFERROR(INDEX(Plan!$B$5:$B$44,MATCH(B1983,Plan!$A$5:$A$44,0))&amp;"","Kategori yok"))</f>
        <v/>
      </c>
    </row>
    <row r="1984" customFormat="false" ht="15" hidden="false" customHeight="false" outlineLevel="0" collapsed="false">
      <c r="A1984" s="12"/>
      <c r="B1984" s="13"/>
      <c r="C1984" s="14"/>
      <c r="D1984" s="13"/>
      <c r="E1984" s="15" t="str">
        <f aca="false">IF(B1984="","",IFERROR(INDEX(Plan!$B$5:$B$44,MATCH(B1984,Plan!$A$5:$A$44,0))&amp;"","Kategori yok"))</f>
        <v/>
      </c>
    </row>
    <row r="1985" customFormat="false" ht="15" hidden="false" customHeight="false" outlineLevel="0" collapsed="false">
      <c r="A1985" s="12"/>
      <c r="B1985" s="13"/>
      <c r="C1985" s="14"/>
      <c r="D1985" s="13"/>
      <c r="E1985" s="15" t="str">
        <f aca="false">IF(B1985="","",IFERROR(INDEX(Plan!$B$5:$B$44,MATCH(B1985,Plan!$A$5:$A$44,0))&amp;"","Kategori yok"))</f>
        <v/>
      </c>
    </row>
    <row r="1986" customFormat="false" ht="15" hidden="false" customHeight="false" outlineLevel="0" collapsed="false">
      <c r="A1986" s="12"/>
      <c r="B1986" s="13"/>
      <c r="C1986" s="14"/>
      <c r="D1986" s="13"/>
      <c r="E1986" s="15" t="str">
        <f aca="false">IF(B1986="","",IFERROR(INDEX(Plan!$B$5:$B$44,MATCH(B1986,Plan!$A$5:$A$44,0))&amp;"","Kategori yok"))</f>
        <v/>
      </c>
    </row>
    <row r="1987" customFormat="false" ht="15" hidden="false" customHeight="false" outlineLevel="0" collapsed="false">
      <c r="A1987" s="12"/>
      <c r="B1987" s="13"/>
      <c r="C1987" s="14"/>
      <c r="D1987" s="13"/>
      <c r="E1987" s="15" t="str">
        <f aca="false">IF(B1987="","",IFERROR(INDEX(Plan!$B$5:$B$44,MATCH(B1987,Plan!$A$5:$A$44,0))&amp;"","Kategori yok"))</f>
        <v/>
      </c>
    </row>
    <row r="1988" customFormat="false" ht="15" hidden="false" customHeight="false" outlineLevel="0" collapsed="false">
      <c r="A1988" s="12"/>
      <c r="B1988" s="13"/>
      <c r="C1988" s="14"/>
      <c r="D1988" s="13"/>
      <c r="E1988" s="15" t="str">
        <f aca="false">IF(B1988="","",IFERROR(INDEX(Plan!$B$5:$B$44,MATCH(B1988,Plan!$A$5:$A$44,0))&amp;"","Kategori yok"))</f>
        <v/>
      </c>
    </row>
    <row r="1989" customFormat="false" ht="15" hidden="false" customHeight="false" outlineLevel="0" collapsed="false">
      <c r="A1989" s="12"/>
      <c r="B1989" s="13"/>
      <c r="C1989" s="14"/>
      <c r="D1989" s="13"/>
      <c r="E1989" s="15" t="str">
        <f aca="false">IF(B1989="","",IFERROR(INDEX(Plan!$B$5:$B$44,MATCH(B1989,Plan!$A$5:$A$44,0))&amp;"","Kategori yok"))</f>
        <v/>
      </c>
    </row>
    <row r="1990" customFormat="false" ht="15" hidden="false" customHeight="false" outlineLevel="0" collapsed="false">
      <c r="A1990" s="12"/>
      <c r="B1990" s="13"/>
      <c r="C1990" s="14"/>
      <c r="D1990" s="13"/>
      <c r="E1990" s="15" t="str">
        <f aca="false">IF(B1990="","",IFERROR(INDEX(Plan!$B$5:$B$44,MATCH(B1990,Plan!$A$5:$A$44,0))&amp;"","Kategori yok"))</f>
        <v/>
      </c>
    </row>
    <row r="1991" customFormat="false" ht="15" hidden="false" customHeight="false" outlineLevel="0" collapsed="false">
      <c r="A1991" s="12"/>
      <c r="B1991" s="13"/>
      <c r="C1991" s="14"/>
      <c r="D1991" s="13"/>
      <c r="E1991" s="15" t="str">
        <f aca="false">IF(B1991="","",IFERROR(INDEX(Plan!$B$5:$B$44,MATCH(B1991,Plan!$A$5:$A$44,0))&amp;"","Kategori yok"))</f>
        <v/>
      </c>
    </row>
    <row r="1992" customFormat="false" ht="15" hidden="false" customHeight="false" outlineLevel="0" collapsed="false">
      <c r="A1992" s="12"/>
      <c r="B1992" s="13"/>
      <c r="C1992" s="14"/>
      <c r="D1992" s="13"/>
      <c r="E1992" s="15" t="str">
        <f aca="false">IF(B1992="","",IFERROR(INDEX(Plan!$B$5:$B$44,MATCH(B1992,Plan!$A$5:$A$44,0))&amp;"","Kategori yok"))</f>
        <v/>
      </c>
    </row>
    <row r="1993" customFormat="false" ht="15" hidden="false" customHeight="false" outlineLevel="0" collapsed="false">
      <c r="A1993" s="12"/>
      <c r="B1993" s="13"/>
      <c r="C1993" s="14"/>
      <c r="D1993" s="13"/>
      <c r="E1993" s="15" t="str">
        <f aca="false">IF(B1993="","",IFERROR(INDEX(Plan!$B$5:$B$44,MATCH(B1993,Plan!$A$5:$A$44,0))&amp;"","Kategori yok"))</f>
        <v/>
      </c>
    </row>
    <row r="1994" customFormat="false" ht="15" hidden="false" customHeight="false" outlineLevel="0" collapsed="false">
      <c r="A1994" s="12"/>
      <c r="B1994" s="13"/>
      <c r="C1994" s="14"/>
      <c r="D1994" s="13"/>
      <c r="E1994" s="15" t="str">
        <f aca="false">IF(B1994="","",IFERROR(INDEX(Plan!$B$5:$B$44,MATCH(B1994,Plan!$A$5:$A$44,0))&amp;"","Kategori yok"))</f>
        <v/>
      </c>
    </row>
    <row r="1995" customFormat="false" ht="15" hidden="false" customHeight="false" outlineLevel="0" collapsed="false">
      <c r="A1995" s="12"/>
      <c r="B1995" s="13"/>
      <c r="C1995" s="14"/>
      <c r="D1995" s="13"/>
      <c r="E1995" s="15" t="str">
        <f aca="false">IF(B1995="","",IFERROR(INDEX(Plan!$B$5:$B$44,MATCH(B1995,Plan!$A$5:$A$44,0))&amp;"","Kategori yok"))</f>
        <v/>
      </c>
    </row>
    <row r="1996" customFormat="false" ht="15" hidden="false" customHeight="false" outlineLevel="0" collapsed="false">
      <c r="A1996" s="12"/>
      <c r="B1996" s="13"/>
      <c r="C1996" s="14"/>
      <c r="D1996" s="13"/>
      <c r="E1996" s="15" t="str">
        <f aca="false">IF(B1996="","",IFERROR(INDEX(Plan!$B$5:$B$44,MATCH(B1996,Plan!$A$5:$A$44,0))&amp;"","Kategori yok"))</f>
        <v/>
      </c>
    </row>
    <row r="1997" customFormat="false" ht="15" hidden="false" customHeight="false" outlineLevel="0" collapsed="false">
      <c r="A1997" s="12"/>
      <c r="B1997" s="13"/>
      <c r="C1997" s="14"/>
      <c r="D1997" s="13"/>
      <c r="E1997" s="15" t="str">
        <f aca="false">IF(B1997="","",IFERROR(INDEX(Plan!$B$5:$B$44,MATCH(B1997,Plan!$A$5:$A$44,0))&amp;"","Kategori yok"))</f>
        <v/>
      </c>
    </row>
    <row r="1998" customFormat="false" ht="15" hidden="false" customHeight="false" outlineLevel="0" collapsed="false">
      <c r="A1998" s="12"/>
      <c r="B1998" s="13"/>
      <c r="C1998" s="14"/>
      <c r="D1998" s="13"/>
      <c r="E1998" s="15" t="str">
        <f aca="false">IF(B1998="","",IFERROR(INDEX(Plan!$B$5:$B$44,MATCH(B1998,Plan!$A$5:$A$44,0))&amp;"","Kategori yok"))</f>
        <v/>
      </c>
    </row>
    <row r="1999" customFormat="false" ht="15" hidden="false" customHeight="false" outlineLevel="0" collapsed="false">
      <c r="A1999" s="12"/>
      <c r="B1999" s="13"/>
      <c r="C1999" s="14"/>
      <c r="D1999" s="13"/>
      <c r="E1999" s="15" t="str">
        <f aca="false">IF(B1999="","",IFERROR(INDEX(Plan!$B$5:$B$44,MATCH(B1999,Plan!$A$5:$A$44,0))&amp;"","Kategori yok"))</f>
        <v/>
      </c>
    </row>
    <row r="2000" customFormat="false" ht="15" hidden="false" customHeight="false" outlineLevel="0" collapsed="false">
      <c r="A2000" s="12"/>
      <c r="B2000" s="13"/>
      <c r="C2000" s="14"/>
      <c r="D2000" s="13"/>
      <c r="E2000" s="15" t="str">
        <f aca="false">IF(B2000="","",IFERROR(INDEX(Plan!$B$5:$B$44,MATCH(B2000,Plan!$A$5:$A$44,0))&amp;"","Kategori yok"))</f>
        <v/>
      </c>
    </row>
    <row r="2001" customFormat="false" ht="15" hidden="false" customHeight="false" outlineLevel="0" collapsed="false">
      <c r="A2001" s="12"/>
      <c r="B2001" s="13"/>
      <c r="C2001" s="14"/>
      <c r="D2001" s="13"/>
      <c r="E2001" s="15" t="str">
        <f aca="false">IF(B2001="","",IFERROR(INDEX(Plan!$B$5:$B$44,MATCH(B2001,Plan!$A$5:$A$44,0))&amp;"","Kategori yok"))</f>
        <v/>
      </c>
    </row>
    <row r="2002" customFormat="false" ht="15" hidden="false" customHeight="false" outlineLevel="0" collapsed="false">
      <c r="A2002" s="12"/>
      <c r="B2002" s="13"/>
      <c r="C2002" s="14"/>
      <c r="D2002" s="13"/>
      <c r="E2002" s="15" t="str">
        <f aca="false">IF(B2002="","",IFERROR(INDEX(Plan!$B$5:$B$44,MATCH(B2002,Plan!$A$5:$A$44,0))&amp;"","Kategori yok"))</f>
        <v/>
      </c>
    </row>
    <row r="2003" customFormat="false" ht="15" hidden="false" customHeight="false" outlineLevel="0" collapsed="false">
      <c r="A2003" s="12"/>
      <c r="B2003" s="13"/>
      <c r="C2003" s="14"/>
      <c r="D2003" s="13"/>
      <c r="E2003" s="15" t="str">
        <f aca="false">IF(B2003="","",IFERROR(INDEX(Plan!$B$5:$B$44,MATCH(B2003,Plan!$A$5:$A$44,0))&amp;"","Kategori yok"))</f>
        <v/>
      </c>
    </row>
    <row r="2004" customFormat="false" ht="15" hidden="false" customHeight="false" outlineLevel="0" collapsed="false">
      <c r="A2004" s="12"/>
      <c r="B2004" s="13"/>
      <c r="C2004" s="14"/>
      <c r="D2004" s="13"/>
      <c r="E2004" s="15" t="str">
        <f aca="false">IF(B2004="","",IFERROR(INDEX(Plan!$B$5:$B$44,MATCH(B2004,Plan!$A$5:$A$44,0))&amp;"","Kategori yok"))</f>
        <v/>
      </c>
    </row>
  </sheetData>
  <conditionalFormatting sqref="E5:E2004">
    <cfRule type="cellIs" priority="2" operator="equal" aboveAverage="0" equalAverage="0" bottom="0" percent="0" rank="0" text="" dxfId="0">
      <formula>"Kategori yok"</formula>
    </cfRule>
  </conditionalFormatting>
  <dataValidations count="3">
    <dataValidation allowBlank="true" error="Geçerli bir tarih gir (örnek: 05.10.2026)." errorStyle="stop" errorTitle="Kontrol" operator="greaterThan" showDropDown="false" showErrorMessage="true" showInputMessage="false" sqref="A5:A2004" type="date">
      <formula1>36526</formula1>
      <formula2>0</formula2>
    </dataValidation>
    <dataValidation allowBlank="true" error="Listeden seç." errorStyle="stop" errorTitle="Kontrol" operator="between" showDropDown="false" showErrorMessage="true" showInputMessage="false" sqref="B5:B2004" type="list">
      <formula1>Plan!$A$5:$A$44</formula1>
      <formula2>0</formula2>
    </dataValidation>
    <dataValidation allowBlank="true" error="Sıfırdan büyük bir sayı gir." errorStyle="stop" errorTitle="Kontrol" operator="greaterThan" showDropDown="false" showErrorMessage="true" showInputMessage="false" sqref="C5:C2004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G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6" min="3" style="0" width="16"/>
    <col collapsed="false" customWidth="true" hidden="false" outlineLevel="0" max="7" min="7" style="0" width="12"/>
  </cols>
  <sheetData>
    <row r="1" customFormat="false" ht="19.7" hidden="false" customHeight="false" outlineLevel="0" collapsed="false">
      <c r="A1" s="8" t="s">
        <v>42</v>
      </c>
    </row>
    <row r="2" customFormat="false" ht="15" hidden="false" customHeight="false" outlineLevel="0" collapsed="false">
      <c r="A2" s="9" t="s">
        <v>43</v>
      </c>
    </row>
    <row r="3" customFormat="false" ht="15" hidden="false" customHeight="false" outlineLevel="0" collapsed="false">
      <c r="B3" s="0" t="s">
        <v>44</v>
      </c>
      <c r="C3" s="16" t="n">
        <v>2026</v>
      </c>
      <c r="D3" s="17" t="s">
        <v>45</v>
      </c>
      <c r="E3" s="16" t="n">
        <v>10</v>
      </c>
    </row>
    <row r="5" customFormat="false" ht="30" hidden="false" customHeight="true" outlineLevel="0" collapsed="false">
      <c r="B5" s="18" t="s">
        <v>46</v>
      </c>
      <c r="C5" s="18" t="s">
        <v>47</v>
      </c>
      <c r="D5" s="18" t="s">
        <v>48</v>
      </c>
      <c r="E5" s="18" t="s">
        <v>49</v>
      </c>
      <c r="F5" s="18" t="s">
        <v>50</v>
      </c>
    </row>
    <row r="6" customFormat="false" ht="27.75" hidden="false" customHeight="true" outlineLevel="0" collapsed="false">
      <c r="B6" s="19" t="n">
        <f aca="false">SUMIFS(Hareketler!$C$5:$C$2004,Hareketler!$E$5:$E$2004,"Gelir",Hareketler!$A$5:$A$2004,"&gt;="&amp;DATE($C$3,$E$3,1),Hareketler!$A$5:$A$2004,"&lt;"&amp;DATE($C$3,$E$3+1,1))</f>
        <v>75000</v>
      </c>
      <c r="C6" s="19" t="n">
        <f aca="false">SUMIFS(Hareketler!$C$5:$C$2004,Hareketler!$E$5:$E$2004,"Sabit gider",Hareketler!$A$5:$A$2004,"&gt;="&amp;DATE($C$3,$E$3,1),Hareketler!$A$5:$A$2004,"&lt;"&amp;DATE($C$3,$E$3+1,1))</f>
        <v>22000</v>
      </c>
      <c r="D6" s="19" t="n">
        <f aca="false">SUMIFS(Hareketler!$C$5:$C$2004,Hareketler!$E$5:$E$2004,"Değişken gider",Hareketler!$A$5:$A$2004,"&gt;="&amp;DATE($C$3,$E$3,1),Hareketler!$A$5:$A$2004,"&lt;"&amp;DATE($C$3,$E$3+1,1))</f>
        <v>12700</v>
      </c>
      <c r="E6" s="19" t="n">
        <f aca="false">SUMIFS(Hareketler!$C$5:$C$2004,Hareketler!$E$5:$E$2004,"Birikim",Hareketler!$A$5:$A$2004,"&gt;="&amp;DATE($C$3,$E$3,1),Hareketler!$A$5:$A$2004,"&lt;"&amp;DATE($C$3,$E$3+1,1))</f>
        <v>10000</v>
      </c>
      <c r="F6" s="19" t="n">
        <f aca="false">B6-C6-D6-E6</f>
        <v>30300</v>
      </c>
    </row>
    <row r="8" customFormat="false" ht="15" hidden="false" customHeight="false" outlineLevel="0" collapsed="false">
      <c r="B8" s="20" t="s">
        <v>51</v>
      </c>
      <c r="F8" s="21" t="n">
        <f aca="true">IF(AND(TODAY()&gt;=DATE($C$3,$E$3,1),TODAY()&lt;DATE($C$3,$E$3+1,1)),MAX(0,SUMIFS(Plan!$C$5:$C$44,Plan!$B$5:$B$44,"Değişken gider")-D6)/(DATE($C$3,$E$3+1,1)-TODAY()),"Seçili ay içinde değilsin")</f>
        <v>564.285714285714</v>
      </c>
    </row>
    <row r="10" customFormat="false" ht="21.75" hidden="false" customHeight="true" outlineLevel="0" collapsed="false">
      <c r="B10" s="10" t="s">
        <v>27</v>
      </c>
      <c r="C10" s="10" t="s">
        <v>30</v>
      </c>
      <c r="D10" s="10" t="s">
        <v>52</v>
      </c>
      <c r="E10" s="10" t="s">
        <v>53</v>
      </c>
      <c r="F10" s="10" t="s">
        <v>54</v>
      </c>
      <c r="G10" s="10" t="s">
        <v>55</v>
      </c>
    </row>
    <row r="11" customFormat="false" ht="15" hidden="false" customHeight="false" outlineLevel="0" collapsed="false">
      <c r="B11" s="22" t="str">
        <f aca="false">IF(Plan!A5="","",Plan!A5)</f>
        <v>Maaş</v>
      </c>
      <c r="C11" s="15" t="str">
        <f aca="false">IF(B11="","",Plan!B5&amp;"")</f>
        <v>Gelir</v>
      </c>
      <c r="D11" s="23" t="n">
        <f aca="false">IF(B11="","",Plan!C5)</f>
        <v>75000</v>
      </c>
      <c r="E11" s="23" t="n">
        <f aca="false">IF(B11="","",SUMIFS(Hareketler!$C$5:$C$2004,Hareketler!$B$5:$B$2004,B11,Hareketler!$A$5:$A$2004,"&gt;="&amp;DATE($C$3,$E$3,1),Hareketler!$A$5:$A$2004,"&lt;"&amp;DATE($C$3,$E$3+1,1)))</f>
        <v>75000</v>
      </c>
      <c r="F11" s="23" t="n">
        <f aca="false">IF(B11="","",IF(OR(C11="Gelir",C11="Birikim"),E11-D11,D11-E11))</f>
        <v>0</v>
      </c>
      <c r="G11" s="24" t="n">
        <f aca="false">IF(OR(B11="",D11=0),"",E11/D11)</f>
        <v>1</v>
      </c>
    </row>
    <row r="12" customFormat="false" ht="15" hidden="false" customHeight="false" outlineLevel="0" collapsed="false">
      <c r="B12" s="25" t="str">
        <f aca="false">IF(Plan!A6="","",Plan!A6)</f>
        <v>Ek gelir</v>
      </c>
      <c r="C12" s="26" t="str">
        <f aca="false">IF(B12="","",Plan!B6&amp;"")</f>
        <v>Gelir</v>
      </c>
      <c r="D12" s="27" t="n">
        <f aca="false">IF(B12="","",Plan!C6)</f>
        <v>5000</v>
      </c>
      <c r="E12" s="27" t="n">
        <f aca="false">IF(B12="","",SUMIFS(Hareketler!$C$5:$C$2004,Hareketler!$B$5:$B$2004,B12,Hareketler!$A$5:$A$2004,"&gt;="&amp;DATE($C$3,$E$3,1),Hareketler!$A$5:$A$2004,"&lt;"&amp;DATE($C$3,$E$3+1,1)))</f>
        <v>0</v>
      </c>
      <c r="F12" s="27" t="n">
        <f aca="false">IF(B12="","",IF(OR(C12="Gelir",C12="Birikim"),E12-D12,D12-E12))</f>
        <v>-5000</v>
      </c>
      <c r="G12" s="28" t="n">
        <f aca="false">IF(OR(B12="",D12=0),"",E12/D12)</f>
        <v>0</v>
      </c>
    </row>
    <row r="13" customFormat="false" ht="15" hidden="false" customHeight="false" outlineLevel="0" collapsed="false">
      <c r="B13" s="22" t="str">
        <f aca="false">IF(Plan!A7="","",Plan!A7)</f>
        <v>Kira</v>
      </c>
      <c r="C13" s="15" t="str">
        <f aca="false">IF(B13="","",Plan!B7&amp;"")</f>
        <v>Sabit gider</v>
      </c>
      <c r="D13" s="23" t="n">
        <f aca="false">IF(B13="","",Plan!C7)</f>
        <v>22000</v>
      </c>
      <c r="E13" s="23" t="n">
        <f aca="false">IF(B13="","",SUMIFS(Hareketler!$C$5:$C$2004,Hareketler!$B$5:$B$2004,B13,Hareketler!$A$5:$A$2004,"&gt;="&amp;DATE($C$3,$E$3,1),Hareketler!$A$5:$A$2004,"&lt;"&amp;DATE($C$3,$E$3+1,1)))</f>
        <v>22000</v>
      </c>
      <c r="F13" s="23" t="n">
        <f aca="false">IF(B13="","",IF(OR(C13="Gelir",C13="Birikim"),E13-D13,D13-E13))</f>
        <v>0</v>
      </c>
      <c r="G13" s="24" t="n">
        <f aca="false">IF(OR(B13="",D13=0),"",E13/D13)</f>
        <v>1</v>
      </c>
    </row>
    <row r="14" customFormat="false" ht="15" hidden="false" customHeight="false" outlineLevel="0" collapsed="false">
      <c r="B14" s="25" t="str">
        <f aca="false">IF(Plan!A8="","",Plan!A8)</f>
        <v>Faturalar</v>
      </c>
      <c r="C14" s="26" t="str">
        <f aca="false">IF(B14="","",Plan!B8&amp;"")</f>
        <v>Sabit gider</v>
      </c>
      <c r="D14" s="27" t="n">
        <f aca="false">IF(B14="","",Plan!C8)</f>
        <v>3500</v>
      </c>
      <c r="E14" s="27" t="n">
        <f aca="false">IF(B14="","",SUMIFS(Hareketler!$C$5:$C$2004,Hareketler!$B$5:$B$2004,B14,Hareketler!$A$5:$A$2004,"&gt;="&amp;DATE($C$3,$E$3,1),Hareketler!$A$5:$A$2004,"&lt;"&amp;DATE($C$3,$E$3+1,1)))</f>
        <v>0</v>
      </c>
      <c r="F14" s="27" t="n">
        <f aca="false">IF(B14="","",IF(OR(C14="Gelir",C14="Birikim"),E14-D14,D14-E14))</f>
        <v>3500</v>
      </c>
      <c r="G14" s="28" t="n">
        <f aca="false">IF(OR(B14="",D14=0),"",E14/D14)</f>
        <v>0</v>
      </c>
    </row>
    <row r="15" customFormat="false" ht="15" hidden="false" customHeight="false" outlineLevel="0" collapsed="false">
      <c r="B15" s="22" t="str">
        <f aca="false">IF(Plan!A9="","",Plan!A9)</f>
        <v>Market</v>
      </c>
      <c r="C15" s="15" t="str">
        <f aca="false">IF(B15="","",Plan!B9&amp;"")</f>
        <v>Değişken gider</v>
      </c>
      <c r="D15" s="23" t="n">
        <f aca="false">IF(B15="","",Plan!C9)</f>
        <v>14000</v>
      </c>
      <c r="E15" s="23" t="n">
        <f aca="false">IF(B15="","",SUMIFS(Hareketler!$C$5:$C$2004,Hareketler!$B$5:$B$2004,B15,Hareketler!$A$5:$A$2004,"&gt;="&amp;DATE($C$3,$E$3,1),Hareketler!$A$5:$A$2004,"&lt;"&amp;DATE($C$3,$E$3+1,1)))</f>
        <v>5800</v>
      </c>
      <c r="F15" s="23" t="n">
        <f aca="false">IF(B15="","",IF(OR(C15="Gelir",C15="Birikim"),E15-D15,D15-E15))</f>
        <v>8200</v>
      </c>
      <c r="G15" s="24" t="n">
        <f aca="false">IF(OR(B15="",D15=0),"",E15/D15)</f>
        <v>0.414285714285714</v>
      </c>
    </row>
    <row r="16" customFormat="false" ht="15" hidden="false" customHeight="false" outlineLevel="0" collapsed="false">
      <c r="B16" s="25" t="str">
        <f aca="false">IF(Plan!A10="","",Plan!A10)</f>
        <v>Ulaşım</v>
      </c>
      <c r="C16" s="26" t="str">
        <f aca="false">IF(B16="","",Plan!B10&amp;"")</f>
        <v>Değişken gider</v>
      </c>
      <c r="D16" s="27" t="n">
        <f aca="false">IF(B16="","",Plan!C10)</f>
        <v>4000</v>
      </c>
      <c r="E16" s="27" t="n">
        <f aca="false">IF(B16="","",SUMIFS(Hareketler!$C$5:$C$2004,Hareketler!$B$5:$B$2004,B16,Hareketler!$A$5:$A$2004,"&gt;="&amp;DATE($C$3,$E$3,1),Hareketler!$A$5:$A$2004,"&lt;"&amp;DATE($C$3,$E$3+1,1)))</f>
        <v>900</v>
      </c>
      <c r="F16" s="27" t="n">
        <f aca="false">IF(B16="","",IF(OR(C16="Gelir",C16="Birikim"),E16-D16,D16-E16))</f>
        <v>3100</v>
      </c>
      <c r="G16" s="28" t="n">
        <f aca="false">IF(OR(B16="",D16=0),"",E16/D16)</f>
        <v>0.225</v>
      </c>
    </row>
    <row r="17" customFormat="false" ht="15" hidden="false" customHeight="false" outlineLevel="0" collapsed="false">
      <c r="B17" s="22" t="str">
        <f aca="false">IF(Plan!A11="","",Plan!A11)</f>
        <v>Dışarıda yemek</v>
      </c>
      <c r="C17" s="15" t="str">
        <f aca="false">IF(B17="","",Plan!B11&amp;"")</f>
        <v>Değişken gider</v>
      </c>
      <c r="D17" s="23" t="n">
        <f aca="false">IF(B17="","",Plan!C11)</f>
        <v>5000</v>
      </c>
      <c r="E17" s="23" t="n">
        <f aca="false">IF(B17="","",SUMIFS(Hareketler!$C$5:$C$2004,Hareketler!$B$5:$B$2004,B17,Hareketler!$A$5:$A$2004,"&gt;="&amp;DATE($C$3,$E$3,1),Hareketler!$A$5:$A$2004,"&lt;"&amp;DATE($C$3,$E$3+1,1)))</f>
        <v>1800</v>
      </c>
      <c r="F17" s="23" t="n">
        <f aca="false">IF(B17="","",IF(OR(C17="Gelir",C17="Birikim"),E17-D17,D17-E17))</f>
        <v>3200</v>
      </c>
      <c r="G17" s="24" t="n">
        <f aca="false">IF(OR(B17="",D17=0),"",E17/D17)</f>
        <v>0.36</v>
      </c>
    </row>
    <row r="18" customFormat="false" ht="15" hidden="false" customHeight="false" outlineLevel="0" collapsed="false">
      <c r="B18" s="25" t="str">
        <f aca="false">IF(Plan!A12="","",Plan!A12)</f>
        <v>Giyim</v>
      </c>
      <c r="C18" s="26" t="str">
        <f aca="false">IF(B18="","",Plan!B12&amp;"")</f>
        <v>Değişken gider</v>
      </c>
      <c r="D18" s="27" t="n">
        <f aca="false">IF(B18="","",Plan!C12)</f>
        <v>3000</v>
      </c>
      <c r="E18" s="27" t="n">
        <f aca="false">IF(B18="","",SUMIFS(Hareketler!$C$5:$C$2004,Hareketler!$B$5:$B$2004,B18,Hareketler!$A$5:$A$2004,"&gt;="&amp;DATE($C$3,$E$3,1),Hareketler!$A$5:$A$2004,"&lt;"&amp;DATE($C$3,$E$3+1,1)))</f>
        <v>4200</v>
      </c>
      <c r="F18" s="27" t="n">
        <f aca="false">IF(B18="","",IF(OR(C18="Gelir",C18="Birikim"),E18-D18,D18-E18))</f>
        <v>-1200</v>
      </c>
      <c r="G18" s="28" t="n">
        <f aca="false">IF(OR(B18="",D18=0),"",E18/D18)</f>
        <v>1.4</v>
      </c>
    </row>
    <row r="19" customFormat="false" ht="15" hidden="false" customHeight="false" outlineLevel="0" collapsed="false">
      <c r="B19" s="22" t="str">
        <f aca="false">IF(Plan!A13="","",Plan!A13)</f>
        <v>Eğlence</v>
      </c>
      <c r="C19" s="15" t="str">
        <f aca="false">IF(B19="","",Plan!B13&amp;"")</f>
        <v>Değişken gider</v>
      </c>
      <c r="D19" s="23" t="n">
        <f aca="false">IF(B19="","",Plan!C13)</f>
        <v>2500</v>
      </c>
      <c r="E19" s="23" t="n">
        <f aca="false">IF(B19="","",SUMIFS(Hareketler!$C$5:$C$2004,Hareketler!$B$5:$B$2004,B19,Hareketler!$A$5:$A$2004,"&gt;="&amp;DATE($C$3,$E$3,1),Hareketler!$A$5:$A$2004,"&lt;"&amp;DATE($C$3,$E$3+1,1)))</f>
        <v>0</v>
      </c>
      <c r="F19" s="23" t="n">
        <f aca="false">IF(B19="","",IF(OR(C19="Gelir",C19="Birikim"),E19-D19,D19-E19))</f>
        <v>2500</v>
      </c>
      <c r="G19" s="24" t="n">
        <f aca="false">IF(OR(B19="",D19=0),"",E19/D19)</f>
        <v>0</v>
      </c>
    </row>
    <row r="20" customFormat="false" ht="15" hidden="false" customHeight="false" outlineLevel="0" collapsed="false">
      <c r="B20" s="25" t="str">
        <f aca="false">IF(Plan!A14="","",Plan!A14)</f>
        <v>Birikim hesabı</v>
      </c>
      <c r="C20" s="26" t="str">
        <f aca="false">IF(B20="","",Plan!B14&amp;"")</f>
        <v>Birikim</v>
      </c>
      <c r="D20" s="27" t="n">
        <f aca="false">IF(B20="","",Plan!C14)</f>
        <v>10000</v>
      </c>
      <c r="E20" s="27" t="n">
        <f aca="false">IF(B20="","",SUMIFS(Hareketler!$C$5:$C$2004,Hareketler!$B$5:$B$2004,B20,Hareketler!$A$5:$A$2004,"&gt;="&amp;DATE($C$3,$E$3,1),Hareketler!$A$5:$A$2004,"&lt;"&amp;DATE($C$3,$E$3+1,1)))</f>
        <v>10000</v>
      </c>
      <c r="F20" s="27" t="n">
        <f aca="false">IF(B20="","",IF(OR(C20="Gelir",C20="Birikim"),E20-D20,D20-E20))</f>
        <v>0</v>
      </c>
      <c r="G20" s="28" t="n">
        <f aca="false">IF(OR(B20="",D20=0),"",E20/D20)</f>
        <v>1</v>
      </c>
    </row>
    <row r="21" customFormat="false" ht="15" hidden="false" customHeight="false" outlineLevel="0" collapsed="false">
      <c r="B21" s="22" t="str">
        <f aca="false">IF(Plan!A15="","",Plan!A15)</f>
        <v/>
      </c>
      <c r="C21" s="15" t="str">
        <f aca="false">IF(B21="","",Plan!B15&amp;"")</f>
        <v/>
      </c>
      <c r="D21" s="23" t="str">
        <f aca="false">IF(B21="","",Plan!C15)</f>
        <v/>
      </c>
      <c r="E21" s="23" t="str">
        <f aca="false">IF(B21="","",SUMIFS(Hareketler!$C$5:$C$2004,Hareketler!$B$5:$B$2004,B21,Hareketler!$A$5:$A$2004,"&gt;="&amp;DATE($C$3,$E$3,1),Hareketler!$A$5:$A$2004,"&lt;"&amp;DATE($C$3,$E$3+1,1)))</f>
        <v/>
      </c>
      <c r="F21" s="23" t="str">
        <f aca="false">IF(B21="","",IF(OR(C21="Gelir",C21="Birikim"),E21-D21,D21-E21))</f>
        <v/>
      </c>
      <c r="G21" s="24" t="str">
        <f aca="false">IF(OR(B21="",D21=0),"",E21/D21)</f>
        <v/>
      </c>
    </row>
    <row r="22" customFormat="false" ht="15" hidden="false" customHeight="false" outlineLevel="0" collapsed="false">
      <c r="B22" s="25" t="str">
        <f aca="false">IF(Plan!A16="","",Plan!A16)</f>
        <v/>
      </c>
      <c r="C22" s="26" t="str">
        <f aca="false">IF(B22="","",Plan!B16&amp;"")</f>
        <v/>
      </c>
      <c r="D22" s="27" t="str">
        <f aca="false">IF(B22="","",Plan!C16)</f>
        <v/>
      </c>
      <c r="E22" s="27" t="str">
        <f aca="false">IF(B22="","",SUMIFS(Hareketler!$C$5:$C$2004,Hareketler!$B$5:$B$2004,B22,Hareketler!$A$5:$A$2004,"&gt;="&amp;DATE($C$3,$E$3,1),Hareketler!$A$5:$A$2004,"&lt;"&amp;DATE($C$3,$E$3+1,1)))</f>
        <v/>
      </c>
      <c r="F22" s="27" t="str">
        <f aca="false">IF(B22="","",IF(OR(C22="Gelir",C22="Birikim"),E22-D22,D22-E22))</f>
        <v/>
      </c>
      <c r="G22" s="28" t="str">
        <f aca="false">IF(OR(B22="",D22=0),"",E22/D22)</f>
        <v/>
      </c>
    </row>
    <row r="23" customFormat="false" ht="15" hidden="false" customHeight="false" outlineLevel="0" collapsed="false">
      <c r="B23" s="22" t="str">
        <f aca="false">IF(Plan!A17="","",Plan!A17)</f>
        <v/>
      </c>
      <c r="C23" s="15" t="str">
        <f aca="false">IF(B23="","",Plan!B17&amp;"")</f>
        <v/>
      </c>
      <c r="D23" s="23" t="str">
        <f aca="false">IF(B23="","",Plan!C17)</f>
        <v/>
      </c>
      <c r="E23" s="23" t="str">
        <f aca="false">IF(B23="","",SUMIFS(Hareketler!$C$5:$C$2004,Hareketler!$B$5:$B$2004,B23,Hareketler!$A$5:$A$2004,"&gt;="&amp;DATE($C$3,$E$3,1),Hareketler!$A$5:$A$2004,"&lt;"&amp;DATE($C$3,$E$3+1,1)))</f>
        <v/>
      </c>
      <c r="F23" s="23" t="str">
        <f aca="false">IF(B23="","",IF(OR(C23="Gelir",C23="Birikim"),E23-D23,D23-E23))</f>
        <v/>
      </c>
      <c r="G23" s="24" t="str">
        <f aca="false">IF(OR(B23="",D23=0),"",E23/D23)</f>
        <v/>
      </c>
    </row>
    <row r="24" customFormat="false" ht="15" hidden="false" customHeight="false" outlineLevel="0" collapsed="false">
      <c r="B24" s="25" t="str">
        <f aca="false">IF(Plan!A18="","",Plan!A18)</f>
        <v/>
      </c>
      <c r="C24" s="26" t="str">
        <f aca="false">IF(B24="","",Plan!B18&amp;"")</f>
        <v/>
      </c>
      <c r="D24" s="27" t="str">
        <f aca="false">IF(B24="","",Plan!C18)</f>
        <v/>
      </c>
      <c r="E24" s="27" t="str">
        <f aca="false">IF(B24="","",SUMIFS(Hareketler!$C$5:$C$2004,Hareketler!$B$5:$B$2004,B24,Hareketler!$A$5:$A$2004,"&gt;="&amp;DATE($C$3,$E$3,1),Hareketler!$A$5:$A$2004,"&lt;"&amp;DATE($C$3,$E$3+1,1)))</f>
        <v/>
      </c>
      <c r="F24" s="27" t="str">
        <f aca="false">IF(B24="","",IF(OR(C24="Gelir",C24="Birikim"),E24-D24,D24-E24))</f>
        <v/>
      </c>
      <c r="G24" s="28" t="str">
        <f aca="false">IF(OR(B24="",D24=0),"",E24/D24)</f>
        <v/>
      </c>
    </row>
    <row r="25" customFormat="false" ht="15" hidden="false" customHeight="false" outlineLevel="0" collapsed="false">
      <c r="B25" s="22" t="str">
        <f aca="false">IF(Plan!A19="","",Plan!A19)</f>
        <v/>
      </c>
      <c r="C25" s="15" t="str">
        <f aca="false">IF(B25="","",Plan!B19&amp;"")</f>
        <v/>
      </c>
      <c r="D25" s="23" t="str">
        <f aca="false">IF(B25="","",Plan!C19)</f>
        <v/>
      </c>
      <c r="E25" s="23" t="str">
        <f aca="false">IF(B25="","",SUMIFS(Hareketler!$C$5:$C$2004,Hareketler!$B$5:$B$2004,B25,Hareketler!$A$5:$A$2004,"&gt;="&amp;DATE($C$3,$E$3,1),Hareketler!$A$5:$A$2004,"&lt;"&amp;DATE($C$3,$E$3+1,1)))</f>
        <v/>
      </c>
      <c r="F25" s="23" t="str">
        <f aca="false">IF(B25="","",IF(OR(C25="Gelir",C25="Birikim"),E25-D25,D25-E25))</f>
        <v/>
      </c>
      <c r="G25" s="24" t="str">
        <f aca="false">IF(OR(B25="",D25=0),"",E25/D25)</f>
        <v/>
      </c>
    </row>
    <row r="26" customFormat="false" ht="15" hidden="false" customHeight="false" outlineLevel="0" collapsed="false">
      <c r="B26" s="25" t="str">
        <f aca="false">IF(Plan!A20="","",Plan!A20)</f>
        <v/>
      </c>
      <c r="C26" s="26" t="str">
        <f aca="false">IF(B26="","",Plan!B20&amp;"")</f>
        <v/>
      </c>
      <c r="D26" s="27" t="str">
        <f aca="false">IF(B26="","",Plan!C20)</f>
        <v/>
      </c>
      <c r="E26" s="27" t="str">
        <f aca="false">IF(B26="","",SUMIFS(Hareketler!$C$5:$C$2004,Hareketler!$B$5:$B$2004,B26,Hareketler!$A$5:$A$2004,"&gt;="&amp;DATE($C$3,$E$3,1),Hareketler!$A$5:$A$2004,"&lt;"&amp;DATE($C$3,$E$3+1,1)))</f>
        <v/>
      </c>
      <c r="F26" s="27" t="str">
        <f aca="false">IF(B26="","",IF(OR(C26="Gelir",C26="Birikim"),E26-D26,D26-E26))</f>
        <v/>
      </c>
      <c r="G26" s="28" t="str">
        <f aca="false">IF(OR(B26="",D26=0),"",E26/D26)</f>
        <v/>
      </c>
    </row>
    <row r="27" customFormat="false" ht="15" hidden="false" customHeight="false" outlineLevel="0" collapsed="false">
      <c r="B27" s="22" t="str">
        <f aca="false">IF(Plan!A21="","",Plan!A21)</f>
        <v/>
      </c>
      <c r="C27" s="15" t="str">
        <f aca="false">IF(B27="","",Plan!B21&amp;"")</f>
        <v/>
      </c>
      <c r="D27" s="23" t="str">
        <f aca="false">IF(B27="","",Plan!C21)</f>
        <v/>
      </c>
      <c r="E27" s="23" t="str">
        <f aca="false">IF(B27="","",SUMIFS(Hareketler!$C$5:$C$2004,Hareketler!$B$5:$B$2004,B27,Hareketler!$A$5:$A$2004,"&gt;="&amp;DATE($C$3,$E$3,1),Hareketler!$A$5:$A$2004,"&lt;"&amp;DATE($C$3,$E$3+1,1)))</f>
        <v/>
      </c>
      <c r="F27" s="23" t="str">
        <f aca="false">IF(B27="","",IF(OR(C27="Gelir",C27="Birikim"),E27-D27,D27-E27))</f>
        <v/>
      </c>
      <c r="G27" s="24" t="str">
        <f aca="false">IF(OR(B27="",D27=0),"",E27/D27)</f>
        <v/>
      </c>
    </row>
    <row r="28" customFormat="false" ht="15" hidden="false" customHeight="false" outlineLevel="0" collapsed="false">
      <c r="B28" s="25" t="str">
        <f aca="false">IF(Plan!A22="","",Plan!A22)</f>
        <v/>
      </c>
      <c r="C28" s="26" t="str">
        <f aca="false">IF(B28="","",Plan!B22&amp;"")</f>
        <v/>
      </c>
      <c r="D28" s="27" t="str">
        <f aca="false">IF(B28="","",Plan!C22)</f>
        <v/>
      </c>
      <c r="E28" s="27" t="str">
        <f aca="false">IF(B28="","",SUMIFS(Hareketler!$C$5:$C$2004,Hareketler!$B$5:$B$2004,B28,Hareketler!$A$5:$A$2004,"&gt;="&amp;DATE($C$3,$E$3,1),Hareketler!$A$5:$A$2004,"&lt;"&amp;DATE($C$3,$E$3+1,1)))</f>
        <v/>
      </c>
      <c r="F28" s="27" t="str">
        <f aca="false">IF(B28="","",IF(OR(C28="Gelir",C28="Birikim"),E28-D28,D28-E28))</f>
        <v/>
      </c>
      <c r="G28" s="28" t="str">
        <f aca="false">IF(OR(B28="",D28=0),"",E28/D28)</f>
        <v/>
      </c>
    </row>
    <row r="29" customFormat="false" ht="15" hidden="false" customHeight="false" outlineLevel="0" collapsed="false">
      <c r="B29" s="22" t="str">
        <f aca="false">IF(Plan!A23="","",Plan!A23)</f>
        <v/>
      </c>
      <c r="C29" s="15" t="str">
        <f aca="false">IF(B29="","",Plan!B23&amp;"")</f>
        <v/>
      </c>
      <c r="D29" s="23" t="str">
        <f aca="false">IF(B29="","",Plan!C23)</f>
        <v/>
      </c>
      <c r="E29" s="23" t="str">
        <f aca="false">IF(B29="","",SUMIFS(Hareketler!$C$5:$C$2004,Hareketler!$B$5:$B$2004,B29,Hareketler!$A$5:$A$2004,"&gt;="&amp;DATE($C$3,$E$3,1),Hareketler!$A$5:$A$2004,"&lt;"&amp;DATE($C$3,$E$3+1,1)))</f>
        <v/>
      </c>
      <c r="F29" s="23" t="str">
        <f aca="false">IF(B29="","",IF(OR(C29="Gelir",C29="Birikim"),E29-D29,D29-E29))</f>
        <v/>
      </c>
      <c r="G29" s="24" t="str">
        <f aca="false">IF(OR(B29="",D29=0),"",E29/D29)</f>
        <v/>
      </c>
    </row>
    <row r="30" customFormat="false" ht="15" hidden="false" customHeight="false" outlineLevel="0" collapsed="false">
      <c r="B30" s="25" t="str">
        <f aca="false">IF(Plan!A24="","",Plan!A24)</f>
        <v/>
      </c>
      <c r="C30" s="26" t="str">
        <f aca="false">IF(B30="","",Plan!B24&amp;"")</f>
        <v/>
      </c>
      <c r="D30" s="27" t="str">
        <f aca="false">IF(B30="","",Plan!C24)</f>
        <v/>
      </c>
      <c r="E30" s="27" t="str">
        <f aca="false">IF(B30="","",SUMIFS(Hareketler!$C$5:$C$2004,Hareketler!$B$5:$B$2004,B30,Hareketler!$A$5:$A$2004,"&gt;="&amp;DATE($C$3,$E$3,1),Hareketler!$A$5:$A$2004,"&lt;"&amp;DATE($C$3,$E$3+1,1)))</f>
        <v/>
      </c>
      <c r="F30" s="27" t="str">
        <f aca="false">IF(B30="","",IF(OR(C30="Gelir",C30="Birikim"),E30-D30,D30-E30))</f>
        <v/>
      </c>
      <c r="G30" s="28" t="str">
        <f aca="false">IF(OR(B30="",D30=0),"",E30/D30)</f>
        <v/>
      </c>
    </row>
    <row r="31" customFormat="false" ht="15" hidden="false" customHeight="false" outlineLevel="0" collapsed="false">
      <c r="B31" s="22" t="str">
        <f aca="false">IF(Plan!A25="","",Plan!A25)</f>
        <v/>
      </c>
      <c r="C31" s="15" t="str">
        <f aca="false">IF(B31="","",Plan!B25&amp;"")</f>
        <v/>
      </c>
      <c r="D31" s="23" t="str">
        <f aca="false">IF(B31="","",Plan!C25)</f>
        <v/>
      </c>
      <c r="E31" s="23" t="str">
        <f aca="false">IF(B31="","",SUMIFS(Hareketler!$C$5:$C$2004,Hareketler!$B$5:$B$2004,B31,Hareketler!$A$5:$A$2004,"&gt;="&amp;DATE($C$3,$E$3,1),Hareketler!$A$5:$A$2004,"&lt;"&amp;DATE($C$3,$E$3+1,1)))</f>
        <v/>
      </c>
      <c r="F31" s="23" t="str">
        <f aca="false">IF(B31="","",IF(OR(C31="Gelir",C31="Birikim"),E31-D31,D31-E31))</f>
        <v/>
      </c>
      <c r="G31" s="24" t="str">
        <f aca="false">IF(OR(B31="",D31=0),"",E31/D31)</f>
        <v/>
      </c>
    </row>
    <row r="32" customFormat="false" ht="15" hidden="false" customHeight="false" outlineLevel="0" collapsed="false">
      <c r="B32" s="25" t="str">
        <f aca="false">IF(Plan!A26="","",Plan!A26)</f>
        <v/>
      </c>
      <c r="C32" s="26" t="str">
        <f aca="false">IF(B32="","",Plan!B26&amp;"")</f>
        <v/>
      </c>
      <c r="D32" s="27" t="str">
        <f aca="false">IF(B32="","",Plan!C26)</f>
        <v/>
      </c>
      <c r="E32" s="27" t="str">
        <f aca="false">IF(B32="","",SUMIFS(Hareketler!$C$5:$C$2004,Hareketler!$B$5:$B$2004,B32,Hareketler!$A$5:$A$2004,"&gt;="&amp;DATE($C$3,$E$3,1),Hareketler!$A$5:$A$2004,"&lt;"&amp;DATE($C$3,$E$3+1,1)))</f>
        <v/>
      </c>
      <c r="F32" s="27" t="str">
        <f aca="false">IF(B32="","",IF(OR(C32="Gelir",C32="Birikim"),E32-D32,D32-E32))</f>
        <v/>
      </c>
      <c r="G32" s="28" t="str">
        <f aca="false">IF(OR(B32="",D32=0),"",E32/D32)</f>
        <v/>
      </c>
    </row>
    <row r="33" customFormat="false" ht="15" hidden="false" customHeight="false" outlineLevel="0" collapsed="false">
      <c r="B33" s="22" t="str">
        <f aca="false">IF(Plan!A27="","",Plan!A27)</f>
        <v/>
      </c>
      <c r="C33" s="15" t="str">
        <f aca="false">IF(B33="","",Plan!B27&amp;"")</f>
        <v/>
      </c>
      <c r="D33" s="23" t="str">
        <f aca="false">IF(B33="","",Plan!C27)</f>
        <v/>
      </c>
      <c r="E33" s="23" t="str">
        <f aca="false">IF(B33="","",SUMIFS(Hareketler!$C$5:$C$2004,Hareketler!$B$5:$B$2004,B33,Hareketler!$A$5:$A$2004,"&gt;="&amp;DATE($C$3,$E$3,1),Hareketler!$A$5:$A$2004,"&lt;"&amp;DATE($C$3,$E$3+1,1)))</f>
        <v/>
      </c>
      <c r="F33" s="23" t="str">
        <f aca="false">IF(B33="","",IF(OR(C33="Gelir",C33="Birikim"),E33-D33,D33-E33))</f>
        <v/>
      </c>
      <c r="G33" s="24" t="str">
        <f aca="false">IF(OR(B33="",D33=0),"",E33/D33)</f>
        <v/>
      </c>
    </row>
    <row r="34" customFormat="false" ht="15" hidden="false" customHeight="false" outlineLevel="0" collapsed="false">
      <c r="B34" s="25" t="str">
        <f aca="false">IF(Plan!A28="","",Plan!A28)</f>
        <v/>
      </c>
      <c r="C34" s="26" t="str">
        <f aca="false">IF(B34="","",Plan!B28&amp;"")</f>
        <v/>
      </c>
      <c r="D34" s="27" t="str">
        <f aca="false">IF(B34="","",Plan!C28)</f>
        <v/>
      </c>
      <c r="E34" s="27" t="str">
        <f aca="false">IF(B34="","",SUMIFS(Hareketler!$C$5:$C$2004,Hareketler!$B$5:$B$2004,B34,Hareketler!$A$5:$A$2004,"&gt;="&amp;DATE($C$3,$E$3,1),Hareketler!$A$5:$A$2004,"&lt;"&amp;DATE($C$3,$E$3+1,1)))</f>
        <v/>
      </c>
      <c r="F34" s="27" t="str">
        <f aca="false">IF(B34="","",IF(OR(C34="Gelir",C34="Birikim"),E34-D34,D34-E34))</f>
        <v/>
      </c>
      <c r="G34" s="28" t="str">
        <f aca="false">IF(OR(B34="",D34=0),"",E34/D34)</f>
        <v/>
      </c>
    </row>
    <row r="35" customFormat="false" ht="15" hidden="false" customHeight="false" outlineLevel="0" collapsed="false">
      <c r="B35" s="22" t="str">
        <f aca="false">IF(Plan!A29="","",Plan!A29)</f>
        <v/>
      </c>
      <c r="C35" s="15" t="str">
        <f aca="false">IF(B35="","",Plan!B29&amp;"")</f>
        <v/>
      </c>
      <c r="D35" s="23" t="str">
        <f aca="false">IF(B35="","",Plan!C29)</f>
        <v/>
      </c>
      <c r="E35" s="23" t="str">
        <f aca="false">IF(B35="","",SUMIFS(Hareketler!$C$5:$C$2004,Hareketler!$B$5:$B$2004,B35,Hareketler!$A$5:$A$2004,"&gt;="&amp;DATE($C$3,$E$3,1),Hareketler!$A$5:$A$2004,"&lt;"&amp;DATE($C$3,$E$3+1,1)))</f>
        <v/>
      </c>
      <c r="F35" s="23" t="str">
        <f aca="false">IF(B35="","",IF(OR(C35="Gelir",C35="Birikim"),E35-D35,D35-E35))</f>
        <v/>
      </c>
      <c r="G35" s="24" t="str">
        <f aca="false">IF(OR(B35="",D35=0),"",E35/D35)</f>
        <v/>
      </c>
    </row>
    <row r="36" customFormat="false" ht="15" hidden="false" customHeight="false" outlineLevel="0" collapsed="false">
      <c r="B36" s="25" t="str">
        <f aca="false">IF(Plan!A30="","",Plan!A30)</f>
        <v/>
      </c>
      <c r="C36" s="26" t="str">
        <f aca="false">IF(B36="","",Plan!B30&amp;"")</f>
        <v/>
      </c>
      <c r="D36" s="27" t="str">
        <f aca="false">IF(B36="","",Plan!C30)</f>
        <v/>
      </c>
      <c r="E36" s="27" t="str">
        <f aca="false">IF(B36="","",SUMIFS(Hareketler!$C$5:$C$2004,Hareketler!$B$5:$B$2004,B36,Hareketler!$A$5:$A$2004,"&gt;="&amp;DATE($C$3,$E$3,1),Hareketler!$A$5:$A$2004,"&lt;"&amp;DATE($C$3,$E$3+1,1)))</f>
        <v/>
      </c>
      <c r="F36" s="27" t="str">
        <f aca="false">IF(B36="","",IF(OR(C36="Gelir",C36="Birikim"),E36-D36,D36-E36))</f>
        <v/>
      </c>
      <c r="G36" s="28" t="str">
        <f aca="false">IF(OR(B36="",D36=0),"",E36/D36)</f>
        <v/>
      </c>
    </row>
    <row r="37" customFormat="false" ht="15" hidden="false" customHeight="false" outlineLevel="0" collapsed="false">
      <c r="B37" s="22" t="str">
        <f aca="false">IF(Plan!A31="","",Plan!A31)</f>
        <v/>
      </c>
      <c r="C37" s="15" t="str">
        <f aca="false">IF(B37="","",Plan!B31&amp;"")</f>
        <v/>
      </c>
      <c r="D37" s="23" t="str">
        <f aca="false">IF(B37="","",Plan!C31)</f>
        <v/>
      </c>
      <c r="E37" s="23" t="str">
        <f aca="false">IF(B37="","",SUMIFS(Hareketler!$C$5:$C$2004,Hareketler!$B$5:$B$2004,B37,Hareketler!$A$5:$A$2004,"&gt;="&amp;DATE($C$3,$E$3,1),Hareketler!$A$5:$A$2004,"&lt;"&amp;DATE($C$3,$E$3+1,1)))</f>
        <v/>
      </c>
      <c r="F37" s="23" t="str">
        <f aca="false">IF(B37="","",IF(OR(C37="Gelir",C37="Birikim"),E37-D37,D37-E37))</f>
        <v/>
      </c>
      <c r="G37" s="24" t="str">
        <f aca="false">IF(OR(B37="",D37=0),"",E37/D37)</f>
        <v/>
      </c>
    </row>
    <row r="38" customFormat="false" ht="15" hidden="false" customHeight="false" outlineLevel="0" collapsed="false">
      <c r="B38" s="25" t="str">
        <f aca="false">IF(Plan!A32="","",Plan!A32)</f>
        <v/>
      </c>
      <c r="C38" s="26" t="str">
        <f aca="false">IF(B38="","",Plan!B32&amp;"")</f>
        <v/>
      </c>
      <c r="D38" s="27" t="str">
        <f aca="false">IF(B38="","",Plan!C32)</f>
        <v/>
      </c>
      <c r="E38" s="27" t="str">
        <f aca="false">IF(B38="","",SUMIFS(Hareketler!$C$5:$C$2004,Hareketler!$B$5:$B$2004,B38,Hareketler!$A$5:$A$2004,"&gt;="&amp;DATE($C$3,$E$3,1),Hareketler!$A$5:$A$2004,"&lt;"&amp;DATE($C$3,$E$3+1,1)))</f>
        <v/>
      </c>
      <c r="F38" s="27" t="str">
        <f aca="false">IF(B38="","",IF(OR(C38="Gelir",C38="Birikim"),E38-D38,D38-E38))</f>
        <v/>
      </c>
      <c r="G38" s="28" t="str">
        <f aca="false">IF(OR(B38="",D38=0),"",E38/D38)</f>
        <v/>
      </c>
    </row>
    <row r="39" customFormat="false" ht="15" hidden="false" customHeight="false" outlineLevel="0" collapsed="false">
      <c r="B39" s="22" t="str">
        <f aca="false">IF(Plan!A33="","",Plan!A33)</f>
        <v/>
      </c>
      <c r="C39" s="15" t="str">
        <f aca="false">IF(B39="","",Plan!B33&amp;"")</f>
        <v/>
      </c>
      <c r="D39" s="23" t="str">
        <f aca="false">IF(B39="","",Plan!C33)</f>
        <v/>
      </c>
      <c r="E39" s="23" t="str">
        <f aca="false">IF(B39="","",SUMIFS(Hareketler!$C$5:$C$2004,Hareketler!$B$5:$B$2004,B39,Hareketler!$A$5:$A$2004,"&gt;="&amp;DATE($C$3,$E$3,1),Hareketler!$A$5:$A$2004,"&lt;"&amp;DATE($C$3,$E$3+1,1)))</f>
        <v/>
      </c>
      <c r="F39" s="23" t="str">
        <f aca="false">IF(B39="","",IF(OR(C39="Gelir",C39="Birikim"),E39-D39,D39-E39))</f>
        <v/>
      </c>
      <c r="G39" s="24" t="str">
        <f aca="false">IF(OR(B39="",D39=0),"",E39/D39)</f>
        <v/>
      </c>
    </row>
    <row r="40" customFormat="false" ht="15" hidden="false" customHeight="false" outlineLevel="0" collapsed="false">
      <c r="B40" s="25" t="str">
        <f aca="false">IF(Plan!A34="","",Plan!A34)</f>
        <v/>
      </c>
      <c r="C40" s="26" t="str">
        <f aca="false">IF(B40="","",Plan!B34&amp;"")</f>
        <v/>
      </c>
      <c r="D40" s="27" t="str">
        <f aca="false">IF(B40="","",Plan!C34)</f>
        <v/>
      </c>
      <c r="E40" s="27" t="str">
        <f aca="false">IF(B40="","",SUMIFS(Hareketler!$C$5:$C$2004,Hareketler!$B$5:$B$2004,B40,Hareketler!$A$5:$A$2004,"&gt;="&amp;DATE($C$3,$E$3,1),Hareketler!$A$5:$A$2004,"&lt;"&amp;DATE($C$3,$E$3+1,1)))</f>
        <v/>
      </c>
      <c r="F40" s="27" t="str">
        <f aca="false">IF(B40="","",IF(OR(C40="Gelir",C40="Birikim"),E40-D40,D40-E40))</f>
        <v/>
      </c>
      <c r="G40" s="28" t="str">
        <f aca="false">IF(OR(B40="",D40=0),"",E40/D40)</f>
        <v/>
      </c>
    </row>
    <row r="41" customFormat="false" ht="15" hidden="false" customHeight="false" outlineLevel="0" collapsed="false">
      <c r="B41" s="22" t="str">
        <f aca="false">IF(Plan!A35="","",Plan!A35)</f>
        <v/>
      </c>
      <c r="C41" s="15" t="str">
        <f aca="false">IF(B41="","",Plan!B35&amp;"")</f>
        <v/>
      </c>
      <c r="D41" s="23" t="str">
        <f aca="false">IF(B41="","",Plan!C35)</f>
        <v/>
      </c>
      <c r="E41" s="23" t="str">
        <f aca="false">IF(B41="","",SUMIFS(Hareketler!$C$5:$C$2004,Hareketler!$B$5:$B$2004,B41,Hareketler!$A$5:$A$2004,"&gt;="&amp;DATE($C$3,$E$3,1),Hareketler!$A$5:$A$2004,"&lt;"&amp;DATE($C$3,$E$3+1,1)))</f>
        <v/>
      </c>
      <c r="F41" s="23" t="str">
        <f aca="false">IF(B41="","",IF(OR(C41="Gelir",C41="Birikim"),E41-D41,D41-E41))</f>
        <v/>
      </c>
      <c r="G41" s="24" t="str">
        <f aca="false">IF(OR(B41="",D41=0),"",E41/D41)</f>
        <v/>
      </c>
    </row>
    <row r="42" customFormat="false" ht="15" hidden="false" customHeight="false" outlineLevel="0" collapsed="false">
      <c r="B42" s="25" t="str">
        <f aca="false">IF(Plan!A36="","",Plan!A36)</f>
        <v/>
      </c>
      <c r="C42" s="26" t="str">
        <f aca="false">IF(B42="","",Plan!B36&amp;"")</f>
        <v/>
      </c>
      <c r="D42" s="27" t="str">
        <f aca="false">IF(B42="","",Plan!C36)</f>
        <v/>
      </c>
      <c r="E42" s="27" t="str">
        <f aca="false">IF(B42="","",SUMIFS(Hareketler!$C$5:$C$2004,Hareketler!$B$5:$B$2004,B42,Hareketler!$A$5:$A$2004,"&gt;="&amp;DATE($C$3,$E$3,1),Hareketler!$A$5:$A$2004,"&lt;"&amp;DATE($C$3,$E$3+1,1)))</f>
        <v/>
      </c>
      <c r="F42" s="27" t="str">
        <f aca="false">IF(B42="","",IF(OR(C42="Gelir",C42="Birikim"),E42-D42,D42-E42))</f>
        <v/>
      </c>
      <c r="G42" s="28" t="str">
        <f aca="false">IF(OR(B42="",D42=0),"",E42/D42)</f>
        <v/>
      </c>
    </row>
    <row r="43" customFormat="false" ht="15" hidden="false" customHeight="false" outlineLevel="0" collapsed="false">
      <c r="B43" s="22" t="str">
        <f aca="false">IF(Plan!A37="","",Plan!A37)</f>
        <v/>
      </c>
      <c r="C43" s="15" t="str">
        <f aca="false">IF(B43="","",Plan!B37&amp;"")</f>
        <v/>
      </c>
      <c r="D43" s="23" t="str">
        <f aca="false">IF(B43="","",Plan!C37)</f>
        <v/>
      </c>
      <c r="E43" s="23" t="str">
        <f aca="false">IF(B43="","",SUMIFS(Hareketler!$C$5:$C$2004,Hareketler!$B$5:$B$2004,B43,Hareketler!$A$5:$A$2004,"&gt;="&amp;DATE($C$3,$E$3,1),Hareketler!$A$5:$A$2004,"&lt;"&amp;DATE($C$3,$E$3+1,1)))</f>
        <v/>
      </c>
      <c r="F43" s="23" t="str">
        <f aca="false">IF(B43="","",IF(OR(C43="Gelir",C43="Birikim"),E43-D43,D43-E43))</f>
        <v/>
      </c>
      <c r="G43" s="24" t="str">
        <f aca="false">IF(OR(B43="",D43=0),"",E43/D43)</f>
        <v/>
      </c>
    </row>
    <row r="44" customFormat="false" ht="15" hidden="false" customHeight="false" outlineLevel="0" collapsed="false">
      <c r="B44" s="25" t="str">
        <f aca="false">IF(Plan!A38="","",Plan!A38)</f>
        <v/>
      </c>
      <c r="C44" s="26" t="str">
        <f aca="false">IF(B44="","",Plan!B38&amp;"")</f>
        <v/>
      </c>
      <c r="D44" s="27" t="str">
        <f aca="false">IF(B44="","",Plan!C38)</f>
        <v/>
      </c>
      <c r="E44" s="27" t="str">
        <f aca="false">IF(B44="","",SUMIFS(Hareketler!$C$5:$C$2004,Hareketler!$B$5:$B$2004,B44,Hareketler!$A$5:$A$2004,"&gt;="&amp;DATE($C$3,$E$3,1),Hareketler!$A$5:$A$2004,"&lt;"&amp;DATE($C$3,$E$3+1,1)))</f>
        <v/>
      </c>
      <c r="F44" s="27" t="str">
        <f aca="false">IF(B44="","",IF(OR(C44="Gelir",C44="Birikim"),E44-D44,D44-E44))</f>
        <v/>
      </c>
      <c r="G44" s="28" t="str">
        <f aca="false">IF(OR(B44="",D44=0),"",E44/D44)</f>
        <v/>
      </c>
    </row>
    <row r="45" customFormat="false" ht="15" hidden="false" customHeight="false" outlineLevel="0" collapsed="false">
      <c r="B45" s="22" t="str">
        <f aca="false">IF(Plan!A39="","",Plan!A39)</f>
        <v/>
      </c>
      <c r="C45" s="15" t="str">
        <f aca="false">IF(B45="","",Plan!B39&amp;"")</f>
        <v/>
      </c>
      <c r="D45" s="23" t="str">
        <f aca="false">IF(B45="","",Plan!C39)</f>
        <v/>
      </c>
      <c r="E45" s="23" t="str">
        <f aca="false">IF(B45="","",SUMIFS(Hareketler!$C$5:$C$2004,Hareketler!$B$5:$B$2004,B45,Hareketler!$A$5:$A$2004,"&gt;="&amp;DATE($C$3,$E$3,1),Hareketler!$A$5:$A$2004,"&lt;"&amp;DATE($C$3,$E$3+1,1)))</f>
        <v/>
      </c>
      <c r="F45" s="23" t="str">
        <f aca="false">IF(B45="","",IF(OR(C45="Gelir",C45="Birikim"),E45-D45,D45-E45))</f>
        <v/>
      </c>
      <c r="G45" s="24" t="str">
        <f aca="false">IF(OR(B45="",D45=0),"",E45/D45)</f>
        <v/>
      </c>
    </row>
    <row r="46" customFormat="false" ht="15" hidden="false" customHeight="false" outlineLevel="0" collapsed="false">
      <c r="B46" s="25" t="str">
        <f aca="false">IF(Plan!A40="","",Plan!A40)</f>
        <v/>
      </c>
      <c r="C46" s="26" t="str">
        <f aca="false">IF(B46="","",Plan!B40&amp;"")</f>
        <v/>
      </c>
      <c r="D46" s="27" t="str">
        <f aca="false">IF(B46="","",Plan!C40)</f>
        <v/>
      </c>
      <c r="E46" s="27" t="str">
        <f aca="false">IF(B46="","",SUMIFS(Hareketler!$C$5:$C$2004,Hareketler!$B$5:$B$2004,B46,Hareketler!$A$5:$A$2004,"&gt;="&amp;DATE($C$3,$E$3,1),Hareketler!$A$5:$A$2004,"&lt;"&amp;DATE($C$3,$E$3+1,1)))</f>
        <v/>
      </c>
      <c r="F46" s="27" t="str">
        <f aca="false">IF(B46="","",IF(OR(C46="Gelir",C46="Birikim"),E46-D46,D46-E46))</f>
        <v/>
      </c>
      <c r="G46" s="28" t="str">
        <f aca="false">IF(OR(B46="",D46=0),"",E46/D46)</f>
        <v/>
      </c>
    </row>
    <row r="47" customFormat="false" ht="15" hidden="false" customHeight="false" outlineLevel="0" collapsed="false">
      <c r="B47" s="22" t="str">
        <f aca="false">IF(Plan!A41="","",Plan!A41)</f>
        <v/>
      </c>
      <c r="C47" s="15" t="str">
        <f aca="false">IF(B47="","",Plan!B41&amp;"")</f>
        <v/>
      </c>
      <c r="D47" s="23" t="str">
        <f aca="false">IF(B47="","",Plan!C41)</f>
        <v/>
      </c>
      <c r="E47" s="23" t="str">
        <f aca="false">IF(B47="","",SUMIFS(Hareketler!$C$5:$C$2004,Hareketler!$B$5:$B$2004,B47,Hareketler!$A$5:$A$2004,"&gt;="&amp;DATE($C$3,$E$3,1),Hareketler!$A$5:$A$2004,"&lt;"&amp;DATE($C$3,$E$3+1,1)))</f>
        <v/>
      </c>
      <c r="F47" s="23" t="str">
        <f aca="false">IF(B47="","",IF(OR(C47="Gelir",C47="Birikim"),E47-D47,D47-E47))</f>
        <v/>
      </c>
      <c r="G47" s="24" t="str">
        <f aca="false">IF(OR(B47="",D47=0),"",E47/D47)</f>
        <v/>
      </c>
    </row>
    <row r="48" customFormat="false" ht="15" hidden="false" customHeight="false" outlineLevel="0" collapsed="false">
      <c r="B48" s="25" t="str">
        <f aca="false">IF(Plan!A42="","",Plan!A42)</f>
        <v/>
      </c>
      <c r="C48" s="26" t="str">
        <f aca="false">IF(B48="","",Plan!B42&amp;"")</f>
        <v/>
      </c>
      <c r="D48" s="27" t="str">
        <f aca="false">IF(B48="","",Plan!C42)</f>
        <v/>
      </c>
      <c r="E48" s="27" t="str">
        <f aca="false">IF(B48="","",SUMIFS(Hareketler!$C$5:$C$2004,Hareketler!$B$5:$B$2004,B48,Hareketler!$A$5:$A$2004,"&gt;="&amp;DATE($C$3,$E$3,1),Hareketler!$A$5:$A$2004,"&lt;"&amp;DATE($C$3,$E$3+1,1)))</f>
        <v/>
      </c>
      <c r="F48" s="27" t="str">
        <f aca="false">IF(B48="","",IF(OR(C48="Gelir",C48="Birikim"),E48-D48,D48-E48))</f>
        <v/>
      </c>
      <c r="G48" s="28" t="str">
        <f aca="false">IF(OR(B48="",D48=0),"",E48/D48)</f>
        <v/>
      </c>
    </row>
    <row r="49" customFormat="false" ht="15" hidden="false" customHeight="false" outlineLevel="0" collapsed="false">
      <c r="B49" s="22" t="str">
        <f aca="false">IF(Plan!A43="","",Plan!A43)</f>
        <v/>
      </c>
      <c r="C49" s="15" t="str">
        <f aca="false">IF(B49="","",Plan!B43&amp;"")</f>
        <v/>
      </c>
      <c r="D49" s="23" t="str">
        <f aca="false">IF(B49="","",Plan!C43)</f>
        <v/>
      </c>
      <c r="E49" s="23" t="str">
        <f aca="false">IF(B49="","",SUMIFS(Hareketler!$C$5:$C$2004,Hareketler!$B$5:$B$2004,B49,Hareketler!$A$5:$A$2004,"&gt;="&amp;DATE($C$3,$E$3,1),Hareketler!$A$5:$A$2004,"&lt;"&amp;DATE($C$3,$E$3+1,1)))</f>
        <v/>
      </c>
      <c r="F49" s="23" t="str">
        <f aca="false">IF(B49="","",IF(OR(C49="Gelir",C49="Birikim"),E49-D49,D49-E49))</f>
        <v/>
      </c>
      <c r="G49" s="24" t="str">
        <f aca="false">IF(OR(B49="",D49=0),"",E49/D49)</f>
        <v/>
      </c>
    </row>
    <row r="50" customFormat="false" ht="15" hidden="false" customHeight="false" outlineLevel="0" collapsed="false">
      <c r="B50" s="25" t="str">
        <f aca="false">IF(Plan!A44="","",Plan!A44)</f>
        <v/>
      </c>
      <c r="C50" s="26" t="str">
        <f aca="false">IF(B50="","",Plan!B44&amp;"")</f>
        <v/>
      </c>
      <c r="D50" s="27" t="str">
        <f aca="false">IF(B50="","",Plan!C44)</f>
        <v/>
      </c>
      <c r="E50" s="27" t="str">
        <f aca="false">IF(B50="","",SUMIFS(Hareketler!$C$5:$C$2004,Hareketler!$B$5:$B$2004,B50,Hareketler!$A$5:$A$2004,"&gt;="&amp;DATE($C$3,$E$3,1),Hareketler!$A$5:$A$2004,"&lt;"&amp;DATE($C$3,$E$3+1,1)))</f>
        <v/>
      </c>
      <c r="F50" s="27" t="str">
        <f aca="false">IF(B50="","",IF(OR(C50="Gelir",C50="Birikim"),E50-D50,D50-E50))</f>
        <v/>
      </c>
      <c r="G50" s="28" t="str">
        <f aca="false">IF(OR(B50="",D50=0),"",E50/D50)</f>
        <v/>
      </c>
    </row>
  </sheetData>
  <conditionalFormatting sqref="G11:G50">
    <cfRule type="expression" priority="2" aboveAverage="0" equalAverage="0" bottom="0" percent="0" rank="0" text="" dxfId="0">
      <formula>AND(ISNUMBER($G11),$G11&gt;1,OR($C11="Sabit gider",$C11="Değişken gider"))</formula>
    </cfRule>
  </conditionalFormatting>
  <conditionalFormatting sqref="F11:F50">
    <cfRule type="expression" priority="3" aboveAverage="0" equalAverage="0" bottom="0" percent="0" rank="0" text="" dxfId="1">
      <formula>AND(ISNUMBER($F11),$F11&lt;0)</formula>
    </cfRule>
  </conditionalFormatting>
  <dataValidations count="1">
    <dataValidation allowBlank="true" error="1 ile 12 arasında bir tam sayı gir." errorStyle="stop" errorTitle="Kontrol" operator="between" showDropDown="false" showErrorMessage="true" showInputMessage="false" sqref="E3" type="whole">
      <formula1>1</formula1>
      <formula2>12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G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4"/>
    <col collapsed="false" customWidth="true" hidden="false" outlineLevel="0" max="7" min="3" style="0" width="16"/>
  </cols>
  <sheetData>
    <row r="1" customFormat="false" ht="19.7" hidden="false" customHeight="false" outlineLevel="0" collapsed="false">
      <c r="A1" s="8" t="s">
        <v>56</v>
      </c>
    </row>
    <row r="2" customFormat="false" ht="15" hidden="false" customHeight="false" outlineLevel="0" collapsed="false">
      <c r="A2" s="9" t="s">
        <v>57</v>
      </c>
    </row>
    <row r="4" customFormat="false" ht="21.75" hidden="false" customHeight="true" outlineLevel="0" collapsed="false">
      <c r="B4" s="10" t="s">
        <v>58</v>
      </c>
      <c r="C4" s="10" t="s">
        <v>59</v>
      </c>
      <c r="D4" s="10" t="s">
        <v>60</v>
      </c>
      <c r="E4" s="10" t="s">
        <v>61</v>
      </c>
      <c r="F4" s="10" t="s">
        <v>62</v>
      </c>
      <c r="G4" s="10" t="s">
        <v>63</v>
      </c>
    </row>
    <row r="5" customFormat="false" ht="15" hidden="false" customHeight="false" outlineLevel="0" collapsed="false">
      <c r="B5" s="22" t="s">
        <v>64</v>
      </c>
      <c r="C5" s="23" t="n">
        <f aca="false">SUMIFS(Hareketler!$C$5:$C$2004,Hareketler!$E$5:$E$2004,"Gelir",Hareketler!$A$5:$A$2004,"&gt;="&amp;DATE(Ay!$C$3,1,1),Hareketler!$A$5:$A$2004,"&lt;"&amp;DATE(Ay!$C$3,2,1))</f>
        <v>0</v>
      </c>
      <c r="D5" s="23" t="n">
        <f aca="false">SUMIFS(Hareketler!$C$5:$C$2004,Hareketler!$E$5:$E$2004,"Sabit gider",Hareketler!$A$5:$A$2004,"&gt;="&amp;DATE(Ay!$C$3,1,1),Hareketler!$A$5:$A$2004,"&lt;"&amp;DATE(Ay!$C$3,2,1))</f>
        <v>0</v>
      </c>
      <c r="E5" s="23" t="n">
        <f aca="false">SUMIFS(Hareketler!$C$5:$C$2004,Hareketler!$E$5:$E$2004,"Değişken gider",Hareketler!$A$5:$A$2004,"&gt;="&amp;DATE(Ay!$C$3,1,1),Hareketler!$A$5:$A$2004,"&lt;"&amp;DATE(Ay!$C$3,2,1))</f>
        <v>0</v>
      </c>
      <c r="F5" s="23" t="n">
        <f aca="false">SUMIFS(Hareketler!$C$5:$C$2004,Hareketler!$E$5:$E$2004,"Birikim",Hareketler!$A$5:$A$2004,"&gt;="&amp;DATE(Ay!$C$3,1,1),Hareketler!$A$5:$A$2004,"&lt;"&amp;DATE(Ay!$C$3,2,1))</f>
        <v>0</v>
      </c>
      <c r="G5" s="23" t="n">
        <f aca="false">C5-D5-E5-F5</f>
        <v>0</v>
      </c>
    </row>
    <row r="6" customFormat="false" ht="15" hidden="false" customHeight="false" outlineLevel="0" collapsed="false">
      <c r="B6" s="25" t="s">
        <v>65</v>
      </c>
      <c r="C6" s="27" t="n">
        <f aca="false">SUMIFS(Hareketler!$C$5:$C$2004,Hareketler!$E$5:$E$2004,"Gelir",Hareketler!$A$5:$A$2004,"&gt;="&amp;DATE(Ay!$C$3,2,1),Hareketler!$A$5:$A$2004,"&lt;"&amp;DATE(Ay!$C$3,3,1))</f>
        <v>0</v>
      </c>
      <c r="D6" s="27" t="n">
        <f aca="false">SUMIFS(Hareketler!$C$5:$C$2004,Hareketler!$E$5:$E$2004,"Sabit gider",Hareketler!$A$5:$A$2004,"&gt;="&amp;DATE(Ay!$C$3,2,1),Hareketler!$A$5:$A$2004,"&lt;"&amp;DATE(Ay!$C$3,3,1))</f>
        <v>0</v>
      </c>
      <c r="E6" s="27" t="n">
        <f aca="false">SUMIFS(Hareketler!$C$5:$C$2004,Hareketler!$E$5:$E$2004,"Değişken gider",Hareketler!$A$5:$A$2004,"&gt;="&amp;DATE(Ay!$C$3,2,1),Hareketler!$A$5:$A$2004,"&lt;"&amp;DATE(Ay!$C$3,3,1))</f>
        <v>0</v>
      </c>
      <c r="F6" s="27" t="n">
        <f aca="false">SUMIFS(Hareketler!$C$5:$C$2004,Hareketler!$E$5:$E$2004,"Birikim",Hareketler!$A$5:$A$2004,"&gt;="&amp;DATE(Ay!$C$3,2,1),Hareketler!$A$5:$A$2004,"&lt;"&amp;DATE(Ay!$C$3,3,1))</f>
        <v>0</v>
      </c>
      <c r="G6" s="27" t="n">
        <f aca="false">C6-D6-E6-F6</f>
        <v>0</v>
      </c>
    </row>
    <row r="7" customFormat="false" ht="15" hidden="false" customHeight="false" outlineLevel="0" collapsed="false">
      <c r="B7" s="22" t="s">
        <v>66</v>
      </c>
      <c r="C7" s="23" t="n">
        <f aca="false">SUMIFS(Hareketler!$C$5:$C$2004,Hareketler!$E$5:$E$2004,"Gelir",Hareketler!$A$5:$A$2004,"&gt;="&amp;DATE(Ay!$C$3,3,1),Hareketler!$A$5:$A$2004,"&lt;"&amp;DATE(Ay!$C$3,4,1))</f>
        <v>0</v>
      </c>
      <c r="D7" s="23" t="n">
        <f aca="false">SUMIFS(Hareketler!$C$5:$C$2004,Hareketler!$E$5:$E$2004,"Sabit gider",Hareketler!$A$5:$A$2004,"&gt;="&amp;DATE(Ay!$C$3,3,1),Hareketler!$A$5:$A$2004,"&lt;"&amp;DATE(Ay!$C$3,4,1))</f>
        <v>0</v>
      </c>
      <c r="E7" s="23" t="n">
        <f aca="false">SUMIFS(Hareketler!$C$5:$C$2004,Hareketler!$E$5:$E$2004,"Değişken gider",Hareketler!$A$5:$A$2004,"&gt;="&amp;DATE(Ay!$C$3,3,1),Hareketler!$A$5:$A$2004,"&lt;"&amp;DATE(Ay!$C$3,4,1))</f>
        <v>0</v>
      </c>
      <c r="F7" s="23" t="n">
        <f aca="false">SUMIFS(Hareketler!$C$5:$C$2004,Hareketler!$E$5:$E$2004,"Birikim",Hareketler!$A$5:$A$2004,"&gt;="&amp;DATE(Ay!$C$3,3,1),Hareketler!$A$5:$A$2004,"&lt;"&amp;DATE(Ay!$C$3,4,1))</f>
        <v>0</v>
      </c>
      <c r="G7" s="23" t="n">
        <f aca="false">C7-D7-E7-F7</f>
        <v>0</v>
      </c>
    </row>
    <row r="8" customFormat="false" ht="15" hidden="false" customHeight="false" outlineLevel="0" collapsed="false">
      <c r="B8" s="25" t="s">
        <v>67</v>
      </c>
      <c r="C8" s="27" t="n">
        <f aca="false">SUMIFS(Hareketler!$C$5:$C$2004,Hareketler!$E$5:$E$2004,"Gelir",Hareketler!$A$5:$A$2004,"&gt;="&amp;DATE(Ay!$C$3,4,1),Hareketler!$A$5:$A$2004,"&lt;"&amp;DATE(Ay!$C$3,5,1))</f>
        <v>0</v>
      </c>
      <c r="D8" s="27" t="n">
        <f aca="false">SUMIFS(Hareketler!$C$5:$C$2004,Hareketler!$E$5:$E$2004,"Sabit gider",Hareketler!$A$5:$A$2004,"&gt;="&amp;DATE(Ay!$C$3,4,1),Hareketler!$A$5:$A$2004,"&lt;"&amp;DATE(Ay!$C$3,5,1))</f>
        <v>0</v>
      </c>
      <c r="E8" s="27" t="n">
        <f aca="false">SUMIFS(Hareketler!$C$5:$C$2004,Hareketler!$E$5:$E$2004,"Değişken gider",Hareketler!$A$5:$A$2004,"&gt;="&amp;DATE(Ay!$C$3,4,1),Hareketler!$A$5:$A$2004,"&lt;"&amp;DATE(Ay!$C$3,5,1))</f>
        <v>0</v>
      </c>
      <c r="F8" s="27" t="n">
        <f aca="false">SUMIFS(Hareketler!$C$5:$C$2004,Hareketler!$E$5:$E$2004,"Birikim",Hareketler!$A$5:$A$2004,"&gt;="&amp;DATE(Ay!$C$3,4,1),Hareketler!$A$5:$A$2004,"&lt;"&amp;DATE(Ay!$C$3,5,1))</f>
        <v>0</v>
      </c>
      <c r="G8" s="27" t="n">
        <f aca="false">C8-D8-E8-F8</f>
        <v>0</v>
      </c>
    </row>
    <row r="9" customFormat="false" ht="15" hidden="false" customHeight="false" outlineLevel="0" collapsed="false">
      <c r="B9" s="22" t="s">
        <v>68</v>
      </c>
      <c r="C9" s="23" t="n">
        <f aca="false">SUMIFS(Hareketler!$C$5:$C$2004,Hareketler!$E$5:$E$2004,"Gelir",Hareketler!$A$5:$A$2004,"&gt;="&amp;DATE(Ay!$C$3,5,1),Hareketler!$A$5:$A$2004,"&lt;"&amp;DATE(Ay!$C$3,6,1))</f>
        <v>0</v>
      </c>
      <c r="D9" s="23" t="n">
        <f aca="false">SUMIFS(Hareketler!$C$5:$C$2004,Hareketler!$E$5:$E$2004,"Sabit gider",Hareketler!$A$5:$A$2004,"&gt;="&amp;DATE(Ay!$C$3,5,1),Hareketler!$A$5:$A$2004,"&lt;"&amp;DATE(Ay!$C$3,6,1))</f>
        <v>0</v>
      </c>
      <c r="E9" s="23" t="n">
        <f aca="false">SUMIFS(Hareketler!$C$5:$C$2004,Hareketler!$E$5:$E$2004,"Değişken gider",Hareketler!$A$5:$A$2004,"&gt;="&amp;DATE(Ay!$C$3,5,1),Hareketler!$A$5:$A$2004,"&lt;"&amp;DATE(Ay!$C$3,6,1))</f>
        <v>0</v>
      </c>
      <c r="F9" s="23" t="n">
        <f aca="false">SUMIFS(Hareketler!$C$5:$C$2004,Hareketler!$E$5:$E$2004,"Birikim",Hareketler!$A$5:$A$2004,"&gt;="&amp;DATE(Ay!$C$3,5,1),Hareketler!$A$5:$A$2004,"&lt;"&amp;DATE(Ay!$C$3,6,1))</f>
        <v>0</v>
      </c>
      <c r="G9" s="23" t="n">
        <f aca="false">C9-D9-E9-F9</f>
        <v>0</v>
      </c>
    </row>
    <row r="10" customFormat="false" ht="15" hidden="false" customHeight="false" outlineLevel="0" collapsed="false">
      <c r="B10" s="25" t="s">
        <v>69</v>
      </c>
      <c r="C10" s="27" t="n">
        <f aca="false">SUMIFS(Hareketler!$C$5:$C$2004,Hareketler!$E$5:$E$2004,"Gelir",Hareketler!$A$5:$A$2004,"&gt;="&amp;DATE(Ay!$C$3,6,1),Hareketler!$A$5:$A$2004,"&lt;"&amp;DATE(Ay!$C$3,7,1))</f>
        <v>0</v>
      </c>
      <c r="D10" s="27" t="n">
        <f aca="false">SUMIFS(Hareketler!$C$5:$C$2004,Hareketler!$E$5:$E$2004,"Sabit gider",Hareketler!$A$5:$A$2004,"&gt;="&amp;DATE(Ay!$C$3,6,1),Hareketler!$A$5:$A$2004,"&lt;"&amp;DATE(Ay!$C$3,7,1))</f>
        <v>0</v>
      </c>
      <c r="E10" s="27" t="n">
        <f aca="false">SUMIFS(Hareketler!$C$5:$C$2004,Hareketler!$E$5:$E$2004,"Değişken gider",Hareketler!$A$5:$A$2004,"&gt;="&amp;DATE(Ay!$C$3,6,1),Hareketler!$A$5:$A$2004,"&lt;"&amp;DATE(Ay!$C$3,7,1))</f>
        <v>0</v>
      </c>
      <c r="F10" s="27" t="n">
        <f aca="false">SUMIFS(Hareketler!$C$5:$C$2004,Hareketler!$E$5:$E$2004,"Birikim",Hareketler!$A$5:$A$2004,"&gt;="&amp;DATE(Ay!$C$3,6,1),Hareketler!$A$5:$A$2004,"&lt;"&amp;DATE(Ay!$C$3,7,1))</f>
        <v>0</v>
      </c>
      <c r="G10" s="27" t="n">
        <f aca="false">C10-D10-E10-F10</f>
        <v>0</v>
      </c>
    </row>
    <row r="11" customFormat="false" ht="15" hidden="false" customHeight="false" outlineLevel="0" collapsed="false">
      <c r="B11" s="22" t="s">
        <v>70</v>
      </c>
      <c r="C11" s="23" t="n">
        <f aca="false">SUMIFS(Hareketler!$C$5:$C$2004,Hareketler!$E$5:$E$2004,"Gelir",Hareketler!$A$5:$A$2004,"&gt;="&amp;DATE(Ay!$C$3,7,1),Hareketler!$A$5:$A$2004,"&lt;"&amp;DATE(Ay!$C$3,8,1))</f>
        <v>0</v>
      </c>
      <c r="D11" s="23" t="n">
        <f aca="false">SUMIFS(Hareketler!$C$5:$C$2004,Hareketler!$E$5:$E$2004,"Sabit gider",Hareketler!$A$5:$A$2004,"&gt;="&amp;DATE(Ay!$C$3,7,1),Hareketler!$A$5:$A$2004,"&lt;"&amp;DATE(Ay!$C$3,8,1))</f>
        <v>0</v>
      </c>
      <c r="E11" s="23" t="n">
        <f aca="false">SUMIFS(Hareketler!$C$5:$C$2004,Hareketler!$E$5:$E$2004,"Değişken gider",Hareketler!$A$5:$A$2004,"&gt;="&amp;DATE(Ay!$C$3,7,1),Hareketler!$A$5:$A$2004,"&lt;"&amp;DATE(Ay!$C$3,8,1))</f>
        <v>0</v>
      </c>
      <c r="F11" s="23" t="n">
        <f aca="false">SUMIFS(Hareketler!$C$5:$C$2004,Hareketler!$E$5:$E$2004,"Birikim",Hareketler!$A$5:$A$2004,"&gt;="&amp;DATE(Ay!$C$3,7,1),Hareketler!$A$5:$A$2004,"&lt;"&amp;DATE(Ay!$C$3,8,1))</f>
        <v>0</v>
      </c>
      <c r="G11" s="23" t="n">
        <f aca="false">C11-D11-E11-F11</f>
        <v>0</v>
      </c>
    </row>
    <row r="12" customFormat="false" ht="15" hidden="false" customHeight="false" outlineLevel="0" collapsed="false">
      <c r="B12" s="25" t="s">
        <v>71</v>
      </c>
      <c r="C12" s="27" t="n">
        <f aca="false">SUMIFS(Hareketler!$C$5:$C$2004,Hareketler!$E$5:$E$2004,"Gelir",Hareketler!$A$5:$A$2004,"&gt;="&amp;DATE(Ay!$C$3,8,1),Hareketler!$A$5:$A$2004,"&lt;"&amp;DATE(Ay!$C$3,9,1))</f>
        <v>0</v>
      </c>
      <c r="D12" s="27" t="n">
        <f aca="false">SUMIFS(Hareketler!$C$5:$C$2004,Hareketler!$E$5:$E$2004,"Sabit gider",Hareketler!$A$5:$A$2004,"&gt;="&amp;DATE(Ay!$C$3,8,1),Hareketler!$A$5:$A$2004,"&lt;"&amp;DATE(Ay!$C$3,9,1))</f>
        <v>0</v>
      </c>
      <c r="E12" s="27" t="n">
        <f aca="false">SUMIFS(Hareketler!$C$5:$C$2004,Hareketler!$E$5:$E$2004,"Değişken gider",Hareketler!$A$5:$A$2004,"&gt;="&amp;DATE(Ay!$C$3,8,1),Hareketler!$A$5:$A$2004,"&lt;"&amp;DATE(Ay!$C$3,9,1))</f>
        <v>0</v>
      </c>
      <c r="F12" s="27" t="n">
        <f aca="false">SUMIFS(Hareketler!$C$5:$C$2004,Hareketler!$E$5:$E$2004,"Birikim",Hareketler!$A$5:$A$2004,"&gt;="&amp;DATE(Ay!$C$3,8,1),Hareketler!$A$5:$A$2004,"&lt;"&amp;DATE(Ay!$C$3,9,1))</f>
        <v>0</v>
      </c>
      <c r="G12" s="27" t="n">
        <f aca="false">C12-D12-E12-F12</f>
        <v>0</v>
      </c>
    </row>
    <row r="13" customFormat="false" ht="15" hidden="false" customHeight="false" outlineLevel="0" collapsed="false">
      <c r="B13" s="22" t="s">
        <v>72</v>
      </c>
      <c r="C13" s="23" t="n">
        <f aca="false">SUMIFS(Hareketler!$C$5:$C$2004,Hareketler!$E$5:$E$2004,"Gelir",Hareketler!$A$5:$A$2004,"&gt;="&amp;DATE(Ay!$C$3,9,1),Hareketler!$A$5:$A$2004,"&lt;"&amp;DATE(Ay!$C$3,10,1))</f>
        <v>79000</v>
      </c>
      <c r="D13" s="23" t="n">
        <f aca="false">SUMIFS(Hareketler!$C$5:$C$2004,Hareketler!$E$5:$E$2004,"Sabit gider",Hareketler!$A$5:$A$2004,"&gt;="&amp;DATE(Ay!$C$3,9,1),Hareketler!$A$5:$A$2004,"&lt;"&amp;DATE(Ay!$C$3,10,1))</f>
        <v>25300</v>
      </c>
      <c r="E13" s="23" t="n">
        <f aca="false">SUMIFS(Hareketler!$C$5:$C$2004,Hareketler!$E$5:$E$2004,"Değişken gider",Hareketler!$A$5:$A$2004,"&gt;="&amp;DATE(Ay!$C$3,9,1),Hareketler!$A$5:$A$2004,"&lt;"&amp;DATE(Ay!$C$3,10,1))</f>
        <v>22200</v>
      </c>
      <c r="F13" s="23" t="n">
        <f aca="false">SUMIFS(Hareketler!$C$5:$C$2004,Hareketler!$E$5:$E$2004,"Birikim",Hareketler!$A$5:$A$2004,"&gt;="&amp;DATE(Ay!$C$3,9,1),Hareketler!$A$5:$A$2004,"&lt;"&amp;DATE(Ay!$C$3,10,1))</f>
        <v>8000</v>
      </c>
      <c r="G13" s="23" t="n">
        <f aca="false">C13-D13-E13-F13</f>
        <v>23500</v>
      </c>
    </row>
    <row r="14" customFormat="false" ht="15" hidden="false" customHeight="false" outlineLevel="0" collapsed="false">
      <c r="B14" s="25" t="s">
        <v>73</v>
      </c>
      <c r="C14" s="27" t="n">
        <f aca="false">SUMIFS(Hareketler!$C$5:$C$2004,Hareketler!$E$5:$E$2004,"Gelir",Hareketler!$A$5:$A$2004,"&gt;="&amp;DATE(Ay!$C$3,10,1),Hareketler!$A$5:$A$2004,"&lt;"&amp;DATE(Ay!$C$3,11,1))</f>
        <v>75000</v>
      </c>
      <c r="D14" s="27" t="n">
        <f aca="false">SUMIFS(Hareketler!$C$5:$C$2004,Hareketler!$E$5:$E$2004,"Sabit gider",Hareketler!$A$5:$A$2004,"&gt;="&amp;DATE(Ay!$C$3,10,1),Hareketler!$A$5:$A$2004,"&lt;"&amp;DATE(Ay!$C$3,11,1))</f>
        <v>22000</v>
      </c>
      <c r="E14" s="27" t="n">
        <f aca="false">SUMIFS(Hareketler!$C$5:$C$2004,Hareketler!$E$5:$E$2004,"Değişken gider",Hareketler!$A$5:$A$2004,"&gt;="&amp;DATE(Ay!$C$3,10,1),Hareketler!$A$5:$A$2004,"&lt;"&amp;DATE(Ay!$C$3,11,1))</f>
        <v>12700</v>
      </c>
      <c r="F14" s="27" t="n">
        <f aca="false">SUMIFS(Hareketler!$C$5:$C$2004,Hareketler!$E$5:$E$2004,"Birikim",Hareketler!$A$5:$A$2004,"&gt;="&amp;DATE(Ay!$C$3,10,1),Hareketler!$A$5:$A$2004,"&lt;"&amp;DATE(Ay!$C$3,11,1))</f>
        <v>10000</v>
      </c>
      <c r="G14" s="27" t="n">
        <f aca="false">C14-D14-E14-F14</f>
        <v>30300</v>
      </c>
    </row>
    <row r="15" customFormat="false" ht="15" hidden="false" customHeight="false" outlineLevel="0" collapsed="false">
      <c r="B15" s="22" t="s">
        <v>74</v>
      </c>
      <c r="C15" s="23" t="n">
        <f aca="false">SUMIFS(Hareketler!$C$5:$C$2004,Hareketler!$E$5:$E$2004,"Gelir",Hareketler!$A$5:$A$2004,"&gt;="&amp;DATE(Ay!$C$3,11,1),Hareketler!$A$5:$A$2004,"&lt;"&amp;DATE(Ay!$C$3,12,1))</f>
        <v>0</v>
      </c>
      <c r="D15" s="23" t="n">
        <f aca="false">SUMIFS(Hareketler!$C$5:$C$2004,Hareketler!$E$5:$E$2004,"Sabit gider",Hareketler!$A$5:$A$2004,"&gt;="&amp;DATE(Ay!$C$3,11,1),Hareketler!$A$5:$A$2004,"&lt;"&amp;DATE(Ay!$C$3,12,1))</f>
        <v>0</v>
      </c>
      <c r="E15" s="23" t="n">
        <f aca="false">SUMIFS(Hareketler!$C$5:$C$2004,Hareketler!$E$5:$E$2004,"Değişken gider",Hareketler!$A$5:$A$2004,"&gt;="&amp;DATE(Ay!$C$3,11,1),Hareketler!$A$5:$A$2004,"&lt;"&amp;DATE(Ay!$C$3,12,1))</f>
        <v>0</v>
      </c>
      <c r="F15" s="23" t="n">
        <f aca="false">SUMIFS(Hareketler!$C$5:$C$2004,Hareketler!$E$5:$E$2004,"Birikim",Hareketler!$A$5:$A$2004,"&gt;="&amp;DATE(Ay!$C$3,11,1),Hareketler!$A$5:$A$2004,"&lt;"&amp;DATE(Ay!$C$3,12,1))</f>
        <v>0</v>
      </c>
      <c r="G15" s="23" t="n">
        <f aca="false">C15-D15-E15-F15</f>
        <v>0</v>
      </c>
    </row>
    <row r="16" customFormat="false" ht="15" hidden="false" customHeight="false" outlineLevel="0" collapsed="false">
      <c r="B16" s="25" t="s">
        <v>75</v>
      </c>
      <c r="C16" s="27" t="n">
        <f aca="false">SUMIFS(Hareketler!$C$5:$C$2004,Hareketler!$E$5:$E$2004,"Gelir",Hareketler!$A$5:$A$2004,"&gt;="&amp;DATE(Ay!$C$3,12,1),Hareketler!$A$5:$A$2004,"&lt;"&amp;DATE(Ay!$C$3,13,1))</f>
        <v>0</v>
      </c>
      <c r="D16" s="27" t="n">
        <f aca="false">SUMIFS(Hareketler!$C$5:$C$2004,Hareketler!$E$5:$E$2004,"Sabit gider",Hareketler!$A$5:$A$2004,"&gt;="&amp;DATE(Ay!$C$3,12,1),Hareketler!$A$5:$A$2004,"&lt;"&amp;DATE(Ay!$C$3,13,1))</f>
        <v>0</v>
      </c>
      <c r="E16" s="27" t="n">
        <f aca="false">SUMIFS(Hareketler!$C$5:$C$2004,Hareketler!$E$5:$E$2004,"Değişken gider",Hareketler!$A$5:$A$2004,"&gt;="&amp;DATE(Ay!$C$3,12,1),Hareketler!$A$5:$A$2004,"&lt;"&amp;DATE(Ay!$C$3,13,1))</f>
        <v>0</v>
      </c>
      <c r="F16" s="27" t="n">
        <f aca="false">SUMIFS(Hareketler!$C$5:$C$2004,Hareketler!$E$5:$E$2004,"Birikim",Hareketler!$A$5:$A$2004,"&gt;="&amp;DATE(Ay!$C$3,12,1),Hareketler!$A$5:$A$2004,"&lt;"&amp;DATE(Ay!$C$3,13,1))</f>
        <v>0</v>
      </c>
      <c r="G16" s="27" t="n">
        <f aca="false">C16-D16-E16-F16</f>
        <v>0</v>
      </c>
    </row>
    <row r="17" customFormat="false" ht="15" hidden="false" customHeight="false" outlineLevel="0" collapsed="false">
      <c r="B17" s="22" t="s">
        <v>76</v>
      </c>
      <c r="C17" s="29" t="n">
        <f aca="false">SUM(C5:C16)</f>
        <v>154000</v>
      </c>
      <c r="D17" s="29" t="n">
        <f aca="false">SUM(D5:D16)</f>
        <v>47300</v>
      </c>
      <c r="E17" s="29" t="n">
        <f aca="false">SUM(E5:E16)</f>
        <v>34900</v>
      </c>
      <c r="F17" s="29" t="n">
        <f aca="false">SUM(F5:F16)</f>
        <v>18000</v>
      </c>
      <c r="G17" s="29" t="n">
        <f aca="false">SUM(G5:G16)</f>
        <v>53800</v>
      </c>
    </row>
    <row r="19" customFormat="false" ht="15" hidden="false" customHeight="false" outlineLevel="0" collapsed="false">
      <c r="B19" s="30" t="s">
        <v>77</v>
      </c>
    </row>
    <row r="20" customFormat="false" ht="15" hidden="false" customHeight="false" outlineLevel="0" collapsed="false">
      <c r="B20" s="31" t="s">
        <v>46</v>
      </c>
      <c r="C20" s="32" t="n">
        <f aca="false">SUMIFS(Plan!$C$5:$C$44,Plan!$B$5:$B$44,"Gelir")</f>
        <v>80000</v>
      </c>
    </row>
    <row r="21" customFormat="false" ht="15" hidden="false" customHeight="false" outlineLevel="0" collapsed="false">
      <c r="B21" s="31" t="s">
        <v>47</v>
      </c>
      <c r="C21" s="32" t="n">
        <f aca="false">SUMIFS(Plan!$C$5:$C$44,Plan!$B$5:$B$44,"Sabit gider")</f>
        <v>25500</v>
      </c>
    </row>
    <row r="22" customFormat="false" ht="15" hidden="false" customHeight="false" outlineLevel="0" collapsed="false">
      <c r="B22" s="31" t="s">
        <v>48</v>
      </c>
      <c r="C22" s="32" t="n">
        <f aca="false">SUMIFS(Plan!$C$5:$C$44,Plan!$B$5:$B$44,"Değişken gider")</f>
        <v>28500</v>
      </c>
    </row>
    <row r="23" customFormat="false" ht="15" hidden="false" customHeight="false" outlineLevel="0" collapsed="false">
      <c r="B23" s="31" t="s">
        <v>49</v>
      </c>
      <c r="C23" s="32" t="n">
        <f aca="false">SUMIFS(Plan!$C$5:$C$44,Plan!$B$5:$B$44,"Birikim")</f>
        <v>10000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C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3" min="3" style="0" width="16"/>
  </cols>
  <sheetData>
    <row r="1" customFormat="false" ht="19.7" hidden="false" customHeight="false" outlineLevel="0" collapsed="false">
      <c r="A1" s="8" t="s">
        <v>78</v>
      </c>
    </row>
    <row r="2" customFormat="false" ht="15" hidden="false" customHeight="false" outlineLevel="0" collapsed="false">
      <c r="A2" s="9" t="s">
        <v>79</v>
      </c>
    </row>
    <row r="4" customFormat="false" ht="27.75" hidden="false" customHeight="true" outlineLevel="0" collapsed="false">
      <c r="A4" s="10" t="s">
        <v>27</v>
      </c>
      <c r="B4" s="10" t="s">
        <v>30</v>
      </c>
      <c r="C4" s="10" t="s">
        <v>80</v>
      </c>
    </row>
    <row r="5" customFormat="false" ht="15" hidden="false" customHeight="false" outlineLevel="0" collapsed="false">
      <c r="A5" s="13" t="s">
        <v>31</v>
      </c>
      <c r="B5" s="33" t="s">
        <v>46</v>
      </c>
      <c r="C5" s="14" t="n">
        <v>75000</v>
      </c>
    </row>
    <row r="6" customFormat="false" ht="15" hidden="false" customHeight="false" outlineLevel="0" collapsed="false">
      <c r="A6" s="13" t="s">
        <v>40</v>
      </c>
      <c r="B6" s="33" t="s">
        <v>46</v>
      </c>
      <c r="C6" s="14" t="n">
        <v>5000</v>
      </c>
    </row>
    <row r="7" customFormat="false" ht="15" hidden="false" customHeight="false" outlineLevel="0" collapsed="false">
      <c r="A7" s="13" t="s">
        <v>33</v>
      </c>
      <c r="B7" s="33" t="s">
        <v>47</v>
      </c>
      <c r="C7" s="14" t="n">
        <v>22000</v>
      </c>
    </row>
    <row r="8" customFormat="false" ht="15" hidden="false" customHeight="false" outlineLevel="0" collapsed="false">
      <c r="A8" s="13" t="s">
        <v>39</v>
      </c>
      <c r="B8" s="33" t="s">
        <v>47</v>
      </c>
      <c r="C8" s="14" t="n">
        <v>3500</v>
      </c>
    </row>
    <row r="9" customFormat="false" ht="15" hidden="false" customHeight="false" outlineLevel="0" collapsed="false">
      <c r="A9" s="13" t="s">
        <v>34</v>
      </c>
      <c r="B9" s="33" t="s">
        <v>48</v>
      </c>
      <c r="C9" s="14" t="n">
        <v>14000</v>
      </c>
    </row>
    <row r="10" customFormat="false" ht="15" hidden="false" customHeight="false" outlineLevel="0" collapsed="false">
      <c r="A10" s="13" t="s">
        <v>36</v>
      </c>
      <c r="B10" s="33" t="s">
        <v>48</v>
      </c>
      <c r="C10" s="14" t="n">
        <v>4000</v>
      </c>
    </row>
    <row r="11" customFormat="false" ht="15" hidden="false" customHeight="false" outlineLevel="0" collapsed="false">
      <c r="A11" s="13" t="s">
        <v>37</v>
      </c>
      <c r="B11" s="33" t="s">
        <v>48</v>
      </c>
      <c r="C11" s="14" t="n">
        <v>5000</v>
      </c>
    </row>
    <row r="12" customFormat="false" ht="15" hidden="false" customHeight="false" outlineLevel="0" collapsed="false">
      <c r="A12" s="13" t="s">
        <v>38</v>
      </c>
      <c r="B12" s="33" t="s">
        <v>48</v>
      </c>
      <c r="C12" s="14" t="n">
        <v>3000</v>
      </c>
    </row>
    <row r="13" customFormat="false" ht="15" hidden="false" customHeight="false" outlineLevel="0" collapsed="false">
      <c r="A13" s="13" t="s">
        <v>41</v>
      </c>
      <c r="B13" s="33" t="s">
        <v>48</v>
      </c>
      <c r="C13" s="14" t="n">
        <v>2500</v>
      </c>
    </row>
    <row r="14" customFormat="false" ht="15" hidden="false" customHeight="false" outlineLevel="0" collapsed="false">
      <c r="A14" s="13" t="s">
        <v>35</v>
      </c>
      <c r="B14" s="33" t="s">
        <v>49</v>
      </c>
      <c r="C14" s="14" t="n">
        <v>10000</v>
      </c>
    </row>
    <row r="15" customFormat="false" ht="15" hidden="false" customHeight="false" outlineLevel="0" collapsed="false">
      <c r="A15" s="13"/>
      <c r="B15" s="33"/>
      <c r="C15" s="14"/>
    </row>
    <row r="16" customFormat="false" ht="15" hidden="false" customHeight="false" outlineLevel="0" collapsed="false">
      <c r="A16" s="13"/>
      <c r="B16" s="33"/>
      <c r="C16" s="14"/>
    </row>
    <row r="17" customFormat="false" ht="15" hidden="false" customHeight="false" outlineLevel="0" collapsed="false">
      <c r="A17" s="13"/>
      <c r="B17" s="33"/>
      <c r="C17" s="14"/>
    </row>
    <row r="18" customFormat="false" ht="15" hidden="false" customHeight="false" outlineLevel="0" collapsed="false">
      <c r="A18" s="13"/>
      <c r="B18" s="33"/>
      <c r="C18" s="14"/>
    </row>
    <row r="19" customFormat="false" ht="15" hidden="false" customHeight="false" outlineLevel="0" collapsed="false">
      <c r="A19" s="13"/>
      <c r="B19" s="33"/>
      <c r="C19" s="14"/>
    </row>
    <row r="20" customFormat="false" ht="15" hidden="false" customHeight="false" outlineLevel="0" collapsed="false">
      <c r="A20" s="13"/>
      <c r="B20" s="33"/>
      <c r="C20" s="14"/>
    </row>
    <row r="21" customFormat="false" ht="15" hidden="false" customHeight="false" outlineLevel="0" collapsed="false">
      <c r="A21" s="13"/>
      <c r="B21" s="33"/>
      <c r="C21" s="14"/>
    </row>
    <row r="22" customFormat="false" ht="15" hidden="false" customHeight="false" outlineLevel="0" collapsed="false">
      <c r="A22" s="13"/>
      <c r="B22" s="33"/>
      <c r="C22" s="14"/>
    </row>
    <row r="23" customFormat="false" ht="15" hidden="false" customHeight="false" outlineLevel="0" collapsed="false">
      <c r="A23" s="13"/>
      <c r="B23" s="33"/>
      <c r="C23" s="14"/>
    </row>
    <row r="24" customFormat="false" ht="15" hidden="false" customHeight="false" outlineLevel="0" collapsed="false">
      <c r="A24" s="13"/>
      <c r="B24" s="33"/>
      <c r="C24" s="14"/>
    </row>
    <row r="25" customFormat="false" ht="15" hidden="false" customHeight="false" outlineLevel="0" collapsed="false">
      <c r="A25" s="13"/>
      <c r="B25" s="33"/>
      <c r="C25" s="14"/>
    </row>
    <row r="26" customFormat="false" ht="15" hidden="false" customHeight="false" outlineLevel="0" collapsed="false">
      <c r="A26" s="13"/>
      <c r="B26" s="33"/>
      <c r="C26" s="14"/>
    </row>
    <row r="27" customFormat="false" ht="15" hidden="false" customHeight="false" outlineLevel="0" collapsed="false">
      <c r="A27" s="13"/>
      <c r="B27" s="33"/>
      <c r="C27" s="14"/>
    </row>
    <row r="28" customFormat="false" ht="15" hidden="false" customHeight="false" outlineLevel="0" collapsed="false">
      <c r="A28" s="13"/>
      <c r="B28" s="33"/>
      <c r="C28" s="14"/>
    </row>
    <row r="29" customFormat="false" ht="15" hidden="false" customHeight="false" outlineLevel="0" collapsed="false">
      <c r="A29" s="13"/>
      <c r="B29" s="33"/>
      <c r="C29" s="14"/>
    </row>
    <row r="30" customFormat="false" ht="15" hidden="false" customHeight="false" outlineLevel="0" collapsed="false">
      <c r="A30" s="13"/>
      <c r="B30" s="33"/>
      <c r="C30" s="14"/>
    </row>
    <row r="31" customFormat="false" ht="15" hidden="false" customHeight="false" outlineLevel="0" collapsed="false">
      <c r="A31" s="13"/>
      <c r="B31" s="33"/>
      <c r="C31" s="14"/>
    </row>
    <row r="32" customFormat="false" ht="15" hidden="false" customHeight="false" outlineLevel="0" collapsed="false">
      <c r="A32" s="13"/>
      <c r="B32" s="33"/>
      <c r="C32" s="14"/>
    </row>
    <row r="33" customFormat="false" ht="15" hidden="false" customHeight="false" outlineLevel="0" collapsed="false">
      <c r="A33" s="13"/>
      <c r="B33" s="33"/>
      <c r="C33" s="14"/>
    </row>
    <row r="34" customFormat="false" ht="15" hidden="false" customHeight="false" outlineLevel="0" collapsed="false">
      <c r="A34" s="13"/>
      <c r="B34" s="33"/>
      <c r="C34" s="14"/>
    </row>
    <row r="35" customFormat="false" ht="15" hidden="false" customHeight="false" outlineLevel="0" collapsed="false">
      <c r="A35" s="13"/>
      <c r="B35" s="33"/>
      <c r="C35" s="14"/>
    </row>
    <row r="36" customFormat="false" ht="15" hidden="false" customHeight="false" outlineLevel="0" collapsed="false">
      <c r="A36" s="13"/>
      <c r="B36" s="33"/>
      <c r="C36" s="14"/>
    </row>
    <row r="37" customFormat="false" ht="15" hidden="false" customHeight="false" outlineLevel="0" collapsed="false">
      <c r="A37" s="13"/>
      <c r="B37" s="33"/>
      <c r="C37" s="14"/>
    </row>
    <row r="38" customFormat="false" ht="15" hidden="false" customHeight="false" outlineLevel="0" collapsed="false">
      <c r="A38" s="13"/>
      <c r="B38" s="33"/>
      <c r="C38" s="14"/>
    </row>
    <row r="39" customFormat="false" ht="15" hidden="false" customHeight="false" outlineLevel="0" collapsed="false">
      <c r="A39" s="13"/>
      <c r="B39" s="33"/>
      <c r="C39" s="14"/>
    </row>
    <row r="40" customFormat="false" ht="15" hidden="false" customHeight="false" outlineLevel="0" collapsed="false">
      <c r="A40" s="13"/>
      <c r="B40" s="33"/>
      <c r="C40" s="14"/>
    </row>
    <row r="41" customFormat="false" ht="15" hidden="false" customHeight="false" outlineLevel="0" collapsed="false">
      <c r="A41" s="13"/>
      <c r="B41" s="33"/>
      <c r="C41" s="14"/>
    </row>
    <row r="42" customFormat="false" ht="15" hidden="false" customHeight="false" outlineLevel="0" collapsed="false">
      <c r="A42" s="13"/>
      <c r="B42" s="33"/>
      <c r="C42" s="14"/>
    </row>
    <row r="43" customFormat="false" ht="15" hidden="false" customHeight="false" outlineLevel="0" collapsed="false">
      <c r="A43" s="13"/>
      <c r="B43" s="33"/>
      <c r="C43" s="14"/>
    </row>
    <row r="44" customFormat="false" ht="15" hidden="false" customHeight="false" outlineLevel="0" collapsed="false">
      <c r="A44" s="13"/>
      <c r="B44" s="33"/>
      <c r="C44" s="14"/>
    </row>
  </sheetData>
  <dataValidations count="3">
    <dataValidation allowBlank="true" error="Bu ad zaten var. Her ad bir kez girilebilir." errorStyle="stop" errorTitle="Kontrol" operator="between" showDropDown="false" showErrorMessage="true" showInputMessage="false" sqref="A5:A44" type="custom">
      <formula1>COUNTIF($A$5:$A$44,A5)=1</formula1>
      <formula2>0</formula2>
    </dataValidation>
    <dataValidation allowBlank="true" error="Listeden seç." errorStyle="stop" errorTitle="Kontrol" operator="between" showDropDown="false" showErrorMessage="true" showInputMessage="false" sqref="B5:B44" type="list">
      <formula1>"Gelir,Sabit gider,Değişken gider,Birikim"</formula1>
      <formula2>0</formula2>
    </dataValidation>
    <dataValidation allowBlank="true" error="Sıfır ya da daha büyük bir sayı gir." errorStyle="stop" errorTitle="Kontrol" operator="greaterThanOrEqual" showDropDown="false" showErrorMessage="true" showInputMessage="false" sqref="C5:C44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B1:C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96"/>
  </cols>
  <sheetData>
    <row r="1" customFormat="false" ht="19.7" hidden="false" customHeight="false" outlineLevel="0" collapsed="false">
      <c r="B1" s="8" t="s">
        <v>81</v>
      </c>
    </row>
    <row r="2" customFormat="false" ht="30" hidden="false" customHeight="true" outlineLevel="0" collapsed="false">
      <c r="B2" s="34" t="s">
        <v>82</v>
      </c>
      <c r="C2" s="34"/>
    </row>
    <row r="3" customFormat="false" ht="31.5" hidden="false" customHeight="true" outlineLevel="0" collapsed="false">
      <c r="B3" s="35" t="s">
        <v>83</v>
      </c>
      <c r="C3" s="35"/>
    </row>
    <row r="5" customFormat="false" ht="15" hidden="false" customHeight="false" outlineLevel="0" collapsed="false">
      <c r="B5" s="36" t="s">
        <v>84</v>
      </c>
      <c r="C5" s="36" t="s">
        <v>85</v>
      </c>
    </row>
    <row r="6" customFormat="false" ht="31.5" hidden="false" customHeight="true" outlineLevel="0" collapsed="false">
      <c r="B6" s="37" t="s">
        <v>86</v>
      </c>
      <c r="C6" s="38" t="s">
        <v>87</v>
      </c>
    </row>
    <row r="7" customFormat="false" ht="31.5" hidden="false" customHeight="true" outlineLevel="0" collapsed="false">
      <c r="B7" s="39" t="s">
        <v>88</v>
      </c>
      <c r="C7" s="40" t="s">
        <v>89</v>
      </c>
    </row>
    <row r="8" customFormat="false" ht="31.5" hidden="false" customHeight="true" outlineLevel="0" collapsed="false">
      <c r="B8" s="37" t="s">
        <v>90</v>
      </c>
      <c r="C8" s="38" t="s">
        <v>91</v>
      </c>
    </row>
    <row r="9" customFormat="false" ht="31.5" hidden="false" customHeight="true" outlineLevel="0" collapsed="false">
      <c r="B9" s="39" t="s">
        <v>92</v>
      </c>
      <c r="C9" s="40" t="s">
        <v>93</v>
      </c>
    </row>
    <row r="10" customFormat="false" ht="31.5" hidden="false" customHeight="true" outlineLevel="0" collapsed="false">
      <c r="B10" s="37" t="s">
        <v>94</v>
      </c>
      <c r="C10" s="38" t="s">
        <v>95</v>
      </c>
    </row>
    <row r="11" customFormat="false" ht="31.5" hidden="false" customHeight="true" outlineLevel="0" collapsed="false">
      <c r="B11" s="39" t="s">
        <v>96</v>
      </c>
      <c r="C11" s="40" t="s">
        <v>97</v>
      </c>
    </row>
  </sheetData>
  <mergeCells count="2">
    <mergeCell ref="B2:C2"/>
    <mergeCell ref="B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2026-10-04T22:00:00Z</dcterms:created>
  <dc:creator>openpyxl</dc:creator>
  <dc:description/>
  <dc:language>en-US</dc:language>
  <cp:lastModifiedBy/>
  <dcterms:modified xsi:type="dcterms:W3CDTF">2026-10-04T22:00:02Z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