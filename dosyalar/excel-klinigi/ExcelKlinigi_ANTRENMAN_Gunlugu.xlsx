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Günlük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<sst xmlns="http://schemas.openxmlformats.org/spreadsheetml/2006/main" count="92" uniqueCount="81">
  <si>
    <t xml:space="preserve">EXCEL KLİNİĞİ</t>
  </si>
  <si>
    <t xml:space="preserve">ANTRENMAN  |  Antrenman günlüğü</t>
  </si>
  <si>
    <t xml:space="preserve">Hangi harekette ne kaldırdın, rekorun ne, haftalık ve aylık yükün nasıl gidiyor.</t>
  </si>
  <si>
    <t xml:space="preserve">NASIL KULLANILIR</t>
  </si>
  <si>
    <t xml:space="preserve">1. Listeler</t>
  </si>
  <si>
    <t xml:space="preserve">Yaptığın hareketleri yaz.</t>
  </si>
  <si>
    <t xml:space="preserve">2. Günlük</t>
  </si>
  <si>
    <t xml:space="preserve">Her antrenmanda hareket, set, tekrar ve ağırlığı gir.</t>
  </si>
  <si>
    <t xml:space="preserve">3. Özet</t>
  </si>
  <si>
    <t xml:space="preserve">Aylık antrenman günü ve hacim, hareket bazında en iyi dereceler.</t>
  </si>
  <si>
    <t xml:space="preserve">BİLMEN GEREKENLER</t>
  </si>
  <si>
    <t xml:space="preserve">Tahmini 1 tekrar</t>
  </si>
  <si>
    <t xml:space="preserve">Ağırlık × (1 + tekrar / 30) formülüyle bulunan yaklaşık değerdir; gerçek en yüksek kaldırışın farklı olabilir.</t>
  </si>
  <si>
    <t xml:space="preserve">Rekor</t>
  </si>
  <si>
    <t xml:space="preserve">Bir harekette tahmini 1 tekrar değeri o hareketin en yükseğine eşitse Rekor yazar.</t>
  </si>
  <si>
    <t xml:space="preserve">Sağlık</t>
  </si>
  <si>
    <t xml:space="preserve">Dosya antrenman önerisi vermez. Ağrı ya da sakatlıkta bir uzmana danış.</t>
  </si>
  <si>
    <t xml:space="preserve">Kapasite</t>
  </si>
  <si>
    <t xml:space="preserve">Günlük: 2000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</si>
  <si>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</si>
  <si>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</si>
  <si>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</si>
  <si>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</si>
  <si>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</si>
  <si>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Antrenman Günlüğü</t>
  </si>
  <si>
    <t xml:space="preserve">Her set grubunu bir satır yaz: hareket, set, tekrar ve ağırlık.</t>
  </si>
  <si>
    <t xml:space="preserve">Tarih</t>
  </si>
  <si>
    <t xml:space="preserve">Hareket</t>
  </si>
  <si>
    <t xml:space="preserve">Set</t>
  </si>
  <si>
    <t xml:space="preserve">Tekrar</t>
  </si>
  <si>
    <t xml:space="preserve">Ağırlık (kg)</t>
  </si>
  <si>
    <t xml:space="preserve">Hacim (kg)</t>
  </si>
  <si>
    <t xml:space="preserve">Tahmini 1 tekrar (kg)</t>
  </si>
  <si>
    <t xml:space="preserve">y1</t>
  </si>
  <si>
    <t xml:space="preserve">y2</t>
  </si>
  <si>
    <t xml:space="preserve">Squat</t>
  </si>
  <si>
    <t xml:space="preserve">Bench press</t>
  </si>
  <si>
    <t xml:space="preserve">Deadlift</t>
  </si>
  <si>
    <t xml:space="preserve">Özet</t>
  </si>
  <si>
    <t xml:space="preserve">Bu sayfada yalnızca yılı değiştir.</t>
  </si>
  <si>
    <t xml:space="preserve">Yıl</t>
  </si>
  <si>
    <t xml:space="preserve">Antrenman günü (yıl)</t>
  </si>
  <si>
    <t xml:space="preserve">Toplam hacim (kg)</t>
  </si>
  <si>
    <t xml:space="preserve">Rekor sayısı</t>
  </si>
  <si>
    <t xml:space="preserve">Aylık tablo</t>
  </si>
  <si>
    <t xml:space="preserve">Harekete göre</t>
  </si>
  <si>
    <t xml:space="preserve">Ay</t>
  </si>
  <si>
    <t xml:space="preserve">Antrenman günü</t>
  </si>
  <si>
    <t xml:space="preserve">En yüksek ağırlık (kg)</t>
  </si>
  <si>
    <t xml:space="preserve">En iyi tahmini 1 tekrar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</si>
  <si>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</si>
  <si>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</si>
  <si>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</si>
  <si>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</si>
  <si>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</si>
  <si>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</si>
  <si>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</si>
  <si>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</si>
  <si>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</si>
  <si>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</si>
  <si>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</si>
  <si>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</si>
  <si>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</si>
  <si>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Listeler</t>
  </si>
  <si>
    <t xml:space="preserve">Açılır listelerde çıkan seçenekler. Sarı hücrelere kendi seçeneklerini yaz.</t>
  </si>
  <si>
    <t xml:space="preserve">Barfiks</t>
  </si>
  <si>
    <t xml:space="preserve">Omuz press</t>
  </si>
  <si>
    <t xml:space="preserve">Koşu (km)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</si>
  <si>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</si>
  <si>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</si>
  <si>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Sağlık bilgilerini paylaşmak zorunda değilsin. Yapay zekanın verdiği rakamları dosyadaki özet sayfasıyla karşılaştır.</t>
  </si>
  <si>
    <t xml:space="preserve">Ne için</t>
  </si>
  <si>
    <t xml:space="preserve">Komut (kopyala, yapıştır)</t>
  </si>
  <si>
    <t xml:space="preserve">Gidiş</t>
  </si>
  <si>
    <t xml:space="preserve">[Günlük sayfası] Hareketlerde son altı haftadaki gelişimimi yorumla; hangi harekette takılmışım?</t>
  </si>
  <si>
    <t xml:space="preserve">Denge</t>
  </si>
  <si>
    <t xml:space="preserve">[Özet sayfası] Hacmim hareketler arasında dengeli mi? İhmal ettiğim bölge var mı?</t>
  </si>
  <si>
    <t xml:space="preserve">Sonraki hafta</t>
  </si>
  <si>
    <t xml:space="preserve">Son antrenmanlarıma bakarak gelecek hafta için set ve tekrar önerisi çıkar; ağırlık artışını küçük tut.</t>
  </si>
  <si>
    <t xml:space="preserve">Kayıt kontrolü</t>
  </si>
  <si>
    <t xml:space="preserve">[Günlük sayfası] Olağan dışı görünen ağırlık ya da tekrar girişlerini göster.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</si>
</sst>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;[RED]\-#,##0;\-"/>
    <numFmt numFmtId="167" formatCode="0.0"/>
    <numFmt numFmtId="168" formatCode="General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true" outlineLevel="0" max="8" min="8" style="0" width="14"/>
    <col collapsed="false" customWidth="true" hidden="false" outlineLevel="0" max="9" min="9" style="0" width="14"/>
    <col collapsed="false" customWidth="true" hidden="true" outlineLevel="0" max="10" min="10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1" t="s">
        <v>31</v>
      </c>
      <c r="G4" s="11" t="s">
        <v>32</v>
      </c>
      <c r="H4" s="11" t="s">
        <v>33</v>
      </c>
      <c r="I4" s="11" t="s">
        <v>13</v>
      </c>
      <c r="J4" s="11" t="s">
        <v>34</v>
      </c>
    </row>
    <row r="5" customFormat="false" ht="15" hidden="false" customHeight="false" outlineLevel="0" collapsed="false">
      <c r="A5" s="12" t="n">
        <v>46293</v>
      </c>
      <c r="B5" s="13" t="s">
        <v>35</v>
      </c>
      <c r="C5" s="14" t="n">
        <v>3</v>
      </c>
      <c r="D5" s="14" t="n">
        <v>5</v>
      </c>
      <c r="E5" s="15" t="n">
        <v>80</v>
      </c>
      <c r="F5" s="16" t="n">
        <f aca="false">IF(OR(C5="",D5="",E5=""),"",C5*D5*E5)</f>
        <v>1200</v>
      </c>
      <c r="G5" s="17" t="n">
        <f aca="false">IF(OR(D5="",E5=""),"",E5*(1+D5/30))</f>
        <v>93.3333333333333</v>
      </c>
      <c r="H5" s="17" t="n">
        <f aca="false">IF(G5="",0,G5)</f>
        <v>93.3333333333333</v>
      </c>
      <c r="I5" s="18" t="str">
        <f aca="false">IF(H5&gt;0,IF(H5&gt;=SUMPRODUCT(MAX(($B$5:$B$2004=B5)*$H$5:$H$2004)),"Rekor",""),"")</f>
        <v/>
      </c>
      <c r="J5" s="19" t="n">
        <f aca="false">IF(A5="",0,IF(COUNTIF(A$5:A5,A5)=1,1,0))</f>
        <v>1</v>
      </c>
    </row>
    <row r="6" customFormat="false" ht="15" hidden="false" customHeight="false" outlineLevel="0" collapsed="false">
      <c r="A6" s="12" t="n">
        <v>46293</v>
      </c>
      <c r="B6" s="13" t="s">
        <v>36</v>
      </c>
      <c r="C6" s="14" t="n">
        <v>3</v>
      </c>
      <c r="D6" s="14" t="n">
        <v>8</v>
      </c>
      <c r="E6" s="15" t="n">
        <v>60</v>
      </c>
      <c r="F6" s="16" t="n">
        <f aca="false">IF(OR(C6="",D6="",E6=""),"",C6*D6*E6)</f>
        <v>1440</v>
      </c>
      <c r="G6" s="17" t="n">
        <f aca="false">IF(OR(D6="",E6=""),"",E6*(1+D6/30))</f>
        <v>76</v>
      </c>
      <c r="H6" s="17" t="n">
        <f aca="false">IF(G6="",0,G6)</f>
        <v>76</v>
      </c>
      <c r="I6" s="18" t="str">
        <f aca="false">IF(H6&gt;0,IF(H6&gt;=SUMPRODUCT(MAX(($B$5:$B$2004=B6)*$H$5:$H$2004)),"Rekor",""),"")</f>
        <v>Rekor</v>
      </c>
      <c r="J6" s="19" t="n">
        <f aca="false">IF(A6="",0,IF(COUNTIF(A$5:A6,A6)=1,1,0))</f>
        <v>0</v>
      </c>
    </row>
    <row r="7" customFormat="false" ht="15" hidden="false" customHeight="false" outlineLevel="0" collapsed="false">
      <c r="A7" s="12" t="n">
        <v>46295</v>
      </c>
      <c r="B7" s="13" t="s">
        <v>37</v>
      </c>
      <c r="C7" s="14" t="n">
        <v>1</v>
      </c>
      <c r="D7" s="14" t="n">
        <v>5</v>
      </c>
      <c r="E7" s="15" t="n">
        <v>110</v>
      </c>
      <c r="F7" s="16" t="n">
        <f aca="false">IF(OR(C7="",D7="",E7=""),"",C7*D7*E7)</f>
        <v>550</v>
      </c>
      <c r="G7" s="17" t="n">
        <f aca="false">IF(OR(D7="",E7=""),"",E7*(1+D7/30))</f>
        <v>128.333333333333</v>
      </c>
      <c r="H7" s="17" t="n">
        <f aca="false">IF(G7="",0,G7)</f>
        <v>128.333333333333</v>
      </c>
      <c r="I7" s="18" t="str">
        <f aca="false">IF(H7&gt;0,IF(H7&gt;=SUMPRODUCT(MAX(($B$5:$B$2004=B7)*$H$5:$H$2004)),"Rekor",""),"")</f>
        <v>Rekor</v>
      </c>
      <c r="J7" s="19" t="n">
        <f aca="false">IF(A7="",0,IF(COUNTIF(A$5:A7,A7)=1,1,0))</f>
        <v>1</v>
      </c>
    </row>
    <row r="8" customFormat="false" ht="15" hidden="false" customHeight="false" outlineLevel="0" collapsed="false">
      <c r="A8" s="12" t="n">
        <v>46297</v>
      </c>
      <c r="B8" s="13" t="s">
        <v>35</v>
      </c>
      <c r="C8" s="14" t="n">
        <v>3</v>
      </c>
      <c r="D8" s="14" t="n">
        <v>5</v>
      </c>
      <c r="E8" s="15" t="n">
        <v>85</v>
      </c>
      <c r="F8" s="16" t="n">
        <f aca="false">IF(OR(C8="",D8="",E8=""),"",C8*D8*E8)</f>
        <v>1275</v>
      </c>
      <c r="G8" s="17" t="n">
        <f aca="false">IF(OR(D8="",E8=""),"",E8*(1+D8/30))</f>
        <v>99.1666666666667</v>
      </c>
      <c r="H8" s="17" t="n">
        <f aca="false">IF(G8="",0,G8)</f>
        <v>99.1666666666667</v>
      </c>
      <c r="I8" s="18" t="str">
        <f aca="false">IF(H8&gt;0,IF(H8&gt;=SUMPRODUCT(MAX(($B$5:$B$2004=B8)*$H$5:$H$2004)),"Rekor",""),"")</f>
        <v>Rekor</v>
      </c>
      <c r="J8" s="19" t="n">
        <f aca="false">IF(A8="",0,IF(COUNTIF(A$5:A8,A8)=1,1,0))</f>
        <v>1</v>
      </c>
    </row>
    <row r="9" customFormat="false" ht="15" hidden="false" customHeight="false" outlineLevel="0" collapsed="false">
      <c r="A9" s="12" t="n">
        <v>46297</v>
      </c>
      <c r="B9" s="13" t="s">
        <v>36</v>
      </c>
      <c r="C9" s="14" t="n">
        <v>3</v>
      </c>
      <c r="D9" s="14" t="n">
        <v>6</v>
      </c>
      <c r="E9" s="15" t="n">
        <v>62.5</v>
      </c>
      <c r="F9" s="16" t="n">
        <f aca="false">IF(OR(C9="",D9="",E9=""),"",C9*D9*E9)</f>
        <v>1125</v>
      </c>
      <c r="G9" s="17" t="n">
        <f aca="false">IF(OR(D9="",E9=""),"",E9*(1+D9/30))</f>
        <v>75</v>
      </c>
      <c r="H9" s="17" t="n">
        <f aca="false">IF(G9="",0,G9)</f>
        <v>75</v>
      </c>
      <c r="I9" s="18" t="str">
        <f aca="false">IF(H9&gt;0,IF(H9&gt;=SUMPRODUCT(MAX(($B$5:$B$2004=B9)*$H$5:$H$2004)),"Rekor",""),"")</f>
        <v/>
      </c>
      <c r="J9" s="19" t="n">
        <f aca="false">IF(A9="",0,IF(COUNTIF(A$5:A9,A9)=1,1,0))</f>
        <v>0</v>
      </c>
    </row>
    <row r="10" customFormat="false" ht="15" hidden="false" customHeight="false" outlineLevel="0" collapsed="false">
      <c r="A10" s="12" t="n">
        <v>46299</v>
      </c>
      <c r="B10" s="13" t="s">
        <v>35</v>
      </c>
      <c r="C10" s="14" t="n">
        <v>5</v>
      </c>
      <c r="D10" s="14" t="n">
        <v>3</v>
      </c>
      <c r="E10" s="15" t="n">
        <v>87.5</v>
      </c>
      <c r="F10" s="16" t="n">
        <f aca="false">IF(OR(C10="",D10="",E10=""),"",C10*D10*E10)</f>
        <v>1312.5</v>
      </c>
      <c r="G10" s="17" t="n">
        <f aca="false">IF(OR(D10="",E10=""),"",E10*(1+D10/30))</f>
        <v>96.25</v>
      </c>
      <c r="H10" s="17" t="n">
        <f aca="false">IF(G10="",0,G10)</f>
        <v>96.25</v>
      </c>
      <c r="I10" s="18" t="str">
        <f aca="false">IF(H10&gt;0,IF(H10&gt;=SUMPRODUCT(MAX(($B$5:$B$2004=B10)*$H$5:$H$2004)),"Rekor",""),"")</f>
        <v/>
      </c>
      <c r="J10" s="19" t="n">
        <f aca="false">IF(A10="",0,IF(COUNTIF(A$5:A10,A10)=1,1,0))</f>
        <v>1</v>
      </c>
    </row>
    <row r="11" customFormat="false" ht="15" hidden="false" customHeight="false" outlineLevel="0" collapsed="false">
      <c r="A11" s="12"/>
      <c r="B11" s="13"/>
      <c r="C11" s="14"/>
      <c r="D11" s="14"/>
      <c r="E11" s="15"/>
      <c r="F11" s="16" t="str">
        <f aca="false">IF(OR(C11="",D11="",E11=""),"",C11*D11*E11)</f>
        <v/>
      </c>
      <c r="G11" s="17" t="str">
        <f aca="false">IF(OR(D11="",E11=""),"",E11*(1+D11/30))</f>
        <v/>
      </c>
      <c r="H11" s="19" t="n">
        <f aca="false">IF(G11="",0,G11)</f>
        <v>0</v>
      </c>
      <c r="I11" s="18" t="str">
        <f aca="false">IF(H11&gt;0,IF(H11&gt;=SUMPRODUCT(MAX(($B$5:$B$2004=B11)*$H$5:$H$2004)),"Rekor",""),"")</f>
        <v/>
      </c>
      <c r="J11" s="19" t="n">
        <f aca="false">IF(A11="",0,IF(COUNTIF(A$5:A11,A11)=1,1,0))</f>
        <v>0</v>
      </c>
    </row>
    <row r="12" customFormat="false" ht="15" hidden="false" customHeight="false" outlineLevel="0" collapsed="false">
      <c r="A12" s="12"/>
      <c r="B12" s="13"/>
      <c r="C12" s="14"/>
      <c r="D12" s="14"/>
      <c r="E12" s="15"/>
      <c r="F12" s="16" t="str">
        <f aca="false">IF(OR(C12="",D12="",E12=""),"",C12*D12*E12)</f>
        <v/>
      </c>
      <c r="G12" s="17" t="str">
        <f aca="false">IF(OR(D12="",E12=""),"",E12*(1+D12/30))</f>
        <v/>
      </c>
      <c r="H12" s="19" t="n">
        <f aca="false">IF(G12="",0,G12)</f>
        <v>0</v>
      </c>
      <c r="I12" s="18" t="str">
        <f aca="false">IF(H12&gt;0,IF(H12&gt;=SUMPRODUCT(MAX(($B$5:$B$2004=B12)*$H$5:$H$2004)),"Rekor",""),"")</f>
        <v/>
      </c>
      <c r="J12" s="19" t="n">
        <f aca="false">IF(A12="",0,IF(COUNTIF(A$5:A12,A12)=1,1,0))</f>
        <v>0</v>
      </c>
    </row>
    <row r="13" customFormat="false" ht="15" hidden="false" customHeight="false" outlineLevel="0" collapsed="false">
      <c r="A13" s="12"/>
      <c r="B13" s="13"/>
      <c r="C13" s="14"/>
      <c r="D13" s="14"/>
      <c r="E13" s="15"/>
      <c r="F13" s="16" t="str">
        <f aca="false">IF(OR(C13="",D13="",E13=""),"",C13*D13*E13)</f>
        <v/>
      </c>
      <c r="G13" s="17" t="str">
        <f aca="false">IF(OR(D13="",E13=""),"",E13*(1+D13/30))</f>
        <v/>
      </c>
      <c r="H13" s="19" t="n">
        <f aca="false">IF(G13="",0,G13)</f>
        <v>0</v>
      </c>
      <c r="I13" s="18" t="str">
        <f aca="false">IF(H13&gt;0,IF(H13&gt;=SUMPRODUCT(MAX(($B$5:$B$2004=B13)*$H$5:$H$2004)),"Rekor",""),"")</f>
        <v/>
      </c>
      <c r="J13" s="19" t="n">
        <f aca="false">IF(A13="",0,IF(COUNTIF(A$5:A13,A13)=1,1,0))</f>
        <v>0</v>
      </c>
    </row>
    <row r="14" customFormat="false" ht="15" hidden="false" customHeight="false" outlineLevel="0" collapsed="false">
      <c r="A14" s="12"/>
      <c r="B14" s="13"/>
      <c r="C14" s="14"/>
      <c r="D14" s="14"/>
      <c r="E14" s="15"/>
      <c r="F14" s="16" t="str">
        <f aca="false">IF(OR(C14="",D14="",E14=""),"",C14*D14*E14)</f>
        <v/>
      </c>
      <c r="G14" s="17" t="str">
        <f aca="false">IF(OR(D14="",E14=""),"",E14*(1+D14/30))</f>
        <v/>
      </c>
      <c r="H14" s="19" t="n">
        <f aca="false">IF(G14="",0,G14)</f>
        <v>0</v>
      </c>
      <c r="I14" s="18" t="str">
        <f aca="false">IF(H14&gt;0,IF(H14&gt;=SUMPRODUCT(MAX(($B$5:$B$2004=B14)*$H$5:$H$2004)),"Rekor",""),"")</f>
        <v/>
      </c>
      <c r="J14" s="19" t="n">
        <f aca="false">IF(A14="",0,IF(COUNTIF(A$5:A14,A14)=1,1,0))</f>
        <v>0</v>
      </c>
    </row>
    <row r="15" customFormat="false" ht="15" hidden="false" customHeight="false" outlineLevel="0" collapsed="false">
      <c r="A15" s="12"/>
      <c r="B15" s="13"/>
      <c r="C15" s="14"/>
      <c r="D15" s="14"/>
      <c r="E15" s="15"/>
      <c r="F15" s="16" t="str">
        <f aca="false">IF(OR(C15="",D15="",E15=""),"",C15*D15*E15)</f>
        <v/>
      </c>
      <c r="G15" s="17" t="str">
        <f aca="false">IF(OR(D15="",E15=""),"",E15*(1+D15/30))</f>
        <v/>
      </c>
      <c r="H15" s="19" t="n">
        <f aca="false">IF(G15="",0,G15)</f>
        <v>0</v>
      </c>
      <c r="I15" s="18" t="str">
        <f aca="false">IF(H15&gt;0,IF(H15&gt;=SUMPRODUCT(MAX(($B$5:$B$2004=B15)*$H$5:$H$2004)),"Rekor",""),"")</f>
        <v/>
      </c>
      <c r="J15" s="19" t="n">
        <f aca="false">IF(A15="",0,IF(COUNTIF(A$5:A15,A15)=1,1,0))</f>
        <v>0</v>
      </c>
    </row>
    <row r="16" customFormat="false" ht="15" hidden="false" customHeight="false" outlineLevel="0" collapsed="false">
      <c r="A16" s="12"/>
      <c r="B16" s="13"/>
      <c r="C16" s="14"/>
      <c r="D16" s="14"/>
      <c r="E16" s="15"/>
      <c r="F16" s="16" t="str">
        <f aca="false">IF(OR(C16="",D16="",E16=""),"",C16*D16*E16)</f>
        <v/>
      </c>
      <c r="G16" s="17" t="str">
        <f aca="false">IF(OR(D16="",E16=""),"",E16*(1+D16/30))</f>
        <v/>
      </c>
      <c r="H16" s="19" t="n">
        <f aca="false">IF(G16="",0,G16)</f>
        <v>0</v>
      </c>
      <c r="I16" s="18" t="str">
        <f aca="false">IF(H16&gt;0,IF(H16&gt;=SUMPRODUCT(MAX(($B$5:$B$2004=B16)*$H$5:$H$2004)),"Rekor",""),"")</f>
        <v/>
      </c>
      <c r="J16" s="19" t="n">
        <f aca="false">IF(A16="",0,IF(COUNTIF(A$5:A16,A16)=1,1,0))</f>
        <v>0</v>
      </c>
    </row>
    <row r="17" customFormat="false" ht="15" hidden="false" customHeight="false" outlineLevel="0" collapsed="false">
      <c r="A17" s="12"/>
      <c r="B17" s="13"/>
      <c r="C17" s="14"/>
      <c r="D17" s="14"/>
      <c r="E17" s="15"/>
      <c r="F17" s="16" t="str">
        <f aca="false">IF(OR(C17="",D17="",E17=""),"",C17*D17*E17)</f>
        <v/>
      </c>
      <c r="G17" s="17" t="str">
        <f aca="false">IF(OR(D17="",E17=""),"",E17*(1+D17/30))</f>
        <v/>
      </c>
      <c r="H17" s="19" t="n">
        <f aca="false">IF(G17="",0,G17)</f>
        <v>0</v>
      </c>
      <c r="I17" s="18" t="str">
        <f aca="false">IF(H17&gt;0,IF(H17&gt;=SUMPRODUCT(MAX(($B$5:$B$2004=B17)*$H$5:$H$2004)),"Rekor",""),"")</f>
        <v/>
      </c>
      <c r="J17" s="19" t="n">
        <f aca="false">IF(A17="",0,IF(COUNTIF(A$5:A17,A17)=1,1,0))</f>
        <v>0</v>
      </c>
    </row>
    <row r="18" customFormat="false" ht="15" hidden="false" customHeight="false" outlineLevel="0" collapsed="false">
      <c r="A18" s="12"/>
      <c r="B18" s="13"/>
      <c r="C18" s="14"/>
      <c r="D18" s="14"/>
      <c r="E18" s="15"/>
      <c r="F18" s="16" t="str">
        <f aca="false">IF(OR(C18="",D18="",E18=""),"",C18*D18*E18)</f>
        <v/>
      </c>
      <c r="G18" s="17" t="str">
        <f aca="false">IF(OR(D18="",E18=""),"",E18*(1+D18/30))</f>
        <v/>
      </c>
      <c r="H18" s="19" t="n">
        <f aca="false">IF(G18="",0,G18)</f>
        <v>0</v>
      </c>
      <c r="I18" s="18" t="str">
        <f aca="false">IF(H18&gt;0,IF(H18&gt;=SUMPRODUCT(MAX(($B$5:$B$2004=B18)*$H$5:$H$2004)),"Rekor",""),"")</f>
        <v/>
      </c>
      <c r="J18" s="19" t="n">
        <f aca="false">IF(A18="",0,IF(COUNTIF(A$5:A18,A18)=1,1,0))</f>
        <v>0</v>
      </c>
    </row>
    <row r="19" customFormat="false" ht="15" hidden="false" customHeight="false" outlineLevel="0" collapsed="false">
      <c r="A19" s="12"/>
      <c r="B19" s="13"/>
      <c r="C19" s="14"/>
      <c r="D19" s="14"/>
      <c r="E19" s="15"/>
      <c r="F19" s="16" t="str">
        <f aca="false">IF(OR(C19="",D19="",E19=""),"",C19*D19*E19)</f>
        <v/>
      </c>
      <c r="G19" s="17" t="str">
        <f aca="false">IF(OR(D19="",E19=""),"",E19*(1+D19/30))</f>
        <v/>
      </c>
      <c r="H19" s="19" t="n">
        <f aca="false">IF(G19="",0,G19)</f>
        <v>0</v>
      </c>
      <c r="I19" s="18" t="str">
        <f aca="false">IF(H19&gt;0,IF(H19&gt;=SUMPRODUCT(MAX(($B$5:$B$2004=B19)*$H$5:$H$2004)),"Rekor",""),"")</f>
        <v/>
      </c>
      <c r="J19" s="19" t="n">
        <f aca="false">IF(A19="",0,IF(COUNTIF(A$5:A19,A19)=1,1,0))</f>
        <v>0</v>
      </c>
    </row>
    <row r="20" customFormat="false" ht="15" hidden="false" customHeight="false" outlineLevel="0" collapsed="false">
      <c r="A20" s="12"/>
      <c r="B20" s="13"/>
      <c r="C20" s="14"/>
      <c r="D20" s="14"/>
      <c r="E20" s="15"/>
      <c r="F20" s="16" t="str">
        <f aca="false">IF(OR(C20="",D20="",E20=""),"",C20*D20*E20)</f>
        <v/>
      </c>
      <c r="G20" s="17" t="str">
        <f aca="false">IF(OR(D20="",E20=""),"",E20*(1+D20/30))</f>
        <v/>
      </c>
      <c r="H20" s="19" t="n">
        <f aca="false">IF(G20="",0,G20)</f>
        <v>0</v>
      </c>
      <c r="I20" s="18" t="str">
        <f aca="false">IF(H20&gt;0,IF(H20&gt;=SUMPRODUCT(MAX(($B$5:$B$2004=B20)*$H$5:$H$2004)),"Rekor",""),"")</f>
        <v/>
      </c>
      <c r="J20" s="19" t="n">
        <f aca="false">IF(A20="",0,IF(COUNTIF(A$5:A20,A20)=1,1,0))</f>
        <v>0</v>
      </c>
    </row>
    <row r="21" customFormat="false" ht="15" hidden="false" customHeight="false" outlineLevel="0" collapsed="false">
      <c r="A21" s="12"/>
      <c r="B21" s="13"/>
      <c r="C21" s="14"/>
      <c r="D21" s="14"/>
      <c r="E21" s="15"/>
      <c r="F21" s="16" t="str">
        <f aca="false">IF(OR(C21="",D21="",E21=""),"",C21*D21*E21)</f>
        <v/>
      </c>
      <c r="G21" s="17" t="str">
        <f aca="false">IF(OR(D21="",E21=""),"",E21*(1+D21/30))</f>
        <v/>
      </c>
      <c r="H21" s="19" t="n">
        <f aca="false">IF(G21="",0,G21)</f>
        <v>0</v>
      </c>
      <c r="I21" s="18" t="str">
        <f aca="false">IF(H21&gt;0,IF(H21&gt;=SUMPRODUCT(MAX(($B$5:$B$2004=B21)*$H$5:$H$2004)),"Rekor",""),"")</f>
        <v/>
      </c>
      <c r="J21" s="19" t="n">
        <f aca="false">IF(A21="",0,IF(COUNTIF(A$5:A21,A21)=1,1,0))</f>
        <v>0</v>
      </c>
    </row>
    <row r="22" customFormat="false" ht="15" hidden="false" customHeight="false" outlineLevel="0" collapsed="false">
      <c r="A22" s="12"/>
      <c r="B22" s="13"/>
      <c r="C22" s="14"/>
      <c r="D22" s="14"/>
      <c r="E22" s="15"/>
      <c r="F22" s="16" t="str">
        <f aca="false">IF(OR(C22="",D22="",E22=""),"",C22*D22*E22)</f>
        <v/>
      </c>
      <c r="G22" s="17" t="str">
        <f aca="false">IF(OR(D22="",E22=""),"",E22*(1+D22/30))</f>
        <v/>
      </c>
      <c r="H22" s="19" t="n">
        <f aca="false">IF(G22="",0,G22)</f>
        <v>0</v>
      </c>
      <c r="I22" s="18" t="str">
        <f aca="false">IF(H22&gt;0,IF(H22&gt;=SUMPRODUCT(MAX(($B$5:$B$2004=B22)*$H$5:$H$2004)),"Rekor",""),"")</f>
        <v/>
      </c>
      <c r="J22" s="19" t="n">
        <f aca="false">IF(A22="",0,IF(COUNTIF(A$5:A22,A22)=1,1,0))</f>
        <v>0</v>
      </c>
    </row>
    <row r="23" customFormat="false" ht="15" hidden="false" customHeight="false" outlineLevel="0" collapsed="false">
      <c r="A23" s="12"/>
      <c r="B23" s="13"/>
      <c r="C23" s="14"/>
      <c r="D23" s="14"/>
      <c r="E23" s="15"/>
      <c r="F23" s="16" t="str">
        <f aca="false">IF(OR(C23="",D23="",E23=""),"",C23*D23*E23)</f>
        <v/>
      </c>
      <c r="G23" s="17" t="str">
        <f aca="false">IF(OR(D23="",E23=""),"",E23*(1+D23/30))</f>
        <v/>
      </c>
      <c r="H23" s="19" t="n">
        <f aca="false">IF(G23="",0,G23)</f>
        <v>0</v>
      </c>
      <c r="I23" s="18" t="str">
        <f aca="false">IF(H23&gt;0,IF(H23&gt;=SUMPRODUCT(MAX(($B$5:$B$2004=B23)*$H$5:$H$2004)),"Rekor",""),"")</f>
        <v/>
      </c>
      <c r="J23" s="19" t="n">
        <f aca="false">IF(A23="",0,IF(COUNTIF(A$5:A23,A23)=1,1,0))</f>
        <v>0</v>
      </c>
    </row>
    <row r="24" customFormat="false" ht="15" hidden="false" customHeight="false" outlineLevel="0" collapsed="false">
      <c r="A24" s="12"/>
      <c r="B24" s="13"/>
      <c r="C24" s="14"/>
      <c r="D24" s="14"/>
      <c r="E24" s="15"/>
      <c r="F24" s="16" t="str">
        <f aca="false">IF(OR(C24="",D24="",E24=""),"",C24*D24*E24)</f>
        <v/>
      </c>
      <c r="G24" s="17" t="str">
        <f aca="false">IF(OR(D24="",E24=""),"",E24*(1+D24/30))</f>
        <v/>
      </c>
      <c r="H24" s="19" t="n">
        <f aca="false">IF(G24="",0,G24)</f>
        <v>0</v>
      </c>
      <c r="I24" s="18" t="str">
        <f aca="false">IF(H24&gt;0,IF(H24&gt;=SUMPRODUCT(MAX(($B$5:$B$2004=B24)*$H$5:$H$2004)),"Rekor",""),"")</f>
        <v/>
      </c>
      <c r="J24" s="19" t="n">
        <f aca="false">IF(A24="",0,IF(COUNTIF(A$5:A24,A24)=1,1,0))</f>
        <v>0</v>
      </c>
    </row>
    <row r="25" customFormat="false" ht="15" hidden="false" customHeight="false" outlineLevel="0" collapsed="false">
      <c r="A25" s="12"/>
      <c r="B25" s="13"/>
      <c r="C25" s="14"/>
      <c r="D25" s="14"/>
      <c r="E25" s="15"/>
      <c r="F25" s="16" t="str">
        <f aca="false">IF(OR(C25="",D25="",E25=""),"",C25*D25*E25)</f>
        <v/>
      </c>
      <c r="G25" s="17" t="str">
        <f aca="false">IF(OR(D25="",E25=""),"",E25*(1+D25/30))</f>
        <v/>
      </c>
      <c r="H25" s="19" t="n">
        <f aca="false">IF(G25="",0,G25)</f>
        <v>0</v>
      </c>
      <c r="I25" s="18" t="str">
        <f aca="false">IF(H25&gt;0,IF(H25&gt;=SUMPRODUCT(MAX(($B$5:$B$2004=B25)*$H$5:$H$2004)),"Rekor",""),"")</f>
        <v/>
      </c>
      <c r="J25" s="19" t="n">
        <f aca="false">IF(A25="",0,IF(COUNTIF(A$5:A25,A25)=1,1,0))</f>
        <v>0</v>
      </c>
    </row>
    <row r="26" customFormat="false" ht="15" hidden="false" customHeight="false" outlineLevel="0" collapsed="false">
      <c r="A26" s="12"/>
      <c r="B26" s="13"/>
      <c r="C26" s="14"/>
      <c r="D26" s="14"/>
      <c r="E26" s="15"/>
      <c r="F26" s="16" t="str">
        <f aca="false">IF(OR(C26="",D26="",E26=""),"",C26*D26*E26)</f>
        <v/>
      </c>
      <c r="G26" s="17" t="str">
        <f aca="false">IF(OR(D26="",E26=""),"",E26*(1+D26/30))</f>
        <v/>
      </c>
      <c r="H26" s="19" t="n">
        <f aca="false">IF(G26="",0,G26)</f>
        <v>0</v>
      </c>
      <c r="I26" s="18" t="str">
        <f aca="false">IF(H26&gt;0,IF(H26&gt;=SUMPRODUCT(MAX(($B$5:$B$2004=B26)*$H$5:$H$2004)),"Rekor",""),"")</f>
        <v/>
      </c>
      <c r="J26" s="19" t="n">
        <f aca="false">IF(A26="",0,IF(COUNTIF(A$5:A26,A26)=1,1,0))</f>
        <v>0</v>
      </c>
    </row>
    <row r="27" customFormat="false" ht="15" hidden="false" customHeight="false" outlineLevel="0" collapsed="false">
      <c r="A27" s="12"/>
      <c r="B27" s="13"/>
      <c r="C27" s="14"/>
      <c r="D27" s="14"/>
      <c r="E27" s="15"/>
      <c r="F27" s="16" t="str">
        <f aca="false">IF(OR(C27="",D27="",E27=""),"",C27*D27*E27)</f>
        <v/>
      </c>
      <c r="G27" s="17" t="str">
        <f aca="false">IF(OR(D27="",E27=""),"",E27*(1+D27/30))</f>
        <v/>
      </c>
      <c r="H27" s="19" t="n">
        <f aca="false">IF(G27="",0,G27)</f>
        <v>0</v>
      </c>
      <c r="I27" s="18" t="str">
        <f aca="false">IF(H27&gt;0,IF(H27&gt;=SUMPRODUCT(MAX(($B$5:$B$2004=B27)*$H$5:$H$2004)),"Rekor",""),"")</f>
        <v/>
      </c>
      <c r="J27" s="19" t="n">
        <f aca="false">IF(A27="",0,IF(COUNTIF(A$5:A27,A27)=1,1,0))</f>
        <v>0</v>
      </c>
    </row>
    <row r="28" customFormat="false" ht="15" hidden="false" customHeight="false" outlineLevel="0" collapsed="false">
      <c r="A28" s="12"/>
      <c r="B28" s="13"/>
      <c r="C28" s="14"/>
      <c r="D28" s="14"/>
      <c r="E28" s="15"/>
      <c r="F28" s="16" t="str">
        <f aca="false">IF(OR(C28="",D28="",E28=""),"",C28*D28*E28)</f>
        <v/>
      </c>
      <c r="G28" s="17" t="str">
        <f aca="false">IF(OR(D28="",E28=""),"",E28*(1+D28/30))</f>
        <v/>
      </c>
      <c r="H28" s="19" t="n">
        <f aca="false">IF(G28="",0,G28)</f>
        <v>0</v>
      </c>
      <c r="I28" s="18" t="str">
        <f aca="false">IF(H28&gt;0,IF(H28&gt;=SUMPRODUCT(MAX(($B$5:$B$2004=B28)*$H$5:$H$2004)),"Rekor",""),"")</f>
        <v/>
      </c>
      <c r="J28" s="19" t="n">
        <f aca="false">IF(A28="",0,IF(COUNTIF(A$5:A28,A28)=1,1,0))</f>
        <v>0</v>
      </c>
    </row>
    <row r="29" customFormat="false" ht="15" hidden="false" customHeight="false" outlineLevel="0" collapsed="false">
      <c r="A29" s="12"/>
      <c r="B29" s="13"/>
      <c r="C29" s="14"/>
      <c r="D29" s="14"/>
      <c r="E29" s="15"/>
      <c r="F29" s="16" t="str">
        <f aca="false">IF(OR(C29="",D29="",E29=""),"",C29*D29*E29)</f>
        <v/>
      </c>
      <c r="G29" s="17" t="str">
        <f aca="false">IF(OR(D29="",E29=""),"",E29*(1+D29/30))</f>
        <v/>
      </c>
      <c r="H29" s="19" t="n">
        <f aca="false">IF(G29="",0,G29)</f>
        <v>0</v>
      </c>
      <c r="I29" s="18" t="str">
        <f aca="false">IF(H29&gt;0,IF(H29&gt;=SUMPRODUCT(MAX(($B$5:$B$2004=B29)*$H$5:$H$2004)),"Rekor",""),"")</f>
        <v/>
      </c>
      <c r="J29" s="19" t="n">
        <f aca="false">IF(A29="",0,IF(COUNTIF(A$5:A29,A29)=1,1,0))</f>
        <v>0</v>
      </c>
    </row>
    <row r="30" customFormat="false" ht="15" hidden="false" customHeight="false" outlineLevel="0" collapsed="false">
      <c r="A30" s="12"/>
      <c r="B30" s="13"/>
      <c r="C30" s="14"/>
      <c r="D30" s="14"/>
      <c r="E30" s="15"/>
      <c r="F30" s="16" t="str">
        <f aca="false">IF(OR(C30="",D30="",E30=""),"",C30*D30*E30)</f>
        <v/>
      </c>
      <c r="G30" s="17" t="str">
        <f aca="false">IF(OR(D30="",E30=""),"",E30*(1+D30/30))</f>
        <v/>
      </c>
      <c r="H30" s="19" t="n">
        <f aca="false">IF(G30="",0,G30)</f>
        <v>0</v>
      </c>
      <c r="I30" s="18" t="str">
        <f aca="false">IF(H30&gt;0,IF(H30&gt;=SUMPRODUCT(MAX(($B$5:$B$2004=B30)*$H$5:$H$2004)),"Rekor",""),"")</f>
        <v/>
      </c>
      <c r="J30" s="19" t="n">
        <f aca="false">IF(A30="",0,IF(COUNTIF(A$5:A30,A30)=1,1,0))</f>
        <v>0</v>
      </c>
    </row>
    <row r="31" customFormat="false" ht="15" hidden="false" customHeight="false" outlineLevel="0" collapsed="false">
      <c r="A31" s="12"/>
      <c r="B31" s="13"/>
      <c r="C31" s="14"/>
      <c r="D31" s="14"/>
      <c r="E31" s="15"/>
      <c r="F31" s="16" t="str">
        <f aca="false">IF(OR(C31="",D31="",E31=""),"",C31*D31*E31)</f>
        <v/>
      </c>
      <c r="G31" s="17" t="str">
        <f aca="false">IF(OR(D31="",E31=""),"",E31*(1+D31/30))</f>
        <v/>
      </c>
      <c r="H31" s="19" t="n">
        <f aca="false">IF(G31="",0,G31)</f>
        <v>0</v>
      </c>
      <c r="I31" s="18" t="str">
        <f aca="false">IF(H31&gt;0,IF(H31&gt;=SUMPRODUCT(MAX(($B$5:$B$2004=B31)*$H$5:$H$2004)),"Rekor",""),"")</f>
        <v/>
      </c>
      <c r="J31" s="19" t="n">
        <f aca="false">IF(A31="",0,IF(COUNTIF(A$5:A31,A31)=1,1,0))</f>
        <v>0</v>
      </c>
    </row>
    <row r="32" customFormat="false" ht="15" hidden="false" customHeight="false" outlineLevel="0" collapsed="false">
      <c r="A32" s="12"/>
      <c r="B32" s="13"/>
      <c r="C32" s="14"/>
      <c r="D32" s="14"/>
      <c r="E32" s="15"/>
      <c r="F32" s="16" t="str">
        <f aca="false">IF(OR(C32="",D32="",E32=""),"",C32*D32*E32)</f>
        <v/>
      </c>
      <c r="G32" s="17" t="str">
        <f aca="false">IF(OR(D32="",E32=""),"",E32*(1+D32/30))</f>
        <v/>
      </c>
      <c r="H32" s="19" t="n">
        <f aca="false">IF(G32="",0,G32)</f>
        <v>0</v>
      </c>
      <c r="I32" s="18" t="str">
        <f aca="false">IF(H32&gt;0,IF(H32&gt;=SUMPRODUCT(MAX(($B$5:$B$2004=B32)*$H$5:$H$2004)),"Rekor",""),"")</f>
        <v/>
      </c>
      <c r="J32" s="19" t="n">
        <f aca="false">IF(A32="",0,IF(COUNTIF(A$5:A32,A32)=1,1,0))</f>
        <v>0</v>
      </c>
    </row>
    <row r="33" customFormat="false" ht="15" hidden="false" customHeight="false" outlineLevel="0" collapsed="false">
      <c r="A33" s="12"/>
      <c r="B33" s="13"/>
      <c r="C33" s="14"/>
      <c r="D33" s="14"/>
      <c r="E33" s="15"/>
      <c r="F33" s="16" t="str">
        <f aca="false">IF(OR(C33="",D33="",E33=""),"",C33*D33*E33)</f>
        <v/>
      </c>
      <c r="G33" s="17" t="str">
        <f aca="false">IF(OR(D33="",E33=""),"",E33*(1+D33/30))</f>
        <v/>
      </c>
      <c r="H33" s="19" t="n">
        <f aca="false">IF(G33="",0,G33)</f>
        <v>0</v>
      </c>
      <c r="I33" s="18" t="str">
        <f aca="false">IF(H33&gt;0,IF(H33&gt;=SUMPRODUCT(MAX(($B$5:$B$2004=B33)*$H$5:$H$2004)),"Rekor",""),"")</f>
        <v/>
      </c>
      <c r="J33" s="19" t="n">
        <f aca="false">IF(A33="",0,IF(COUNTIF(A$5:A33,A33)=1,1,0))</f>
        <v>0</v>
      </c>
    </row>
    <row r="34" customFormat="false" ht="15" hidden="false" customHeight="false" outlineLevel="0" collapsed="false">
      <c r="A34" s="12"/>
      <c r="B34" s="13"/>
      <c r="C34" s="14"/>
      <c r="D34" s="14"/>
      <c r="E34" s="15"/>
      <c r="F34" s="16" t="str">
        <f aca="false">IF(OR(C34="",D34="",E34=""),"",C34*D34*E34)</f>
        <v/>
      </c>
      <c r="G34" s="17" t="str">
        <f aca="false">IF(OR(D34="",E34=""),"",E34*(1+D34/30))</f>
        <v/>
      </c>
      <c r="H34" s="19" t="n">
        <f aca="false">IF(G34="",0,G34)</f>
        <v>0</v>
      </c>
      <c r="I34" s="18" t="str">
        <f aca="false">IF(H34&gt;0,IF(H34&gt;=SUMPRODUCT(MAX(($B$5:$B$2004=B34)*$H$5:$H$2004)),"Rekor",""),"")</f>
        <v/>
      </c>
      <c r="J34" s="19" t="n">
        <f aca="false">IF(A34="",0,IF(COUNTIF(A$5:A34,A34)=1,1,0))</f>
        <v>0</v>
      </c>
    </row>
    <row r="35" customFormat="false" ht="15" hidden="false" customHeight="false" outlineLevel="0" collapsed="false">
      <c r="A35" s="12"/>
      <c r="B35" s="13"/>
      <c r="C35" s="14"/>
      <c r="D35" s="14"/>
      <c r="E35" s="15"/>
      <c r="F35" s="16" t="str">
        <f aca="false">IF(OR(C35="",D35="",E35=""),"",C35*D35*E35)</f>
        <v/>
      </c>
      <c r="G35" s="17" t="str">
        <f aca="false">IF(OR(D35="",E35=""),"",E35*(1+D35/30))</f>
        <v/>
      </c>
      <c r="H35" s="19" t="n">
        <f aca="false">IF(G35="",0,G35)</f>
        <v>0</v>
      </c>
      <c r="I35" s="18" t="str">
        <f aca="false">IF(H35&gt;0,IF(H35&gt;=SUMPRODUCT(MAX(($B$5:$B$2004=B35)*$H$5:$H$2004)),"Rekor",""),"")</f>
        <v/>
      </c>
      <c r="J35" s="19" t="n">
        <f aca="false">IF(A35="",0,IF(COUNTIF(A$5:A35,A35)=1,1,0))</f>
        <v>0</v>
      </c>
    </row>
    <row r="36" customFormat="false" ht="15" hidden="false" customHeight="false" outlineLevel="0" collapsed="false">
      <c r="A36" s="12"/>
      <c r="B36" s="13"/>
      <c r="C36" s="14"/>
      <c r="D36" s="14"/>
      <c r="E36" s="15"/>
      <c r="F36" s="16" t="str">
        <f aca="false">IF(OR(C36="",D36="",E36=""),"",C36*D36*E36)</f>
        <v/>
      </c>
      <c r="G36" s="17" t="str">
        <f aca="false">IF(OR(D36="",E36=""),"",E36*(1+D36/30))</f>
        <v/>
      </c>
      <c r="H36" s="19" t="n">
        <f aca="false">IF(G36="",0,G36)</f>
        <v>0</v>
      </c>
      <c r="I36" s="18" t="str">
        <f aca="false">IF(H36&gt;0,IF(H36&gt;=SUMPRODUCT(MAX(($B$5:$B$2004=B36)*$H$5:$H$2004)),"Rekor",""),"")</f>
        <v/>
      </c>
      <c r="J36" s="19" t="n">
        <f aca="false">IF(A36="",0,IF(COUNTIF(A$5:A36,A36)=1,1,0))</f>
        <v>0</v>
      </c>
    </row>
    <row r="37" customFormat="false" ht="15" hidden="false" customHeight="false" outlineLevel="0" collapsed="false">
      <c r="A37" s="12"/>
      <c r="B37" s="13"/>
      <c r="C37" s="14"/>
      <c r="D37" s="14"/>
      <c r="E37" s="15"/>
      <c r="F37" s="16" t="str">
        <f aca="false">IF(OR(C37="",D37="",E37=""),"",C37*D37*E37)</f>
        <v/>
      </c>
      <c r="G37" s="17" t="str">
        <f aca="false">IF(OR(D37="",E37=""),"",E37*(1+D37/30))</f>
        <v/>
      </c>
      <c r="H37" s="19" t="n">
        <f aca="false">IF(G37="",0,G37)</f>
        <v>0</v>
      </c>
      <c r="I37" s="18" t="str">
        <f aca="false">IF(H37&gt;0,IF(H37&gt;=SUMPRODUCT(MAX(($B$5:$B$2004=B37)*$H$5:$H$2004)),"Rekor",""),"")</f>
        <v/>
      </c>
      <c r="J37" s="19" t="n">
        <f aca="false">IF(A37="",0,IF(COUNTIF(A$5:A37,A37)=1,1,0))</f>
        <v>0</v>
      </c>
    </row>
    <row r="38" customFormat="false" ht="15" hidden="false" customHeight="false" outlineLevel="0" collapsed="false">
      <c r="A38" s="12"/>
      <c r="B38" s="13"/>
      <c r="C38" s="14"/>
      <c r="D38" s="14"/>
      <c r="E38" s="15"/>
      <c r="F38" s="16" t="str">
        <f aca="false">IF(OR(C38="",D38="",E38=""),"",C38*D38*E38)</f>
        <v/>
      </c>
      <c r="G38" s="17" t="str">
        <f aca="false">IF(OR(D38="",E38=""),"",E38*(1+D38/30))</f>
        <v/>
      </c>
      <c r="H38" s="19" t="n">
        <f aca="false">IF(G38="",0,G38)</f>
        <v>0</v>
      </c>
      <c r="I38" s="18" t="str">
        <f aca="false">IF(H38&gt;0,IF(H38&gt;=SUMPRODUCT(MAX(($B$5:$B$2004=B38)*$H$5:$H$2004)),"Rekor",""),"")</f>
        <v/>
      </c>
      <c r="J38" s="19" t="n">
        <f aca="false">IF(A38="",0,IF(COUNTIF(A$5:A38,A38)=1,1,0))</f>
        <v>0</v>
      </c>
    </row>
    <row r="39" customFormat="false" ht="15" hidden="false" customHeight="false" outlineLevel="0" collapsed="false">
      <c r="A39" s="12"/>
      <c r="B39" s="13"/>
      <c r="C39" s="14"/>
      <c r="D39" s="14"/>
      <c r="E39" s="15"/>
      <c r="F39" s="16" t="str">
        <f aca="false">IF(OR(C39="",D39="",E39=""),"",C39*D39*E39)</f>
        <v/>
      </c>
      <c r="G39" s="17" t="str">
        <f aca="false">IF(OR(D39="",E39=""),"",E39*(1+D39/30))</f>
        <v/>
      </c>
      <c r="H39" s="19" t="n">
        <f aca="false">IF(G39="",0,G39)</f>
        <v>0</v>
      </c>
      <c r="I39" s="18" t="str">
        <f aca="false">IF(H39&gt;0,IF(H39&gt;=SUMPRODUCT(MAX(($B$5:$B$2004=B39)*$H$5:$H$2004)),"Rekor",""),"")</f>
        <v/>
      </c>
      <c r="J39" s="19" t="n">
        <f aca="false">IF(A39="",0,IF(COUNTIF(A$5:A39,A39)=1,1,0))</f>
        <v>0</v>
      </c>
    </row>
    <row r="40" customFormat="false" ht="15" hidden="false" customHeight="false" outlineLevel="0" collapsed="false">
      <c r="A40" s="12"/>
      <c r="B40" s="13"/>
      <c r="C40" s="14"/>
      <c r="D40" s="14"/>
      <c r="E40" s="15"/>
      <c r="F40" s="16" t="str">
        <f aca="false">IF(OR(C40="",D40="",E40=""),"",C40*D40*E40)</f>
        <v/>
      </c>
      <c r="G40" s="17" t="str">
        <f aca="false">IF(OR(D40="",E40=""),"",E40*(1+D40/30))</f>
        <v/>
      </c>
      <c r="H40" s="19" t="n">
        <f aca="false">IF(G40="",0,G40)</f>
        <v>0</v>
      </c>
      <c r="I40" s="18" t="str">
        <f aca="false">IF(H40&gt;0,IF(H40&gt;=SUMPRODUCT(MAX(($B$5:$B$2004=B40)*$H$5:$H$2004)),"Rekor",""),"")</f>
        <v/>
      </c>
      <c r="J40" s="19" t="n">
        <f aca="false">IF(A40="",0,IF(COUNTIF(A$5:A40,A40)=1,1,0))</f>
        <v>0</v>
      </c>
    </row>
    <row r="41" customFormat="false" ht="15" hidden="false" customHeight="false" outlineLevel="0" collapsed="false">
      <c r="A41" s="12"/>
      <c r="B41" s="13"/>
      <c r="C41" s="14"/>
      <c r="D41" s="14"/>
      <c r="E41" s="15"/>
      <c r="F41" s="16" t="str">
        <f aca="false">IF(OR(C41="",D41="",E41=""),"",C41*D41*E41)</f>
        <v/>
      </c>
      <c r="G41" s="17" t="str">
        <f aca="false">IF(OR(D41="",E41=""),"",E41*(1+D41/30))</f>
        <v/>
      </c>
      <c r="H41" s="19" t="n">
        <f aca="false">IF(G41="",0,G41)</f>
        <v>0</v>
      </c>
      <c r="I41" s="18" t="str">
        <f aca="false">IF(H41&gt;0,IF(H41&gt;=SUMPRODUCT(MAX(($B$5:$B$2004=B41)*$H$5:$H$2004)),"Rekor",""),"")</f>
        <v/>
      </c>
      <c r="J41" s="19" t="n">
        <f aca="false">IF(A41="",0,IF(COUNTIF(A$5:A41,A41)=1,1,0))</f>
        <v>0</v>
      </c>
    </row>
    <row r="42" customFormat="false" ht="15" hidden="false" customHeight="false" outlineLevel="0" collapsed="false">
      <c r="A42" s="12"/>
      <c r="B42" s="13"/>
      <c r="C42" s="14"/>
      <c r="D42" s="14"/>
      <c r="E42" s="15"/>
      <c r="F42" s="16" t="str">
        <f aca="false">IF(OR(C42="",D42="",E42=""),"",C42*D42*E42)</f>
        <v/>
      </c>
      <c r="G42" s="17" t="str">
        <f aca="false">IF(OR(D42="",E42=""),"",E42*(1+D42/30))</f>
        <v/>
      </c>
      <c r="H42" s="19" t="n">
        <f aca="false">IF(G42="",0,G42)</f>
        <v>0</v>
      </c>
      <c r="I42" s="18" t="str">
        <f aca="false">IF(H42&gt;0,IF(H42&gt;=SUMPRODUCT(MAX(($B$5:$B$2004=B42)*$H$5:$H$2004)),"Rekor",""),"")</f>
        <v/>
      </c>
      <c r="J42" s="19" t="n">
        <f aca="false">IF(A42="",0,IF(COUNTIF(A$5:A42,A42)=1,1,0))</f>
        <v>0</v>
      </c>
    </row>
    <row r="43" customFormat="false" ht="15" hidden="false" customHeight="false" outlineLevel="0" collapsed="false">
      <c r="A43" s="12"/>
      <c r="B43" s="13"/>
      <c r="C43" s="14"/>
      <c r="D43" s="14"/>
      <c r="E43" s="15"/>
      <c r="F43" s="16" t="str">
        <f aca="false">IF(OR(C43="",D43="",E43=""),"",C43*D43*E43)</f>
        <v/>
      </c>
      <c r="G43" s="17" t="str">
        <f aca="false">IF(OR(D43="",E43=""),"",E43*(1+D43/30))</f>
        <v/>
      </c>
      <c r="H43" s="19" t="n">
        <f aca="false">IF(G43="",0,G43)</f>
        <v>0</v>
      </c>
      <c r="I43" s="18" t="str">
        <f aca="false">IF(H43&gt;0,IF(H43&gt;=SUMPRODUCT(MAX(($B$5:$B$2004=B43)*$H$5:$H$2004)),"Rekor",""),"")</f>
        <v/>
      </c>
      <c r="J43" s="19" t="n">
        <f aca="false">IF(A43="",0,IF(COUNTIF(A$5:A43,A43)=1,1,0))</f>
        <v>0</v>
      </c>
    </row>
    <row r="44" customFormat="false" ht="15" hidden="false" customHeight="false" outlineLevel="0" collapsed="false">
      <c r="A44" s="12"/>
      <c r="B44" s="13"/>
      <c r="C44" s="14"/>
      <c r="D44" s="14"/>
      <c r="E44" s="15"/>
      <c r="F44" s="16" t="str">
        <f aca="false">IF(OR(C44="",D44="",E44=""),"",C44*D44*E44)</f>
        <v/>
      </c>
      <c r="G44" s="17" t="str">
        <f aca="false">IF(OR(D44="",E44=""),"",E44*(1+D44/30))</f>
        <v/>
      </c>
      <c r="H44" s="19" t="n">
        <f aca="false">IF(G44="",0,G44)</f>
        <v>0</v>
      </c>
      <c r="I44" s="18" t="str">
        <f aca="false">IF(H44&gt;0,IF(H44&gt;=SUMPRODUCT(MAX(($B$5:$B$2004=B44)*$H$5:$H$2004)),"Rekor",""),"")</f>
        <v/>
      </c>
      <c r="J44" s="19" t="n">
        <f aca="false">IF(A44="",0,IF(COUNTIF(A$5:A44,A44)=1,1,0))</f>
        <v>0</v>
      </c>
    </row>
    <row r="45" customFormat="false" ht="15" hidden="false" customHeight="false" outlineLevel="0" collapsed="false">
      <c r="A45" s="12"/>
      <c r="B45" s="13"/>
      <c r="C45" s="14"/>
      <c r="D45" s="14"/>
      <c r="E45" s="15"/>
      <c r="F45" s="16" t="str">
        <f aca="false">IF(OR(C45="",D45="",E45=""),"",C45*D45*E45)</f>
        <v/>
      </c>
      <c r="G45" s="17" t="str">
        <f aca="false">IF(OR(D45="",E45=""),"",E45*(1+D45/30))</f>
        <v/>
      </c>
      <c r="H45" s="19" t="n">
        <f aca="false">IF(G45="",0,G45)</f>
        <v>0</v>
      </c>
      <c r="I45" s="18" t="str">
        <f aca="false">IF(H45&gt;0,IF(H45&gt;=SUMPRODUCT(MAX(($B$5:$B$2004=B45)*$H$5:$H$2004)),"Rekor",""),"")</f>
        <v/>
      </c>
      <c r="J45" s="19" t="n">
        <f aca="false">IF(A45="",0,IF(COUNTIF(A$5:A45,A45)=1,1,0))</f>
        <v>0</v>
      </c>
    </row>
    <row r="46" customFormat="false" ht="15" hidden="false" customHeight="false" outlineLevel="0" collapsed="false">
      <c r="A46" s="12"/>
      <c r="B46" s="13"/>
      <c r="C46" s="14"/>
      <c r="D46" s="14"/>
      <c r="E46" s="15"/>
      <c r="F46" s="16" t="str">
        <f aca="false">IF(OR(C46="",D46="",E46=""),"",C46*D46*E46)</f>
        <v/>
      </c>
      <c r="G46" s="17" t="str">
        <f aca="false">IF(OR(D46="",E46=""),"",E46*(1+D46/30))</f>
        <v/>
      </c>
      <c r="H46" s="19" t="n">
        <f aca="false">IF(G46="",0,G46)</f>
        <v>0</v>
      </c>
      <c r="I46" s="18" t="str">
        <f aca="false">IF(H46&gt;0,IF(H46&gt;=SUMPRODUCT(MAX(($B$5:$B$2004=B46)*$H$5:$H$2004)),"Rekor",""),"")</f>
        <v/>
      </c>
      <c r="J46" s="19" t="n">
        <f aca="false">IF(A46="",0,IF(COUNTIF(A$5:A46,A46)=1,1,0))</f>
        <v>0</v>
      </c>
    </row>
    <row r="47" customFormat="false" ht="15" hidden="false" customHeight="false" outlineLevel="0" collapsed="false">
      <c r="A47" s="12"/>
      <c r="B47" s="13"/>
      <c r="C47" s="14"/>
      <c r="D47" s="14"/>
      <c r="E47" s="15"/>
      <c r="F47" s="16" t="str">
        <f aca="false">IF(OR(C47="",D47="",E47=""),"",C47*D47*E47)</f>
        <v/>
      </c>
      <c r="G47" s="17" t="str">
        <f aca="false">IF(OR(D47="",E47=""),"",E47*(1+D47/30))</f>
        <v/>
      </c>
      <c r="H47" s="19" t="n">
        <f aca="false">IF(G47="",0,G47)</f>
        <v>0</v>
      </c>
      <c r="I47" s="18" t="str">
        <f aca="false">IF(H47&gt;0,IF(H47&gt;=SUMPRODUCT(MAX(($B$5:$B$2004=B47)*$H$5:$H$2004)),"Rekor",""),"")</f>
        <v/>
      </c>
      <c r="J47" s="19" t="n">
        <f aca="false">IF(A47="",0,IF(COUNTIF(A$5:A47,A47)=1,1,0))</f>
        <v>0</v>
      </c>
    </row>
    <row r="48" customFormat="false" ht="15" hidden="false" customHeight="false" outlineLevel="0" collapsed="false">
      <c r="A48" s="12"/>
      <c r="B48" s="13"/>
      <c r="C48" s="14"/>
      <c r="D48" s="14"/>
      <c r="E48" s="15"/>
      <c r="F48" s="16" t="str">
        <f aca="false">IF(OR(C48="",D48="",E48=""),"",C48*D48*E48)</f>
        <v/>
      </c>
      <c r="G48" s="17" t="str">
        <f aca="false">IF(OR(D48="",E48=""),"",E48*(1+D48/30))</f>
        <v/>
      </c>
      <c r="H48" s="19" t="n">
        <f aca="false">IF(G48="",0,G48)</f>
        <v>0</v>
      </c>
      <c r="I48" s="18" t="str">
        <f aca="false">IF(H48&gt;0,IF(H48&gt;=SUMPRODUCT(MAX(($B$5:$B$2004=B48)*$H$5:$H$2004)),"Rekor",""),"")</f>
        <v/>
      </c>
      <c r="J48" s="19" t="n">
        <f aca="false">IF(A48="",0,IF(COUNTIF(A$5:A48,A48)=1,1,0))</f>
        <v>0</v>
      </c>
    </row>
    <row r="49" customFormat="false" ht="15" hidden="false" customHeight="false" outlineLevel="0" collapsed="false">
      <c r="A49" s="12"/>
      <c r="B49" s="13"/>
      <c r="C49" s="14"/>
      <c r="D49" s="14"/>
      <c r="E49" s="15"/>
      <c r="F49" s="16" t="str">
        <f aca="false">IF(OR(C49="",D49="",E49=""),"",C49*D49*E49)</f>
        <v/>
      </c>
      <c r="G49" s="17" t="str">
        <f aca="false">IF(OR(D49="",E49=""),"",E49*(1+D49/30))</f>
        <v/>
      </c>
      <c r="H49" s="19" t="n">
        <f aca="false">IF(G49="",0,G49)</f>
        <v>0</v>
      </c>
      <c r="I49" s="18" t="str">
        <f aca="false">IF(H49&gt;0,IF(H49&gt;=SUMPRODUCT(MAX(($B$5:$B$2004=B49)*$H$5:$H$2004)),"Rekor",""),"")</f>
        <v/>
      </c>
      <c r="J49" s="19" t="n">
        <f aca="false">IF(A49="",0,IF(COUNTIF(A$5:A49,A49)=1,1,0))</f>
        <v>0</v>
      </c>
    </row>
    <row r="50" customFormat="false" ht="15" hidden="false" customHeight="false" outlineLevel="0" collapsed="false">
      <c r="A50" s="12"/>
      <c r="B50" s="13"/>
      <c r="C50" s="14"/>
      <c r="D50" s="14"/>
      <c r="E50" s="15"/>
      <c r="F50" s="16" t="str">
        <f aca="false">IF(OR(C50="",D50="",E50=""),"",C50*D50*E50)</f>
        <v/>
      </c>
      <c r="G50" s="17" t="str">
        <f aca="false">IF(OR(D50="",E50=""),"",E50*(1+D50/30))</f>
        <v/>
      </c>
      <c r="H50" s="19" t="n">
        <f aca="false">IF(G50="",0,G50)</f>
        <v>0</v>
      </c>
      <c r="I50" s="18" t="str">
        <f aca="false">IF(H50&gt;0,IF(H50&gt;=SUMPRODUCT(MAX(($B$5:$B$2004=B50)*$H$5:$H$2004)),"Rekor",""),"")</f>
        <v/>
      </c>
      <c r="J50" s="19" t="n">
        <f aca="false">IF(A50="",0,IF(COUNTIF(A$5:A50,A50)=1,1,0))</f>
        <v>0</v>
      </c>
    </row>
    <row r="51" customFormat="false" ht="15" hidden="false" customHeight="false" outlineLevel="0" collapsed="false">
      <c r="A51" s="12"/>
      <c r="B51" s="13"/>
      <c r="C51" s="14"/>
      <c r="D51" s="14"/>
      <c r="E51" s="15"/>
      <c r="F51" s="16" t="str">
        <f aca="false">IF(OR(C51="",D51="",E51=""),"",C51*D51*E51)</f>
        <v/>
      </c>
      <c r="G51" s="17" t="str">
        <f aca="false">IF(OR(D51="",E51=""),"",E51*(1+D51/30))</f>
        <v/>
      </c>
      <c r="H51" s="19" t="n">
        <f aca="false">IF(G51="",0,G51)</f>
        <v>0</v>
      </c>
      <c r="I51" s="18" t="str">
        <f aca="false">IF(H51&gt;0,IF(H51&gt;=SUMPRODUCT(MAX(($B$5:$B$2004=B51)*$H$5:$H$2004)),"Rekor",""),"")</f>
        <v/>
      </c>
      <c r="J51" s="19" t="n">
        <f aca="false">IF(A51="",0,IF(COUNTIF(A$5:A51,A51)=1,1,0))</f>
        <v>0</v>
      </c>
    </row>
    <row r="52" customFormat="false" ht="15" hidden="false" customHeight="false" outlineLevel="0" collapsed="false">
      <c r="A52" s="12"/>
      <c r="B52" s="13"/>
      <c r="C52" s="14"/>
      <c r="D52" s="14"/>
      <c r="E52" s="15"/>
      <c r="F52" s="16" t="str">
        <f aca="false">IF(OR(C52="",D52="",E52=""),"",C52*D52*E52)</f>
        <v/>
      </c>
      <c r="G52" s="17" t="str">
        <f aca="false">IF(OR(D52="",E52=""),"",E52*(1+D52/30))</f>
        <v/>
      </c>
      <c r="H52" s="19" t="n">
        <f aca="false">IF(G52="",0,G52)</f>
        <v>0</v>
      </c>
      <c r="I52" s="18" t="str">
        <f aca="false">IF(H52&gt;0,IF(H52&gt;=SUMPRODUCT(MAX(($B$5:$B$2004=B52)*$H$5:$H$2004)),"Rekor",""),"")</f>
        <v/>
      </c>
      <c r="J52" s="19" t="n">
        <f aca="false">IF(A52="",0,IF(COUNTIF(A$5:A52,A52)=1,1,0))</f>
        <v>0</v>
      </c>
    </row>
    <row r="53" customFormat="false" ht="15" hidden="false" customHeight="false" outlineLevel="0" collapsed="false">
      <c r="A53" s="12"/>
      <c r="B53" s="13"/>
      <c r="C53" s="14"/>
      <c r="D53" s="14"/>
      <c r="E53" s="15"/>
      <c r="F53" s="16" t="str">
        <f aca="false">IF(OR(C53="",D53="",E53=""),"",C53*D53*E53)</f>
        <v/>
      </c>
      <c r="G53" s="17" t="str">
        <f aca="false">IF(OR(D53="",E53=""),"",E53*(1+D53/30))</f>
        <v/>
      </c>
      <c r="H53" s="19" t="n">
        <f aca="false">IF(G53="",0,G53)</f>
        <v>0</v>
      </c>
      <c r="I53" s="18" t="str">
        <f aca="false">IF(H53&gt;0,IF(H53&gt;=SUMPRODUCT(MAX(($B$5:$B$2004=B53)*$H$5:$H$2004)),"Rekor",""),"")</f>
        <v/>
      </c>
      <c r="J53" s="19" t="n">
        <f aca="false">IF(A53="",0,IF(COUNTIF(A$5:A53,A53)=1,1,0))</f>
        <v>0</v>
      </c>
    </row>
    <row r="54" customFormat="false" ht="15" hidden="false" customHeight="false" outlineLevel="0" collapsed="false">
      <c r="A54" s="12"/>
      <c r="B54" s="13"/>
      <c r="C54" s="14"/>
      <c r="D54" s="14"/>
      <c r="E54" s="15"/>
      <c r="F54" s="16" t="str">
        <f aca="false">IF(OR(C54="",D54="",E54=""),"",C54*D54*E54)</f>
        <v/>
      </c>
      <c r="G54" s="17" t="str">
        <f aca="false">IF(OR(D54="",E54=""),"",E54*(1+D54/30))</f>
        <v/>
      </c>
      <c r="H54" s="19" t="n">
        <f aca="false">IF(G54="",0,G54)</f>
        <v>0</v>
      </c>
      <c r="I54" s="18" t="str">
        <f aca="false">IF(H54&gt;0,IF(H54&gt;=SUMPRODUCT(MAX(($B$5:$B$2004=B54)*$H$5:$H$2004)),"Rekor",""),"")</f>
        <v/>
      </c>
      <c r="J54" s="19" t="n">
        <f aca="false">IF(A54="",0,IF(COUNTIF(A$5:A54,A54)=1,1,0))</f>
        <v>0</v>
      </c>
    </row>
    <row r="55" customFormat="false" ht="15" hidden="false" customHeight="false" outlineLevel="0" collapsed="false">
      <c r="A55" s="12"/>
      <c r="B55" s="13"/>
      <c r="C55" s="14"/>
      <c r="D55" s="14"/>
      <c r="E55" s="15"/>
      <c r="F55" s="16" t="str">
        <f aca="false">IF(OR(C55="",D55="",E55=""),"",C55*D55*E55)</f>
        <v/>
      </c>
      <c r="G55" s="17" t="str">
        <f aca="false">IF(OR(D55="",E55=""),"",E55*(1+D55/30))</f>
        <v/>
      </c>
      <c r="H55" s="19" t="n">
        <f aca="false">IF(G55="",0,G55)</f>
        <v>0</v>
      </c>
      <c r="I55" s="18" t="str">
        <f aca="false">IF(H55&gt;0,IF(H55&gt;=SUMPRODUCT(MAX(($B$5:$B$2004=B55)*$H$5:$H$2004)),"Rekor",""),"")</f>
        <v/>
      </c>
      <c r="J55" s="19" t="n">
        <f aca="false">IF(A55="",0,IF(COUNTIF(A$5:A55,A55)=1,1,0))</f>
        <v>0</v>
      </c>
    </row>
    <row r="56" customFormat="false" ht="15" hidden="false" customHeight="false" outlineLevel="0" collapsed="false">
      <c r="A56" s="12"/>
      <c r="B56" s="13"/>
      <c r="C56" s="14"/>
      <c r="D56" s="14"/>
      <c r="E56" s="15"/>
      <c r="F56" s="16" t="str">
        <f aca="false">IF(OR(C56="",D56="",E56=""),"",C56*D56*E56)</f>
        <v/>
      </c>
      <c r="G56" s="17" t="str">
        <f aca="false">IF(OR(D56="",E56=""),"",E56*(1+D56/30))</f>
        <v/>
      </c>
      <c r="H56" s="19" t="n">
        <f aca="false">IF(G56="",0,G56)</f>
        <v>0</v>
      </c>
      <c r="I56" s="18" t="str">
        <f aca="false">IF(H56&gt;0,IF(H56&gt;=SUMPRODUCT(MAX(($B$5:$B$2004=B56)*$H$5:$H$2004)),"Rekor",""),"")</f>
        <v/>
      </c>
      <c r="J56" s="19" t="n">
        <f aca="false">IF(A56="",0,IF(COUNTIF(A$5:A56,A56)=1,1,0))</f>
        <v>0</v>
      </c>
    </row>
    <row r="57" customFormat="false" ht="15" hidden="false" customHeight="false" outlineLevel="0" collapsed="false">
      <c r="A57" s="12"/>
      <c r="B57" s="13"/>
      <c r="C57" s="14"/>
      <c r="D57" s="14"/>
      <c r="E57" s="15"/>
      <c r="F57" s="16" t="str">
        <f aca="false">IF(OR(C57="",D57="",E57=""),"",C57*D57*E57)</f>
        <v/>
      </c>
      <c r="G57" s="17" t="str">
        <f aca="false">IF(OR(D57="",E57=""),"",E57*(1+D57/30))</f>
        <v/>
      </c>
      <c r="H57" s="19" t="n">
        <f aca="false">IF(G57="",0,G57)</f>
        <v>0</v>
      </c>
      <c r="I57" s="18" t="str">
        <f aca="false">IF(H57&gt;0,IF(H57&gt;=SUMPRODUCT(MAX(($B$5:$B$2004=B57)*$H$5:$H$2004)),"Rekor",""),"")</f>
        <v/>
      </c>
      <c r="J57" s="19" t="n">
        <f aca="false">IF(A57="",0,IF(COUNTIF(A$5:A57,A57)=1,1,0))</f>
        <v>0</v>
      </c>
    </row>
    <row r="58" customFormat="false" ht="15" hidden="false" customHeight="false" outlineLevel="0" collapsed="false">
      <c r="A58" s="12"/>
      <c r="B58" s="13"/>
      <c r="C58" s="14"/>
      <c r="D58" s="14"/>
      <c r="E58" s="15"/>
      <c r="F58" s="16" t="str">
        <f aca="false">IF(OR(C58="",D58="",E58=""),"",C58*D58*E58)</f>
        <v/>
      </c>
      <c r="G58" s="17" t="str">
        <f aca="false">IF(OR(D58="",E58=""),"",E58*(1+D58/30))</f>
        <v/>
      </c>
      <c r="H58" s="19" t="n">
        <f aca="false">IF(G58="",0,G58)</f>
        <v>0</v>
      </c>
      <c r="I58" s="18" t="str">
        <f aca="false">IF(H58&gt;0,IF(H58&gt;=SUMPRODUCT(MAX(($B$5:$B$2004=B58)*$H$5:$H$2004)),"Rekor",""),"")</f>
        <v/>
      </c>
      <c r="J58" s="19" t="n">
        <f aca="false">IF(A58="",0,IF(COUNTIF(A$5:A58,A58)=1,1,0))</f>
        <v>0</v>
      </c>
    </row>
    <row r="59" customFormat="false" ht="15" hidden="false" customHeight="false" outlineLevel="0" collapsed="false">
      <c r="A59" s="12"/>
      <c r="B59" s="13"/>
      <c r="C59" s="14"/>
      <c r="D59" s="14"/>
      <c r="E59" s="15"/>
      <c r="F59" s="16" t="str">
        <f aca="false">IF(OR(C59="",D59="",E59=""),"",C59*D59*E59)</f>
        <v/>
      </c>
      <c r="G59" s="17" t="str">
        <f aca="false">IF(OR(D59="",E59=""),"",E59*(1+D59/30))</f>
        <v/>
      </c>
      <c r="H59" s="19" t="n">
        <f aca="false">IF(G59="",0,G59)</f>
        <v>0</v>
      </c>
      <c r="I59" s="18" t="str">
        <f aca="false">IF(H59&gt;0,IF(H59&gt;=SUMPRODUCT(MAX(($B$5:$B$2004=B59)*$H$5:$H$2004)),"Rekor",""),"")</f>
        <v/>
      </c>
      <c r="J59" s="19" t="n">
        <f aca="false">IF(A59="",0,IF(COUNTIF(A$5:A59,A59)=1,1,0))</f>
        <v>0</v>
      </c>
    </row>
    <row r="60" customFormat="false" ht="15" hidden="false" customHeight="false" outlineLevel="0" collapsed="false">
      <c r="A60" s="12"/>
      <c r="B60" s="13"/>
      <c r="C60" s="14"/>
      <c r="D60" s="14"/>
      <c r="E60" s="15"/>
      <c r="F60" s="16" t="str">
        <f aca="false">IF(OR(C60="",D60="",E60=""),"",C60*D60*E60)</f>
        <v/>
      </c>
      <c r="G60" s="17" t="str">
        <f aca="false">IF(OR(D60="",E60=""),"",E60*(1+D60/30))</f>
        <v/>
      </c>
      <c r="H60" s="19" t="n">
        <f aca="false">IF(G60="",0,G60)</f>
        <v>0</v>
      </c>
      <c r="I60" s="18" t="str">
        <f aca="false">IF(H60&gt;0,IF(H60&gt;=SUMPRODUCT(MAX(($B$5:$B$2004=B60)*$H$5:$H$2004)),"Rekor",""),"")</f>
        <v/>
      </c>
      <c r="J60" s="19" t="n">
        <f aca="false">IF(A60="",0,IF(COUNTIF(A$5:A60,A60)=1,1,0))</f>
        <v>0</v>
      </c>
    </row>
    <row r="61" customFormat="false" ht="15" hidden="false" customHeight="false" outlineLevel="0" collapsed="false">
      <c r="A61" s="12"/>
      <c r="B61" s="13"/>
      <c r="C61" s="14"/>
      <c r="D61" s="14"/>
      <c r="E61" s="15"/>
      <c r="F61" s="16" t="str">
        <f aca="false">IF(OR(C61="",D61="",E61=""),"",C61*D61*E61)</f>
        <v/>
      </c>
      <c r="G61" s="17" t="str">
        <f aca="false">IF(OR(D61="",E61=""),"",E61*(1+D61/30))</f>
        <v/>
      </c>
      <c r="H61" s="19" t="n">
        <f aca="false">IF(G61="",0,G61)</f>
        <v>0</v>
      </c>
      <c r="I61" s="18" t="str">
        <f aca="false">IF(H61&gt;0,IF(H61&gt;=SUMPRODUCT(MAX(($B$5:$B$2004=B61)*$H$5:$H$2004)),"Rekor",""),"")</f>
        <v/>
      </c>
      <c r="J61" s="19" t="n">
        <f aca="false">IF(A61="",0,IF(COUNTIF(A$5:A61,A61)=1,1,0))</f>
        <v>0</v>
      </c>
    </row>
    <row r="62" customFormat="false" ht="15" hidden="false" customHeight="false" outlineLevel="0" collapsed="false">
      <c r="A62" s="12"/>
      <c r="B62" s="13"/>
      <c r="C62" s="14"/>
      <c r="D62" s="14"/>
      <c r="E62" s="15"/>
      <c r="F62" s="16" t="str">
        <f aca="false">IF(OR(C62="",D62="",E62=""),"",C62*D62*E62)</f>
        <v/>
      </c>
      <c r="G62" s="17" t="str">
        <f aca="false">IF(OR(D62="",E62=""),"",E62*(1+D62/30))</f>
        <v/>
      </c>
      <c r="H62" s="19" t="n">
        <f aca="false">IF(G62="",0,G62)</f>
        <v>0</v>
      </c>
      <c r="I62" s="18" t="str">
        <f aca="false">IF(H62&gt;0,IF(H62&gt;=SUMPRODUCT(MAX(($B$5:$B$2004=B62)*$H$5:$H$2004)),"Rekor",""),"")</f>
        <v/>
      </c>
      <c r="J62" s="19" t="n">
        <f aca="false">IF(A62="",0,IF(COUNTIF(A$5:A62,A62)=1,1,0))</f>
        <v>0</v>
      </c>
    </row>
    <row r="63" customFormat="false" ht="15" hidden="false" customHeight="false" outlineLevel="0" collapsed="false">
      <c r="A63" s="12"/>
      <c r="B63" s="13"/>
      <c r="C63" s="14"/>
      <c r="D63" s="14"/>
      <c r="E63" s="15"/>
      <c r="F63" s="16" t="str">
        <f aca="false">IF(OR(C63="",D63="",E63=""),"",C63*D63*E63)</f>
        <v/>
      </c>
      <c r="G63" s="17" t="str">
        <f aca="false">IF(OR(D63="",E63=""),"",E63*(1+D63/30))</f>
        <v/>
      </c>
      <c r="H63" s="19" t="n">
        <f aca="false">IF(G63="",0,G63)</f>
        <v>0</v>
      </c>
      <c r="I63" s="18" t="str">
        <f aca="false">IF(H63&gt;0,IF(H63&gt;=SUMPRODUCT(MAX(($B$5:$B$2004=B63)*$H$5:$H$2004)),"Rekor",""),"")</f>
        <v/>
      </c>
      <c r="J63" s="19" t="n">
        <f aca="false">IF(A63="",0,IF(COUNTIF(A$5:A63,A63)=1,1,0))</f>
        <v>0</v>
      </c>
    </row>
    <row r="64" customFormat="false" ht="15" hidden="false" customHeight="false" outlineLevel="0" collapsed="false">
      <c r="A64" s="12"/>
      <c r="B64" s="13"/>
      <c r="C64" s="14"/>
      <c r="D64" s="14"/>
      <c r="E64" s="15"/>
      <c r="F64" s="16" t="str">
        <f aca="false">IF(OR(C64="",D64="",E64=""),"",C64*D64*E64)</f>
        <v/>
      </c>
      <c r="G64" s="17" t="str">
        <f aca="false">IF(OR(D64="",E64=""),"",E64*(1+D64/30))</f>
        <v/>
      </c>
      <c r="H64" s="19" t="n">
        <f aca="false">IF(G64="",0,G64)</f>
        <v>0</v>
      </c>
      <c r="I64" s="18" t="str">
        <f aca="false">IF(H64&gt;0,IF(H64&gt;=SUMPRODUCT(MAX(($B$5:$B$2004=B64)*$H$5:$H$2004)),"Rekor",""),"")</f>
        <v/>
      </c>
      <c r="J64" s="19" t="n">
        <f aca="false">IF(A64="",0,IF(COUNTIF(A$5:A64,A64)=1,1,0))</f>
        <v>0</v>
      </c>
    </row>
    <row r="65" customFormat="false" ht="15" hidden="false" customHeight="false" outlineLevel="0" collapsed="false">
      <c r="A65" s="12"/>
      <c r="B65" s="13"/>
      <c r="C65" s="14"/>
      <c r="D65" s="14"/>
      <c r="E65" s="15"/>
      <c r="F65" s="16" t="str">
        <f aca="false">IF(OR(C65="",D65="",E65=""),"",C65*D65*E65)</f>
        <v/>
      </c>
      <c r="G65" s="17" t="str">
        <f aca="false">IF(OR(D65="",E65=""),"",E65*(1+D65/30))</f>
        <v/>
      </c>
      <c r="H65" s="19" t="n">
        <f aca="false">IF(G65="",0,G65)</f>
        <v>0</v>
      </c>
      <c r="I65" s="18" t="str">
        <f aca="false">IF(H65&gt;0,IF(H65&gt;=SUMPRODUCT(MAX(($B$5:$B$2004=B65)*$H$5:$H$2004)),"Rekor",""),"")</f>
        <v/>
      </c>
      <c r="J65" s="19" t="n">
        <f aca="false">IF(A65="",0,IF(COUNTIF(A$5:A65,A65)=1,1,0))</f>
        <v>0</v>
      </c>
    </row>
    <row r="66" customFormat="false" ht="15" hidden="false" customHeight="false" outlineLevel="0" collapsed="false">
      <c r="A66" s="12"/>
      <c r="B66" s="13"/>
      <c r="C66" s="14"/>
      <c r="D66" s="14"/>
      <c r="E66" s="15"/>
      <c r="F66" s="16" t="str">
        <f aca="false">IF(OR(C66="",D66="",E66=""),"",C66*D66*E66)</f>
        <v/>
      </c>
      <c r="G66" s="17" t="str">
        <f aca="false">IF(OR(D66="",E66=""),"",E66*(1+D66/30))</f>
        <v/>
      </c>
      <c r="H66" s="19" t="n">
        <f aca="false">IF(G66="",0,G66)</f>
        <v>0</v>
      </c>
      <c r="I66" s="18" t="str">
        <f aca="false">IF(H66&gt;0,IF(H66&gt;=SUMPRODUCT(MAX(($B$5:$B$2004=B66)*$H$5:$H$2004)),"Rekor",""),"")</f>
        <v/>
      </c>
      <c r="J66" s="19" t="n">
        <f aca="false">IF(A66="",0,IF(COUNTIF(A$5:A66,A66)=1,1,0))</f>
        <v>0</v>
      </c>
    </row>
    <row r="67" customFormat="false" ht="15" hidden="false" customHeight="false" outlineLevel="0" collapsed="false">
      <c r="A67" s="12"/>
      <c r="B67" s="13"/>
      <c r="C67" s="14"/>
      <c r="D67" s="14"/>
      <c r="E67" s="15"/>
      <c r="F67" s="16" t="str">
        <f aca="false">IF(OR(C67="",D67="",E67=""),"",C67*D67*E67)</f>
        <v/>
      </c>
      <c r="G67" s="17" t="str">
        <f aca="false">IF(OR(D67="",E67=""),"",E67*(1+D67/30))</f>
        <v/>
      </c>
      <c r="H67" s="19" t="n">
        <f aca="false">IF(G67="",0,G67)</f>
        <v>0</v>
      </c>
      <c r="I67" s="18" t="str">
        <f aca="false">IF(H67&gt;0,IF(H67&gt;=SUMPRODUCT(MAX(($B$5:$B$2004=B67)*$H$5:$H$2004)),"Rekor",""),"")</f>
        <v/>
      </c>
      <c r="J67" s="19" t="n">
        <f aca="false">IF(A67="",0,IF(COUNTIF(A$5:A67,A67)=1,1,0))</f>
        <v>0</v>
      </c>
    </row>
    <row r="68" customFormat="false" ht="15" hidden="false" customHeight="false" outlineLevel="0" collapsed="false">
      <c r="A68" s="12"/>
      <c r="B68" s="13"/>
      <c r="C68" s="14"/>
      <c r="D68" s="14"/>
      <c r="E68" s="15"/>
      <c r="F68" s="16" t="str">
        <f aca="false">IF(OR(C68="",D68="",E68=""),"",C68*D68*E68)</f>
        <v/>
      </c>
      <c r="G68" s="17" t="str">
        <f aca="false">IF(OR(D68="",E68=""),"",E68*(1+D68/30))</f>
        <v/>
      </c>
      <c r="H68" s="19" t="n">
        <f aca="false">IF(G68="",0,G68)</f>
        <v>0</v>
      </c>
      <c r="I68" s="18" t="str">
        <f aca="false">IF(H68&gt;0,IF(H68&gt;=SUMPRODUCT(MAX(($B$5:$B$2004=B68)*$H$5:$H$2004)),"Rekor",""),"")</f>
        <v/>
      </c>
      <c r="J68" s="19" t="n">
        <f aca="false">IF(A68="",0,IF(COUNTIF(A$5:A68,A68)=1,1,0))</f>
        <v>0</v>
      </c>
    </row>
    <row r="69" customFormat="false" ht="15" hidden="false" customHeight="false" outlineLevel="0" collapsed="false">
      <c r="A69" s="12"/>
      <c r="B69" s="13"/>
      <c r="C69" s="14"/>
      <c r="D69" s="14"/>
      <c r="E69" s="15"/>
      <c r="F69" s="16" t="str">
        <f aca="false">IF(OR(C69="",D69="",E69=""),"",C69*D69*E69)</f>
        <v/>
      </c>
      <c r="G69" s="17" t="str">
        <f aca="false">IF(OR(D69="",E69=""),"",E69*(1+D69/30))</f>
        <v/>
      </c>
      <c r="H69" s="19" t="n">
        <f aca="false">IF(G69="",0,G69)</f>
        <v>0</v>
      </c>
      <c r="I69" s="18" t="str">
        <f aca="false">IF(H69&gt;0,IF(H69&gt;=SUMPRODUCT(MAX(($B$5:$B$2004=B69)*$H$5:$H$2004)),"Rekor",""),"")</f>
        <v/>
      </c>
      <c r="J69" s="19" t="n">
        <f aca="false">IF(A69="",0,IF(COUNTIF(A$5:A69,A69)=1,1,0))</f>
        <v>0</v>
      </c>
    </row>
    <row r="70" customFormat="false" ht="15" hidden="false" customHeight="false" outlineLevel="0" collapsed="false">
      <c r="A70" s="12"/>
      <c r="B70" s="13"/>
      <c r="C70" s="14"/>
      <c r="D70" s="14"/>
      <c r="E70" s="15"/>
      <c r="F70" s="16" t="str">
        <f aca="false">IF(OR(C70="",D70="",E70=""),"",C70*D70*E70)</f>
        <v/>
      </c>
      <c r="G70" s="17" t="str">
        <f aca="false">IF(OR(D70="",E70=""),"",E70*(1+D70/30))</f>
        <v/>
      </c>
      <c r="H70" s="19" t="n">
        <f aca="false">IF(G70="",0,G70)</f>
        <v>0</v>
      </c>
      <c r="I70" s="18" t="str">
        <f aca="false">IF(H70&gt;0,IF(H70&gt;=SUMPRODUCT(MAX(($B$5:$B$2004=B70)*$H$5:$H$2004)),"Rekor",""),"")</f>
        <v/>
      </c>
      <c r="J70" s="19" t="n">
        <f aca="false">IF(A70="",0,IF(COUNTIF(A$5:A70,A70)=1,1,0))</f>
        <v>0</v>
      </c>
    </row>
    <row r="71" customFormat="false" ht="15" hidden="false" customHeight="false" outlineLevel="0" collapsed="false">
      <c r="A71" s="12"/>
      <c r="B71" s="13"/>
      <c r="C71" s="14"/>
      <c r="D71" s="14"/>
      <c r="E71" s="15"/>
      <c r="F71" s="16" t="str">
        <f aca="false">IF(OR(C71="",D71="",E71=""),"",C71*D71*E71)</f>
        <v/>
      </c>
      <c r="G71" s="17" t="str">
        <f aca="false">IF(OR(D71="",E71=""),"",E71*(1+D71/30))</f>
        <v/>
      </c>
      <c r="H71" s="19" t="n">
        <f aca="false">IF(G71="",0,G71)</f>
        <v>0</v>
      </c>
      <c r="I71" s="18" t="str">
        <f aca="false">IF(H71&gt;0,IF(H71&gt;=SUMPRODUCT(MAX(($B$5:$B$2004=B71)*$H$5:$H$2004)),"Rekor",""),"")</f>
        <v/>
      </c>
      <c r="J71" s="19" t="n">
        <f aca="false">IF(A71="",0,IF(COUNTIF(A$5:A71,A71)=1,1,0))</f>
        <v>0</v>
      </c>
    </row>
    <row r="72" customFormat="false" ht="15" hidden="false" customHeight="false" outlineLevel="0" collapsed="false">
      <c r="A72" s="12"/>
      <c r="B72" s="13"/>
      <c r="C72" s="14"/>
      <c r="D72" s="14"/>
      <c r="E72" s="15"/>
      <c r="F72" s="16" t="str">
        <f aca="false">IF(OR(C72="",D72="",E72=""),"",C72*D72*E72)</f>
        <v/>
      </c>
      <c r="G72" s="17" t="str">
        <f aca="false">IF(OR(D72="",E72=""),"",E72*(1+D72/30))</f>
        <v/>
      </c>
      <c r="H72" s="19" t="n">
        <f aca="false">IF(G72="",0,G72)</f>
        <v>0</v>
      </c>
      <c r="I72" s="18" t="str">
        <f aca="false">IF(H72&gt;0,IF(H72&gt;=SUMPRODUCT(MAX(($B$5:$B$2004=B72)*$H$5:$H$2004)),"Rekor",""),"")</f>
        <v/>
      </c>
      <c r="J72" s="19" t="n">
        <f aca="false">IF(A72="",0,IF(COUNTIF(A$5:A72,A72)=1,1,0))</f>
        <v>0</v>
      </c>
    </row>
    <row r="73" customFormat="false" ht="15" hidden="false" customHeight="false" outlineLevel="0" collapsed="false">
      <c r="A73" s="12"/>
      <c r="B73" s="13"/>
      <c r="C73" s="14"/>
      <c r="D73" s="14"/>
      <c r="E73" s="15"/>
      <c r="F73" s="16" t="str">
        <f aca="false">IF(OR(C73="",D73="",E73=""),"",C73*D73*E73)</f>
        <v/>
      </c>
      <c r="G73" s="17" t="str">
        <f aca="false">IF(OR(D73="",E73=""),"",E73*(1+D73/30))</f>
        <v/>
      </c>
      <c r="H73" s="19" t="n">
        <f aca="false">IF(G73="",0,G73)</f>
        <v>0</v>
      </c>
      <c r="I73" s="18" t="str">
        <f aca="false">IF(H73&gt;0,IF(H73&gt;=SUMPRODUCT(MAX(($B$5:$B$2004=B73)*$H$5:$H$2004)),"Rekor",""),"")</f>
        <v/>
      </c>
      <c r="J73" s="19" t="n">
        <f aca="false">IF(A73="",0,IF(COUNTIF(A$5:A73,A73)=1,1,0))</f>
        <v>0</v>
      </c>
    </row>
    <row r="74" customFormat="false" ht="15" hidden="false" customHeight="false" outlineLevel="0" collapsed="false">
      <c r="A74" s="12"/>
      <c r="B74" s="13"/>
      <c r="C74" s="14"/>
      <c r="D74" s="14"/>
      <c r="E74" s="15"/>
      <c r="F74" s="16" t="str">
        <f aca="false">IF(OR(C74="",D74="",E74=""),"",C74*D74*E74)</f>
        <v/>
      </c>
      <c r="G74" s="17" t="str">
        <f aca="false">IF(OR(D74="",E74=""),"",E74*(1+D74/30))</f>
        <v/>
      </c>
      <c r="H74" s="19" t="n">
        <f aca="false">IF(G74="",0,G74)</f>
        <v>0</v>
      </c>
      <c r="I74" s="18" t="str">
        <f aca="false">IF(H74&gt;0,IF(H74&gt;=SUMPRODUCT(MAX(($B$5:$B$2004=B74)*$H$5:$H$2004)),"Rekor",""),"")</f>
        <v/>
      </c>
      <c r="J74" s="19" t="n">
        <f aca="false">IF(A74="",0,IF(COUNTIF(A$5:A74,A74)=1,1,0))</f>
        <v>0</v>
      </c>
    </row>
    <row r="75" customFormat="false" ht="15" hidden="false" customHeight="false" outlineLevel="0" collapsed="false">
      <c r="A75" s="12"/>
      <c r="B75" s="13"/>
      <c r="C75" s="14"/>
      <c r="D75" s="14"/>
      <c r="E75" s="15"/>
      <c r="F75" s="16" t="str">
        <f aca="false">IF(OR(C75="",D75="",E75=""),"",C75*D75*E75)</f>
        <v/>
      </c>
      <c r="G75" s="17" t="str">
        <f aca="false">IF(OR(D75="",E75=""),"",E75*(1+D75/30))</f>
        <v/>
      </c>
      <c r="H75" s="19" t="n">
        <f aca="false">IF(G75="",0,G75)</f>
        <v>0</v>
      </c>
      <c r="I75" s="18" t="str">
        <f aca="false">IF(H75&gt;0,IF(H75&gt;=SUMPRODUCT(MAX(($B$5:$B$2004=B75)*$H$5:$H$2004)),"Rekor",""),"")</f>
        <v/>
      </c>
      <c r="J75" s="19" t="n">
        <f aca="false">IF(A75="",0,IF(COUNTIF(A$5:A75,A75)=1,1,0))</f>
        <v>0</v>
      </c>
    </row>
    <row r="76" customFormat="false" ht="15" hidden="false" customHeight="false" outlineLevel="0" collapsed="false">
      <c r="A76" s="12"/>
      <c r="B76" s="13"/>
      <c r="C76" s="14"/>
      <c r="D76" s="14"/>
      <c r="E76" s="15"/>
      <c r="F76" s="16" t="str">
        <f aca="false">IF(OR(C76="",D76="",E76=""),"",C76*D76*E76)</f>
        <v/>
      </c>
      <c r="G76" s="17" t="str">
        <f aca="false">IF(OR(D76="",E76=""),"",E76*(1+D76/30))</f>
        <v/>
      </c>
      <c r="H76" s="19" t="n">
        <f aca="false">IF(G76="",0,G76)</f>
        <v>0</v>
      </c>
      <c r="I76" s="18" t="str">
        <f aca="false">IF(H76&gt;0,IF(H76&gt;=SUMPRODUCT(MAX(($B$5:$B$2004=B76)*$H$5:$H$2004)),"Rekor",""),"")</f>
        <v/>
      </c>
      <c r="J76" s="19" t="n">
        <f aca="false">IF(A76="",0,IF(COUNTIF(A$5:A76,A76)=1,1,0))</f>
        <v>0</v>
      </c>
    </row>
    <row r="77" customFormat="false" ht="15" hidden="false" customHeight="false" outlineLevel="0" collapsed="false">
      <c r="A77" s="12"/>
      <c r="B77" s="13"/>
      <c r="C77" s="14"/>
      <c r="D77" s="14"/>
      <c r="E77" s="15"/>
      <c r="F77" s="16" t="str">
        <f aca="false">IF(OR(C77="",D77="",E77=""),"",C77*D77*E77)</f>
        <v/>
      </c>
      <c r="G77" s="17" t="str">
        <f aca="false">IF(OR(D77="",E77=""),"",E77*(1+D77/30))</f>
        <v/>
      </c>
      <c r="H77" s="19" t="n">
        <f aca="false">IF(G77="",0,G77)</f>
        <v>0</v>
      </c>
      <c r="I77" s="18" t="str">
        <f aca="false">IF(H77&gt;0,IF(H77&gt;=SUMPRODUCT(MAX(($B$5:$B$2004=B77)*$H$5:$H$2004)),"Rekor",""),"")</f>
        <v/>
      </c>
      <c r="J77" s="19" t="n">
        <f aca="false">IF(A77="",0,IF(COUNTIF(A$5:A77,A77)=1,1,0))</f>
        <v>0</v>
      </c>
    </row>
    <row r="78" customFormat="false" ht="15" hidden="false" customHeight="false" outlineLevel="0" collapsed="false">
      <c r="A78" s="12"/>
      <c r="B78" s="13"/>
      <c r="C78" s="14"/>
      <c r="D78" s="14"/>
      <c r="E78" s="15"/>
      <c r="F78" s="16" t="str">
        <f aca="false">IF(OR(C78="",D78="",E78=""),"",C78*D78*E78)</f>
        <v/>
      </c>
      <c r="G78" s="17" t="str">
        <f aca="false">IF(OR(D78="",E78=""),"",E78*(1+D78/30))</f>
        <v/>
      </c>
      <c r="H78" s="19" t="n">
        <f aca="false">IF(G78="",0,G78)</f>
        <v>0</v>
      </c>
      <c r="I78" s="18" t="str">
        <f aca="false">IF(H78&gt;0,IF(H78&gt;=SUMPRODUCT(MAX(($B$5:$B$2004=B78)*$H$5:$H$2004)),"Rekor",""),"")</f>
        <v/>
      </c>
      <c r="J78" s="19" t="n">
        <f aca="false">IF(A78="",0,IF(COUNTIF(A$5:A78,A78)=1,1,0))</f>
        <v>0</v>
      </c>
    </row>
    <row r="79" customFormat="false" ht="15" hidden="false" customHeight="false" outlineLevel="0" collapsed="false">
      <c r="A79" s="12"/>
      <c r="B79" s="13"/>
      <c r="C79" s="14"/>
      <c r="D79" s="14"/>
      <c r="E79" s="15"/>
      <c r="F79" s="16" t="str">
        <f aca="false">IF(OR(C79="",D79="",E79=""),"",C79*D79*E79)</f>
        <v/>
      </c>
      <c r="G79" s="17" t="str">
        <f aca="false">IF(OR(D79="",E79=""),"",E79*(1+D79/30))</f>
        <v/>
      </c>
      <c r="H79" s="19" t="n">
        <f aca="false">IF(G79="",0,G79)</f>
        <v>0</v>
      </c>
      <c r="I79" s="18" t="str">
        <f aca="false">IF(H79&gt;0,IF(H79&gt;=SUMPRODUCT(MAX(($B$5:$B$2004=B79)*$H$5:$H$2004)),"Rekor",""),"")</f>
        <v/>
      </c>
      <c r="J79" s="19" t="n">
        <f aca="false">IF(A79="",0,IF(COUNTIF(A$5:A79,A79)=1,1,0))</f>
        <v>0</v>
      </c>
    </row>
    <row r="80" customFormat="false" ht="15" hidden="false" customHeight="false" outlineLevel="0" collapsed="false">
      <c r="A80" s="12"/>
      <c r="B80" s="13"/>
      <c r="C80" s="14"/>
      <c r="D80" s="14"/>
      <c r="E80" s="15"/>
      <c r="F80" s="16" t="str">
        <f aca="false">IF(OR(C80="",D80="",E80=""),"",C80*D80*E80)</f>
        <v/>
      </c>
      <c r="G80" s="17" t="str">
        <f aca="false">IF(OR(D80="",E80=""),"",E80*(1+D80/30))</f>
        <v/>
      </c>
      <c r="H80" s="19" t="n">
        <f aca="false">IF(G80="",0,G80)</f>
        <v>0</v>
      </c>
      <c r="I80" s="18" t="str">
        <f aca="false">IF(H80&gt;0,IF(H80&gt;=SUMPRODUCT(MAX(($B$5:$B$2004=B80)*$H$5:$H$2004)),"Rekor",""),"")</f>
        <v/>
      </c>
      <c r="J80" s="19" t="n">
        <f aca="false">IF(A80="",0,IF(COUNTIF(A$5:A80,A80)=1,1,0))</f>
        <v>0</v>
      </c>
    </row>
    <row r="81" customFormat="false" ht="15" hidden="false" customHeight="false" outlineLevel="0" collapsed="false">
      <c r="A81" s="12"/>
      <c r="B81" s="13"/>
      <c r="C81" s="14"/>
      <c r="D81" s="14"/>
      <c r="E81" s="15"/>
      <c r="F81" s="16" t="str">
        <f aca="false">IF(OR(C81="",D81="",E81=""),"",C81*D81*E81)</f>
        <v/>
      </c>
      <c r="G81" s="17" t="str">
        <f aca="false">IF(OR(D81="",E81=""),"",E81*(1+D81/30))</f>
        <v/>
      </c>
      <c r="H81" s="19" t="n">
        <f aca="false">IF(G81="",0,G81)</f>
        <v>0</v>
      </c>
      <c r="I81" s="18" t="str">
        <f aca="false">IF(H81&gt;0,IF(H81&gt;=SUMPRODUCT(MAX(($B$5:$B$2004=B81)*$H$5:$H$2004)),"Rekor",""),"")</f>
        <v/>
      </c>
      <c r="J81" s="19" t="n">
        <f aca="false">IF(A81="",0,IF(COUNTIF(A$5:A81,A81)=1,1,0))</f>
        <v>0</v>
      </c>
    </row>
    <row r="82" customFormat="false" ht="15" hidden="false" customHeight="false" outlineLevel="0" collapsed="false">
      <c r="A82" s="12"/>
      <c r="B82" s="13"/>
      <c r="C82" s="14"/>
      <c r="D82" s="14"/>
      <c r="E82" s="15"/>
      <c r="F82" s="16" t="str">
        <f aca="false">IF(OR(C82="",D82="",E82=""),"",C82*D82*E82)</f>
        <v/>
      </c>
      <c r="G82" s="17" t="str">
        <f aca="false">IF(OR(D82="",E82=""),"",E82*(1+D82/30))</f>
        <v/>
      </c>
      <c r="H82" s="19" t="n">
        <f aca="false">IF(G82="",0,G82)</f>
        <v>0</v>
      </c>
      <c r="I82" s="18" t="str">
        <f aca="false">IF(H82&gt;0,IF(H82&gt;=SUMPRODUCT(MAX(($B$5:$B$2004=B82)*$H$5:$H$2004)),"Rekor",""),"")</f>
        <v/>
      </c>
      <c r="J82" s="19" t="n">
        <f aca="false">IF(A82="",0,IF(COUNTIF(A$5:A82,A82)=1,1,0))</f>
        <v>0</v>
      </c>
    </row>
    <row r="83" customFormat="false" ht="15" hidden="false" customHeight="false" outlineLevel="0" collapsed="false">
      <c r="A83" s="12"/>
      <c r="B83" s="13"/>
      <c r="C83" s="14"/>
      <c r="D83" s="14"/>
      <c r="E83" s="15"/>
      <c r="F83" s="16" t="str">
        <f aca="false">IF(OR(C83="",D83="",E83=""),"",C83*D83*E83)</f>
        <v/>
      </c>
      <c r="G83" s="17" t="str">
        <f aca="false">IF(OR(D83="",E83=""),"",E83*(1+D83/30))</f>
        <v/>
      </c>
      <c r="H83" s="19" t="n">
        <f aca="false">IF(G83="",0,G83)</f>
        <v>0</v>
      </c>
      <c r="I83" s="18" t="str">
        <f aca="false">IF(H83&gt;0,IF(H83&gt;=SUMPRODUCT(MAX(($B$5:$B$2004=B83)*$H$5:$H$2004)),"Rekor",""),"")</f>
        <v/>
      </c>
      <c r="J83" s="19" t="n">
        <f aca="false">IF(A83="",0,IF(COUNTIF(A$5:A83,A83)=1,1,0))</f>
        <v>0</v>
      </c>
    </row>
    <row r="84" customFormat="false" ht="15" hidden="false" customHeight="false" outlineLevel="0" collapsed="false">
      <c r="A84" s="12"/>
      <c r="B84" s="13"/>
      <c r="C84" s="14"/>
      <c r="D84" s="14"/>
      <c r="E84" s="15"/>
      <c r="F84" s="16" t="str">
        <f aca="false">IF(OR(C84="",D84="",E84=""),"",C84*D84*E84)</f>
        <v/>
      </c>
      <c r="G84" s="17" t="str">
        <f aca="false">IF(OR(D84="",E84=""),"",E84*(1+D84/30))</f>
        <v/>
      </c>
      <c r="H84" s="19" t="n">
        <f aca="false">IF(G84="",0,G84)</f>
        <v>0</v>
      </c>
      <c r="I84" s="18" t="str">
        <f aca="false">IF(H84&gt;0,IF(H84&gt;=SUMPRODUCT(MAX(($B$5:$B$2004=B84)*$H$5:$H$2004)),"Rekor",""),"")</f>
        <v/>
      </c>
      <c r="J84" s="19" t="n">
        <f aca="false">IF(A84="",0,IF(COUNTIF(A$5:A84,A84)=1,1,0))</f>
        <v>0</v>
      </c>
    </row>
    <row r="85" customFormat="false" ht="15" hidden="false" customHeight="false" outlineLevel="0" collapsed="false">
      <c r="A85" s="12"/>
      <c r="B85" s="13"/>
      <c r="C85" s="14"/>
      <c r="D85" s="14"/>
      <c r="E85" s="15"/>
      <c r="F85" s="16" t="str">
        <f aca="false">IF(OR(C85="",D85="",E85=""),"",C85*D85*E85)</f>
        <v/>
      </c>
      <c r="G85" s="17" t="str">
        <f aca="false">IF(OR(D85="",E85=""),"",E85*(1+D85/30))</f>
        <v/>
      </c>
      <c r="H85" s="19" t="n">
        <f aca="false">IF(G85="",0,G85)</f>
        <v>0</v>
      </c>
      <c r="I85" s="18" t="str">
        <f aca="false">IF(H85&gt;0,IF(H85&gt;=SUMPRODUCT(MAX(($B$5:$B$2004=B85)*$H$5:$H$2004)),"Rekor",""),"")</f>
        <v/>
      </c>
      <c r="J85" s="19" t="n">
        <f aca="false">IF(A85="",0,IF(COUNTIF(A$5:A85,A85)=1,1,0))</f>
        <v>0</v>
      </c>
    </row>
    <row r="86" customFormat="false" ht="15" hidden="false" customHeight="false" outlineLevel="0" collapsed="false">
      <c r="A86" s="12"/>
      <c r="B86" s="13"/>
      <c r="C86" s="14"/>
      <c r="D86" s="14"/>
      <c r="E86" s="15"/>
      <c r="F86" s="16" t="str">
        <f aca="false">IF(OR(C86="",D86="",E86=""),"",C86*D86*E86)</f>
        <v/>
      </c>
      <c r="G86" s="17" t="str">
        <f aca="false">IF(OR(D86="",E86=""),"",E86*(1+D86/30))</f>
        <v/>
      </c>
      <c r="H86" s="19" t="n">
        <f aca="false">IF(G86="",0,G86)</f>
        <v>0</v>
      </c>
      <c r="I86" s="18" t="str">
        <f aca="false">IF(H86&gt;0,IF(H86&gt;=SUMPRODUCT(MAX(($B$5:$B$2004=B86)*$H$5:$H$2004)),"Rekor",""),"")</f>
        <v/>
      </c>
      <c r="J86" s="19" t="n">
        <f aca="false">IF(A86="",0,IF(COUNTIF(A$5:A86,A86)=1,1,0))</f>
        <v>0</v>
      </c>
    </row>
    <row r="87" customFormat="false" ht="15" hidden="false" customHeight="false" outlineLevel="0" collapsed="false">
      <c r="A87" s="12"/>
      <c r="B87" s="13"/>
      <c r="C87" s="14"/>
      <c r="D87" s="14"/>
      <c r="E87" s="15"/>
      <c r="F87" s="16" t="str">
        <f aca="false">IF(OR(C87="",D87="",E87=""),"",C87*D87*E87)</f>
        <v/>
      </c>
      <c r="G87" s="17" t="str">
        <f aca="false">IF(OR(D87="",E87=""),"",E87*(1+D87/30))</f>
        <v/>
      </c>
      <c r="H87" s="19" t="n">
        <f aca="false">IF(G87="",0,G87)</f>
        <v>0</v>
      </c>
      <c r="I87" s="18" t="str">
        <f aca="false">IF(H87&gt;0,IF(H87&gt;=SUMPRODUCT(MAX(($B$5:$B$2004=B87)*$H$5:$H$2004)),"Rekor",""),"")</f>
        <v/>
      </c>
      <c r="J87" s="19" t="n">
        <f aca="false">IF(A87="",0,IF(COUNTIF(A$5:A87,A87)=1,1,0))</f>
        <v>0</v>
      </c>
    </row>
    <row r="88" customFormat="false" ht="15" hidden="false" customHeight="false" outlineLevel="0" collapsed="false">
      <c r="A88" s="12"/>
      <c r="B88" s="13"/>
      <c r="C88" s="14"/>
      <c r="D88" s="14"/>
      <c r="E88" s="15"/>
      <c r="F88" s="16" t="str">
        <f aca="false">IF(OR(C88="",D88="",E88=""),"",C88*D88*E88)</f>
        <v/>
      </c>
      <c r="G88" s="17" t="str">
        <f aca="false">IF(OR(D88="",E88=""),"",E88*(1+D88/30))</f>
        <v/>
      </c>
      <c r="H88" s="19" t="n">
        <f aca="false">IF(G88="",0,G88)</f>
        <v>0</v>
      </c>
      <c r="I88" s="18" t="str">
        <f aca="false">IF(H88&gt;0,IF(H88&gt;=SUMPRODUCT(MAX(($B$5:$B$2004=B88)*$H$5:$H$2004)),"Rekor",""),"")</f>
        <v/>
      </c>
      <c r="J88" s="19" t="n">
        <f aca="false">IF(A88="",0,IF(COUNTIF(A$5:A88,A88)=1,1,0))</f>
        <v>0</v>
      </c>
    </row>
    <row r="89" customFormat="false" ht="15" hidden="false" customHeight="false" outlineLevel="0" collapsed="false">
      <c r="A89" s="12"/>
      <c r="B89" s="13"/>
      <c r="C89" s="14"/>
      <c r="D89" s="14"/>
      <c r="E89" s="15"/>
      <c r="F89" s="16" t="str">
        <f aca="false">IF(OR(C89="",D89="",E89=""),"",C89*D89*E89)</f>
        <v/>
      </c>
      <c r="G89" s="17" t="str">
        <f aca="false">IF(OR(D89="",E89=""),"",E89*(1+D89/30))</f>
        <v/>
      </c>
      <c r="H89" s="19" t="n">
        <f aca="false">IF(G89="",0,G89)</f>
        <v>0</v>
      </c>
      <c r="I89" s="18" t="str">
        <f aca="false">IF(H89&gt;0,IF(H89&gt;=SUMPRODUCT(MAX(($B$5:$B$2004=B89)*$H$5:$H$2004)),"Rekor",""),"")</f>
        <v/>
      </c>
      <c r="J89" s="19" t="n">
        <f aca="false">IF(A89="",0,IF(COUNTIF(A$5:A89,A89)=1,1,0))</f>
        <v>0</v>
      </c>
    </row>
    <row r="90" customFormat="false" ht="15" hidden="false" customHeight="false" outlineLevel="0" collapsed="false">
      <c r="A90" s="12"/>
      <c r="B90" s="13"/>
      <c r="C90" s="14"/>
      <c r="D90" s="14"/>
      <c r="E90" s="15"/>
      <c r="F90" s="16" t="str">
        <f aca="false">IF(OR(C90="",D90="",E90=""),"",C90*D90*E90)</f>
        <v/>
      </c>
      <c r="G90" s="17" t="str">
        <f aca="false">IF(OR(D90="",E90=""),"",E90*(1+D90/30))</f>
        <v/>
      </c>
      <c r="H90" s="19" t="n">
        <f aca="false">IF(G90="",0,G90)</f>
        <v>0</v>
      </c>
      <c r="I90" s="18" t="str">
        <f aca="false">IF(H90&gt;0,IF(H90&gt;=SUMPRODUCT(MAX(($B$5:$B$2004=B90)*$H$5:$H$2004)),"Rekor",""),"")</f>
        <v/>
      </c>
      <c r="J90" s="19" t="n">
        <f aca="false">IF(A90="",0,IF(COUNTIF(A$5:A90,A90)=1,1,0))</f>
        <v>0</v>
      </c>
    </row>
    <row r="91" customFormat="false" ht="15" hidden="false" customHeight="false" outlineLevel="0" collapsed="false">
      <c r="A91" s="12"/>
      <c r="B91" s="13"/>
      <c r="C91" s="14"/>
      <c r="D91" s="14"/>
      <c r="E91" s="15"/>
      <c r="F91" s="16" t="str">
        <f aca="false">IF(OR(C91="",D91="",E91=""),"",C91*D91*E91)</f>
        <v/>
      </c>
      <c r="G91" s="17" t="str">
        <f aca="false">IF(OR(D91="",E91=""),"",E91*(1+D91/30))</f>
        <v/>
      </c>
      <c r="H91" s="19" t="n">
        <f aca="false">IF(G91="",0,G91)</f>
        <v>0</v>
      </c>
      <c r="I91" s="18" t="str">
        <f aca="false">IF(H91&gt;0,IF(H91&gt;=SUMPRODUCT(MAX(($B$5:$B$2004=B91)*$H$5:$H$2004)),"Rekor",""),"")</f>
        <v/>
      </c>
      <c r="J91" s="19" t="n">
        <f aca="false">IF(A91="",0,IF(COUNTIF(A$5:A91,A91)=1,1,0))</f>
        <v>0</v>
      </c>
    </row>
    <row r="92" customFormat="false" ht="15" hidden="false" customHeight="false" outlineLevel="0" collapsed="false">
      <c r="A92" s="12"/>
      <c r="B92" s="13"/>
      <c r="C92" s="14"/>
      <c r="D92" s="14"/>
      <c r="E92" s="15"/>
      <c r="F92" s="16" t="str">
        <f aca="false">IF(OR(C92="",D92="",E92=""),"",C92*D92*E92)</f>
        <v/>
      </c>
      <c r="G92" s="17" t="str">
        <f aca="false">IF(OR(D92="",E92=""),"",E92*(1+D92/30))</f>
        <v/>
      </c>
      <c r="H92" s="19" t="n">
        <f aca="false">IF(G92="",0,G92)</f>
        <v>0</v>
      </c>
      <c r="I92" s="18" t="str">
        <f aca="false">IF(H92&gt;0,IF(H92&gt;=SUMPRODUCT(MAX(($B$5:$B$2004=B92)*$H$5:$H$2004)),"Rekor",""),"")</f>
        <v/>
      </c>
      <c r="J92" s="19" t="n">
        <f aca="false">IF(A92="",0,IF(COUNTIF(A$5:A92,A92)=1,1,0))</f>
        <v>0</v>
      </c>
    </row>
    <row r="93" customFormat="false" ht="15" hidden="false" customHeight="false" outlineLevel="0" collapsed="false">
      <c r="A93" s="12"/>
      <c r="B93" s="13"/>
      <c r="C93" s="14"/>
      <c r="D93" s="14"/>
      <c r="E93" s="15"/>
      <c r="F93" s="16" t="str">
        <f aca="false">IF(OR(C93="",D93="",E93=""),"",C93*D93*E93)</f>
        <v/>
      </c>
      <c r="G93" s="17" t="str">
        <f aca="false">IF(OR(D93="",E93=""),"",E93*(1+D93/30))</f>
        <v/>
      </c>
      <c r="H93" s="19" t="n">
        <f aca="false">IF(G93="",0,G93)</f>
        <v>0</v>
      </c>
      <c r="I93" s="18" t="str">
        <f aca="false">IF(H93&gt;0,IF(H93&gt;=SUMPRODUCT(MAX(($B$5:$B$2004=B93)*$H$5:$H$2004)),"Rekor",""),"")</f>
        <v/>
      </c>
      <c r="J93" s="19" t="n">
        <f aca="false">IF(A93="",0,IF(COUNTIF(A$5:A93,A93)=1,1,0))</f>
        <v>0</v>
      </c>
    </row>
    <row r="94" customFormat="false" ht="15" hidden="false" customHeight="false" outlineLevel="0" collapsed="false">
      <c r="A94" s="12"/>
      <c r="B94" s="13"/>
      <c r="C94" s="14"/>
      <c r="D94" s="14"/>
      <c r="E94" s="15"/>
      <c r="F94" s="16" t="str">
        <f aca="false">IF(OR(C94="",D94="",E94=""),"",C94*D94*E94)</f>
        <v/>
      </c>
      <c r="G94" s="17" t="str">
        <f aca="false">IF(OR(D94="",E94=""),"",E94*(1+D94/30))</f>
        <v/>
      </c>
      <c r="H94" s="19" t="n">
        <f aca="false">IF(G94="",0,G94)</f>
        <v>0</v>
      </c>
      <c r="I94" s="18" t="str">
        <f aca="false">IF(H94&gt;0,IF(H94&gt;=SUMPRODUCT(MAX(($B$5:$B$2004=B94)*$H$5:$H$2004)),"Rekor",""),"")</f>
        <v/>
      </c>
      <c r="J94" s="19" t="n">
        <f aca="false">IF(A94="",0,IF(COUNTIF(A$5:A94,A94)=1,1,0))</f>
        <v>0</v>
      </c>
    </row>
    <row r="95" customFormat="false" ht="15" hidden="false" customHeight="false" outlineLevel="0" collapsed="false">
      <c r="A95" s="12"/>
      <c r="B95" s="13"/>
      <c r="C95" s="14"/>
      <c r="D95" s="14"/>
      <c r="E95" s="15"/>
      <c r="F95" s="16" t="str">
        <f aca="false">IF(OR(C95="",D95="",E95=""),"",C95*D95*E95)</f>
        <v/>
      </c>
      <c r="G95" s="17" t="str">
        <f aca="false">IF(OR(D95="",E95=""),"",E95*(1+D95/30))</f>
        <v/>
      </c>
      <c r="H95" s="19" t="n">
        <f aca="false">IF(G95="",0,G95)</f>
        <v>0</v>
      </c>
      <c r="I95" s="18" t="str">
        <f aca="false">IF(H95&gt;0,IF(H95&gt;=SUMPRODUCT(MAX(($B$5:$B$2004=B95)*$H$5:$H$2004)),"Rekor",""),"")</f>
        <v/>
      </c>
      <c r="J95" s="19" t="n">
        <f aca="false">IF(A95="",0,IF(COUNTIF(A$5:A95,A95)=1,1,0))</f>
        <v>0</v>
      </c>
    </row>
    <row r="96" customFormat="false" ht="15" hidden="false" customHeight="false" outlineLevel="0" collapsed="false">
      <c r="A96" s="12"/>
      <c r="B96" s="13"/>
      <c r="C96" s="14"/>
      <c r="D96" s="14"/>
      <c r="E96" s="15"/>
      <c r="F96" s="16" t="str">
        <f aca="false">IF(OR(C96="",D96="",E96=""),"",C96*D96*E96)</f>
        <v/>
      </c>
      <c r="G96" s="17" t="str">
        <f aca="false">IF(OR(D96="",E96=""),"",E96*(1+D96/30))</f>
        <v/>
      </c>
      <c r="H96" s="19" t="n">
        <f aca="false">IF(G96="",0,G96)</f>
        <v>0</v>
      </c>
      <c r="I96" s="18" t="str">
        <f aca="false">IF(H96&gt;0,IF(H96&gt;=SUMPRODUCT(MAX(($B$5:$B$2004=B96)*$H$5:$H$2004)),"Rekor",""),"")</f>
        <v/>
      </c>
      <c r="J96" s="19" t="n">
        <f aca="false">IF(A96="",0,IF(COUNTIF(A$5:A96,A96)=1,1,0))</f>
        <v>0</v>
      </c>
    </row>
    <row r="97" customFormat="false" ht="15" hidden="false" customHeight="false" outlineLevel="0" collapsed="false">
      <c r="A97" s="12"/>
      <c r="B97" s="13"/>
      <c r="C97" s="14"/>
      <c r="D97" s="14"/>
      <c r="E97" s="15"/>
      <c r="F97" s="16" t="str">
        <f aca="false">IF(OR(C97="",D97="",E97=""),"",C97*D97*E97)</f>
        <v/>
      </c>
      <c r="G97" s="17" t="str">
        <f aca="false">IF(OR(D97="",E97=""),"",E97*(1+D97/30))</f>
        <v/>
      </c>
      <c r="H97" s="19" t="n">
        <f aca="false">IF(G97="",0,G97)</f>
        <v>0</v>
      </c>
      <c r="I97" s="18" t="str">
        <f aca="false">IF(H97&gt;0,IF(H97&gt;=SUMPRODUCT(MAX(($B$5:$B$2004=B97)*$H$5:$H$2004)),"Rekor",""),"")</f>
        <v/>
      </c>
      <c r="J97" s="19" t="n">
        <f aca="false">IF(A97="",0,IF(COUNTIF(A$5:A97,A97)=1,1,0))</f>
        <v>0</v>
      </c>
    </row>
    <row r="98" customFormat="false" ht="15" hidden="false" customHeight="false" outlineLevel="0" collapsed="false">
      <c r="A98" s="12"/>
      <c r="B98" s="13"/>
      <c r="C98" s="14"/>
      <c r="D98" s="14"/>
      <c r="E98" s="15"/>
      <c r="F98" s="16" t="str">
        <f aca="false">IF(OR(C98="",D98="",E98=""),"",C98*D98*E98)</f>
        <v/>
      </c>
      <c r="G98" s="17" t="str">
        <f aca="false">IF(OR(D98="",E98=""),"",E98*(1+D98/30))</f>
        <v/>
      </c>
      <c r="H98" s="19" t="n">
        <f aca="false">IF(G98="",0,G98)</f>
        <v>0</v>
      </c>
      <c r="I98" s="18" t="str">
        <f aca="false">IF(H98&gt;0,IF(H98&gt;=SUMPRODUCT(MAX(($B$5:$B$2004=B98)*$H$5:$H$2004)),"Rekor",""),"")</f>
        <v/>
      </c>
      <c r="J98" s="19" t="n">
        <f aca="false">IF(A98="",0,IF(COUNTIF(A$5:A98,A98)=1,1,0))</f>
        <v>0</v>
      </c>
    </row>
    <row r="99" customFormat="false" ht="15" hidden="false" customHeight="false" outlineLevel="0" collapsed="false">
      <c r="A99" s="12"/>
      <c r="B99" s="13"/>
      <c r="C99" s="14"/>
      <c r="D99" s="14"/>
      <c r="E99" s="15"/>
      <c r="F99" s="16" t="str">
        <f aca="false">IF(OR(C99="",D99="",E99=""),"",C99*D99*E99)</f>
        <v/>
      </c>
      <c r="G99" s="17" t="str">
        <f aca="false">IF(OR(D99="",E99=""),"",E99*(1+D99/30))</f>
        <v/>
      </c>
      <c r="H99" s="19" t="n">
        <f aca="false">IF(G99="",0,G99)</f>
        <v>0</v>
      </c>
      <c r="I99" s="18" t="str">
        <f aca="false">IF(H99&gt;0,IF(H99&gt;=SUMPRODUCT(MAX(($B$5:$B$2004=B99)*$H$5:$H$2004)),"Rekor",""),"")</f>
        <v/>
      </c>
      <c r="J99" s="19" t="n">
        <f aca="false">IF(A99="",0,IF(COUNTIF(A$5:A99,A99)=1,1,0))</f>
        <v>0</v>
      </c>
    </row>
    <row r="100" customFormat="false" ht="15" hidden="false" customHeight="false" outlineLevel="0" collapsed="false">
      <c r="A100" s="12"/>
      <c r="B100" s="13"/>
      <c r="C100" s="14"/>
      <c r="D100" s="14"/>
      <c r="E100" s="15"/>
      <c r="F100" s="16" t="str">
        <f aca="false">IF(OR(C100="",D100="",E100=""),"",C100*D100*E100)</f>
        <v/>
      </c>
      <c r="G100" s="17" t="str">
        <f aca="false">IF(OR(D100="",E100=""),"",E100*(1+D100/30))</f>
        <v/>
      </c>
      <c r="H100" s="19" t="n">
        <f aca="false">IF(G100="",0,G100)</f>
        <v>0</v>
      </c>
      <c r="I100" s="18" t="str">
        <f aca="false">IF(H100&gt;0,IF(H100&gt;=SUMPRODUCT(MAX(($B$5:$B$2004=B100)*$H$5:$H$2004)),"Rekor",""),"")</f>
        <v/>
      </c>
      <c r="J100" s="19" t="n">
        <f aca="false">IF(A100="",0,IF(COUNTIF(A$5:A100,A100)=1,1,0))</f>
        <v>0</v>
      </c>
    </row>
    <row r="101" customFormat="false" ht="15" hidden="false" customHeight="false" outlineLevel="0" collapsed="false">
      <c r="A101" s="12"/>
      <c r="B101" s="13"/>
      <c r="C101" s="14"/>
      <c r="D101" s="14"/>
      <c r="E101" s="15"/>
      <c r="F101" s="16" t="str">
        <f aca="false">IF(OR(C101="",D101="",E101=""),"",C101*D101*E101)</f>
        <v/>
      </c>
      <c r="G101" s="17" t="str">
        <f aca="false">IF(OR(D101="",E101=""),"",E101*(1+D101/30))</f>
        <v/>
      </c>
      <c r="H101" s="19" t="n">
        <f aca="false">IF(G101="",0,G101)</f>
        <v>0</v>
      </c>
      <c r="I101" s="18" t="str">
        <f aca="false">IF(H101&gt;0,IF(H101&gt;=SUMPRODUCT(MAX(($B$5:$B$2004=B101)*$H$5:$H$2004)),"Rekor",""),"")</f>
        <v/>
      </c>
      <c r="J101" s="19" t="n">
        <f aca="false">IF(A101="",0,IF(COUNTIF(A$5:A101,A101)=1,1,0))</f>
        <v>0</v>
      </c>
    </row>
    <row r="102" customFormat="false" ht="15" hidden="false" customHeight="false" outlineLevel="0" collapsed="false">
      <c r="A102" s="12"/>
      <c r="B102" s="13"/>
      <c r="C102" s="14"/>
      <c r="D102" s="14"/>
      <c r="E102" s="15"/>
      <c r="F102" s="16" t="str">
        <f aca="false">IF(OR(C102="",D102="",E102=""),"",C102*D102*E102)</f>
        <v/>
      </c>
      <c r="G102" s="17" t="str">
        <f aca="false">IF(OR(D102="",E102=""),"",E102*(1+D102/30))</f>
        <v/>
      </c>
      <c r="H102" s="19" t="n">
        <f aca="false">IF(G102="",0,G102)</f>
        <v>0</v>
      </c>
      <c r="I102" s="18" t="str">
        <f aca="false">IF(H102&gt;0,IF(H102&gt;=SUMPRODUCT(MAX(($B$5:$B$2004=B102)*$H$5:$H$2004)),"Rekor",""),"")</f>
        <v/>
      </c>
      <c r="J102" s="19" t="n">
        <f aca="false">IF(A102="",0,IF(COUNTIF(A$5:A102,A102)=1,1,0))</f>
        <v>0</v>
      </c>
    </row>
    <row r="103" customFormat="false" ht="15" hidden="false" customHeight="false" outlineLevel="0" collapsed="false">
      <c r="A103" s="12"/>
      <c r="B103" s="13"/>
      <c r="C103" s="14"/>
      <c r="D103" s="14"/>
      <c r="E103" s="15"/>
      <c r="F103" s="16" t="str">
        <f aca="false">IF(OR(C103="",D103="",E103=""),"",C103*D103*E103)</f>
        <v/>
      </c>
      <c r="G103" s="17" t="str">
        <f aca="false">IF(OR(D103="",E103=""),"",E103*(1+D103/30))</f>
        <v/>
      </c>
      <c r="H103" s="19" t="n">
        <f aca="false">IF(G103="",0,G103)</f>
        <v>0</v>
      </c>
      <c r="I103" s="18" t="str">
        <f aca="false">IF(H103&gt;0,IF(H103&gt;=SUMPRODUCT(MAX(($B$5:$B$2004=B103)*$H$5:$H$2004)),"Rekor",""),"")</f>
        <v/>
      </c>
      <c r="J103" s="19" t="n">
        <f aca="false">IF(A103="",0,IF(COUNTIF(A$5:A103,A103)=1,1,0))</f>
        <v>0</v>
      </c>
    </row>
    <row r="104" customFormat="false" ht="15" hidden="false" customHeight="false" outlineLevel="0" collapsed="false">
      <c r="A104" s="12"/>
      <c r="B104" s="13"/>
      <c r="C104" s="14"/>
      <c r="D104" s="14"/>
      <c r="E104" s="15"/>
      <c r="F104" s="16" t="str">
        <f aca="false">IF(OR(C104="",D104="",E104=""),"",C104*D104*E104)</f>
        <v/>
      </c>
      <c r="G104" s="17" t="str">
        <f aca="false">IF(OR(D104="",E104=""),"",E104*(1+D104/30))</f>
        <v/>
      </c>
      <c r="H104" s="19" t="n">
        <f aca="false">IF(G104="",0,G104)</f>
        <v>0</v>
      </c>
      <c r="I104" s="18" t="str">
        <f aca="false">IF(H104&gt;0,IF(H104&gt;=SUMPRODUCT(MAX(($B$5:$B$2004=B104)*$H$5:$H$2004)),"Rekor",""),"")</f>
        <v/>
      </c>
      <c r="J104" s="19" t="n">
        <f aca="false">IF(A104="",0,IF(COUNTIF(A$5:A104,A104)=1,1,0))</f>
        <v>0</v>
      </c>
    </row>
    <row r="105" customFormat="false" ht="15" hidden="false" customHeight="false" outlineLevel="0" collapsed="false">
      <c r="A105" s="12"/>
      <c r="B105" s="13"/>
      <c r="C105" s="14"/>
      <c r="D105" s="14"/>
      <c r="E105" s="15"/>
      <c r="F105" s="16" t="str">
        <f aca="false">IF(OR(C105="",D105="",E105=""),"",C105*D105*E105)</f>
        <v/>
      </c>
      <c r="G105" s="17" t="str">
        <f aca="false">IF(OR(D105="",E105=""),"",E105*(1+D105/30))</f>
        <v/>
      </c>
      <c r="H105" s="19" t="n">
        <f aca="false">IF(G105="",0,G105)</f>
        <v>0</v>
      </c>
      <c r="I105" s="18" t="str">
        <f aca="false">IF(H105&gt;0,IF(H105&gt;=SUMPRODUCT(MAX(($B$5:$B$2004=B105)*$H$5:$H$2004)),"Rekor",""),"")</f>
        <v/>
      </c>
      <c r="J105" s="19" t="n">
        <f aca="false">IF(A105="",0,IF(COUNTIF(A$5:A105,A105)=1,1,0))</f>
        <v>0</v>
      </c>
    </row>
    <row r="106" customFormat="false" ht="15" hidden="false" customHeight="false" outlineLevel="0" collapsed="false">
      <c r="A106" s="12"/>
      <c r="B106" s="13"/>
      <c r="C106" s="14"/>
      <c r="D106" s="14"/>
      <c r="E106" s="15"/>
      <c r="F106" s="16" t="str">
        <f aca="false">IF(OR(C106="",D106="",E106=""),"",C106*D106*E106)</f>
        <v/>
      </c>
      <c r="G106" s="17" t="str">
        <f aca="false">IF(OR(D106="",E106=""),"",E106*(1+D106/30))</f>
        <v/>
      </c>
      <c r="H106" s="19" t="n">
        <f aca="false">IF(G106="",0,G106)</f>
        <v>0</v>
      </c>
      <c r="I106" s="18" t="str">
        <f aca="false">IF(H106&gt;0,IF(H106&gt;=SUMPRODUCT(MAX(($B$5:$B$2004=B106)*$H$5:$H$2004)),"Rekor",""),"")</f>
        <v/>
      </c>
      <c r="J106" s="19" t="n">
        <f aca="false">IF(A106="",0,IF(COUNTIF(A$5:A106,A106)=1,1,0))</f>
        <v>0</v>
      </c>
    </row>
    <row r="107" customFormat="false" ht="15" hidden="false" customHeight="false" outlineLevel="0" collapsed="false">
      <c r="A107" s="12"/>
      <c r="B107" s="13"/>
      <c r="C107" s="14"/>
      <c r="D107" s="14"/>
      <c r="E107" s="15"/>
      <c r="F107" s="16" t="str">
        <f aca="false">IF(OR(C107="",D107="",E107=""),"",C107*D107*E107)</f>
        <v/>
      </c>
      <c r="G107" s="17" t="str">
        <f aca="false">IF(OR(D107="",E107=""),"",E107*(1+D107/30))</f>
        <v/>
      </c>
      <c r="H107" s="19" t="n">
        <f aca="false">IF(G107="",0,G107)</f>
        <v>0</v>
      </c>
      <c r="I107" s="18" t="str">
        <f aca="false">IF(H107&gt;0,IF(H107&gt;=SUMPRODUCT(MAX(($B$5:$B$2004=B107)*$H$5:$H$2004)),"Rekor",""),"")</f>
        <v/>
      </c>
      <c r="J107" s="19" t="n">
        <f aca="false">IF(A107="",0,IF(COUNTIF(A$5:A107,A107)=1,1,0))</f>
        <v>0</v>
      </c>
    </row>
    <row r="108" customFormat="false" ht="15" hidden="false" customHeight="false" outlineLevel="0" collapsed="false">
      <c r="A108" s="12"/>
      <c r="B108" s="13"/>
      <c r="C108" s="14"/>
      <c r="D108" s="14"/>
      <c r="E108" s="15"/>
      <c r="F108" s="16" t="str">
        <f aca="false">IF(OR(C108="",D108="",E108=""),"",C108*D108*E108)</f>
        <v/>
      </c>
      <c r="G108" s="17" t="str">
        <f aca="false">IF(OR(D108="",E108=""),"",E108*(1+D108/30))</f>
        <v/>
      </c>
      <c r="H108" s="19" t="n">
        <f aca="false">IF(G108="",0,G108)</f>
        <v>0</v>
      </c>
      <c r="I108" s="18" t="str">
        <f aca="false">IF(H108&gt;0,IF(H108&gt;=SUMPRODUCT(MAX(($B$5:$B$2004=B108)*$H$5:$H$2004)),"Rekor",""),"")</f>
        <v/>
      </c>
      <c r="J108" s="19" t="n">
        <f aca="false">IF(A108="",0,IF(COUNTIF(A$5:A108,A108)=1,1,0))</f>
        <v>0</v>
      </c>
    </row>
    <row r="109" customFormat="false" ht="15" hidden="false" customHeight="false" outlineLevel="0" collapsed="false">
      <c r="A109" s="12"/>
      <c r="B109" s="13"/>
      <c r="C109" s="14"/>
      <c r="D109" s="14"/>
      <c r="E109" s="15"/>
      <c r="F109" s="16" t="str">
        <f aca="false">IF(OR(C109="",D109="",E109=""),"",C109*D109*E109)</f>
        <v/>
      </c>
      <c r="G109" s="17" t="str">
        <f aca="false">IF(OR(D109="",E109=""),"",E109*(1+D109/30))</f>
        <v/>
      </c>
      <c r="H109" s="19" t="n">
        <f aca="false">IF(G109="",0,G109)</f>
        <v>0</v>
      </c>
      <c r="I109" s="18" t="str">
        <f aca="false">IF(H109&gt;0,IF(H109&gt;=SUMPRODUCT(MAX(($B$5:$B$2004=B109)*$H$5:$H$2004)),"Rekor",""),"")</f>
        <v/>
      </c>
      <c r="J109" s="19" t="n">
        <f aca="false">IF(A109="",0,IF(COUNTIF(A$5:A109,A109)=1,1,0))</f>
        <v>0</v>
      </c>
    </row>
    <row r="110" customFormat="false" ht="15" hidden="false" customHeight="false" outlineLevel="0" collapsed="false">
      <c r="A110" s="12"/>
      <c r="B110" s="13"/>
      <c r="C110" s="14"/>
      <c r="D110" s="14"/>
      <c r="E110" s="15"/>
      <c r="F110" s="16" t="str">
        <f aca="false">IF(OR(C110="",D110="",E110=""),"",C110*D110*E110)</f>
        <v/>
      </c>
      <c r="G110" s="17" t="str">
        <f aca="false">IF(OR(D110="",E110=""),"",E110*(1+D110/30))</f>
        <v/>
      </c>
      <c r="H110" s="19" t="n">
        <f aca="false">IF(G110="",0,G110)</f>
        <v>0</v>
      </c>
      <c r="I110" s="18" t="str">
        <f aca="false">IF(H110&gt;0,IF(H110&gt;=SUMPRODUCT(MAX(($B$5:$B$2004=B110)*$H$5:$H$2004)),"Rekor",""),"")</f>
        <v/>
      </c>
      <c r="J110" s="19" t="n">
        <f aca="false">IF(A110="",0,IF(COUNTIF(A$5:A110,A110)=1,1,0))</f>
        <v>0</v>
      </c>
    </row>
    <row r="111" customFormat="false" ht="15" hidden="false" customHeight="false" outlineLevel="0" collapsed="false">
      <c r="A111" s="12"/>
      <c r="B111" s="13"/>
      <c r="C111" s="14"/>
      <c r="D111" s="14"/>
      <c r="E111" s="15"/>
      <c r="F111" s="16" t="str">
        <f aca="false">IF(OR(C111="",D111="",E111=""),"",C111*D111*E111)</f>
        <v/>
      </c>
      <c r="G111" s="17" t="str">
        <f aca="false">IF(OR(D111="",E111=""),"",E111*(1+D111/30))</f>
        <v/>
      </c>
      <c r="H111" s="19" t="n">
        <f aca="false">IF(G111="",0,G111)</f>
        <v>0</v>
      </c>
      <c r="I111" s="18" t="str">
        <f aca="false">IF(H111&gt;0,IF(H111&gt;=SUMPRODUCT(MAX(($B$5:$B$2004=B111)*$H$5:$H$2004)),"Rekor",""),"")</f>
        <v/>
      </c>
      <c r="J111" s="19" t="n">
        <f aca="false">IF(A111="",0,IF(COUNTIF(A$5:A111,A111)=1,1,0))</f>
        <v>0</v>
      </c>
    </row>
    <row r="112" customFormat="false" ht="15" hidden="false" customHeight="false" outlineLevel="0" collapsed="false">
      <c r="A112" s="12"/>
      <c r="B112" s="13"/>
      <c r="C112" s="14"/>
      <c r="D112" s="14"/>
      <c r="E112" s="15"/>
      <c r="F112" s="16" t="str">
        <f aca="false">IF(OR(C112="",D112="",E112=""),"",C112*D112*E112)</f>
        <v/>
      </c>
      <c r="G112" s="17" t="str">
        <f aca="false">IF(OR(D112="",E112=""),"",E112*(1+D112/30))</f>
        <v/>
      </c>
      <c r="H112" s="19" t="n">
        <f aca="false">IF(G112="",0,G112)</f>
        <v>0</v>
      </c>
      <c r="I112" s="18" t="str">
        <f aca="false">IF(H112&gt;0,IF(H112&gt;=SUMPRODUCT(MAX(($B$5:$B$2004=B112)*$H$5:$H$2004)),"Rekor",""),"")</f>
        <v/>
      </c>
      <c r="J112" s="19" t="n">
        <f aca="false">IF(A112="",0,IF(COUNTIF(A$5:A112,A112)=1,1,0))</f>
        <v>0</v>
      </c>
    </row>
    <row r="113" customFormat="false" ht="15" hidden="false" customHeight="false" outlineLevel="0" collapsed="false">
      <c r="A113" s="12"/>
      <c r="B113" s="13"/>
      <c r="C113" s="14"/>
      <c r="D113" s="14"/>
      <c r="E113" s="15"/>
      <c r="F113" s="16" t="str">
        <f aca="false">IF(OR(C113="",D113="",E113=""),"",C113*D113*E113)</f>
        <v/>
      </c>
      <c r="G113" s="17" t="str">
        <f aca="false">IF(OR(D113="",E113=""),"",E113*(1+D113/30))</f>
        <v/>
      </c>
      <c r="H113" s="19" t="n">
        <f aca="false">IF(G113="",0,G113)</f>
        <v>0</v>
      </c>
      <c r="I113" s="18" t="str">
        <f aca="false">IF(H113&gt;0,IF(H113&gt;=SUMPRODUCT(MAX(($B$5:$B$2004=B113)*$H$5:$H$2004)),"Rekor",""),"")</f>
        <v/>
      </c>
      <c r="J113" s="19" t="n">
        <f aca="false">IF(A113="",0,IF(COUNTIF(A$5:A113,A113)=1,1,0))</f>
        <v>0</v>
      </c>
    </row>
    <row r="114" customFormat="false" ht="15" hidden="false" customHeight="false" outlineLevel="0" collapsed="false">
      <c r="A114" s="12"/>
      <c r="B114" s="13"/>
      <c r="C114" s="14"/>
      <c r="D114" s="14"/>
      <c r="E114" s="15"/>
      <c r="F114" s="16" t="str">
        <f aca="false">IF(OR(C114="",D114="",E114=""),"",C114*D114*E114)</f>
        <v/>
      </c>
      <c r="G114" s="17" t="str">
        <f aca="false">IF(OR(D114="",E114=""),"",E114*(1+D114/30))</f>
        <v/>
      </c>
      <c r="H114" s="19" t="n">
        <f aca="false">IF(G114="",0,G114)</f>
        <v>0</v>
      </c>
      <c r="I114" s="18" t="str">
        <f aca="false">IF(H114&gt;0,IF(H114&gt;=SUMPRODUCT(MAX(($B$5:$B$2004=B114)*$H$5:$H$2004)),"Rekor",""),"")</f>
        <v/>
      </c>
      <c r="J114" s="19" t="n">
        <f aca="false">IF(A114="",0,IF(COUNTIF(A$5:A114,A114)=1,1,0))</f>
        <v>0</v>
      </c>
    </row>
    <row r="115" customFormat="false" ht="15" hidden="false" customHeight="false" outlineLevel="0" collapsed="false">
      <c r="A115" s="12"/>
      <c r="B115" s="13"/>
      <c r="C115" s="14"/>
      <c r="D115" s="14"/>
      <c r="E115" s="15"/>
      <c r="F115" s="16" t="str">
        <f aca="false">IF(OR(C115="",D115="",E115=""),"",C115*D115*E115)</f>
        <v/>
      </c>
      <c r="G115" s="17" t="str">
        <f aca="false">IF(OR(D115="",E115=""),"",E115*(1+D115/30))</f>
        <v/>
      </c>
      <c r="H115" s="19" t="n">
        <f aca="false">IF(G115="",0,G115)</f>
        <v>0</v>
      </c>
      <c r="I115" s="18" t="str">
        <f aca="false">IF(H115&gt;0,IF(H115&gt;=SUMPRODUCT(MAX(($B$5:$B$2004=B115)*$H$5:$H$2004)),"Rekor",""),"")</f>
        <v/>
      </c>
      <c r="J115" s="19" t="n">
        <f aca="false">IF(A115="",0,IF(COUNTIF(A$5:A115,A115)=1,1,0))</f>
        <v>0</v>
      </c>
    </row>
    <row r="116" customFormat="false" ht="15" hidden="false" customHeight="false" outlineLevel="0" collapsed="false">
      <c r="A116" s="12"/>
      <c r="B116" s="13"/>
      <c r="C116" s="14"/>
      <c r="D116" s="14"/>
      <c r="E116" s="15"/>
      <c r="F116" s="16" t="str">
        <f aca="false">IF(OR(C116="",D116="",E116=""),"",C116*D116*E116)</f>
        <v/>
      </c>
      <c r="G116" s="17" t="str">
        <f aca="false">IF(OR(D116="",E116=""),"",E116*(1+D116/30))</f>
        <v/>
      </c>
      <c r="H116" s="19" t="n">
        <f aca="false">IF(G116="",0,G116)</f>
        <v>0</v>
      </c>
      <c r="I116" s="18" t="str">
        <f aca="false">IF(H116&gt;0,IF(H116&gt;=SUMPRODUCT(MAX(($B$5:$B$2004=B116)*$H$5:$H$2004)),"Rekor",""),"")</f>
        <v/>
      </c>
      <c r="J116" s="19" t="n">
        <f aca="false">IF(A116="",0,IF(COUNTIF(A$5:A116,A116)=1,1,0))</f>
        <v>0</v>
      </c>
    </row>
    <row r="117" customFormat="false" ht="15" hidden="false" customHeight="false" outlineLevel="0" collapsed="false">
      <c r="A117" s="12"/>
      <c r="B117" s="13"/>
      <c r="C117" s="14"/>
      <c r="D117" s="14"/>
      <c r="E117" s="15"/>
      <c r="F117" s="16" t="str">
        <f aca="false">IF(OR(C117="",D117="",E117=""),"",C117*D117*E117)</f>
        <v/>
      </c>
      <c r="G117" s="17" t="str">
        <f aca="false">IF(OR(D117="",E117=""),"",E117*(1+D117/30))</f>
        <v/>
      </c>
      <c r="H117" s="19" t="n">
        <f aca="false">IF(G117="",0,G117)</f>
        <v>0</v>
      </c>
      <c r="I117" s="18" t="str">
        <f aca="false">IF(H117&gt;0,IF(H117&gt;=SUMPRODUCT(MAX(($B$5:$B$2004=B117)*$H$5:$H$2004)),"Rekor",""),"")</f>
        <v/>
      </c>
      <c r="J117" s="19" t="n">
        <f aca="false">IF(A117="",0,IF(COUNTIF(A$5:A117,A117)=1,1,0))</f>
        <v>0</v>
      </c>
    </row>
    <row r="118" customFormat="false" ht="15" hidden="false" customHeight="false" outlineLevel="0" collapsed="false">
      <c r="A118" s="12"/>
      <c r="B118" s="13"/>
      <c r="C118" s="14"/>
      <c r="D118" s="14"/>
      <c r="E118" s="15"/>
      <c r="F118" s="16" t="str">
        <f aca="false">IF(OR(C118="",D118="",E118=""),"",C118*D118*E118)</f>
        <v/>
      </c>
      <c r="G118" s="17" t="str">
        <f aca="false">IF(OR(D118="",E118=""),"",E118*(1+D118/30))</f>
        <v/>
      </c>
      <c r="H118" s="19" t="n">
        <f aca="false">IF(G118="",0,G118)</f>
        <v>0</v>
      </c>
      <c r="I118" s="18" t="str">
        <f aca="false">IF(H118&gt;0,IF(H118&gt;=SUMPRODUCT(MAX(($B$5:$B$2004=B118)*$H$5:$H$2004)),"Rekor",""),"")</f>
        <v/>
      </c>
      <c r="J118" s="19" t="n">
        <f aca="false">IF(A118="",0,IF(COUNTIF(A$5:A118,A118)=1,1,0))</f>
        <v>0</v>
      </c>
    </row>
    <row r="119" customFormat="false" ht="15" hidden="false" customHeight="false" outlineLevel="0" collapsed="false">
      <c r="A119" s="12"/>
      <c r="B119" s="13"/>
      <c r="C119" s="14"/>
      <c r="D119" s="14"/>
      <c r="E119" s="15"/>
      <c r="F119" s="16" t="str">
        <f aca="false">IF(OR(C119="",D119="",E119=""),"",C119*D119*E119)</f>
        <v/>
      </c>
      <c r="G119" s="17" t="str">
        <f aca="false">IF(OR(D119="",E119=""),"",E119*(1+D119/30))</f>
        <v/>
      </c>
      <c r="H119" s="19" t="n">
        <f aca="false">IF(G119="",0,G119)</f>
        <v>0</v>
      </c>
      <c r="I119" s="18" t="str">
        <f aca="false">IF(H119&gt;0,IF(H119&gt;=SUMPRODUCT(MAX(($B$5:$B$2004=B119)*$H$5:$H$2004)),"Rekor",""),"")</f>
        <v/>
      </c>
      <c r="J119" s="19" t="n">
        <f aca="false">IF(A119="",0,IF(COUNTIF(A$5:A119,A119)=1,1,0))</f>
        <v>0</v>
      </c>
    </row>
    <row r="120" customFormat="false" ht="15" hidden="false" customHeight="false" outlineLevel="0" collapsed="false">
      <c r="A120" s="12"/>
      <c r="B120" s="13"/>
      <c r="C120" s="14"/>
      <c r="D120" s="14"/>
      <c r="E120" s="15"/>
      <c r="F120" s="16" t="str">
        <f aca="false">IF(OR(C120="",D120="",E120=""),"",C120*D120*E120)</f>
        <v/>
      </c>
      <c r="G120" s="17" t="str">
        <f aca="false">IF(OR(D120="",E120=""),"",E120*(1+D120/30))</f>
        <v/>
      </c>
      <c r="H120" s="19" t="n">
        <f aca="false">IF(G120="",0,G120)</f>
        <v>0</v>
      </c>
      <c r="I120" s="18" t="str">
        <f aca="false">IF(H120&gt;0,IF(H120&gt;=SUMPRODUCT(MAX(($B$5:$B$2004=B120)*$H$5:$H$2004)),"Rekor",""),"")</f>
        <v/>
      </c>
      <c r="J120" s="19" t="n">
        <f aca="false">IF(A120="",0,IF(COUNTIF(A$5:A120,A120)=1,1,0))</f>
        <v>0</v>
      </c>
    </row>
    <row r="121" customFormat="false" ht="15" hidden="false" customHeight="false" outlineLevel="0" collapsed="false">
      <c r="A121" s="12"/>
      <c r="B121" s="13"/>
      <c r="C121" s="14"/>
      <c r="D121" s="14"/>
      <c r="E121" s="15"/>
      <c r="F121" s="16" t="str">
        <f aca="false">IF(OR(C121="",D121="",E121=""),"",C121*D121*E121)</f>
        <v/>
      </c>
      <c r="G121" s="17" t="str">
        <f aca="false">IF(OR(D121="",E121=""),"",E121*(1+D121/30))</f>
        <v/>
      </c>
      <c r="H121" s="19" t="n">
        <f aca="false">IF(G121="",0,G121)</f>
        <v>0</v>
      </c>
      <c r="I121" s="18" t="str">
        <f aca="false">IF(H121&gt;0,IF(H121&gt;=SUMPRODUCT(MAX(($B$5:$B$2004=B121)*$H$5:$H$2004)),"Rekor",""),"")</f>
        <v/>
      </c>
      <c r="J121" s="19" t="n">
        <f aca="false">IF(A121="",0,IF(COUNTIF(A$5:A121,A121)=1,1,0))</f>
        <v>0</v>
      </c>
    </row>
    <row r="122" customFormat="false" ht="15" hidden="false" customHeight="false" outlineLevel="0" collapsed="false">
      <c r="A122" s="12"/>
      <c r="B122" s="13"/>
      <c r="C122" s="14"/>
      <c r="D122" s="14"/>
      <c r="E122" s="15"/>
      <c r="F122" s="16" t="str">
        <f aca="false">IF(OR(C122="",D122="",E122=""),"",C122*D122*E122)</f>
        <v/>
      </c>
      <c r="G122" s="17" t="str">
        <f aca="false">IF(OR(D122="",E122=""),"",E122*(1+D122/30))</f>
        <v/>
      </c>
      <c r="H122" s="19" t="n">
        <f aca="false">IF(G122="",0,G122)</f>
        <v>0</v>
      </c>
      <c r="I122" s="18" t="str">
        <f aca="false">IF(H122&gt;0,IF(H122&gt;=SUMPRODUCT(MAX(($B$5:$B$2004=B122)*$H$5:$H$2004)),"Rekor",""),"")</f>
        <v/>
      </c>
      <c r="J122" s="19" t="n">
        <f aca="false">IF(A122="",0,IF(COUNTIF(A$5:A122,A122)=1,1,0))</f>
        <v>0</v>
      </c>
    </row>
    <row r="123" customFormat="false" ht="15" hidden="false" customHeight="false" outlineLevel="0" collapsed="false">
      <c r="A123" s="12"/>
      <c r="B123" s="13"/>
      <c r="C123" s="14"/>
      <c r="D123" s="14"/>
      <c r="E123" s="15"/>
      <c r="F123" s="16" t="str">
        <f aca="false">IF(OR(C123="",D123="",E123=""),"",C123*D123*E123)</f>
        <v/>
      </c>
      <c r="G123" s="17" t="str">
        <f aca="false">IF(OR(D123="",E123=""),"",E123*(1+D123/30))</f>
        <v/>
      </c>
      <c r="H123" s="19" t="n">
        <f aca="false">IF(G123="",0,G123)</f>
        <v>0</v>
      </c>
      <c r="I123" s="18" t="str">
        <f aca="false">IF(H123&gt;0,IF(H123&gt;=SUMPRODUCT(MAX(($B$5:$B$2004=B123)*$H$5:$H$2004)),"Rekor",""),"")</f>
        <v/>
      </c>
      <c r="J123" s="19" t="n">
        <f aca="false">IF(A123="",0,IF(COUNTIF(A$5:A123,A123)=1,1,0))</f>
        <v>0</v>
      </c>
    </row>
    <row r="124" customFormat="false" ht="15" hidden="false" customHeight="false" outlineLevel="0" collapsed="false">
      <c r="A124" s="12"/>
      <c r="B124" s="13"/>
      <c r="C124" s="14"/>
      <c r="D124" s="14"/>
      <c r="E124" s="15"/>
      <c r="F124" s="16" t="str">
        <f aca="false">IF(OR(C124="",D124="",E124=""),"",C124*D124*E124)</f>
        <v/>
      </c>
      <c r="G124" s="17" t="str">
        <f aca="false">IF(OR(D124="",E124=""),"",E124*(1+D124/30))</f>
        <v/>
      </c>
      <c r="H124" s="19" t="n">
        <f aca="false">IF(G124="",0,G124)</f>
        <v>0</v>
      </c>
      <c r="I124" s="18" t="str">
        <f aca="false">IF(H124&gt;0,IF(H124&gt;=SUMPRODUCT(MAX(($B$5:$B$2004=B124)*$H$5:$H$2004)),"Rekor",""),"")</f>
        <v/>
      </c>
      <c r="J124" s="19" t="n">
        <f aca="false">IF(A124="",0,IF(COUNTIF(A$5:A124,A124)=1,1,0))</f>
        <v>0</v>
      </c>
    </row>
    <row r="125" customFormat="false" ht="15" hidden="false" customHeight="false" outlineLevel="0" collapsed="false">
      <c r="A125" s="12"/>
      <c r="B125" s="13"/>
      <c r="C125" s="14"/>
      <c r="D125" s="14"/>
      <c r="E125" s="15"/>
      <c r="F125" s="16" t="str">
        <f aca="false">IF(OR(C125="",D125="",E125=""),"",C125*D125*E125)</f>
        <v/>
      </c>
      <c r="G125" s="17" t="str">
        <f aca="false">IF(OR(D125="",E125=""),"",E125*(1+D125/30))</f>
        <v/>
      </c>
      <c r="H125" s="19" t="n">
        <f aca="false">IF(G125="",0,G125)</f>
        <v>0</v>
      </c>
      <c r="I125" s="18" t="str">
        <f aca="false">IF(H125&gt;0,IF(H125&gt;=SUMPRODUCT(MAX(($B$5:$B$2004=B125)*$H$5:$H$2004)),"Rekor",""),"")</f>
        <v/>
      </c>
      <c r="J125" s="19" t="n">
        <f aca="false">IF(A125="",0,IF(COUNTIF(A$5:A125,A125)=1,1,0))</f>
        <v>0</v>
      </c>
    </row>
    <row r="126" customFormat="false" ht="15" hidden="false" customHeight="false" outlineLevel="0" collapsed="false">
      <c r="A126" s="12"/>
      <c r="B126" s="13"/>
      <c r="C126" s="14"/>
      <c r="D126" s="14"/>
      <c r="E126" s="15"/>
      <c r="F126" s="16" t="str">
        <f aca="false">IF(OR(C126="",D126="",E126=""),"",C126*D126*E126)</f>
        <v/>
      </c>
      <c r="G126" s="17" t="str">
        <f aca="false">IF(OR(D126="",E126=""),"",E126*(1+D126/30))</f>
        <v/>
      </c>
      <c r="H126" s="19" t="n">
        <f aca="false">IF(G126="",0,G126)</f>
        <v>0</v>
      </c>
      <c r="I126" s="18" t="str">
        <f aca="false">IF(H126&gt;0,IF(H126&gt;=SUMPRODUCT(MAX(($B$5:$B$2004=B126)*$H$5:$H$2004)),"Rekor",""),"")</f>
        <v/>
      </c>
      <c r="J126" s="19" t="n">
        <f aca="false">IF(A126="",0,IF(COUNTIF(A$5:A126,A126)=1,1,0))</f>
        <v>0</v>
      </c>
    </row>
    <row r="127" customFormat="false" ht="15" hidden="false" customHeight="false" outlineLevel="0" collapsed="false">
      <c r="A127" s="12"/>
      <c r="B127" s="13"/>
      <c r="C127" s="14"/>
      <c r="D127" s="14"/>
      <c r="E127" s="15"/>
      <c r="F127" s="16" t="str">
        <f aca="false">IF(OR(C127="",D127="",E127=""),"",C127*D127*E127)</f>
        <v/>
      </c>
      <c r="G127" s="17" t="str">
        <f aca="false">IF(OR(D127="",E127=""),"",E127*(1+D127/30))</f>
        <v/>
      </c>
      <c r="H127" s="19" t="n">
        <f aca="false">IF(G127="",0,G127)</f>
        <v>0</v>
      </c>
      <c r="I127" s="18" t="str">
        <f aca="false">IF(H127&gt;0,IF(H127&gt;=SUMPRODUCT(MAX(($B$5:$B$2004=B127)*$H$5:$H$2004)),"Rekor",""),"")</f>
        <v/>
      </c>
      <c r="J127" s="19" t="n">
        <f aca="false">IF(A127="",0,IF(COUNTIF(A$5:A127,A127)=1,1,0))</f>
        <v>0</v>
      </c>
    </row>
    <row r="128" customFormat="false" ht="15" hidden="false" customHeight="false" outlineLevel="0" collapsed="false">
      <c r="A128" s="12"/>
      <c r="B128" s="13"/>
      <c r="C128" s="14"/>
      <c r="D128" s="14"/>
      <c r="E128" s="15"/>
      <c r="F128" s="16" t="str">
        <f aca="false">IF(OR(C128="",D128="",E128=""),"",C128*D128*E128)</f>
        <v/>
      </c>
      <c r="G128" s="17" t="str">
        <f aca="false">IF(OR(D128="",E128=""),"",E128*(1+D128/30))</f>
        <v/>
      </c>
      <c r="H128" s="19" t="n">
        <f aca="false">IF(G128="",0,G128)</f>
        <v>0</v>
      </c>
      <c r="I128" s="18" t="str">
        <f aca="false">IF(H128&gt;0,IF(H128&gt;=SUMPRODUCT(MAX(($B$5:$B$2004=B128)*$H$5:$H$2004)),"Rekor",""),"")</f>
        <v/>
      </c>
      <c r="J128" s="19" t="n">
        <f aca="false">IF(A128="",0,IF(COUNTIF(A$5:A128,A128)=1,1,0))</f>
        <v>0</v>
      </c>
    </row>
    <row r="129" customFormat="false" ht="15" hidden="false" customHeight="false" outlineLevel="0" collapsed="false">
      <c r="A129" s="12"/>
      <c r="B129" s="13"/>
      <c r="C129" s="14"/>
      <c r="D129" s="14"/>
      <c r="E129" s="15"/>
      <c r="F129" s="16" t="str">
        <f aca="false">IF(OR(C129="",D129="",E129=""),"",C129*D129*E129)</f>
        <v/>
      </c>
      <c r="G129" s="17" t="str">
        <f aca="false">IF(OR(D129="",E129=""),"",E129*(1+D129/30))</f>
        <v/>
      </c>
      <c r="H129" s="19" t="n">
        <f aca="false">IF(G129="",0,G129)</f>
        <v>0</v>
      </c>
      <c r="I129" s="18" t="str">
        <f aca="false">IF(H129&gt;0,IF(H129&gt;=SUMPRODUCT(MAX(($B$5:$B$2004=B129)*$H$5:$H$2004)),"Rekor",""),"")</f>
        <v/>
      </c>
      <c r="J129" s="19" t="n">
        <f aca="false">IF(A129="",0,IF(COUNTIF(A$5:A129,A129)=1,1,0))</f>
        <v>0</v>
      </c>
    </row>
    <row r="130" customFormat="false" ht="15" hidden="false" customHeight="false" outlineLevel="0" collapsed="false">
      <c r="A130" s="12"/>
      <c r="B130" s="13"/>
      <c r="C130" s="14"/>
      <c r="D130" s="14"/>
      <c r="E130" s="15"/>
      <c r="F130" s="16" t="str">
        <f aca="false">IF(OR(C130="",D130="",E130=""),"",C130*D130*E130)</f>
        <v/>
      </c>
      <c r="G130" s="17" t="str">
        <f aca="false">IF(OR(D130="",E130=""),"",E130*(1+D130/30))</f>
        <v/>
      </c>
      <c r="H130" s="19" t="n">
        <f aca="false">IF(G130="",0,G130)</f>
        <v>0</v>
      </c>
      <c r="I130" s="18" t="str">
        <f aca="false">IF(H130&gt;0,IF(H130&gt;=SUMPRODUCT(MAX(($B$5:$B$2004=B130)*$H$5:$H$2004)),"Rekor",""),"")</f>
        <v/>
      </c>
      <c r="J130" s="19" t="n">
        <f aca="false">IF(A130="",0,IF(COUNTIF(A$5:A130,A130)=1,1,0))</f>
        <v>0</v>
      </c>
    </row>
    <row r="131" customFormat="false" ht="15" hidden="false" customHeight="false" outlineLevel="0" collapsed="false">
      <c r="A131" s="12"/>
      <c r="B131" s="13"/>
      <c r="C131" s="14"/>
      <c r="D131" s="14"/>
      <c r="E131" s="15"/>
      <c r="F131" s="16" t="str">
        <f aca="false">IF(OR(C131="",D131="",E131=""),"",C131*D131*E131)</f>
        <v/>
      </c>
      <c r="G131" s="17" t="str">
        <f aca="false">IF(OR(D131="",E131=""),"",E131*(1+D131/30))</f>
        <v/>
      </c>
      <c r="H131" s="19" t="n">
        <f aca="false">IF(G131="",0,G131)</f>
        <v>0</v>
      </c>
      <c r="I131" s="18" t="str">
        <f aca="false">IF(H131&gt;0,IF(H131&gt;=SUMPRODUCT(MAX(($B$5:$B$2004=B131)*$H$5:$H$2004)),"Rekor",""),"")</f>
        <v/>
      </c>
      <c r="J131" s="19" t="n">
        <f aca="false">IF(A131="",0,IF(COUNTIF(A$5:A131,A131)=1,1,0))</f>
        <v>0</v>
      </c>
    </row>
    <row r="132" customFormat="false" ht="15" hidden="false" customHeight="false" outlineLevel="0" collapsed="false">
      <c r="A132" s="12"/>
      <c r="B132" s="13"/>
      <c r="C132" s="14"/>
      <c r="D132" s="14"/>
      <c r="E132" s="15"/>
      <c r="F132" s="16" t="str">
        <f aca="false">IF(OR(C132="",D132="",E132=""),"",C132*D132*E132)</f>
        <v/>
      </c>
      <c r="G132" s="17" t="str">
        <f aca="false">IF(OR(D132="",E132=""),"",E132*(1+D132/30))</f>
        <v/>
      </c>
      <c r="H132" s="19" t="n">
        <f aca="false">IF(G132="",0,G132)</f>
        <v>0</v>
      </c>
      <c r="I132" s="18" t="str">
        <f aca="false">IF(H132&gt;0,IF(H132&gt;=SUMPRODUCT(MAX(($B$5:$B$2004=B132)*$H$5:$H$2004)),"Rekor",""),"")</f>
        <v/>
      </c>
      <c r="J132" s="19" t="n">
        <f aca="false">IF(A132="",0,IF(COUNTIF(A$5:A132,A132)=1,1,0))</f>
        <v>0</v>
      </c>
    </row>
    <row r="133" customFormat="false" ht="15" hidden="false" customHeight="false" outlineLevel="0" collapsed="false">
      <c r="A133" s="12"/>
      <c r="B133" s="13"/>
      <c r="C133" s="14"/>
      <c r="D133" s="14"/>
      <c r="E133" s="15"/>
      <c r="F133" s="16" t="str">
        <f aca="false">IF(OR(C133="",D133="",E133=""),"",C133*D133*E133)</f>
        <v/>
      </c>
      <c r="G133" s="17" t="str">
        <f aca="false">IF(OR(D133="",E133=""),"",E133*(1+D133/30))</f>
        <v/>
      </c>
      <c r="H133" s="19" t="n">
        <f aca="false">IF(G133="",0,G133)</f>
        <v>0</v>
      </c>
      <c r="I133" s="18" t="str">
        <f aca="false">IF(H133&gt;0,IF(H133&gt;=SUMPRODUCT(MAX(($B$5:$B$2004=B133)*$H$5:$H$2004)),"Rekor",""),"")</f>
        <v/>
      </c>
      <c r="J133" s="19" t="n">
        <f aca="false">IF(A133="",0,IF(COUNTIF(A$5:A133,A133)=1,1,0))</f>
        <v>0</v>
      </c>
    </row>
    <row r="134" customFormat="false" ht="15" hidden="false" customHeight="false" outlineLevel="0" collapsed="false">
      <c r="A134" s="12"/>
      <c r="B134" s="13"/>
      <c r="C134" s="14"/>
      <c r="D134" s="14"/>
      <c r="E134" s="15"/>
      <c r="F134" s="16" t="str">
        <f aca="false">IF(OR(C134="",D134="",E134=""),"",C134*D134*E134)</f>
        <v/>
      </c>
      <c r="G134" s="17" t="str">
        <f aca="false">IF(OR(D134="",E134=""),"",E134*(1+D134/30))</f>
        <v/>
      </c>
      <c r="H134" s="19" t="n">
        <f aca="false">IF(G134="",0,G134)</f>
        <v>0</v>
      </c>
      <c r="I134" s="18" t="str">
        <f aca="false">IF(H134&gt;0,IF(H134&gt;=SUMPRODUCT(MAX(($B$5:$B$2004=B134)*$H$5:$H$2004)),"Rekor",""),"")</f>
        <v/>
      </c>
      <c r="J134" s="19" t="n">
        <f aca="false">IF(A134="",0,IF(COUNTIF(A$5:A134,A134)=1,1,0))</f>
        <v>0</v>
      </c>
    </row>
    <row r="135" customFormat="false" ht="15" hidden="false" customHeight="false" outlineLevel="0" collapsed="false">
      <c r="A135" s="12"/>
      <c r="B135" s="13"/>
      <c r="C135" s="14"/>
      <c r="D135" s="14"/>
      <c r="E135" s="15"/>
      <c r="F135" s="16" t="str">
        <f aca="false">IF(OR(C135="",D135="",E135=""),"",C135*D135*E135)</f>
        <v/>
      </c>
      <c r="G135" s="17" t="str">
        <f aca="false">IF(OR(D135="",E135=""),"",E135*(1+D135/30))</f>
        <v/>
      </c>
      <c r="H135" s="19" t="n">
        <f aca="false">IF(G135="",0,G135)</f>
        <v>0</v>
      </c>
      <c r="I135" s="18" t="str">
        <f aca="false">IF(H135&gt;0,IF(H135&gt;=SUMPRODUCT(MAX(($B$5:$B$2004=B135)*$H$5:$H$2004)),"Rekor",""),"")</f>
        <v/>
      </c>
      <c r="J135" s="19" t="n">
        <f aca="false">IF(A135="",0,IF(COUNTIF(A$5:A135,A135)=1,1,0))</f>
        <v>0</v>
      </c>
    </row>
    <row r="136" customFormat="false" ht="15" hidden="false" customHeight="false" outlineLevel="0" collapsed="false">
      <c r="A136" s="12"/>
      <c r="B136" s="13"/>
      <c r="C136" s="14"/>
      <c r="D136" s="14"/>
      <c r="E136" s="15"/>
      <c r="F136" s="16" t="str">
        <f aca="false">IF(OR(C136="",D136="",E136=""),"",C136*D136*E136)</f>
        <v/>
      </c>
      <c r="G136" s="17" t="str">
        <f aca="false">IF(OR(D136="",E136=""),"",E136*(1+D136/30))</f>
        <v/>
      </c>
      <c r="H136" s="19" t="n">
        <f aca="false">IF(G136="",0,G136)</f>
        <v>0</v>
      </c>
      <c r="I136" s="18" t="str">
        <f aca="false">IF(H136&gt;0,IF(H136&gt;=SUMPRODUCT(MAX(($B$5:$B$2004=B136)*$H$5:$H$2004)),"Rekor",""),"")</f>
        <v/>
      </c>
      <c r="J136" s="19" t="n">
        <f aca="false">IF(A136="",0,IF(COUNTIF(A$5:A136,A136)=1,1,0))</f>
        <v>0</v>
      </c>
    </row>
    <row r="137" customFormat="false" ht="15" hidden="false" customHeight="false" outlineLevel="0" collapsed="false">
      <c r="A137" s="12"/>
      <c r="B137" s="13"/>
      <c r="C137" s="14"/>
      <c r="D137" s="14"/>
      <c r="E137" s="15"/>
      <c r="F137" s="16" t="str">
        <f aca="false">IF(OR(C137="",D137="",E137=""),"",C137*D137*E137)</f>
        <v/>
      </c>
      <c r="G137" s="17" t="str">
        <f aca="false">IF(OR(D137="",E137=""),"",E137*(1+D137/30))</f>
        <v/>
      </c>
      <c r="H137" s="19" t="n">
        <f aca="false">IF(G137="",0,G137)</f>
        <v>0</v>
      </c>
      <c r="I137" s="18" t="str">
        <f aca="false">IF(H137&gt;0,IF(H137&gt;=SUMPRODUCT(MAX(($B$5:$B$2004=B137)*$H$5:$H$2004)),"Rekor",""),"")</f>
        <v/>
      </c>
      <c r="J137" s="19" t="n">
        <f aca="false">IF(A137="",0,IF(COUNTIF(A$5:A137,A137)=1,1,0))</f>
        <v>0</v>
      </c>
    </row>
    <row r="138" customFormat="false" ht="15" hidden="false" customHeight="false" outlineLevel="0" collapsed="false">
      <c r="A138" s="12"/>
      <c r="B138" s="13"/>
      <c r="C138" s="14"/>
      <c r="D138" s="14"/>
      <c r="E138" s="15"/>
      <c r="F138" s="16" t="str">
        <f aca="false">IF(OR(C138="",D138="",E138=""),"",C138*D138*E138)</f>
        <v/>
      </c>
      <c r="G138" s="17" t="str">
        <f aca="false">IF(OR(D138="",E138=""),"",E138*(1+D138/30))</f>
        <v/>
      </c>
      <c r="H138" s="19" t="n">
        <f aca="false">IF(G138="",0,G138)</f>
        <v>0</v>
      </c>
      <c r="I138" s="18" t="str">
        <f aca="false">IF(H138&gt;0,IF(H138&gt;=SUMPRODUCT(MAX(($B$5:$B$2004=B138)*$H$5:$H$2004)),"Rekor",""),"")</f>
        <v/>
      </c>
      <c r="J138" s="19" t="n">
        <f aca="false">IF(A138="",0,IF(COUNTIF(A$5:A138,A138)=1,1,0))</f>
        <v>0</v>
      </c>
    </row>
    <row r="139" customFormat="false" ht="15" hidden="false" customHeight="false" outlineLevel="0" collapsed="false">
      <c r="A139" s="12"/>
      <c r="B139" s="13"/>
      <c r="C139" s="14"/>
      <c r="D139" s="14"/>
      <c r="E139" s="15"/>
      <c r="F139" s="16" t="str">
        <f aca="false">IF(OR(C139="",D139="",E139=""),"",C139*D139*E139)</f>
        <v/>
      </c>
      <c r="G139" s="17" t="str">
        <f aca="false">IF(OR(D139="",E139=""),"",E139*(1+D139/30))</f>
        <v/>
      </c>
      <c r="H139" s="19" t="n">
        <f aca="false">IF(G139="",0,G139)</f>
        <v>0</v>
      </c>
      <c r="I139" s="18" t="str">
        <f aca="false">IF(H139&gt;0,IF(H139&gt;=SUMPRODUCT(MAX(($B$5:$B$2004=B139)*$H$5:$H$2004)),"Rekor",""),"")</f>
        <v/>
      </c>
      <c r="J139" s="19" t="n">
        <f aca="false">IF(A139="",0,IF(COUNTIF(A$5:A139,A139)=1,1,0))</f>
        <v>0</v>
      </c>
    </row>
    <row r="140" customFormat="false" ht="15" hidden="false" customHeight="false" outlineLevel="0" collapsed="false">
      <c r="A140" s="12"/>
      <c r="B140" s="13"/>
      <c r="C140" s="14"/>
      <c r="D140" s="14"/>
      <c r="E140" s="15"/>
      <c r="F140" s="16" t="str">
        <f aca="false">IF(OR(C140="",D140="",E140=""),"",C140*D140*E140)</f>
        <v/>
      </c>
      <c r="G140" s="17" t="str">
        <f aca="false">IF(OR(D140="",E140=""),"",E140*(1+D140/30))</f>
        <v/>
      </c>
      <c r="H140" s="19" t="n">
        <f aca="false">IF(G140="",0,G140)</f>
        <v>0</v>
      </c>
      <c r="I140" s="18" t="str">
        <f aca="false">IF(H140&gt;0,IF(H140&gt;=SUMPRODUCT(MAX(($B$5:$B$2004=B140)*$H$5:$H$2004)),"Rekor",""),"")</f>
        <v/>
      </c>
      <c r="J140" s="19" t="n">
        <f aca="false">IF(A140="",0,IF(COUNTIF(A$5:A140,A140)=1,1,0))</f>
        <v>0</v>
      </c>
    </row>
    <row r="141" customFormat="false" ht="15" hidden="false" customHeight="false" outlineLevel="0" collapsed="false">
      <c r="A141" s="12"/>
      <c r="B141" s="13"/>
      <c r="C141" s="14"/>
      <c r="D141" s="14"/>
      <c r="E141" s="15"/>
      <c r="F141" s="16" t="str">
        <f aca="false">IF(OR(C141="",D141="",E141=""),"",C141*D141*E141)</f>
        <v/>
      </c>
      <c r="G141" s="17" t="str">
        <f aca="false">IF(OR(D141="",E141=""),"",E141*(1+D141/30))</f>
        <v/>
      </c>
      <c r="H141" s="19" t="n">
        <f aca="false">IF(G141="",0,G141)</f>
        <v>0</v>
      </c>
      <c r="I141" s="18" t="str">
        <f aca="false">IF(H141&gt;0,IF(H141&gt;=SUMPRODUCT(MAX(($B$5:$B$2004=B141)*$H$5:$H$2004)),"Rekor",""),"")</f>
        <v/>
      </c>
      <c r="J141" s="19" t="n">
        <f aca="false">IF(A141="",0,IF(COUNTIF(A$5:A141,A141)=1,1,0))</f>
        <v>0</v>
      </c>
    </row>
    <row r="142" customFormat="false" ht="15" hidden="false" customHeight="false" outlineLevel="0" collapsed="false">
      <c r="A142" s="12"/>
      <c r="B142" s="13"/>
      <c r="C142" s="14"/>
      <c r="D142" s="14"/>
      <c r="E142" s="15"/>
      <c r="F142" s="16" t="str">
        <f aca="false">IF(OR(C142="",D142="",E142=""),"",C142*D142*E142)</f>
        <v/>
      </c>
      <c r="G142" s="17" t="str">
        <f aca="false">IF(OR(D142="",E142=""),"",E142*(1+D142/30))</f>
        <v/>
      </c>
      <c r="H142" s="19" t="n">
        <f aca="false">IF(G142="",0,G142)</f>
        <v>0</v>
      </c>
      <c r="I142" s="18" t="str">
        <f aca="false">IF(H142&gt;0,IF(H142&gt;=SUMPRODUCT(MAX(($B$5:$B$2004=B142)*$H$5:$H$2004)),"Rekor",""),"")</f>
        <v/>
      </c>
      <c r="J142" s="19" t="n">
        <f aca="false">IF(A142="",0,IF(COUNTIF(A$5:A142,A142)=1,1,0))</f>
        <v>0</v>
      </c>
    </row>
    <row r="143" customFormat="false" ht="15" hidden="false" customHeight="false" outlineLevel="0" collapsed="false">
      <c r="A143" s="12"/>
      <c r="B143" s="13"/>
      <c r="C143" s="14"/>
      <c r="D143" s="14"/>
      <c r="E143" s="15"/>
      <c r="F143" s="16" t="str">
        <f aca="false">IF(OR(C143="",D143="",E143=""),"",C143*D143*E143)</f>
        <v/>
      </c>
      <c r="G143" s="17" t="str">
        <f aca="false">IF(OR(D143="",E143=""),"",E143*(1+D143/30))</f>
        <v/>
      </c>
      <c r="H143" s="19" t="n">
        <f aca="false">IF(G143="",0,G143)</f>
        <v>0</v>
      </c>
      <c r="I143" s="18" t="str">
        <f aca="false">IF(H143&gt;0,IF(H143&gt;=SUMPRODUCT(MAX(($B$5:$B$2004=B143)*$H$5:$H$2004)),"Rekor",""),"")</f>
        <v/>
      </c>
      <c r="J143" s="19" t="n">
        <f aca="false">IF(A143="",0,IF(COUNTIF(A$5:A143,A143)=1,1,0))</f>
        <v>0</v>
      </c>
    </row>
    <row r="144" customFormat="false" ht="15" hidden="false" customHeight="false" outlineLevel="0" collapsed="false">
      <c r="A144" s="12"/>
      <c r="B144" s="13"/>
      <c r="C144" s="14"/>
      <c r="D144" s="14"/>
      <c r="E144" s="15"/>
      <c r="F144" s="16" t="str">
        <f aca="false">IF(OR(C144="",D144="",E144=""),"",C144*D144*E144)</f>
        <v/>
      </c>
      <c r="G144" s="17" t="str">
        <f aca="false">IF(OR(D144="",E144=""),"",E144*(1+D144/30))</f>
        <v/>
      </c>
      <c r="H144" s="19" t="n">
        <f aca="false">IF(G144="",0,G144)</f>
        <v>0</v>
      </c>
      <c r="I144" s="18" t="str">
        <f aca="false">IF(H144&gt;0,IF(H144&gt;=SUMPRODUCT(MAX(($B$5:$B$2004=B144)*$H$5:$H$2004)),"Rekor",""),"")</f>
        <v/>
      </c>
      <c r="J144" s="19" t="n">
        <f aca="false">IF(A144="",0,IF(COUNTIF(A$5:A144,A144)=1,1,0))</f>
        <v>0</v>
      </c>
    </row>
    <row r="145" customFormat="false" ht="15" hidden="false" customHeight="false" outlineLevel="0" collapsed="false">
      <c r="A145" s="12"/>
      <c r="B145" s="13"/>
      <c r="C145" s="14"/>
      <c r="D145" s="14"/>
      <c r="E145" s="15"/>
      <c r="F145" s="16" t="str">
        <f aca="false">IF(OR(C145="",D145="",E145=""),"",C145*D145*E145)</f>
        <v/>
      </c>
      <c r="G145" s="17" t="str">
        <f aca="false">IF(OR(D145="",E145=""),"",E145*(1+D145/30))</f>
        <v/>
      </c>
      <c r="H145" s="19" t="n">
        <f aca="false">IF(G145="",0,G145)</f>
        <v>0</v>
      </c>
      <c r="I145" s="18" t="str">
        <f aca="false">IF(H145&gt;0,IF(H145&gt;=SUMPRODUCT(MAX(($B$5:$B$2004=B145)*$H$5:$H$2004)),"Rekor",""),"")</f>
        <v/>
      </c>
      <c r="J145" s="19" t="n">
        <f aca="false">IF(A145="",0,IF(COUNTIF(A$5:A145,A145)=1,1,0))</f>
        <v>0</v>
      </c>
    </row>
    <row r="146" customFormat="false" ht="15" hidden="false" customHeight="false" outlineLevel="0" collapsed="false">
      <c r="A146" s="12"/>
      <c r="B146" s="13"/>
      <c r="C146" s="14"/>
      <c r="D146" s="14"/>
      <c r="E146" s="15"/>
      <c r="F146" s="16" t="str">
        <f aca="false">IF(OR(C146="",D146="",E146=""),"",C146*D146*E146)</f>
        <v/>
      </c>
      <c r="G146" s="17" t="str">
        <f aca="false">IF(OR(D146="",E146=""),"",E146*(1+D146/30))</f>
        <v/>
      </c>
      <c r="H146" s="19" t="n">
        <f aca="false">IF(G146="",0,G146)</f>
        <v>0</v>
      </c>
      <c r="I146" s="18" t="str">
        <f aca="false">IF(H146&gt;0,IF(H146&gt;=SUMPRODUCT(MAX(($B$5:$B$2004=B146)*$H$5:$H$2004)),"Rekor",""),"")</f>
        <v/>
      </c>
      <c r="J146" s="19" t="n">
        <f aca="false">IF(A146="",0,IF(COUNTIF(A$5:A146,A146)=1,1,0))</f>
        <v>0</v>
      </c>
    </row>
    <row r="147" customFormat="false" ht="15" hidden="false" customHeight="false" outlineLevel="0" collapsed="false">
      <c r="A147" s="12"/>
      <c r="B147" s="13"/>
      <c r="C147" s="14"/>
      <c r="D147" s="14"/>
      <c r="E147" s="15"/>
      <c r="F147" s="16" t="str">
        <f aca="false">IF(OR(C147="",D147="",E147=""),"",C147*D147*E147)</f>
        <v/>
      </c>
      <c r="G147" s="17" t="str">
        <f aca="false">IF(OR(D147="",E147=""),"",E147*(1+D147/30))</f>
        <v/>
      </c>
      <c r="H147" s="19" t="n">
        <f aca="false">IF(G147="",0,G147)</f>
        <v>0</v>
      </c>
      <c r="I147" s="18" t="str">
        <f aca="false">IF(H147&gt;0,IF(H147&gt;=SUMPRODUCT(MAX(($B$5:$B$2004=B147)*$H$5:$H$2004)),"Rekor",""),"")</f>
        <v/>
      </c>
      <c r="J147" s="19" t="n">
        <f aca="false">IF(A147="",0,IF(COUNTIF(A$5:A147,A147)=1,1,0))</f>
        <v>0</v>
      </c>
    </row>
    <row r="148" customFormat="false" ht="15" hidden="false" customHeight="false" outlineLevel="0" collapsed="false">
      <c r="A148" s="12"/>
      <c r="B148" s="13"/>
      <c r="C148" s="14"/>
      <c r="D148" s="14"/>
      <c r="E148" s="15"/>
      <c r="F148" s="16" t="str">
        <f aca="false">IF(OR(C148="",D148="",E148=""),"",C148*D148*E148)</f>
        <v/>
      </c>
      <c r="G148" s="17" t="str">
        <f aca="false">IF(OR(D148="",E148=""),"",E148*(1+D148/30))</f>
        <v/>
      </c>
      <c r="H148" s="19" t="n">
        <f aca="false">IF(G148="",0,G148)</f>
        <v>0</v>
      </c>
      <c r="I148" s="18" t="str">
        <f aca="false">IF(H148&gt;0,IF(H148&gt;=SUMPRODUCT(MAX(($B$5:$B$2004=B148)*$H$5:$H$2004)),"Rekor",""),"")</f>
        <v/>
      </c>
      <c r="J148" s="19" t="n">
        <f aca="false">IF(A148="",0,IF(COUNTIF(A$5:A148,A148)=1,1,0))</f>
        <v>0</v>
      </c>
    </row>
    <row r="149" customFormat="false" ht="15" hidden="false" customHeight="false" outlineLevel="0" collapsed="false">
      <c r="A149" s="12"/>
      <c r="B149" s="13"/>
      <c r="C149" s="14"/>
      <c r="D149" s="14"/>
      <c r="E149" s="15"/>
      <c r="F149" s="16" t="str">
        <f aca="false">IF(OR(C149="",D149="",E149=""),"",C149*D149*E149)</f>
        <v/>
      </c>
      <c r="G149" s="17" t="str">
        <f aca="false">IF(OR(D149="",E149=""),"",E149*(1+D149/30))</f>
        <v/>
      </c>
      <c r="H149" s="19" t="n">
        <f aca="false">IF(G149="",0,G149)</f>
        <v>0</v>
      </c>
      <c r="I149" s="18" t="str">
        <f aca="false">IF(H149&gt;0,IF(H149&gt;=SUMPRODUCT(MAX(($B$5:$B$2004=B149)*$H$5:$H$2004)),"Rekor",""),"")</f>
        <v/>
      </c>
      <c r="J149" s="19" t="n">
        <f aca="false">IF(A149="",0,IF(COUNTIF(A$5:A149,A149)=1,1,0))</f>
        <v>0</v>
      </c>
    </row>
    <row r="150" customFormat="false" ht="15" hidden="false" customHeight="false" outlineLevel="0" collapsed="false">
      <c r="A150" s="12"/>
      <c r="B150" s="13"/>
      <c r="C150" s="14"/>
      <c r="D150" s="14"/>
      <c r="E150" s="15"/>
      <c r="F150" s="16" t="str">
        <f aca="false">IF(OR(C150="",D150="",E150=""),"",C150*D150*E150)</f>
        <v/>
      </c>
      <c r="G150" s="17" t="str">
        <f aca="false">IF(OR(D150="",E150=""),"",E150*(1+D150/30))</f>
        <v/>
      </c>
      <c r="H150" s="19" t="n">
        <f aca="false">IF(G150="",0,G150)</f>
        <v>0</v>
      </c>
      <c r="I150" s="18" t="str">
        <f aca="false">IF(H150&gt;0,IF(H150&gt;=SUMPRODUCT(MAX(($B$5:$B$2004=B150)*$H$5:$H$2004)),"Rekor",""),"")</f>
        <v/>
      </c>
      <c r="J150" s="19" t="n">
        <f aca="false">IF(A150="",0,IF(COUNTIF(A$5:A150,A150)=1,1,0))</f>
        <v>0</v>
      </c>
    </row>
    <row r="151" customFormat="false" ht="15" hidden="false" customHeight="false" outlineLevel="0" collapsed="false">
      <c r="A151" s="12"/>
      <c r="B151" s="13"/>
      <c r="C151" s="14"/>
      <c r="D151" s="14"/>
      <c r="E151" s="15"/>
      <c r="F151" s="16" t="str">
        <f aca="false">IF(OR(C151="",D151="",E151=""),"",C151*D151*E151)</f>
        <v/>
      </c>
      <c r="G151" s="17" t="str">
        <f aca="false">IF(OR(D151="",E151=""),"",E151*(1+D151/30))</f>
        <v/>
      </c>
      <c r="H151" s="19" t="n">
        <f aca="false">IF(G151="",0,G151)</f>
        <v>0</v>
      </c>
      <c r="I151" s="18" t="str">
        <f aca="false">IF(H151&gt;0,IF(H151&gt;=SUMPRODUCT(MAX(($B$5:$B$2004=B151)*$H$5:$H$2004)),"Rekor",""),"")</f>
        <v/>
      </c>
      <c r="J151" s="19" t="n">
        <f aca="false">IF(A151="",0,IF(COUNTIF(A$5:A151,A151)=1,1,0))</f>
        <v>0</v>
      </c>
    </row>
    <row r="152" customFormat="false" ht="15" hidden="false" customHeight="false" outlineLevel="0" collapsed="false">
      <c r="A152" s="12"/>
      <c r="B152" s="13"/>
      <c r="C152" s="14"/>
      <c r="D152" s="14"/>
      <c r="E152" s="15"/>
      <c r="F152" s="16" t="str">
        <f aca="false">IF(OR(C152="",D152="",E152=""),"",C152*D152*E152)</f>
        <v/>
      </c>
      <c r="G152" s="17" t="str">
        <f aca="false">IF(OR(D152="",E152=""),"",E152*(1+D152/30))</f>
        <v/>
      </c>
      <c r="H152" s="19" t="n">
        <f aca="false">IF(G152="",0,G152)</f>
        <v>0</v>
      </c>
      <c r="I152" s="18" t="str">
        <f aca="false">IF(H152&gt;0,IF(H152&gt;=SUMPRODUCT(MAX(($B$5:$B$2004=B152)*$H$5:$H$2004)),"Rekor",""),"")</f>
        <v/>
      </c>
      <c r="J152" s="19" t="n">
        <f aca="false">IF(A152="",0,IF(COUNTIF(A$5:A152,A152)=1,1,0))</f>
        <v>0</v>
      </c>
    </row>
    <row r="153" customFormat="false" ht="15" hidden="false" customHeight="false" outlineLevel="0" collapsed="false">
      <c r="A153" s="12"/>
      <c r="B153" s="13"/>
      <c r="C153" s="14"/>
      <c r="D153" s="14"/>
      <c r="E153" s="15"/>
      <c r="F153" s="16" t="str">
        <f aca="false">IF(OR(C153="",D153="",E153=""),"",C153*D153*E153)</f>
        <v/>
      </c>
      <c r="G153" s="17" t="str">
        <f aca="false">IF(OR(D153="",E153=""),"",E153*(1+D153/30))</f>
        <v/>
      </c>
      <c r="H153" s="19" t="n">
        <f aca="false">IF(G153="",0,G153)</f>
        <v>0</v>
      </c>
      <c r="I153" s="18" t="str">
        <f aca="false">IF(H153&gt;0,IF(H153&gt;=SUMPRODUCT(MAX(($B$5:$B$2004=B153)*$H$5:$H$2004)),"Rekor",""),"")</f>
        <v/>
      </c>
      <c r="J153" s="19" t="n">
        <f aca="false">IF(A153="",0,IF(COUNTIF(A$5:A153,A153)=1,1,0))</f>
        <v>0</v>
      </c>
    </row>
    <row r="154" customFormat="false" ht="15" hidden="false" customHeight="false" outlineLevel="0" collapsed="false">
      <c r="A154" s="12"/>
      <c r="B154" s="13"/>
      <c r="C154" s="14"/>
      <c r="D154" s="14"/>
      <c r="E154" s="15"/>
      <c r="F154" s="16" t="str">
        <f aca="false">IF(OR(C154="",D154="",E154=""),"",C154*D154*E154)</f>
        <v/>
      </c>
      <c r="G154" s="17" t="str">
        <f aca="false">IF(OR(D154="",E154=""),"",E154*(1+D154/30))</f>
        <v/>
      </c>
      <c r="H154" s="19" t="n">
        <f aca="false">IF(G154="",0,G154)</f>
        <v>0</v>
      </c>
      <c r="I154" s="18" t="str">
        <f aca="false">IF(H154&gt;0,IF(H154&gt;=SUMPRODUCT(MAX(($B$5:$B$2004=B154)*$H$5:$H$2004)),"Rekor",""),"")</f>
        <v/>
      </c>
      <c r="J154" s="19" t="n">
        <f aca="false">IF(A154="",0,IF(COUNTIF(A$5:A154,A154)=1,1,0))</f>
        <v>0</v>
      </c>
    </row>
    <row r="155" customFormat="false" ht="15" hidden="false" customHeight="false" outlineLevel="0" collapsed="false">
      <c r="A155" s="12"/>
      <c r="B155" s="13"/>
      <c r="C155" s="14"/>
      <c r="D155" s="14"/>
      <c r="E155" s="15"/>
      <c r="F155" s="16" t="str">
        <f aca="false">IF(OR(C155="",D155="",E155=""),"",C155*D155*E155)</f>
        <v/>
      </c>
      <c r="G155" s="17" t="str">
        <f aca="false">IF(OR(D155="",E155=""),"",E155*(1+D155/30))</f>
        <v/>
      </c>
      <c r="H155" s="19" t="n">
        <f aca="false">IF(G155="",0,G155)</f>
        <v>0</v>
      </c>
      <c r="I155" s="18" t="str">
        <f aca="false">IF(H155&gt;0,IF(H155&gt;=SUMPRODUCT(MAX(($B$5:$B$2004=B155)*$H$5:$H$2004)),"Rekor",""),"")</f>
        <v/>
      </c>
      <c r="J155" s="19" t="n">
        <f aca="false">IF(A155="",0,IF(COUNTIF(A$5:A155,A155)=1,1,0))</f>
        <v>0</v>
      </c>
    </row>
    <row r="156" customFormat="false" ht="15" hidden="false" customHeight="false" outlineLevel="0" collapsed="false">
      <c r="A156" s="12"/>
      <c r="B156" s="13"/>
      <c r="C156" s="14"/>
      <c r="D156" s="14"/>
      <c r="E156" s="15"/>
      <c r="F156" s="16" t="str">
        <f aca="false">IF(OR(C156="",D156="",E156=""),"",C156*D156*E156)</f>
        <v/>
      </c>
      <c r="G156" s="17" t="str">
        <f aca="false">IF(OR(D156="",E156=""),"",E156*(1+D156/30))</f>
        <v/>
      </c>
      <c r="H156" s="19" t="n">
        <f aca="false">IF(G156="",0,G156)</f>
        <v>0</v>
      </c>
      <c r="I156" s="18" t="str">
        <f aca="false">IF(H156&gt;0,IF(H156&gt;=SUMPRODUCT(MAX(($B$5:$B$2004=B156)*$H$5:$H$2004)),"Rekor",""),"")</f>
        <v/>
      </c>
      <c r="J156" s="19" t="n">
        <f aca="false">IF(A156="",0,IF(COUNTIF(A$5:A156,A156)=1,1,0))</f>
        <v>0</v>
      </c>
    </row>
    <row r="157" customFormat="false" ht="15" hidden="false" customHeight="false" outlineLevel="0" collapsed="false">
      <c r="A157" s="12"/>
      <c r="B157" s="13"/>
      <c r="C157" s="14"/>
      <c r="D157" s="14"/>
      <c r="E157" s="15"/>
      <c r="F157" s="16" t="str">
        <f aca="false">IF(OR(C157="",D157="",E157=""),"",C157*D157*E157)</f>
        <v/>
      </c>
      <c r="G157" s="17" t="str">
        <f aca="false">IF(OR(D157="",E157=""),"",E157*(1+D157/30))</f>
        <v/>
      </c>
      <c r="H157" s="19" t="n">
        <f aca="false">IF(G157="",0,G157)</f>
        <v>0</v>
      </c>
      <c r="I157" s="18" t="str">
        <f aca="false">IF(H157&gt;0,IF(H157&gt;=SUMPRODUCT(MAX(($B$5:$B$2004=B157)*$H$5:$H$2004)),"Rekor",""),"")</f>
        <v/>
      </c>
      <c r="J157" s="19" t="n">
        <f aca="false">IF(A157="",0,IF(COUNTIF(A$5:A157,A157)=1,1,0))</f>
        <v>0</v>
      </c>
    </row>
    <row r="158" customFormat="false" ht="15" hidden="false" customHeight="false" outlineLevel="0" collapsed="false">
      <c r="A158" s="12"/>
      <c r="B158" s="13"/>
      <c r="C158" s="14"/>
      <c r="D158" s="14"/>
      <c r="E158" s="15"/>
      <c r="F158" s="16" t="str">
        <f aca="false">IF(OR(C158="",D158="",E158=""),"",C158*D158*E158)</f>
        <v/>
      </c>
      <c r="G158" s="17" t="str">
        <f aca="false">IF(OR(D158="",E158=""),"",E158*(1+D158/30))</f>
        <v/>
      </c>
      <c r="H158" s="19" t="n">
        <f aca="false">IF(G158="",0,G158)</f>
        <v>0</v>
      </c>
      <c r="I158" s="18" t="str">
        <f aca="false">IF(H158&gt;0,IF(H158&gt;=SUMPRODUCT(MAX(($B$5:$B$2004=B158)*$H$5:$H$2004)),"Rekor",""),"")</f>
        <v/>
      </c>
      <c r="J158" s="19" t="n">
        <f aca="false">IF(A158="",0,IF(COUNTIF(A$5:A158,A158)=1,1,0))</f>
        <v>0</v>
      </c>
    </row>
    <row r="159" customFormat="false" ht="15" hidden="false" customHeight="false" outlineLevel="0" collapsed="false">
      <c r="A159" s="12"/>
      <c r="B159" s="13"/>
      <c r="C159" s="14"/>
      <c r="D159" s="14"/>
      <c r="E159" s="15"/>
      <c r="F159" s="16" t="str">
        <f aca="false">IF(OR(C159="",D159="",E159=""),"",C159*D159*E159)</f>
        <v/>
      </c>
      <c r="G159" s="17" t="str">
        <f aca="false">IF(OR(D159="",E159=""),"",E159*(1+D159/30))</f>
        <v/>
      </c>
      <c r="H159" s="19" t="n">
        <f aca="false">IF(G159="",0,G159)</f>
        <v>0</v>
      </c>
      <c r="I159" s="18" t="str">
        <f aca="false">IF(H159&gt;0,IF(H159&gt;=SUMPRODUCT(MAX(($B$5:$B$2004=B159)*$H$5:$H$2004)),"Rekor",""),"")</f>
        <v/>
      </c>
      <c r="J159" s="19" t="n">
        <f aca="false">IF(A159="",0,IF(COUNTIF(A$5:A159,A159)=1,1,0))</f>
        <v>0</v>
      </c>
    </row>
    <row r="160" customFormat="false" ht="15" hidden="false" customHeight="false" outlineLevel="0" collapsed="false">
      <c r="A160" s="12"/>
      <c r="B160" s="13"/>
      <c r="C160" s="14"/>
      <c r="D160" s="14"/>
      <c r="E160" s="15"/>
      <c r="F160" s="16" t="str">
        <f aca="false">IF(OR(C160="",D160="",E160=""),"",C160*D160*E160)</f>
        <v/>
      </c>
      <c r="G160" s="17" t="str">
        <f aca="false">IF(OR(D160="",E160=""),"",E160*(1+D160/30))</f>
        <v/>
      </c>
      <c r="H160" s="19" t="n">
        <f aca="false">IF(G160="",0,G160)</f>
        <v>0</v>
      </c>
      <c r="I160" s="18" t="str">
        <f aca="false">IF(H160&gt;0,IF(H160&gt;=SUMPRODUCT(MAX(($B$5:$B$2004=B160)*$H$5:$H$2004)),"Rekor",""),"")</f>
        <v/>
      </c>
      <c r="J160" s="19" t="n">
        <f aca="false">IF(A160="",0,IF(COUNTIF(A$5:A160,A160)=1,1,0))</f>
        <v>0</v>
      </c>
    </row>
    <row r="161" customFormat="false" ht="15" hidden="false" customHeight="false" outlineLevel="0" collapsed="false">
      <c r="A161" s="12"/>
      <c r="B161" s="13"/>
      <c r="C161" s="14"/>
      <c r="D161" s="14"/>
      <c r="E161" s="15"/>
      <c r="F161" s="16" t="str">
        <f aca="false">IF(OR(C161="",D161="",E161=""),"",C161*D161*E161)</f>
        <v/>
      </c>
      <c r="G161" s="17" t="str">
        <f aca="false">IF(OR(D161="",E161=""),"",E161*(1+D161/30))</f>
        <v/>
      </c>
      <c r="H161" s="19" t="n">
        <f aca="false">IF(G161="",0,G161)</f>
        <v>0</v>
      </c>
      <c r="I161" s="18" t="str">
        <f aca="false">IF(H161&gt;0,IF(H161&gt;=SUMPRODUCT(MAX(($B$5:$B$2004=B161)*$H$5:$H$2004)),"Rekor",""),"")</f>
        <v/>
      </c>
      <c r="J161" s="19" t="n">
        <f aca="false">IF(A161="",0,IF(COUNTIF(A$5:A161,A161)=1,1,0))</f>
        <v>0</v>
      </c>
    </row>
    <row r="162" customFormat="false" ht="15" hidden="false" customHeight="false" outlineLevel="0" collapsed="false">
      <c r="A162" s="12"/>
      <c r="B162" s="13"/>
      <c r="C162" s="14"/>
      <c r="D162" s="14"/>
      <c r="E162" s="15"/>
      <c r="F162" s="16" t="str">
        <f aca="false">IF(OR(C162="",D162="",E162=""),"",C162*D162*E162)</f>
        <v/>
      </c>
      <c r="G162" s="17" t="str">
        <f aca="false">IF(OR(D162="",E162=""),"",E162*(1+D162/30))</f>
        <v/>
      </c>
      <c r="H162" s="19" t="n">
        <f aca="false">IF(G162="",0,G162)</f>
        <v>0</v>
      </c>
      <c r="I162" s="18" t="str">
        <f aca="false">IF(H162&gt;0,IF(H162&gt;=SUMPRODUCT(MAX(($B$5:$B$2004=B162)*$H$5:$H$2004)),"Rekor",""),"")</f>
        <v/>
      </c>
      <c r="J162" s="19" t="n">
        <f aca="false">IF(A162="",0,IF(COUNTIF(A$5:A162,A162)=1,1,0))</f>
        <v>0</v>
      </c>
    </row>
    <row r="163" customFormat="false" ht="15" hidden="false" customHeight="false" outlineLevel="0" collapsed="false">
      <c r="A163" s="12"/>
      <c r="B163" s="13"/>
      <c r="C163" s="14"/>
      <c r="D163" s="14"/>
      <c r="E163" s="15"/>
      <c r="F163" s="16" t="str">
        <f aca="false">IF(OR(C163="",D163="",E163=""),"",C163*D163*E163)</f>
        <v/>
      </c>
      <c r="G163" s="17" t="str">
        <f aca="false">IF(OR(D163="",E163=""),"",E163*(1+D163/30))</f>
        <v/>
      </c>
      <c r="H163" s="19" t="n">
        <f aca="false">IF(G163="",0,G163)</f>
        <v>0</v>
      </c>
      <c r="I163" s="18" t="str">
        <f aca="false">IF(H163&gt;0,IF(H163&gt;=SUMPRODUCT(MAX(($B$5:$B$2004=B163)*$H$5:$H$2004)),"Rekor",""),"")</f>
        <v/>
      </c>
      <c r="J163" s="19" t="n">
        <f aca="false">IF(A163="",0,IF(COUNTIF(A$5:A163,A163)=1,1,0))</f>
        <v>0</v>
      </c>
    </row>
    <row r="164" customFormat="false" ht="15" hidden="false" customHeight="false" outlineLevel="0" collapsed="false">
      <c r="A164" s="12"/>
      <c r="B164" s="13"/>
      <c r="C164" s="14"/>
      <c r="D164" s="14"/>
      <c r="E164" s="15"/>
      <c r="F164" s="16" t="str">
        <f aca="false">IF(OR(C164="",D164="",E164=""),"",C164*D164*E164)</f>
        <v/>
      </c>
      <c r="G164" s="17" t="str">
        <f aca="false">IF(OR(D164="",E164=""),"",E164*(1+D164/30))</f>
        <v/>
      </c>
      <c r="H164" s="19" t="n">
        <f aca="false">IF(G164="",0,G164)</f>
        <v>0</v>
      </c>
      <c r="I164" s="18" t="str">
        <f aca="false">IF(H164&gt;0,IF(H164&gt;=SUMPRODUCT(MAX(($B$5:$B$2004=B164)*$H$5:$H$2004)),"Rekor",""),"")</f>
        <v/>
      </c>
      <c r="J164" s="19" t="n">
        <f aca="false">IF(A164="",0,IF(COUNTIF(A$5:A164,A164)=1,1,0))</f>
        <v>0</v>
      </c>
    </row>
    <row r="165" customFormat="false" ht="15" hidden="false" customHeight="false" outlineLevel="0" collapsed="false">
      <c r="A165" s="12"/>
      <c r="B165" s="13"/>
      <c r="C165" s="14"/>
      <c r="D165" s="14"/>
      <c r="E165" s="15"/>
      <c r="F165" s="16" t="str">
        <f aca="false">IF(OR(C165="",D165="",E165=""),"",C165*D165*E165)</f>
        <v/>
      </c>
      <c r="G165" s="17" t="str">
        <f aca="false">IF(OR(D165="",E165=""),"",E165*(1+D165/30))</f>
        <v/>
      </c>
      <c r="H165" s="19" t="n">
        <f aca="false">IF(G165="",0,G165)</f>
        <v>0</v>
      </c>
      <c r="I165" s="18" t="str">
        <f aca="false">IF(H165&gt;0,IF(H165&gt;=SUMPRODUCT(MAX(($B$5:$B$2004=B165)*$H$5:$H$2004)),"Rekor",""),"")</f>
        <v/>
      </c>
      <c r="J165" s="19" t="n">
        <f aca="false">IF(A165="",0,IF(COUNTIF(A$5:A165,A165)=1,1,0))</f>
        <v>0</v>
      </c>
    </row>
    <row r="166" customFormat="false" ht="15" hidden="false" customHeight="false" outlineLevel="0" collapsed="false">
      <c r="A166" s="12"/>
      <c r="B166" s="13"/>
      <c r="C166" s="14"/>
      <c r="D166" s="14"/>
      <c r="E166" s="15"/>
      <c r="F166" s="16" t="str">
        <f aca="false">IF(OR(C166="",D166="",E166=""),"",C166*D166*E166)</f>
        <v/>
      </c>
      <c r="G166" s="17" t="str">
        <f aca="false">IF(OR(D166="",E166=""),"",E166*(1+D166/30))</f>
        <v/>
      </c>
      <c r="H166" s="19" t="n">
        <f aca="false">IF(G166="",0,G166)</f>
        <v>0</v>
      </c>
      <c r="I166" s="18" t="str">
        <f aca="false">IF(H166&gt;0,IF(H166&gt;=SUMPRODUCT(MAX(($B$5:$B$2004=B166)*$H$5:$H$2004)),"Rekor",""),"")</f>
        <v/>
      </c>
      <c r="J166" s="19" t="n">
        <f aca="false">IF(A166="",0,IF(COUNTIF(A$5:A166,A166)=1,1,0))</f>
        <v>0</v>
      </c>
    </row>
    <row r="167" customFormat="false" ht="15" hidden="false" customHeight="false" outlineLevel="0" collapsed="false">
      <c r="A167" s="12"/>
      <c r="B167" s="13"/>
      <c r="C167" s="14"/>
      <c r="D167" s="14"/>
      <c r="E167" s="15"/>
      <c r="F167" s="16" t="str">
        <f aca="false">IF(OR(C167="",D167="",E167=""),"",C167*D167*E167)</f>
        <v/>
      </c>
      <c r="G167" s="17" t="str">
        <f aca="false">IF(OR(D167="",E167=""),"",E167*(1+D167/30))</f>
        <v/>
      </c>
      <c r="H167" s="19" t="n">
        <f aca="false">IF(G167="",0,G167)</f>
        <v>0</v>
      </c>
      <c r="I167" s="18" t="str">
        <f aca="false">IF(H167&gt;0,IF(H167&gt;=SUMPRODUCT(MAX(($B$5:$B$2004=B167)*$H$5:$H$2004)),"Rekor",""),"")</f>
        <v/>
      </c>
      <c r="J167" s="19" t="n">
        <f aca="false">IF(A167="",0,IF(COUNTIF(A$5:A167,A167)=1,1,0))</f>
        <v>0</v>
      </c>
    </row>
    <row r="168" customFormat="false" ht="15" hidden="false" customHeight="false" outlineLevel="0" collapsed="false">
      <c r="A168" s="12"/>
      <c r="B168" s="13"/>
      <c r="C168" s="14"/>
      <c r="D168" s="14"/>
      <c r="E168" s="15"/>
      <c r="F168" s="16" t="str">
        <f aca="false">IF(OR(C168="",D168="",E168=""),"",C168*D168*E168)</f>
        <v/>
      </c>
      <c r="G168" s="17" t="str">
        <f aca="false">IF(OR(D168="",E168=""),"",E168*(1+D168/30))</f>
        <v/>
      </c>
      <c r="H168" s="19" t="n">
        <f aca="false">IF(G168="",0,G168)</f>
        <v>0</v>
      </c>
      <c r="I168" s="18" t="str">
        <f aca="false">IF(H168&gt;0,IF(H168&gt;=SUMPRODUCT(MAX(($B$5:$B$2004=B168)*$H$5:$H$2004)),"Rekor",""),"")</f>
        <v/>
      </c>
      <c r="J168" s="19" t="n">
        <f aca="false">IF(A168="",0,IF(COUNTIF(A$5:A168,A168)=1,1,0))</f>
        <v>0</v>
      </c>
    </row>
    <row r="169" customFormat="false" ht="15" hidden="false" customHeight="false" outlineLevel="0" collapsed="false">
      <c r="A169" s="12"/>
      <c r="B169" s="13"/>
      <c r="C169" s="14"/>
      <c r="D169" s="14"/>
      <c r="E169" s="15"/>
      <c r="F169" s="16" t="str">
        <f aca="false">IF(OR(C169="",D169="",E169=""),"",C169*D169*E169)</f>
        <v/>
      </c>
      <c r="G169" s="17" t="str">
        <f aca="false">IF(OR(D169="",E169=""),"",E169*(1+D169/30))</f>
        <v/>
      </c>
      <c r="H169" s="19" t="n">
        <f aca="false">IF(G169="",0,G169)</f>
        <v>0</v>
      </c>
      <c r="I169" s="18" t="str">
        <f aca="false">IF(H169&gt;0,IF(H169&gt;=SUMPRODUCT(MAX(($B$5:$B$2004=B169)*$H$5:$H$2004)),"Rekor",""),"")</f>
        <v/>
      </c>
      <c r="J169" s="19" t="n">
        <f aca="false">IF(A169="",0,IF(COUNTIF(A$5:A169,A169)=1,1,0))</f>
        <v>0</v>
      </c>
    </row>
    <row r="170" customFormat="false" ht="15" hidden="false" customHeight="false" outlineLevel="0" collapsed="false">
      <c r="A170" s="12"/>
      <c r="B170" s="13"/>
      <c r="C170" s="14"/>
      <c r="D170" s="14"/>
      <c r="E170" s="15"/>
      <c r="F170" s="16" t="str">
        <f aca="false">IF(OR(C170="",D170="",E170=""),"",C170*D170*E170)</f>
        <v/>
      </c>
      <c r="G170" s="17" t="str">
        <f aca="false">IF(OR(D170="",E170=""),"",E170*(1+D170/30))</f>
        <v/>
      </c>
      <c r="H170" s="19" t="n">
        <f aca="false">IF(G170="",0,G170)</f>
        <v>0</v>
      </c>
      <c r="I170" s="18" t="str">
        <f aca="false">IF(H170&gt;0,IF(H170&gt;=SUMPRODUCT(MAX(($B$5:$B$2004=B170)*$H$5:$H$2004)),"Rekor",""),"")</f>
        <v/>
      </c>
      <c r="J170" s="19" t="n">
        <f aca="false">IF(A170="",0,IF(COUNTIF(A$5:A170,A170)=1,1,0))</f>
        <v>0</v>
      </c>
    </row>
    <row r="171" customFormat="false" ht="15" hidden="false" customHeight="false" outlineLevel="0" collapsed="false">
      <c r="A171" s="12"/>
      <c r="B171" s="13"/>
      <c r="C171" s="14"/>
      <c r="D171" s="14"/>
      <c r="E171" s="15"/>
      <c r="F171" s="16" t="str">
        <f aca="false">IF(OR(C171="",D171="",E171=""),"",C171*D171*E171)</f>
        <v/>
      </c>
      <c r="G171" s="17" t="str">
        <f aca="false">IF(OR(D171="",E171=""),"",E171*(1+D171/30))</f>
        <v/>
      </c>
      <c r="H171" s="19" t="n">
        <f aca="false">IF(G171="",0,G171)</f>
        <v>0</v>
      </c>
      <c r="I171" s="18" t="str">
        <f aca="false">IF(H171&gt;0,IF(H171&gt;=SUMPRODUCT(MAX(($B$5:$B$2004=B171)*$H$5:$H$2004)),"Rekor",""),"")</f>
        <v/>
      </c>
      <c r="J171" s="19" t="n">
        <f aca="false">IF(A171="",0,IF(COUNTIF(A$5:A171,A171)=1,1,0))</f>
        <v>0</v>
      </c>
    </row>
    <row r="172" customFormat="false" ht="15" hidden="false" customHeight="false" outlineLevel="0" collapsed="false">
      <c r="A172" s="12"/>
      <c r="B172" s="13"/>
      <c r="C172" s="14"/>
      <c r="D172" s="14"/>
      <c r="E172" s="15"/>
      <c r="F172" s="16" t="str">
        <f aca="false">IF(OR(C172="",D172="",E172=""),"",C172*D172*E172)</f>
        <v/>
      </c>
      <c r="G172" s="17" t="str">
        <f aca="false">IF(OR(D172="",E172=""),"",E172*(1+D172/30))</f>
        <v/>
      </c>
      <c r="H172" s="19" t="n">
        <f aca="false">IF(G172="",0,G172)</f>
        <v>0</v>
      </c>
      <c r="I172" s="18" t="str">
        <f aca="false">IF(H172&gt;0,IF(H172&gt;=SUMPRODUCT(MAX(($B$5:$B$2004=B172)*$H$5:$H$2004)),"Rekor",""),"")</f>
        <v/>
      </c>
      <c r="J172" s="19" t="n">
        <f aca="false">IF(A172="",0,IF(COUNTIF(A$5:A172,A172)=1,1,0))</f>
        <v>0</v>
      </c>
    </row>
    <row r="173" customFormat="false" ht="15" hidden="false" customHeight="false" outlineLevel="0" collapsed="false">
      <c r="A173" s="12"/>
      <c r="B173" s="13"/>
      <c r="C173" s="14"/>
      <c r="D173" s="14"/>
      <c r="E173" s="15"/>
      <c r="F173" s="16" t="str">
        <f aca="false">IF(OR(C173="",D173="",E173=""),"",C173*D173*E173)</f>
        <v/>
      </c>
      <c r="G173" s="17" t="str">
        <f aca="false">IF(OR(D173="",E173=""),"",E173*(1+D173/30))</f>
        <v/>
      </c>
      <c r="H173" s="19" t="n">
        <f aca="false">IF(G173="",0,G173)</f>
        <v>0</v>
      </c>
      <c r="I173" s="18" t="str">
        <f aca="false">IF(H173&gt;0,IF(H173&gt;=SUMPRODUCT(MAX(($B$5:$B$2004=B173)*$H$5:$H$2004)),"Rekor",""),"")</f>
        <v/>
      </c>
      <c r="J173" s="19" t="n">
        <f aca="false">IF(A173="",0,IF(COUNTIF(A$5:A173,A173)=1,1,0))</f>
        <v>0</v>
      </c>
    </row>
    <row r="174" customFormat="false" ht="15" hidden="false" customHeight="false" outlineLevel="0" collapsed="false">
      <c r="A174" s="12"/>
      <c r="B174" s="13"/>
      <c r="C174" s="14"/>
      <c r="D174" s="14"/>
      <c r="E174" s="15"/>
      <c r="F174" s="16" t="str">
        <f aca="false">IF(OR(C174="",D174="",E174=""),"",C174*D174*E174)</f>
        <v/>
      </c>
      <c r="G174" s="17" t="str">
        <f aca="false">IF(OR(D174="",E174=""),"",E174*(1+D174/30))</f>
        <v/>
      </c>
      <c r="H174" s="19" t="n">
        <f aca="false">IF(G174="",0,G174)</f>
        <v>0</v>
      </c>
      <c r="I174" s="18" t="str">
        <f aca="false">IF(H174&gt;0,IF(H174&gt;=SUMPRODUCT(MAX(($B$5:$B$2004=B174)*$H$5:$H$2004)),"Rekor",""),"")</f>
        <v/>
      </c>
      <c r="J174" s="19" t="n">
        <f aca="false">IF(A174="",0,IF(COUNTIF(A$5:A174,A174)=1,1,0))</f>
        <v>0</v>
      </c>
    </row>
    <row r="175" customFormat="false" ht="15" hidden="false" customHeight="false" outlineLevel="0" collapsed="false">
      <c r="A175" s="12"/>
      <c r="B175" s="13"/>
      <c r="C175" s="14"/>
      <c r="D175" s="14"/>
      <c r="E175" s="15"/>
      <c r="F175" s="16" t="str">
        <f aca="false">IF(OR(C175="",D175="",E175=""),"",C175*D175*E175)</f>
        <v/>
      </c>
      <c r="G175" s="17" t="str">
        <f aca="false">IF(OR(D175="",E175=""),"",E175*(1+D175/30))</f>
        <v/>
      </c>
      <c r="H175" s="19" t="n">
        <f aca="false">IF(G175="",0,G175)</f>
        <v>0</v>
      </c>
      <c r="I175" s="18" t="str">
        <f aca="false">IF(H175&gt;0,IF(H175&gt;=SUMPRODUCT(MAX(($B$5:$B$2004=B175)*$H$5:$H$2004)),"Rekor",""),"")</f>
        <v/>
      </c>
      <c r="J175" s="19" t="n">
        <f aca="false">IF(A175="",0,IF(COUNTIF(A$5:A175,A175)=1,1,0))</f>
        <v>0</v>
      </c>
    </row>
    <row r="176" customFormat="false" ht="15" hidden="false" customHeight="false" outlineLevel="0" collapsed="false">
      <c r="A176" s="12"/>
      <c r="B176" s="13"/>
      <c r="C176" s="14"/>
      <c r="D176" s="14"/>
      <c r="E176" s="15"/>
      <c r="F176" s="16" t="str">
        <f aca="false">IF(OR(C176="",D176="",E176=""),"",C176*D176*E176)</f>
        <v/>
      </c>
      <c r="G176" s="17" t="str">
        <f aca="false">IF(OR(D176="",E176=""),"",E176*(1+D176/30))</f>
        <v/>
      </c>
      <c r="H176" s="19" t="n">
        <f aca="false">IF(G176="",0,G176)</f>
        <v>0</v>
      </c>
      <c r="I176" s="18" t="str">
        <f aca="false">IF(H176&gt;0,IF(H176&gt;=SUMPRODUCT(MAX(($B$5:$B$2004=B176)*$H$5:$H$2004)),"Rekor",""),"")</f>
        <v/>
      </c>
      <c r="J176" s="19" t="n">
        <f aca="false">IF(A176="",0,IF(COUNTIF(A$5:A176,A176)=1,1,0))</f>
        <v>0</v>
      </c>
    </row>
    <row r="177" customFormat="false" ht="15" hidden="false" customHeight="false" outlineLevel="0" collapsed="false">
      <c r="A177" s="12"/>
      <c r="B177" s="13"/>
      <c r="C177" s="14"/>
      <c r="D177" s="14"/>
      <c r="E177" s="15"/>
      <c r="F177" s="16" t="str">
        <f aca="false">IF(OR(C177="",D177="",E177=""),"",C177*D177*E177)</f>
        <v/>
      </c>
      <c r="G177" s="17" t="str">
        <f aca="false">IF(OR(D177="",E177=""),"",E177*(1+D177/30))</f>
        <v/>
      </c>
      <c r="H177" s="19" t="n">
        <f aca="false">IF(G177="",0,G177)</f>
        <v>0</v>
      </c>
      <c r="I177" s="18" t="str">
        <f aca="false">IF(H177&gt;0,IF(H177&gt;=SUMPRODUCT(MAX(($B$5:$B$2004=B177)*$H$5:$H$2004)),"Rekor",""),"")</f>
        <v/>
      </c>
      <c r="J177" s="19" t="n">
        <f aca="false">IF(A177="",0,IF(COUNTIF(A$5:A177,A177)=1,1,0))</f>
        <v>0</v>
      </c>
    </row>
    <row r="178" customFormat="false" ht="15" hidden="false" customHeight="false" outlineLevel="0" collapsed="false">
      <c r="A178" s="12"/>
      <c r="B178" s="13"/>
      <c r="C178" s="14"/>
      <c r="D178" s="14"/>
      <c r="E178" s="15"/>
      <c r="F178" s="16" t="str">
        <f aca="false">IF(OR(C178="",D178="",E178=""),"",C178*D178*E178)</f>
        <v/>
      </c>
      <c r="G178" s="17" t="str">
        <f aca="false">IF(OR(D178="",E178=""),"",E178*(1+D178/30))</f>
        <v/>
      </c>
      <c r="H178" s="19" t="n">
        <f aca="false">IF(G178="",0,G178)</f>
        <v>0</v>
      </c>
      <c r="I178" s="18" t="str">
        <f aca="false">IF(H178&gt;0,IF(H178&gt;=SUMPRODUCT(MAX(($B$5:$B$2004=B178)*$H$5:$H$2004)),"Rekor",""),"")</f>
        <v/>
      </c>
      <c r="J178" s="19" t="n">
        <f aca="false">IF(A178="",0,IF(COUNTIF(A$5:A178,A178)=1,1,0))</f>
        <v>0</v>
      </c>
    </row>
    <row r="179" customFormat="false" ht="15" hidden="false" customHeight="false" outlineLevel="0" collapsed="false">
      <c r="A179" s="12"/>
      <c r="B179" s="13"/>
      <c r="C179" s="14"/>
      <c r="D179" s="14"/>
      <c r="E179" s="15"/>
      <c r="F179" s="16" t="str">
        <f aca="false">IF(OR(C179="",D179="",E179=""),"",C179*D179*E179)</f>
        <v/>
      </c>
      <c r="G179" s="17" t="str">
        <f aca="false">IF(OR(D179="",E179=""),"",E179*(1+D179/30))</f>
        <v/>
      </c>
      <c r="H179" s="19" t="n">
        <f aca="false">IF(G179="",0,G179)</f>
        <v>0</v>
      </c>
      <c r="I179" s="18" t="str">
        <f aca="false">IF(H179&gt;0,IF(H179&gt;=SUMPRODUCT(MAX(($B$5:$B$2004=B179)*$H$5:$H$2004)),"Rekor",""),"")</f>
        <v/>
      </c>
      <c r="J179" s="19" t="n">
        <f aca="false">IF(A179="",0,IF(COUNTIF(A$5:A179,A179)=1,1,0))</f>
        <v>0</v>
      </c>
    </row>
    <row r="180" customFormat="false" ht="15" hidden="false" customHeight="false" outlineLevel="0" collapsed="false">
      <c r="A180" s="12"/>
      <c r="B180" s="13"/>
      <c r="C180" s="14"/>
      <c r="D180" s="14"/>
      <c r="E180" s="15"/>
      <c r="F180" s="16" t="str">
        <f aca="false">IF(OR(C180="",D180="",E180=""),"",C180*D180*E180)</f>
        <v/>
      </c>
      <c r="G180" s="17" t="str">
        <f aca="false">IF(OR(D180="",E180=""),"",E180*(1+D180/30))</f>
        <v/>
      </c>
      <c r="H180" s="19" t="n">
        <f aca="false">IF(G180="",0,G180)</f>
        <v>0</v>
      </c>
      <c r="I180" s="18" t="str">
        <f aca="false">IF(H180&gt;0,IF(H180&gt;=SUMPRODUCT(MAX(($B$5:$B$2004=B180)*$H$5:$H$2004)),"Rekor",""),"")</f>
        <v/>
      </c>
      <c r="J180" s="19" t="n">
        <f aca="false">IF(A180="",0,IF(COUNTIF(A$5:A180,A180)=1,1,0))</f>
        <v>0</v>
      </c>
    </row>
    <row r="181" customFormat="false" ht="15" hidden="false" customHeight="false" outlineLevel="0" collapsed="false">
      <c r="A181" s="12"/>
      <c r="B181" s="13"/>
      <c r="C181" s="14"/>
      <c r="D181" s="14"/>
      <c r="E181" s="15"/>
      <c r="F181" s="16" t="str">
        <f aca="false">IF(OR(C181="",D181="",E181=""),"",C181*D181*E181)</f>
        <v/>
      </c>
      <c r="G181" s="17" t="str">
        <f aca="false">IF(OR(D181="",E181=""),"",E181*(1+D181/30))</f>
        <v/>
      </c>
      <c r="H181" s="19" t="n">
        <f aca="false">IF(G181="",0,G181)</f>
        <v>0</v>
      </c>
      <c r="I181" s="18" t="str">
        <f aca="false">IF(H181&gt;0,IF(H181&gt;=SUMPRODUCT(MAX(($B$5:$B$2004=B181)*$H$5:$H$2004)),"Rekor",""),"")</f>
        <v/>
      </c>
      <c r="J181" s="19" t="n">
        <f aca="false">IF(A181="",0,IF(COUNTIF(A$5:A181,A181)=1,1,0))</f>
        <v>0</v>
      </c>
    </row>
    <row r="182" customFormat="false" ht="15" hidden="false" customHeight="false" outlineLevel="0" collapsed="false">
      <c r="A182" s="12"/>
      <c r="B182" s="13"/>
      <c r="C182" s="14"/>
      <c r="D182" s="14"/>
      <c r="E182" s="15"/>
      <c r="F182" s="16" t="str">
        <f aca="false">IF(OR(C182="",D182="",E182=""),"",C182*D182*E182)</f>
        <v/>
      </c>
      <c r="G182" s="17" t="str">
        <f aca="false">IF(OR(D182="",E182=""),"",E182*(1+D182/30))</f>
        <v/>
      </c>
      <c r="H182" s="19" t="n">
        <f aca="false">IF(G182="",0,G182)</f>
        <v>0</v>
      </c>
      <c r="I182" s="18" t="str">
        <f aca="false">IF(H182&gt;0,IF(H182&gt;=SUMPRODUCT(MAX(($B$5:$B$2004=B182)*$H$5:$H$2004)),"Rekor",""),"")</f>
        <v/>
      </c>
      <c r="J182" s="19" t="n">
        <f aca="false">IF(A182="",0,IF(COUNTIF(A$5:A182,A182)=1,1,0))</f>
        <v>0</v>
      </c>
    </row>
    <row r="183" customFormat="false" ht="15" hidden="false" customHeight="false" outlineLevel="0" collapsed="false">
      <c r="A183" s="12"/>
      <c r="B183" s="13"/>
      <c r="C183" s="14"/>
      <c r="D183" s="14"/>
      <c r="E183" s="15"/>
      <c r="F183" s="16" t="str">
        <f aca="false">IF(OR(C183="",D183="",E183=""),"",C183*D183*E183)</f>
        <v/>
      </c>
      <c r="G183" s="17" t="str">
        <f aca="false">IF(OR(D183="",E183=""),"",E183*(1+D183/30))</f>
        <v/>
      </c>
      <c r="H183" s="19" t="n">
        <f aca="false">IF(G183="",0,G183)</f>
        <v>0</v>
      </c>
      <c r="I183" s="18" t="str">
        <f aca="false">IF(H183&gt;0,IF(H183&gt;=SUMPRODUCT(MAX(($B$5:$B$2004=B183)*$H$5:$H$2004)),"Rekor",""),"")</f>
        <v/>
      </c>
      <c r="J183" s="19" t="n">
        <f aca="false">IF(A183="",0,IF(COUNTIF(A$5:A183,A183)=1,1,0))</f>
        <v>0</v>
      </c>
    </row>
    <row r="184" customFormat="false" ht="15" hidden="false" customHeight="false" outlineLevel="0" collapsed="false">
      <c r="A184" s="12"/>
      <c r="B184" s="13"/>
      <c r="C184" s="14"/>
      <c r="D184" s="14"/>
      <c r="E184" s="15"/>
      <c r="F184" s="16" t="str">
        <f aca="false">IF(OR(C184="",D184="",E184=""),"",C184*D184*E184)</f>
        <v/>
      </c>
      <c r="G184" s="17" t="str">
        <f aca="false">IF(OR(D184="",E184=""),"",E184*(1+D184/30))</f>
        <v/>
      </c>
      <c r="H184" s="19" t="n">
        <f aca="false">IF(G184="",0,G184)</f>
        <v>0</v>
      </c>
      <c r="I184" s="18" t="str">
        <f aca="false">IF(H184&gt;0,IF(H184&gt;=SUMPRODUCT(MAX(($B$5:$B$2004=B184)*$H$5:$H$2004)),"Rekor",""),"")</f>
        <v/>
      </c>
      <c r="J184" s="19" t="n">
        <f aca="false">IF(A184="",0,IF(COUNTIF(A$5:A184,A184)=1,1,0))</f>
        <v>0</v>
      </c>
    </row>
    <row r="185" customFormat="false" ht="15" hidden="false" customHeight="false" outlineLevel="0" collapsed="false">
      <c r="A185" s="12"/>
      <c r="B185" s="13"/>
      <c r="C185" s="14"/>
      <c r="D185" s="14"/>
      <c r="E185" s="15"/>
      <c r="F185" s="16" t="str">
        <f aca="false">IF(OR(C185="",D185="",E185=""),"",C185*D185*E185)</f>
        <v/>
      </c>
      <c r="G185" s="17" t="str">
        <f aca="false">IF(OR(D185="",E185=""),"",E185*(1+D185/30))</f>
        <v/>
      </c>
      <c r="H185" s="19" t="n">
        <f aca="false">IF(G185="",0,G185)</f>
        <v>0</v>
      </c>
      <c r="I185" s="18" t="str">
        <f aca="false">IF(H185&gt;0,IF(H185&gt;=SUMPRODUCT(MAX(($B$5:$B$2004=B185)*$H$5:$H$2004)),"Rekor",""),"")</f>
        <v/>
      </c>
      <c r="J185" s="19" t="n">
        <f aca="false">IF(A185="",0,IF(COUNTIF(A$5:A185,A185)=1,1,0))</f>
        <v>0</v>
      </c>
    </row>
    <row r="186" customFormat="false" ht="15" hidden="false" customHeight="false" outlineLevel="0" collapsed="false">
      <c r="A186" s="12"/>
      <c r="B186" s="13"/>
      <c r="C186" s="14"/>
      <c r="D186" s="14"/>
      <c r="E186" s="15"/>
      <c r="F186" s="16" t="str">
        <f aca="false">IF(OR(C186="",D186="",E186=""),"",C186*D186*E186)</f>
        <v/>
      </c>
      <c r="G186" s="17" t="str">
        <f aca="false">IF(OR(D186="",E186=""),"",E186*(1+D186/30))</f>
        <v/>
      </c>
      <c r="H186" s="19" t="n">
        <f aca="false">IF(G186="",0,G186)</f>
        <v>0</v>
      </c>
      <c r="I186" s="18" t="str">
        <f aca="false">IF(H186&gt;0,IF(H186&gt;=SUMPRODUCT(MAX(($B$5:$B$2004=B186)*$H$5:$H$2004)),"Rekor",""),"")</f>
        <v/>
      </c>
      <c r="J186" s="19" t="n">
        <f aca="false">IF(A186="",0,IF(COUNTIF(A$5:A186,A186)=1,1,0))</f>
        <v>0</v>
      </c>
    </row>
    <row r="187" customFormat="false" ht="15" hidden="false" customHeight="false" outlineLevel="0" collapsed="false">
      <c r="A187" s="12"/>
      <c r="B187" s="13"/>
      <c r="C187" s="14"/>
      <c r="D187" s="14"/>
      <c r="E187" s="15"/>
      <c r="F187" s="16" t="str">
        <f aca="false">IF(OR(C187="",D187="",E187=""),"",C187*D187*E187)</f>
        <v/>
      </c>
      <c r="G187" s="17" t="str">
        <f aca="false">IF(OR(D187="",E187=""),"",E187*(1+D187/30))</f>
        <v/>
      </c>
      <c r="H187" s="19" t="n">
        <f aca="false">IF(G187="",0,G187)</f>
        <v>0</v>
      </c>
      <c r="I187" s="18" t="str">
        <f aca="false">IF(H187&gt;0,IF(H187&gt;=SUMPRODUCT(MAX(($B$5:$B$2004=B187)*$H$5:$H$2004)),"Rekor",""),"")</f>
        <v/>
      </c>
      <c r="J187" s="19" t="n">
        <f aca="false">IF(A187="",0,IF(COUNTIF(A$5:A187,A187)=1,1,0))</f>
        <v>0</v>
      </c>
    </row>
    <row r="188" customFormat="false" ht="15" hidden="false" customHeight="false" outlineLevel="0" collapsed="false">
      <c r="A188" s="12"/>
      <c r="B188" s="13"/>
      <c r="C188" s="14"/>
      <c r="D188" s="14"/>
      <c r="E188" s="15"/>
      <c r="F188" s="16" t="str">
        <f aca="false">IF(OR(C188="",D188="",E188=""),"",C188*D188*E188)</f>
        <v/>
      </c>
      <c r="G188" s="17" t="str">
        <f aca="false">IF(OR(D188="",E188=""),"",E188*(1+D188/30))</f>
        <v/>
      </c>
      <c r="H188" s="19" t="n">
        <f aca="false">IF(G188="",0,G188)</f>
        <v>0</v>
      </c>
      <c r="I188" s="18" t="str">
        <f aca="false">IF(H188&gt;0,IF(H188&gt;=SUMPRODUCT(MAX(($B$5:$B$2004=B188)*$H$5:$H$2004)),"Rekor",""),"")</f>
        <v/>
      </c>
      <c r="J188" s="19" t="n">
        <f aca="false">IF(A188="",0,IF(COUNTIF(A$5:A188,A188)=1,1,0))</f>
        <v>0</v>
      </c>
    </row>
    <row r="189" customFormat="false" ht="15" hidden="false" customHeight="false" outlineLevel="0" collapsed="false">
      <c r="A189" s="12"/>
      <c r="B189" s="13"/>
      <c r="C189" s="14"/>
      <c r="D189" s="14"/>
      <c r="E189" s="15"/>
      <c r="F189" s="16" t="str">
        <f aca="false">IF(OR(C189="",D189="",E189=""),"",C189*D189*E189)</f>
        <v/>
      </c>
      <c r="G189" s="17" t="str">
        <f aca="false">IF(OR(D189="",E189=""),"",E189*(1+D189/30))</f>
        <v/>
      </c>
      <c r="H189" s="19" t="n">
        <f aca="false">IF(G189="",0,G189)</f>
        <v>0</v>
      </c>
      <c r="I189" s="18" t="str">
        <f aca="false">IF(H189&gt;0,IF(H189&gt;=SUMPRODUCT(MAX(($B$5:$B$2004=B189)*$H$5:$H$2004)),"Rekor",""),"")</f>
        <v/>
      </c>
      <c r="J189" s="19" t="n">
        <f aca="false">IF(A189="",0,IF(COUNTIF(A$5:A189,A189)=1,1,0))</f>
        <v>0</v>
      </c>
    </row>
    <row r="190" customFormat="false" ht="15" hidden="false" customHeight="false" outlineLevel="0" collapsed="false">
      <c r="A190" s="12"/>
      <c r="B190" s="13"/>
      <c r="C190" s="14"/>
      <c r="D190" s="14"/>
      <c r="E190" s="15"/>
      <c r="F190" s="16" t="str">
        <f aca="false">IF(OR(C190="",D190="",E190=""),"",C190*D190*E190)</f>
        <v/>
      </c>
      <c r="G190" s="17" t="str">
        <f aca="false">IF(OR(D190="",E190=""),"",E190*(1+D190/30))</f>
        <v/>
      </c>
      <c r="H190" s="19" t="n">
        <f aca="false">IF(G190="",0,G190)</f>
        <v>0</v>
      </c>
      <c r="I190" s="18" t="str">
        <f aca="false">IF(H190&gt;0,IF(H190&gt;=SUMPRODUCT(MAX(($B$5:$B$2004=B190)*$H$5:$H$2004)),"Rekor",""),"")</f>
        <v/>
      </c>
      <c r="J190" s="19" t="n">
        <f aca="false">IF(A190="",0,IF(COUNTIF(A$5:A190,A190)=1,1,0))</f>
        <v>0</v>
      </c>
    </row>
    <row r="191" customFormat="false" ht="15" hidden="false" customHeight="false" outlineLevel="0" collapsed="false">
      <c r="A191" s="12"/>
      <c r="B191" s="13"/>
      <c r="C191" s="14"/>
      <c r="D191" s="14"/>
      <c r="E191" s="15"/>
      <c r="F191" s="16" t="str">
        <f aca="false">IF(OR(C191="",D191="",E191=""),"",C191*D191*E191)</f>
        <v/>
      </c>
      <c r="G191" s="17" t="str">
        <f aca="false">IF(OR(D191="",E191=""),"",E191*(1+D191/30))</f>
        <v/>
      </c>
      <c r="H191" s="19" t="n">
        <f aca="false">IF(G191="",0,G191)</f>
        <v>0</v>
      </c>
      <c r="I191" s="18" t="str">
        <f aca="false">IF(H191&gt;0,IF(H191&gt;=SUMPRODUCT(MAX(($B$5:$B$2004=B191)*$H$5:$H$2004)),"Rekor",""),"")</f>
        <v/>
      </c>
      <c r="J191" s="19" t="n">
        <f aca="false">IF(A191="",0,IF(COUNTIF(A$5:A191,A191)=1,1,0))</f>
        <v>0</v>
      </c>
    </row>
    <row r="192" customFormat="false" ht="15" hidden="false" customHeight="false" outlineLevel="0" collapsed="false">
      <c r="A192" s="12"/>
      <c r="B192" s="13"/>
      <c r="C192" s="14"/>
      <c r="D192" s="14"/>
      <c r="E192" s="15"/>
      <c r="F192" s="16" t="str">
        <f aca="false">IF(OR(C192="",D192="",E192=""),"",C192*D192*E192)</f>
        <v/>
      </c>
      <c r="G192" s="17" t="str">
        <f aca="false">IF(OR(D192="",E192=""),"",E192*(1+D192/30))</f>
        <v/>
      </c>
      <c r="H192" s="19" t="n">
        <f aca="false">IF(G192="",0,G192)</f>
        <v>0</v>
      </c>
      <c r="I192" s="18" t="str">
        <f aca="false">IF(H192&gt;0,IF(H192&gt;=SUMPRODUCT(MAX(($B$5:$B$2004=B192)*$H$5:$H$2004)),"Rekor",""),"")</f>
        <v/>
      </c>
      <c r="J192" s="19" t="n">
        <f aca="false">IF(A192="",0,IF(COUNTIF(A$5:A192,A192)=1,1,0))</f>
        <v>0</v>
      </c>
    </row>
    <row r="193" customFormat="false" ht="15" hidden="false" customHeight="false" outlineLevel="0" collapsed="false">
      <c r="A193" s="12"/>
      <c r="B193" s="13"/>
      <c r="C193" s="14"/>
      <c r="D193" s="14"/>
      <c r="E193" s="15"/>
      <c r="F193" s="16" t="str">
        <f aca="false">IF(OR(C193="",D193="",E193=""),"",C193*D193*E193)</f>
        <v/>
      </c>
      <c r="G193" s="17" t="str">
        <f aca="false">IF(OR(D193="",E193=""),"",E193*(1+D193/30))</f>
        <v/>
      </c>
      <c r="H193" s="19" t="n">
        <f aca="false">IF(G193="",0,G193)</f>
        <v>0</v>
      </c>
      <c r="I193" s="18" t="str">
        <f aca="false">IF(H193&gt;0,IF(H193&gt;=SUMPRODUCT(MAX(($B$5:$B$2004=B193)*$H$5:$H$2004)),"Rekor",""),"")</f>
        <v/>
      </c>
      <c r="J193" s="19" t="n">
        <f aca="false">IF(A193="",0,IF(COUNTIF(A$5:A193,A193)=1,1,0))</f>
        <v>0</v>
      </c>
    </row>
    <row r="194" customFormat="false" ht="15" hidden="false" customHeight="false" outlineLevel="0" collapsed="false">
      <c r="A194" s="12"/>
      <c r="B194" s="13"/>
      <c r="C194" s="14"/>
      <c r="D194" s="14"/>
      <c r="E194" s="15"/>
      <c r="F194" s="16" t="str">
        <f aca="false">IF(OR(C194="",D194="",E194=""),"",C194*D194*E194)</f>
        <v/>
      </c>
      <c r="G194" s="17" t="str">
        <f aca="false">IF(OR(D194="",E194=""),"",E194*(1+D194/30))</f>
        <v/>
      </c>
      <c r="H194" s="19" t="n">
        <f aca="false">IF(G194="",0,G194)</f>
        <v>0</v>
      </c>
      <c r="I194" s="18" t="str">
        <f aca="false">IF(H194&gt;0,IF(H194&gt;=SUMPRODUCT(MAX(($B$5:$B$2004=B194)*$H$5:$H$2004)),"Rekor",""),"")</f>
        <v/>
      </c>
      <c r="J194" s="19" t="n">
        <f aca="false">IF(A194="",0,IF(COUNTIF(A$5:A194,A194)=1,1,0))</f>
        <v>0</v>
      </c>
    </row>
    <row r="195" customFormat="false" ht="15" hidden="false" customHeight="false" outlineLevel="0" collapsed="false">
      <c r="A195" s="12"/>
      <c r="B195" s="13"/>
      <c r="C195" s="14"/>
      <c r="D195" s="14"/>
      <c r="E195" s="15"/>
      <c r="F195" s="16" t="str">
        <f aca="false">IF(OR(C195="",D195="",E195=""),"",C195*D195*E195)</f>
        <v/>
      </c>
      <c r="G195" s="17" t="str">
        <f aca="false">IF(OR(D195="",E195=""),"",E195*(1+D195/30))</f>
        <v/>
      </c>
      <c r="H195" s="19" t="n">
        <f aca="false">IF(G195="",0,G195)</f>
        <v>0</v>
      </c>
      <c r="I195" s="18" t="str">
        <f aca="false">IF(H195&gt;0,IF(H195&gt;=SUMPRODUCT(MAX(($B$5:$B$2004=B195)*$H$5:$H$2004)),"Rekor",""),"")</f>
        <v/>
      </c>
      <c r="J195" s="19" t="n">
        <f aca="false">IF(A195="",0,IF(COUNTIF(A$5:A195,A195)=1,1,0))</f>
        <v>0</v>
      </c>
    </row>
    <row r="196" customFormat="false" ht="15" hidden="false" customHeight="false" outlineLevel="0" collapsed="false">
      <c r="A196" s="12"/>
      <c r="B196" s="13"/>
      <c r="C196" s="14"/>
      <c r="D196" s="14"/>
      <c r="E196" s="15"/>
      <c r="F196" s="16" t="str">
        <f aca="false">IF(OR(C196="",D196="",E196=""),"",C196*D196*E196)</f>
        <v/>
      </c>
      <c r="G196" s="17" t="str">
        <f aca="false">IF(OR(D196="",E196=""),"",E196*(1+D196/30))</f>
        <v/>
      </c>
      <c r="H196" s="19" t="n">
        <f aca="false">IF(G196="",0,G196)</f>
        <v>0</v>
      </c>
      <c r="I196" s="18" t="str">
        <f aca="false">IF(H196&gt;0,IF(H196&gt;=SUMPRODUCT(MAX(($B$5:$B$2004=B196)*$H$5:$H$2004)),"Rekor",""),"")</f>
        <v/>
      </c>
      <c r="J196" s="19" t="n">
        <f aca="false">IF(A196="",0,IF(COUNTIF(A$5:A196,A196)=1,1,0))</f>
        <v>0</v>
      </c>
    </row>
    <row r="197" customFormat="false" ht="15" hidden="false" customHeight="false" outlineLevel="0" collapsed="false">
      <c r="A197" s="12"/>
      <c r="B197" s="13"/>
      <c r="C197" s="14"/>
      <c r="D197" s="14"/>
      <c r="E197" s="15"/>
      <c r="F197" s="16" t="str">
        <f aca="false">IF(OR(C197="",D197="",E197=""),"",C197*D197*E197)</f>
        <v/>
      </c>
      <c r="G197" s="17" t="str">
        <f aca="false">IF(OR(D197="",E197=""),"",E197*(1+D197/30))</f>
        <v/>
      </c>
      <c r="H197" s="19" t="n">
        <f aca="false">IF(G197="",0,G197)</f>
        <v>0</v>
      </c>
      <c r="I197" s="18" t="str">
        <f aca="false">IF(H197&gt;0,IF(H197&gt;=SUMPRODUCT(MAX(($B$5:$B$2004=B197)*$H$5:$H$2004)),"Rekor",""),"")</f>
        <v/>
      </c>
      <c r="J197" s="19" t="n">
        <f aca="false">IF(A197="",0,IF(COUNTIF(A$5:A197,A197)=1,1,0))</f>
        <v>0</v>
      </c>
    </row>
    <row r="198" customFormat="false" ht="15" hidden="false" customHeight="false" outlineLevel="0" collapsed="false">
      <c r="A198" s="12"/>
      <c r="B198" s="13"/>
      <c r="C198" s="14"/>
      <c r="D198" s="14"/>
      <c r="E198" s="15"/>
      <c r="F198" s="16" t="str">
        <f aca="false">IF(OR(C198="",D198="",E198=""),"",C198*D198*E198)</f>
        <v/>
      </c>
      <c r="G198" s="17" t="str">
        <f aca="false">IF(OR(D198="",E198=""),"",E198*(1+D198/30))</f>
        <v/>
      </c>
      <c r="H198" s="19" t="n">
        <f aca="false">IF(G198="",0,G198)</f>
        <v>0</v>
      </c>
      <c r="I198" s="18" t="str">
        <f aca="false">IF(H198&gt;0,IF(H198&gt;=SUMPRODUCT(MAX(($B$5:$B$2004=B198)*$H$5:$H$2004)),"Rekor",""),"")</f>
        <v/>
      </c>
      <c r="J198" s="19" t="n">
        <f aca="false">IF(A198="",0,IF(COUNTIF(A$5:A198,A198)=1,1,0))</f>
        <v>0</v>
      </c>
    </row>
    <row r="199" customFormat="false" ht="15" hidden="false" customHeight="false" outlineLevel="0" collapsed="false">
      <c r="A199" s="12"/>
      <c r="B199" s="13"/>
      <c r="C199" s="14"/>
      <c r="D199" s="14"/>
      <c r="E199" s="15"/>
      <c r="F199" s="16" t="str">
        <f aca="false">IF(OR(C199="",D199="",E199=""),"",C199*D199*E199)</f>
        <v/>
      </c>
      <c r="G199" s="17" t="str">
        <f aca="false">IF(OR(D199="",E199=""),"",E199*(1+D199/30))</f>
        <v/>
      </c>
      <c r="H199" s="19" t="n">
        <f aca="false">IF(G199="",0,G199)</f>
        <v>0</v>
      </c>
      <c r="I199" s="18" t="str">
        <f aca="false">IF(H199&gt;0,IF(H199&gt;=SUMPRODUCT(MAX(($B$5:$B$2004=B199)*$H$5:$H$2004)),"Rekor",""),"")</f>
        <v/>
      </c>
      <c r="J199" s="19" t="n">
        <f aca="false">IF(A199="",0,IF(COUNTIF(A$5:A199,A199)=1,1,0))</f>
        <v>0</v>
      </c>
    </row>
    <row r="200" customFormat="false" ht="15" hidden="false" customHeight="false" outlineLevel="0" collapsed="false">
      <c r="A200" s="12"/>
      <c r="B200" s="13"/>
      <c r="C200" s="14"/>
      <c r="D200" s="14"/>
      <c r="E200" s="15"/>
      <c r="F200" s="16" t="str">
        <f aca="false">IF(OR(C200="",D200="",E200=""),"",C200*D200*E200)</f>
        <v/>
      </c>
      <c r="G200" s="17" t="str">
        <f aca="false">IF(OR(D200="",E200=""),"",E200*(1+D200/30))</f>
        <v/>
      </c>
      <c r="H200" s="19" t="n">
        <f aca="false">IF(G200="",0,G200)</f>
        <v>0</v>
      </c>
      <c r="I200" s="18" t="str">
        <f aca="false">IF(H200&gt;0,IF(H200&gt;=SUMPRODUCT(MAX(($B$5:$B$2004=B200)*$H$5:$H$2004)),"Rekor",""),"")</f>
        <v/>
      </c>
      <c r="J200" s="19" t="n">
        <f aca="false">IF(A200="",0,IF(COUNTIF(A$5:A200,A200)=1,1,0))</f>
        <v>0</v>
      </c>
    </row>
    <row r="201" customFormat="false" ht="15" hidden="false" customHeight="false" outlineLevel="0" collapsed="false">
      <c r="A201" s="12"/>
      <c r="B201" s="13"/>
      <c r="C201" s="14"/>
      <c r="D201" s="14"/>
      <c r="E201" s="15"/>
      <c r="F201" s="16" t="str">
        <f aca="false">IF(OR(C201="",D201="",E201=""),"",C201*D201*E201)</f>
        <v/>
      </c>
      <c r="G201" s="17" t="str">
        <f aca="false">IF(OR(D201="",E201=""),"",E201*(1+D201/30))</f>
        <v/>
      </c>
      <c r="H201" s="19" t="n">
        <f aca="false">IF(G201="",0,G201)</f>
        <v>0</v>
      </c>
      <c r="I201" s="18" t="str">
        <f aca="false">IF(H201&gt;0,IF(H201&gt;=SUMPRODUCT(MAX(($B$5:$B$2004=B201)*$H$5:$H$2004)),"Rekor",""),"")</f>
        <v/>
      </c>
      <c r="J201" s="19" t="n">
        <f aca="false">IF(A201="",0,IF(COUNTIF(A$5:A201,A201)=1,1,0))</f>
        <v>0</v>
      </c>
    </row>
    <row r="202" customFormat="false" ht="15" hidden="false" customHeight="false" outlineLevel="0" collapsed="false">
      <c r="A202" s="12"/>
      <c r="B202" s="13"/>
      <c r="C202" s="14"/>
      <c r="D202" s="14"/>
      <c r="E202" s="15"/>
      <c r="F202" s="16" t="str">
        <f aca="false">IF(OR(C202="",D202="",E202=""),"",C202*D202*E202)</f>
        <v/>
      </c>
      <c r="G202" s="17" t="str">
        <f aca="false">IF(OR(D202="",E202=""),"",E202*(1+D202/30))</f>
        <v/>
      </c>
      <c r="H202" s="19" t="n">
        <f aca="false">IF(G202="",0,G202)</f>
        <v>0</v>
      </c>
      <c r="I202" s="18" t="str">
        <f aca="false">IF(H202&gt;0,IF(H202&gt;=SUMPRODUCT(MAX(($B$5:$B$2004=B202)*$H$5:$H$2004)),"Rekor",""),"")</f>
        <v/>
      </c>
      <c r="J202" s="19" t="n">
        <f aca="false">IF(A202="",0,IF(COUNTIF(A$5:A202,A202)=1,1,0))</f>
        <v>0</v>
      </c>
    </row>
    <row r="203" customFormat="false" ht="15" hidden="false" customHeight="false" outlineLevel="0" collapsed="false">
      <c r="A203" s="12"/>
      <c r="B203" s="13"/>
      <c r="C203" s="14"/>
      <c r="D203" s="14"/>
      <c r="E203" s="15"/>
      <c r="F203" s="16" t="str">
        <f aca="false">IF(OR(C203="",D203="",E203=""),"",C203*D203*E203)</f>
        <v/>
      </c>
      <c r="G203" s="17" t="str">
        <f aca="false">IF(OR(D203="",E203=""),"",E203*(1+D203/30))</f>
        <v/>
      </c>
      <c r="H203" s="19" t="n">
        <f aca="false">IF(G203="",0,G203)</f>
        <v>0</v>
      </c>
      <c r="I203" s="18" t="str">
        <f aca="false">IF(H203&gt;0,IF(H203&gt;=SUMPRODUCT(MAX(($B$5:$B$2004=B203)*$H$5:$H$2004)),"Rekor",""),"")</f>
        <v/>
      </c>
      <c r="J203" s="19" t="n">
        <f aca="false">IF(A203="",0,IF(COUNTIF(A$5:A203,A203)=1,1,0))</f>
        <v>0</v>
      </c>
    </row>
    <row r="204" customFormat="false" ht="15" hidden="false" customHeight="false" outlineLevel="0" collapsed="false">
      <c r="A204" s="12"/>
      <c r="B204" s="13"/>
      <c r="C204" s="14"/>
      <c r="D204" s="14"/>
      <c r="E204" s="15"/>
      <c r="F204" s="16" t="str">
        <f aca="false">IF(OR(C204="",D204="",E204=""),"",C204*D204*E204)</f>
        <v/>
      </c>
      <c r="G204" s="17" t="str">
        <f aca="false">IF(OR(D204="",E204=""),"",E204*(1+D204/30))</f>
        <v/>
      </c>
      <c r="H204" s="19" t="n">
        <f aca="false">IF(G204="",0,G204)</f>
        <v>0</v>
      </c>
      <c r="I204" s="18" t="str">
        <f aca="false">IF(H204&gt;0,IF(H204&gt;=SUMPRODUCT(MAX(($B$5:$B$2004=B204)*$H$5:$H$2004)),"Rekor",""),"")</f>
        <v/>
      </c>
      <c r="J204" s="19" t="n">
        <f aca="false">IF(A204="",0,IF(COUNTIF(A$5:A204,A204)=1,1,0))</f>
        <v>0</v>
      </c>
    </row>
    <row r="205" customFormat="false" ht="15" hidden="false" customHeight="false" outlineLevel="0" collapsed="false">
      <c r="A205" s="12"/>
      <c r="B205" s="13"/>
      <c r="C205" s="14"/>
      <c r="D205" s="14"/>
      <c r="E205" s="15"/>
      <c r="F205" s="16" t="str">
        <f aca="false">IF(OR(C205="",D205="",E205=""),"",C205*D205*E205)</f>
        <v/>
      </c>
      <c r="G205" s="17" t="str">
        <f aca="false">IF(OR(D205="",E205=""),"",E205*(1+D205/30))</f>
        <v/>
      </c>
      <c r="H205" s="19" t="n">
        <f aca="false">IF(G205="",0,G205)</f>
        <v>0</v>
      </c>
      <c r="I205" s="18" t="str">
        <f aca="false">IF(H205&gt;0,IF(H205&gt;=SUMPRODUCT(MAX(($B$5:$B$2004=B205)*$H$5:$H$2004)),"Rekor",""),"")</f>
        <v/>
      </c>
      <c r="J205" s="19" t="n">
        <f aca="false">IF(A205="",0,IF(COUNTIF(A$5:A205,A205)=1,1,0))</f>
        <v>0</v>
      </c>
    </row>
    <row r="206" customFormat="false" ht="15" hidden="false" customHeight="false" outlineLevel="0" collapsed="false">
      <c r="A206" s="12"/>
      <c r="B206" s="13"/>
      <c r="C206" s="14"/>
      <c r="D206" s="14"/>
      <c r="E206" s="15"/>
      <c r="F206" s="16" t="str">
        <f aca="false">IF(OR(C206="",D206="",E206=""),"",C206*D206*E206)</f>
        <v/>
      </c>
      <c r="G206" s="17" t="str">
        <f aca="false">IF(OR(D206="",E206=""),"",E206*(1+D206/30))</f>
        <v/>
      </c>
      <c r="H206" s="19" t="n">
        <f aca="false">IF(G206="",0,G206)</f>
        <v>0</v>
      </c>
      <c r="I206" s="18" t="str">
        <f aca="false">IF(H206&gt;0,IF(H206&gt;=SUMPRODUCT(MAX(($B$5:$B$2004=B206)*$H$5:$H$2004)),"Rekor",""),"")</f>
        <v/>
      </c>
      <c r="J206" s="19" t="n">
        <f aca="false">IF(A206="",0,IF(COUNTIF(A$5:A206,A206)=1,1,0))</f>
        <v>0</v>
      </c>
    </row>
    <row r="207" customFormat="false" ht="15" hidden="false" customHeight="false" outlineLevel="0" collapsed="false">
      <c r="A207" s="12"/>
      <c r="B207" s="13"/>
      <c r="C207" s="14"/>
      <c r="D207" s="14"/>
      <c r="E207" s="15"/>
      <c r="F207" s="16" t="str">
        <f aca="false">IF(OR(C207="",D207="",E207=""),"",C207*D207*E207)</f>
        <v/>
      </c>
      <c r="G207" s="17" t="str">
        <f aca="false">IF(OR(D207="",E207=""),"",E207*(1+D207/30))</f>
        <v/>
      </c>
      <c r="H207" s="19" t="n">
        <f aca="false">IF(G207="",0,G207)</f>
        <v>0</v>
      </c>
      <c r="I207" s="18" t="str">
        <f aca="false">IF(H207&gt;0,IF(H207&gt;=SUMPRODUCT(MAX(($B$5:$B$2004=B207)*$H$5:$H$2004)),"Rekor",""),"")</f>
        <v/>
      </c>
      <c r="J207" s="19" t="n">
        <f aca="false">IF(A207="",0,IF(COUNTIF(A$5:A207,A207)=1,1,0))</f>
        <v>0</v>
      </c>
    </row>
    <row r="208" customFormat="false" ht="15" hidden="false" customHeight="false" outlineLevel="0" collapsed="false">
      <c r="A208" s="12"/>
      <c r="B208" s="13"/>
      <c r="C208" s="14"/>
      <c r="D208" s="14"/>
      <c r="E208" s="15"/>
      <c r="F208" s="16" t="str">
        <f aca="false">IF(OR(C208="",D208="",E208=""),"",C208*D208*E208)</f>
        <v/>
      </c>
      <c r="G208" s="17" t="str">
        <f aca="false">IF(OR(D208="",E208=""),"",E208*(1+D208/30))</f>
        <v/>
      </c>
      <c r="H208" s="19" t="n">
        <f aca="false">IF(G208="",0,G208)</f>
        <v>0</v>
      </c>
      <c r="I208" s="18" t="str">
        <f aca="false">IF(H208&gt;0,IF(H208&gt;=SUMPRODUCT(MAX(($B$5:$B$2004=B208)*$H$5:$H$2004)),"Rekor",""),"")</f>
        <v/>
      </c>
      <c r="J208" s="19" t="n">
        <f aca="false">IF(A208="",0,IF(COUNTIF(A$5:A208,A208)=1,1,0))</f>
        <v>0</v>
      </c>
    </row>
    <row r="209" customFormat="false" ht="15" hidden="false" customHeight="false" outlineLevel="0" collapsed="false">
      <c r="A209" s="12"/>
      <c r="B209" s="13"/>
      <c r="C209" s="14"/>
      <c r="D209" s="14"/>
      <c r="E209" s="15"/>
      <c r="F209" s="16" t="str">
        <f aca="false">IF(OR(C209="",D209="",E209=""),"",C209*D209*E209)</f>
        <v/>
      </c>
      <c r="G209" s="17" t="str">
        <f aca="false">IF(OR(D209="",E209=""),"",E209*(1+D209/30))</f>
        <v/>
      </c>
      <c r="H209" s="19" t="n">
        <f aca="false">IF(G209="",0,G209)</f>
        <v>0</v>
      </c>
      <c r="I209" s="18" t="str">
        <f aca="false">IF(H209&gt;0,IF(H209&gt;=SUMPRODUCT(MAX(($B$5:$B$2004=B209)*$H$5:$H$2004)),"Rekor",""),"")</f>
        <v/>
      </c>
      <c r="J209" s="19" t="n">
        <f aca="false">IF(A209="",0,IF(COUNTIF(A$5:A209,A209)=1,1,0))</f>
        <v>0</v>
      </c>
    </row>
    <row r="210" customFormat="false" ht="15" hidden="false" customHeight="false" outlineLevel="0" collapsed="false">
      <c r="A210" s="12"/>
      <c r="B210" s="13"/>
      <c r="C210" s="14"/>
      <c r="D210" s="14"/>
      <c r="E210" s="15"/>
      <c r="F210" s="16" t="str">
        <f aca="false">IF(OR(C210="",D210="",E210=""),"",C210*D210*E210)</f>
        <v/>
      </c>
      <c r="G210" s="17" t="str">
        <f aca="false">IF(OR(D210="",E210=""),"",E210*(1+D210/30))</f>
        <v/>
      </c>
      <c r="H210" s="19" t="n">
        <f aca="false">IF(G210="",0,G210)</f>
        <v>0</v>
      </c>
      <c r="I210" s="18" t="str">
        <f aca="false">IF(H210&gt;0,IF(H210&gt;=SUMPRODUCT(MAX(($B$5:$B$2004=B210)*$H$5:$H$2004)),"Rekor",""),"")</f>
        <v/>
      </c>
      <c r="J210" s="19" t="n">
        <f aca="false">IF(A210="",0,IF(COUNTIF(A$5:A210,A210)=1,1,0))</f>
        <v>0</v>
      </c>
    </row>
    <row r="211" customFormat="false" ht="15" hidden="false" customHeight="false" outlineLevel="0" collapsed="false">
      <c r="A211" s="12"/>
      <c r="B211" s="13"/>
      <c r="C211" s="14"/>
      <c r="D211" s="14"/>
      <c r="E211" s="15"/>
      <c r="F211" s="16" t="str">
        <f aca="false">IF(OR(C211="",D211="",E211=""),"",C211*D211*E211)</f>
        <v/>
      </c>
      <c r="G211" s="17" t="str">
        <f aca="false">IF(OR(D211="",E211=""),"",E211*(1+D211/30))</f>
        <v/>
      </c>
      <c r="H211" s="19" t="n">
        <f aca="false">IF(G211="",0,G211)</f>
        <v>0</v>
      </c>
      <c r="I211" s="18" t="str">
        <f aca="false">IF(H211&gt;0,IF(H211&gt;=SUMPRODUCT(MAX(($B$5:$B$2004=B211)*$H$5:$H$2004)),"Rekor",""),"")</f>
        <v/>
      </c>
      <c r="J211" s="19" t="n">
        <f aca="false">IF(A211="",0,IF(COUNTIF(A$5:A211,A211)=1,1,0))</f>
        <v>0</v>
      </c>
    </row>
    <row r="212" customFormat="false" ht="15" hidden="false" customHeight="false" outlineLevel="0" collapsed="false">
      <c r="A212" s="12"/>
      <c r="B212" s="13"/>
      <c r="C212" s="14"/>
      <c r="D212" s="14"/>
      <c r="E212" s="15"/>
      <c r="F212" s="16" t="str">
        <f aca="false">IF(OR(C212="",D212="",E212=""),"",C212*D212*E212)</f>
        <v/>
      </c>
      <c r="G212" s="17" t="str">
        <f aca="false">IF(OR(D212="",E212=""),"",E212*(1+D212/30))</f>
        <v/>
      </c>
      <c r="H212" s="19" t="n">
        <f aca="false">IF(G212="",0,G212)</f>
        <v>0</v>
      </c>
      <c r="I212" s="18" t="str">
        <f aca="false">IF(H212&gt;0,IF(H212&gt;=SUMPRODUCT(MAX(($B$5:$B$2004=B212)*$H$5:$H$2004)),"Rekor",""),"")</f>
        <v/>
      </c>
      <c r="J212" s="19" t="n">
        <f aca="false">IF(A212="",0,IF(COUNTIF(A$5:A212,A212)=1,1,0))</f>
        <v>0</v>
      </c>
    </row>
    <row r="213" customFormat="false" ht="15" hidden="false" customHeight="false" outlineLevel="0" collapsed="false">
      <c r="A213" s="12"/>
      <c r="B213" s="13"/>
      <c r="C213" s="14"/>
      <c r="D213" s="14"/>
      <c r="E213" s="15"/>
      <c r="F213" s="16" t="str">
        <f aca="false">IF(OR(C213="",D213="",E213=""),"",C213*D213*E213)</f>
        <v/>
      </c>
      <c r="G213" s="17" t="str">
        <f aca="false">IF(OR(D213="",E213=""),"",E213*(1+D213/30))</f>
        <v/>
      </c>
      <c r="H213" s="19" t="n">
        <f aca="false">IF(G213="",0,G213)</f>
        <v>0</v>
      </c>
      <c r="I213" s="18" t="str">
        <f aca="false">IF(H213&gt;0,IF(H213&gt;=SUMPRODUCT(MAX(($B$5:$B$2004=B213)*$H$5:$H$2004)),"Rekor",""),"")</f>
        <v/>
      </c>
      <c r="J213" s="19" t="n">
        <f aca="false">IF(A213="",0,IF(COUNTIF(A$5:A213,A213)=1,1,0))</f>
        <v>0</v>
      </c>
    </row>
    <row r="214" customFormat="false" ht="15" hidden="false" customHeight="false" outlineLevel="0" collapsed="false">
      <c r="A214" s="12"/>
      <c r="B214" s="13"/>
      <c r="C214" s="14"/>
      <c r="D214" s="14"/>
      <c r="E214" s="15"/>
      <c r="F214" s="16" t="str">
        <f aca="false">IF(OR(C214="",D214="",E214=""),"",C214*D214*E214)</f>
        <v/>
      </c>
      <c r="G214" s="17" t="str">
        <f aca="false">IF(OR(D214="",E214=""),"",E214*(1+D214/30))</f>
        <v/>
      </c>
      <c r="H214" s="19" t="n">
        <f aca="false">IF(G214="",0,G214)</f>
        <v>0</v>
      </c>
      <c r="I214" s="18" t="str">
        <f aca="false">IF(H214&gt;0,IF(H214&gt;=SUMPRODUCT(MAX(($B$5:$B$2004=B214)*$H$5:$H$2004)),"Rekor",""),"")</f>
        <v/>
      </c>
      <c r="J214" s="19" t="n">
        <f aca="false">IF(A214="",0,IF(COUNTIF(A$5:A214,A214)=1,1,0))</f>
        <v>0</v>
      </c>
    </row>
    <row r="215" customFormat="false" ht="15" hidden="false" customHeight="false" outlineLevel="0" collapsed="false">
      <c r="A215" s="12"/>
      <c r="B215" s="13"/>
      <c r="C215" s="14"/>
      <c r="D215" s="14"/>
      <c r="E215" s="15"/>
      <c r="F215" s="16" t="str">
        <f aca="false">IF(OR(C215="",D215="",E215=""),"",C215*D215*E215)</f>
        <v/>
      </c>
      <c r="G215" s="17" t="str">
        <f aca="false">IF(OR(D215="",E215=""),"",E215*(1+D215/30))</f>
        <v/>
      </c>
      <c r="H215" s="19" t="n">
        <f aca="false">IF(G215="",0,G215)</f>
        <v>0</v>
      </c>
      <c r="I215" s="18" t="str">
        <f aca="false">IF(H215&gt;0,IF(H215&gt;=SUMPRODUCT(MAX(($B$5:$B$2004=B215)*$H$5:$H$2004)),"Rekor",""),"")</f>
        <v/>
      </c>
      <c r="J215" s="19" t="n">
        <f aca="false">IF(A215="",0,IF(COUNTIF(A$5:A215,A215)=1,1,0))</f>
        <v>0</v>
      </c>
    </row>
    <row r="216" customFormat="false" ht="15" hidden="false" customHeight="false" outlineLevel="0" collapsed="false">
      <c r="A216" s="12"/>
      <c r="B216" s="13"/>
      <c r="C216" s="14"/>
      <c r="D216" s="14"/>
      <c r="E216" s="15"/>
      <c r="F216" s="16" t="str">
        <f aca="false">IF(OR(C216="",D216="",E216=""),"",C216*D216*E216)</f>
        <v/>
      </c>
      <c r="G216" s="17" t="str">
        <f aca="false">IF(OR(D216="",E216=""),"",E216*(1+D216/30))</f>
        <v/>
      </c>
      <c r="H216" s="19" t="n">
        <f aca="false">IF(G216="",0,G216)</f>
        <v>0</v>
      </c>
      <c r="I216" s="18" t="str">
        <f aca="false">IF(H216&gt;0,IF(H216&gt;=SUMPRODUCT(MAX(($B$5:$B$2004=B216)*$H$5:$H$2004)),"Rekor",""),"")</f>
        <v/>
      </c>
      <c r="J216" s="19" t="n">
        <f aca="false">IF(A216="",0,IF(COUNTIF(A$5:A216,A216)=1,1,0))</f>
        <v>0</v>
      </c>
    </row>
    <row r="217" customFormat="false" ht="15" hidden="false" customHeight="false" outlineLevel="0" collapsed="false">
      <c r="A217" s="12"/>
      <c r="B217" s="13"/>
      <c r="C217" s="14"/>
      <c r="D217" s="14"/>
      <c r="E217" s="15"/>
      <c r="F217" s="16" t="str">
        <f aca="false">IF(OR(C217="",D217="",E217=""),"",C217*D217*E217)</f>
        <v/>
      </c>
      <c r="G217" s="17" t="str">
        <f aca="false">IF(OR(D217="",E217=""),"",E217*(1+D217/30))</f>
        <v/>
      </c>
      <c r="H217" s="19" t="n">
        <f aca="false">IF(G217="",0,G217)</f>
        <v>0</v>
      </c>
      <c r="I217" s="18" t="str">
        <f aca="false">IF(H217&gt;0,IF(H217&gt;=SUMPRODUCT(MAX(($B$5:$B$2004=B217)*$H$5:$H$2004)),"Rekor",""),"")</f>
        <v/>
      </c>
      <c r="J217" s="19" t="n">
        <f aca="false">IF(A217="",0,IF(COUNTIF(A$5:A217,A217)=1,1,0))</f>
        <v>0</v>
      </c>
    </row>
    <row r="218" customFormat="false" ht="15" hidden="false" customHeight="false" outlineLevel="0" collapsed="false">
      <c r="A218" s="12"/>
      <c r="B218" s="13"/>
      <c r="C218" s="14"/>
      <c r="D218" s="14"/>
      <c r="E218" s="15"/>
      <c r="F218" s="16" t="str">
        <f aca="false">IF(OR(C218="",D218="",E218=""),"",C218*D218*E218)</f>
        <v/>
      </c>
      <c r="G218" s="17" t="str">
        <f aca="false">IF(OR(D218="",E218=""),"",E218*(1+D218/30))</f>
        <v/>
      </c>
      <c r="H218" s="19" t="n">
        <f aca="false">IF(G218="",0,G218)</f>
        <v>0</v>
      </c>
      <c r="I218" s="18" t="str">
        <f aca="false">IF(H218&gt;0,IF(H218&gt;=SUMPRODUCT(MAX(($B$5:$B$2004=B218)*$H$5:$H$2004)),"Rekor",""),"")</f>
        <v/>
      </c>
      <c r="J218" s="19" t="n">
        <f aca="false">IF(A218="",0,IF(COUNTIF(A$5:A218,A218)=1,1,0))</f>
        <v>0</v>
      </c>
    </row>
    <row r="219" customFormat="false" ht="15" hidden="false" customHeight="false" outlineLevel="0" collapsed="false">
      <c r="A219" s="12"/>
      <c r="B219" s="13"/>
      <c r="C219" s="14"/>
      <c r="D219" s="14"/>
      <c r="E219" s="15"/>
      <c r="F219" s="16" t="str">
        <f aca="false">IF(OR(C219="",D219="",E219=""),"",C219*D219*E219)</f>
        <v/>
      </c>
      <c r="G219" s="17" t="str">
        <f aca="false">IF(OR(D219="",E219=""),"",E219*(1+D219/30))</f>
        <v/>
      </c>
      <c r="H219" s="19" t="n">
        <f aca="false">IF(G219="",0,G219)</f>
        <v>0</v>
      </c>
      <c r="I219" s="18" t="str">
        <f aca="false">IF(H219&gt;0,IF(H219&gt;=SUMPRODUCT(MAX(($B$5:$B$2004=B219)*$H$5:$H$2004)),"Rekor",""),"")</f>
        <v/>
      </c>
      <c r="J219" s="19" t="n">
        <f aca="false">IF(A219="",0,IF(COUNTIF(A$5:A219,A219)=1,1,0))</f>
        <v>0</v>
      </c>
    </row>
    <row r="220" customFormat="false" ht="15" hidden="false" customHeight="false" outlineLevel="0" collapsed="false">
      <c r="A220" s="12"/>
      <c r="B220" s="13"/>
      <c r="C220" s="14"/>
      <c r="D220" s="14"/>
      <c r="E220" s="15"/>
      <c r="F220" s="16" t="str">
        <f aca="false">IF(OR(C220="",D220="",E220=""),"",C220*D220*E220)</f>
        <v/>
      </c>
      <c r="G220" s="17" t="str">
        <f aca="false">IF(OR(D220="",E220=""),"",E220*(1+D220/30))</f>
        <v/>
      </c>
      <c r="H220" s="19" t="n">
        <f aca="false">IF(G220="",0,G220)</f>
        <v>0</v>
      </c>
      <c r="I220" s="18" t="str">
        <f aca="false">IF(H220&gt;0,IF(H220&gt;=SUMPRODUCT(MAX(($B$5:$B$2004=B220)*$H$5:$H$2004)),"Rekor",""),"")</f>
        <v/>
      </c>
      <c r="J220" s="19" t="n">
        <f aca="false">IF(A220="",0,IF(COUNTIF(A$5:A220,A220)=1,1,0))</f>
        <v>0</v>
      </c>
    </row>
    <row r="221" customFormat="false" ht="15" hidden="false" customHeight="false" outlineLevel="0" collapsed="false">
      <c r="A221" s="12"/>
      <c r="B221" s="13"/>
      <c r="C221" s="14"/>
      <c r="D221" s="14"/>
      <c r="E221" s="15"/>
      <c r="F221" s="16" t="str">
        <f aca="false">IF(OR(C221="",D221="",E221=""),"",C221*D221*E221)</f>
        <v/>
      </c>
      <c r="G221" s="17" t="str">
        <f aca="false">IF(OR(D221="",E221=""),"",E221*(1+D221/30))</f>
        <v/>
      </c>
      <c r="H221" s="19" t="n">
        <f aca="false">IF(G221="",0,G221)</f>
        <v>0</v>
      </c>
      <c r="I221" s="18" t="str">
        <f aca="false">IF(H221&gt;0,IF(H221&gt;=SUMPRODUCT(MAX(($B$5:$B$2004=B221)*$H$5:$H$2004)),"Rekor",""),"")</f>
        <v/>
      </c>
      <c r="J221" s="19" t="n">
        <f aca="false">IF(A221="",0,IF(COUNTIF(A$5:A221,A221)=1,1,0))</f>
        <v>0</v>
      </c>
    </row>
    <row r="222" customFormat="false" ht="15" hidden="false" customHeight="false" outlineLevel="0" collapsed="false">
      <c r="A222" s="12"/>
      <c r="B222" s="13"/>
      <c r="C222" s="14"/>
      <c r="D222" s="14"/>
      <c r="E222" s="15"/>
      <c r="F222" s="16" t="str">
        <f aca="false">IF(OR(C222="",D222="",E222=""),"",C222*D222*E222)</f>
        <v/>
      </c>
      <c r="G222" s="17" t="str">
        <f aca="false">IF(OR(D222="",E222=""),"",E222*(1+D222/30))</f>
        <v/>
      </c>
      <c r="H222" s="19" t="n">
        <f aca="false">IF(G222="",0,G222)</f>
        <v>0</v>
      </c>
      <c r="I222" s="18" t="str">
        <f aca="false">IF(H222&gt;0,IF(H222&gt;=SUMPRODUCT(MAX(($B$5:$B$2004=B222)*$H$5:$H$2004)),"Rekor",""),"")</f>
        <v/>
      </c>
      <c r="J222" s="19" t="n">
        <f aca="false">IF(A222="",0,IF(COUNTIF(A$5:A222,A222)=1,1,0))</f>
        <v>0</v>
      </c>
    </row>
    <row r="223" customFormat="false" ht="15" hidden="false" customHeight="false" outlineLevel="0" collapsed="false">
      <c r="A223" s="12"/>
      <c r="B223" s="13"/>
      <c r="C223" s="14"/>
      <c r="D223" s="14"/>
      <c r="E223" s="15"/>
      <c r="F223" s="16" t="str">
        <f aca="false">IF(OR(C223="",D223="",E223=""),"",C223*D223*E223)</f>
        <v/>
      </c>
      <c r="G223" s="17" t="str">
        <f aca="false">IF(OR(D223="",E223=""),"",E223*(1+D223/30))</f>
        <v/>
      </c>
      <c r="H223" s="19" t="n">
        <f aca="false">IF(G223="",0,G223)</f>
        <v>0</v>
      </c>
      <c r="I223" s="18" t="str">
        <f aca="false">IF(H223&gt;0,IF(H223&gt;=SUMPRODUCT(MAX(($B$5:$B$2004=B223)*$H$5:$H$2004)),"Rekor",""),"")</f>
        <v/>
      </c>
      <c r="J223" s="19" t="n">
        <f aca="false">IF(A223="",0,IF(COUNTIF(A$5:A223,A223)=1,1,0))</f>
        <v>0</v>
      </c>
    </row>
    <row r="224" customFormat="false" ht="15" hidden="false" customHeight="false" outlineLevel="0" collapsed="false">
      <c r="A224" s="12"/>
      <c r="B224" s="13"/>
      <c r="C224" s="14"/>
      <c r="D224" s="14"/>
      <c r="E224" s="15"/>
      <c r="F224" s="16" t="str">
        <f aca="false">IF(OR(C224="",D224="",E224=""),"",C224*D224*E224)</f>
        <v/>
      </c>
      <c r="G224" s="17" t="str">
        <f aca="false">IF(OR(D224="",E224=""),"",E224*(1+D224/30))</f>
        <v/>
      </c>
      <c r="H224" s="19" t="n">
        <f aca="false">IF(G224="",0,G224)</f>
        <v>0</v>
      </c>
      <c r="I224" s="18" t="str">
        <f aca="false">IF(H224&gt;0,IF(H224&gt;=SUMPRODUCT(MAX(($B$5:$B$2004=B224)*$H$5:$H$2004)),"Rekor",""),"")</f>
        <v/>
      </c>
      <c r="J224" s="19" t="n">
        <f aca="false">IF(A224="",0,IF(COUNTIF(A$5:A224,A224)=1,1,0))</f>
        <v>0</v>
      </c>
    </row>
    <row r="225" customFormat="false" ht="15" hidden="false" customHeight="false" outlineLevel="0" collapsed="false">
      <c r="A225" s="12"/>
      <c r="B225" s="13"/>
      <c r="C225" s="14"/>
      <c r="D225" s="14"/>
      <c r="E225" s="15"/>
      <c r="F225" s="16" t="str">
        <f aca="false">IF(OR(C225="",D225="",E225=""),"",C225*D225*E225)</f>
        <v/>
      </c>
      <c r="G225" s="17" t="str">
        <f aca="false">IF(OR(D225="",E225=""),"",E225*(1+D225/30))</f>
        <v/>
      </c>
      <c r="H225" s="19" t="n">
        <f aca="false">IF(G225="",0,G225)</f>
        <v>0</v>
      </c>
      <c r="I225" s="18" t="str">
        <f aca="false">IF(H225&gt;0,IF(H225&gt;=SUMPRODUCT(MAX(($B$5:$B$2004=B225)*$H$5:$H$2004)),"Rekor",""),"")</f>
        <v/>
      </c>
      <c r="J225" s="19" t="n">
        <f aca="false">IF(A225="",0,IF(COUNTIF(A$5:A225,A225)=1,1,0))</f>
        <v>0</v>
      </c>
    </row>
    <row r="226" customFormat="false" ht="15" hidden="false" customHeight="false" outlineLevel="0" collapsed="false">
      <c r="A226" s="12"/>
      <c r="B226" s="13"/>
      <c r="C226" s="14"/>
      <c r="D226" s="14"/>
      <c r="E226" s="15"/>
      <c r="F226" s="16" t="str">
        <f aca="false">IF(OR(C226="",D226="",E226=""),"",C226*D226*E226)</f>
        <v/>
      </c>
      <c r="G226" s="17" t="str">
        <f aca="false">IF(OR(D226="",E226=""),"",E226*(1+D226/30))</f>
        <v/>
      </c>
      <c r="H226" s="19" t="n">
        <f aca="false">IF(G226="",0,G226)</f>
        <v>0</v>
      </c>
      <c r="I226" s="18" t="str">
        <f aca="false">IF(H226&gt;0,IF(H226&gt;=SUMPRODUCT(MAX(($B$5:$B$2004=B226)*$H$5:$H$2004)),"Rekor",""),"")</f>
        <v/>
      </c>
      <c r="J226" s="19" t="n">
        <f aca="false">IF(A226="",0,IF(COUNTIF(A$5:A226,A226)=1,1,0))</f>
        <v>0</v>
      </c>
    </row>
    <row r="227" customFormat="false" ht="15" hidden="false" customHeight="false" outlineLevel="0" collapsed="false">
      <c r="A227" s="12"/>
      <c r="B227" s="13"/>
      <c r="C227" s="14"/>
      <c r="D227" s="14"/>
      <c r="E227" s="15"/>
      <c r="F227" s="16" t="str">
        <f aca="false">IF(OR(C227="",D227="",E227=""),"",C227*D227*E227)</f>
        <v/>
      </c>
      <c r="G227" s="17" t="str">
        <f aca="false">IF(OR(D227="",E227=""),"",E227*(1+D227/30))</f>
        <v/>
      </c>
      <c r="H227" s="19" t="n">
        <f aca="false">IF(G227="",0,G227)</f>
        <v>0</v>
      </c>
      <c r="I227" s="18" t="str">
        <f aca="false">IF(H227&gt;0,IF(H227&gt;=SUMPRODUCT(MAX(($B$5:$B$2004=B227)*$H$5:$H$2004)),"Rekor",""),"")</f>
        <v/>
      </c>
      <c r="J227" s="19" t="n">
        <f aca="false">IF(A227="",0,IF(COUNTIF(A$5:A227,A227)=1,1,0))</f>
        <v>0</v>
      </c>
    </row>
    <row r="228" customFormat="false" ht="15" hidden="false" customHeight="false" outlineLevel="0" collapsed="false">
      <c r="A228" s="12"/>
      <c r="B228" s="13"/>
      <c r="C228" s="14"/>
      <c r="D228" s="14"/>
      <c r="E228" s="15"/>
      <c r="F228" s="16" t="str">
        <f aca="false">IF(OR(C228="",D228="",E228=""),"",C228*D228*E228)</f>
        <v/>
      </c>
      <c r="G228" s="17" t="str">
        <f aca="false">IF(OR(D228="",E228=""),"",E228*(1+D228/30))</f>
        <v/>
      </c>
      <c r="H228" s="19" t="n">
        <f aca="false">IF(G228="",0,G228)</f>
        <v>0</v>
      </c>
      <c r="I228" s="18" t="str">
        <f aca="false">IF(H228&gt;0,IF(H228&gt;=SUMPRODUCT(MAX(($B$5:$B$2004=B228)*$H$5:$H$2004)),"Rekor",""),"")</f>
        <v/>
      </c>
      <c r="J228" s="19" t="n">
        <f aca="false">IF(A228="",0,IF(COUNTIF(A$5:A228,A228)=1,1,0))</f>
        <v>0</v>
      </c>
    </row>
    <row r="229" customFormat="false" ht="15" hidden="false" customHeight="false" outlineLevel="0" collapsed="false">
      <c r="A229" s="12"/>
      <c r="B229" s="13"/>
      <c r="C229" s="14"/>
      <c r="D229" s="14"/>
      <c r="E229" s="15"/>
      <c r="F229" s="16" t="str">
        <f aca="false">IF(OR(C229="",D229="",E229=""),"",C229*D229*E229)</f>
        <v/>
      </c>
      <c r="G229" s="17" t="str">
        <f aca="false">IF(OR(D229="",E229=""),"",E229*(1+D229/30))</f>
        <v/>
      </c>
      <c r="H229" s="19" t="n">
        <f aca="false">IF(G229="",0,G229)</f>
        <v>0</v>
      </c>
      <c r="I229" s="18" t="str">
        <f aca="false">IF(H229&gt;0,IF(H229&gt;=SUMPRODUCT(MAX(($B$5:$B$2004=B229)*$H$5:$H$2004)),"Rekor",""),"")</f>
        <v/>
      </c>
      <c r="J229" s="19" t="n">
        <f aca="false">IF(A229="",0,IF(COUNTIF(A$5:A229,A229)=1,1,0))</f>
        <v>0</v>
      </c>
    </row>
    <row r="230" customFormat="false" ht="15" hidden="false" customHeight="false" outlineLevel="0" collapsed="false">
      <c r="A230" s="12"/>
      <c r="B230" s="13"/>
      <c r="C230" s="14"/>
      <c r="D230" s="14"/>
      <c r="E230" s="15"/>
      <c r="F230" s="16" t="str">
        <f aca="false">IF(OR(C230="",D230="",E230=""),"",C230*D230*E230)</f>
        <v/>
      </c>
      <c r="G230" s="17" t="str">
        <f aca="false">IF(OR(D230="",E230=""),"",E230*(1+D230/30))</f>
        <v/>
      </c>
      <c r="H230" s="19" t="n">
        <f aca="false">IF(G230="",0,G230)</f>
        <v>0</v>
      </c>
      <c r="I230" s="18" t="str">
        <f aca="false">IF(H230&gt;0,IF(H230&gt;=SUMPRODUCT(MAX(($B$5:$B$2004=B230)*$H$5:$H$2004)),"Rekor",""),"")</f>
        <v/>
      </c>
      <c r="J230" s="19" t="n">
        <f aca="false">IF(A230="",0,IF(COUNTIF(A$5:A230,A230)=1,1,0))</f>
        <v>0</v>
      </c>
    </row>
    <row r="231" customFormat="false" ht="15" hidden="false" customHeight="false" outlineLevel="0" collapsed="false">
      <c r="A231" s="12"/>
      <c r="B231" s="13"/>
      <c r="C231" s="14"/>
      <c r="D231" s="14"/>
      <c r="E231" s="15"/>
      <c r="F231" s="16" t="str">
        <f aca="false">IF(OR(C231="",D231="",E231=""),"",C231*D231*E231)</f>
        <v/>
      </c>
      <c r="G231" s="17" t="str">
        <f aca="false">IF(OR(D231="",E231=""),"",E231*(1+D231/30))</f>
        <v/>
      </c>
      <c r="H231" s="19" t="n">
        <f aca="false">IF(G231="",0,G231)</f>
        <v>0</v>
      </c>
      <c r="I231" s="18" t="str">
        <f aca="false">IF(H231&gt;0,IF(H231&gt;=SUMPRODUCT(MAX(($B$5:$B$2004=B231)*$H$5:$H$2004)),"Rekor",""),"")</f>
        <v/>
      </c>
      <c r="J231" s="19" t="n">
        <f aca="false">IF(A231="",0,IF(COUNTIF(A$5:A231,A231)=1,1,0))</f>
        <v>0</v>
      </c>
    </row>
    <row r="232" customFormat="false" ht="15" hidden="false" customHeight="false" outlineLevel="0" collapsed="false">
      <c r="A232" s="12"/>
      <c r="B232" s="13"/>
      <c r="C232" s="14"/>
      <c r="D232" s="14"/>
      <c r="E232" s="15"/>
      <c r="F232" s="16" t="str">
        <f aca="false">IF(OR(C232="",D232="",E232=""),"",C232*D232*E232)</f>
        <v/>
      </c>
      <c r="G232" s="17" t="str">
        <f aca="false">IF(OR(D232="",E232=""),"",E232*(1+D232/30))</f>
        <v/>
      </c>
      <c r="H232" s="19" t="n">
        <f aca="false">IF(G232="",0,G232)</f>
        <v>0</v>
      </c>
      <c r="I232" s="18" t="str">
        <f aca="false">IF(H232&gt;0,IF(H232&gt;=SUMPRODUCT(MAX(($B$5:$B$2004=B232)*$H$5:$H$2004)),"Rekor",""),"")</f>
        <v/>
      </c>
      <c r="J232" s="19" t="n">
        <f aca="false">IF(A232="",0,IF(COUNTIF(A$5:A232,A232)=1,1,0))</f>
        <v>0</v>
      </c>
    </row>
    <row r="233" customFormat="false" ht="15" hidden="false" customHeight="false" outlineLevel="0" collapsed="false">
      <c r="A233" s="12"/>
      <c r="B233" s="13"/>
      <c r="C233" s="14"/>
      <c r="D233" s="14"/>
      <c r="E233" s="15"/>
      <c r="F233" s="16" t="str">
        <f aca="false">IF(OR(C233="",D233="",E233=""),"",C233*D233*E233)</f>
        <v/>
      </c>
      <c r="G233" s="17" t="str">
        <f aca="false">IF(OR(D233="",E233=""),"",E233*(1+D233/30))</f>
        <v/>
      </c>
      <c r="H233" s="19" t="n">
        <f aca="false">IF(G233="",0,G233)</f>
        <v>0</v>
      </c>
      <c r="I233" s="18" t="str">
        <f aca="false">IF(H233&gt;0,IF(H233&gt;=SUMPRODUCT(MAX(($B$5:$B$2004=B233)*$H$5:$H$2004)),"Rekor",""),"")</f>
        <v/>
      </c>
      <c r="J233" s="19" t="n">
        <f aca="false">IF(A233="",0,IF(COUNTIF(A$5:A233,A233)=1,1,0))</f>
        <v>0</v>
      </c>
    </row>
    <row r="234" customFormat="false" ht="15" hidden="false" customHeight="false" outlineLevel="0" collapsed="false">
      <c r="A234" s="12"/>
      <c r="B234" s="13"/>
      <c r="C234" s="14"/>
      <c r="D234" s="14"/>
      <c r="E234" s="15"/>
      <c r="F234" s="16" t="str">
        <f aca="false">IF(OR(C234="",D234="",E234=""),"",C234*D234*E234)</f>
        <v/>
      </c>
      <c r="G234" s="17" t="str">
        <f aca="false">IF(OR(D234="",E234=""),"",E234*(1+D234/30))</f>
        <v/>
      </c>
      <c r="H234" s="19" t="n">
        <f aca="false">IF(G234="",0,G234)</f>
        <v>0</v>
      </c>
      <c r="I234" s="18" t="str">
        <f aca="false">IF(H234&gt;0,IF(H234&gt;=SUMPRODUCT(MAX(($B$5:$B$2004=B234)*$H$5:$H$2004)),"Rekor",""),"")</f>
        <v/>
      </c>
      <c r="J234" s="19" t="n">
        <f aca="false">IF(A234="",0,IF(COUNTIF(A$5:A234,A234)=1,1,0))</f>
        <v>0</v>
      </c>
    </row>
    <row r="235" customFormat="false" ht="15" hidden="false" customHeight="false" outlineLevel="0" collapsed="false">
      <c r="A235" s="12"/>
      <c r="B235" s="13"/>
      <c r="C235" s="14"/>
      <c r="D235" s="14"/>
      <c r="E235" s="15"/>
      <c r="F235" s="16" t="str">
        <f aca="false">IF(OR(C235="",D235="",E235=""),"",C235*D235*E235)</f>
        <v/>
      </c>
      <c r="G235" s="17" t="str">
        <f aca="false">IF(OR(D235="",E235=""),"",E235*(1+D235/30))</f>
        <v/>
      </c>
      <c r="H235" s="19" t="n">
        <f aca="false">IF(G235="",0,G235)</f>
        <v>0</v>
      </c>
      <c r="I235" s="18" t="str">
        <f aca="false">IF(H235&gt;0,IF(H235&gt;=SUMPRODUCT(MAX(($B$5:$B$2004=B235)*$H$5:$H$2004)),"Rekor",""),"")</f>
        <v/>
      </c>
      <c r="J235" s="19" t="n">
        <f aca="false">IF(A235="",0,IF(COUNTIF(A$5:A235,A235)=1,1,0))</f>
        <v>0</v>
      </c>
    </row>
    <row r="236" customFormat="false" ht="15" hidden="false" customHeight="false" outlineLevel="0" collapsed="false">
      <c r="A236" s="12"/>
      <c r="B236" s="13"/>
      <c r="C236" s="14"/>
      <c r="D236" s="14"/>
      <c r="E236" s="15"/>
      <c r="F236" s="16" t="str">
        <f aca="false">IF(OR(C236="",D236="",E236=""),"",C236*D236*E236)</f>
        <v/>
      </c>
      <c r="G236" s="17" t="str">
        <f aca="false">IF(OR(D236="",E236=""),"",E236*(1+D236/30))</f>
        <v/>
      </c>
      <c r="H236" s="19" t="n">
        <f aca="false">IF(G236="",0,G236)</f>
        <v>0</v>
      </c>
      <c r="I236" s="18" t="str">
        <f aca="false">IF(H236&gt;0,IF(H236&gt;=SUMPRODUCT(MAX(($B$5:$B$2004=B236)*$H$5:$H$2004)),"Rekor",""),"")</f>
        <v/>
      </c>
      <c r="J236" s="19" t="n">
        <f aca="false">IF(A236="",0,IF(COUNTIF(A$5:A236,A236)=1,1,0))</f>
        <v>0</v>
      </c>
    </row>
    <row r="237" customFormat="false" ht="15" hidden="false" customHeight="false" outlineLevel="0" collapsed="false">
      <c r="A237" s="12"/>
      <c r="B237" s="13"/>
      <c r="C237" s="14"/>
      <c r="D237" s="14"/>
      <c r="E237" s="15"/>
      <c r="F237" s="16" t="str">
        <f aca="false">IF(OR(C237="",D237="",E237=""),"",C237*D237*E237)</f>
        <v/>
      </c>
      <c r="G237" s="17" t="str">
        <f aca="false">IF(OR(D237="",E237=""),"",E237*(1+D237/30))</f>
        <v/>
      </c>
      <c r="H237" s="19" t="n">
        <f aca="false">IF(G237="",0,G237)</f>
        <v>0</v>
      </c>
      <c r="I237" s="18" t="str">
        <f aca="false">IF(H237&gt;0,IF(H237&gt;=SUMPRODUCT(MAX(($B$5:$B$2004=B237)*$H$5:$H$2004)),"Rekor",""),"")</f>
        <v/>
      </c>
      <c r="J237" s="19" t="n">
        <f aca="false">IF(A237="",0,IF(COUNTIF(A$5:A237,A237)=1,1,0))</f>
        <v>0</v>
      </c>
    </row>
    <row r="238" customFormat="false" ht="15" hidden="false" customHeight="false" outlineLevel="0" collapsed="false">
      <c r="A238" s="12"/>
      <c r="B238" s="13"/>
      <c r="C238" s="14"/>
      <c r="D238" s="14"/>
      <c r="E238" s="15"/>
      <c r="F238" s="16" t="str">
        <f aca="false">IF(OR(C238="",D238="",E238=""),"",C238*D238*E238)</f>
        <v/>
      </c>
      <c r="G238" s="17" t="str">
        <f aca="false">IF(OR(D238="",E238=""),"",E238*(1+D238/30))</f>
        <v/>
      </c>
      <c r="H238" s="19" t="n">
        <f aca="false">IF(G238="",0,G238)</f>
        <v>0</v>
      </c>
      <c r="I238" s="18" t="str">
        <f aca="false">IF(H238&gt;0,IF(H238&gt;=SUMPRODUCT(MAX(($B$5:$B$2004=B238)*$H$5:$H$2004)),"Rekor",""),"")</f>
        <v/>
      </c>
      <c r="J238" s="19" t="n">
        <f aca="false">IF(A238="",0,IF(COUNTIF(A$5:A238,A238)=1,1,0))</f>
        <v>0</v>
      </c>
    </row>
    <row r="239" customFormat="false" ht="15" hidden="false" customHeight="false" outlineLevel="0" collapsed="false">
      <c r="A239" s="12"/>
      <c r="B239" s="13"/>
      <c r="C239" s="14"/>
      <c r="D239" s="14"/>
      <c r="E239" s="15"/>
      <c r="F239" s="16" t="str">
        <f aca="false">IF(OR(C239="",D239="",E239=""),"",C239*D239*E239)</f>
        <v/>
      </c>
      <c r="G239" s="17" t="str">
        <f aca="false">IF(OR(D239="",E239=""),"",E239*(1+D239/30))</f>
        <v/>
      </c>
      <c r="H239" s="19" t="n">
        <f aca="false">IF(G239="",0,G239)</f>
        <v>0</v>
      </c>
      <c r="I239" s="18" t="str">
        <f aca="false">IF(H239&gt;0,IF(H239&gt;=SUMPRODUCT(MAX(($B$5:$B$2004=B239)*$H$5:$H$2004)),"Rekor",""),"")</f>
        <v/>
      </c>
      <c r="J239" s="19" t="n">
        <f aca="false">IF(A239="",0,IF(COUNTIF(A$5:A239,A239)=1,1,0))</f>
        <v>0</v>
      </c>
    </row>
    <row r="240" customFormat="false" ht="15" hidden="false" customHeight="false" outlineLevel="0" collapsed="false">
      <c r="A240" s="12"/>
      <c r="B240" s="13"/>
      <c r="C240" s="14"/>
      <c r="D240" s="14"/>
      <c r="E240" s="15"/>
      <c r="F240" s="16" t="str">
        <f aca="false">IF(OR(C240="",D240="",E240=""),"",C240*D240*E240)</f>
        <v/>
      </c>
      <c r="G240" s="17" t="str">
        <f aca="false">IF(OR(D240="",E240=""),"",E240*(1+D240/30))</f>
        <v/>
      </c>
      <c r="H240" s="19" t="n">
        <f aca="false">IF(G240="",0,G240)</f>
        <v>0</v>
      </c>
      <c r="I240" s="18" t="str">
        <f aca="false">IF(H240&gt;0,IF(H240&gt;=SUMPRODUCT(MAX(($B$5:$B$2004=B240)*$H$5:$H$2004)),"Rekor",""),"")</f>
        <v/>
      </c>
      <c r="J240" s="19" t="n">
        <f aca="false">IF(A240="",0,IF(COUNTIF(A$5:A240,A240)=1,1,0))</f>
        <v>0</v>
      </c>
    </row>
    <row r="241" customFormat="false" ht="15" hidden="false" customHeight="false" outlineLevel="0" collapsed="false">
      <c r="A241" s="12"/>
      <c r="B241" s="13"/>
      <c r="C241" s="14"/>
      <c r="D241" s="14"/>
      <c r="E241" s="15"/>
      <c r="F241" s="16" t="str">
        <f aca="false">IF(OR(C241="",D241="",E241=""),"",C241*D241*E241)</f>
        <v/>
      </c>
      <c r="G241" s="17" t="str">
        <f aca="false">IF(OR(D241="",E241=""),"",E241*(1+D241/30))</f>
        <v/>
      </c>
      <c r="H241" s="19" t="n">
        <f aca="false">IF(G241="",0,G241)</f>
        <v>0</v>
      </c>
      <c r="I241" s="18" t="str">
        <f aca="false">IF(H241&gt;0,IF(H241&gt;=SUMPRODUCT(MAX(($B$5:$B$2004=B241)*$H$5:$H$2004)),"Rekor",""),"")</f>
        <v/>
      </c>
      <c r="J241" s="19" t="n">
        <f aca="false">IF(A241="",0,IF(COUNTIF(A$5:A241,A241)=1,1,0))</f>
        <v>0</v>
      </c>
    </row>
    <row r="242" customFormat="false" ht="15" hidden="false" customHeight="false" outlineLevel="0" collapsed="false">
      <c r="A242" s="12"/>
      <c r="B242" s="13"/>
      <c r="C242" s="14"/>
      <c r="D242" s="14"/>
      <c r="E242" s="15"/>
      <c r="F242" s="16" t="str">
        <f aca="false">IF(OR(C242="",D242="",E242=""),"",C242*D242*E242)</f>
        <v/>
      </c>
      <c r="G242" s="17" t="str">
        <f aca="false">IF(OR(D242="",E242=""),"",E242*(1+D242/30))</f>
        <v/>
      </c>
      <c r="H242" s="19" t="n">
        <f aca="false">IF(G242="",0,G242)</f>
        <v>0</v>
      </c>
      <c r="I242" s="18" t="str">
        <f aca="false">IF(H242&gt;0,IF(H242&gt;=SUMPRODUCT(MAX(($B$5:$B$2004=B242)*$H$5:$H$2004)),"Rekor",""),"")</f>
        <v/>
      </c>
      <c r="J242" s="19" t="n">
        <f aca="false">IF(A242="",0,IF(COUNTIF(A$5:A242,A242)=1,1,0))</f>
        <v>0</v>
      </c>
    </row>
    <row r="243" customFormat="false" ht="15" hidden="false" customHeight="false" outlineLevel="0" collapsed="false">
      <c r="A243" s="12"/>
      <c r="B243" s="13"/>
      <c r="C243" s="14"/>
      <c r="D243" s="14"/>
      <c r="E243" s="15"/>
      <c r="F243" s="16" t="str">
        <f aca="false">IF(OR(C243="",D243="",E243=""),"",C243*D243*E243)</f>
        <v/>
      </c>
      <c r="G243" s="17" t="str">
        <f aca="false">IF(OR(D243="",E243=""),"",E243*(1+D243/30))</f>
        <v/>
      </c>
      <c r="H243" s="19" t="n">
        <f aca="false">IF(G243="",0,G243)</f>
        <v>0</v>
      </c>
      <c r="I243" s="18" t="str">
        <f aca="false">IF(H243&gt;0,IF(H243&gt;=SUMPRODUCT(MAX(($B$5:$B$2004=B243)*$H$5:$H$2004)),"Rekor",""),"")</f>
        <v/>
      </c>
      <c r="J243" s="19" t="n">
        <f aca="false">IF(A243="",0,IF(COUNTIF(A$5:A243,A243)=1,1,0))</f>
        <v>0</v>
      </c>
    </row>
    <row r="244" customFormat="false" ht="15" hidden="false" customHeight="false" outlineLevel="0" collapsed="false">
      <c r="A244" s="12"/>
      <c r="B244" s="13"/>
      <c r="C244" s="14"/>
      <c r="D244" s="14"/>
      <c r="E244" s="15"/>
      <c r="F244" s="16" t="str">
        <f aca="false">IF(OR(C244="",D244="",E244=""),"",C244*D244*E244)</f>
        <v/>
      </c>
      <c r="G244" s="17" t="str">
        <f aca="false">IF(OR(D244="",E244=""),"",E244*(1+D244/30))</f>
        <v/>
      </c>
      <c r="H244" s="19" t="n">
        <f aca="false">IF(G244="",0,G244)</f>
        <v>0</v>
      </c>
      <c r="I244" s="18" t="str">
        <f aca="false">IF(H244&gt;0,IF(H244&gt;=SUMPRODUCT(MAX(($B$5:$B$2004=B244)*$H$5:$H$2004)),"Rekor",""),"")</f>
        <v/>
      </c>
      <c r="J244" s="19" t="n">
        <f aca="false">IF(A244="",0,IF(COUNTIF(A$5:A244,A244)=1,1,0))</f>
        <v>0</v>
      </c>
    </row>
    <row r="245" customFormat="false" ht="15" hidden="false" customHeight="false" outlineLevel="0" collapsed="false">
      <c r="A245" s="12"/>
      <c r="B245" s="13"/>
      <c r="C245" s="14"/>
      <c r="D245" s="14"/>
      <c r="E245" s="15"/>
      <c r="F245" s="16" t="str">
        <f aca="false">IF(OR(C245="",D245="",E245=""),"",C245*D245*E245)</f>
        <v/>
      </c>
      <c r="G245" s="17" t="str">
        <f aca="false">IF(OR(D245="",E245=""),"",E245*(1+D245/30))</f>
        <v/>
      </c>
      <c r="H245" s="19" t="n">
        <f aca="false">IF(G245="",0,G245)</f>
        <v>0</v>
      </c>
      <c r="I245" s="18" t="str">
        <f aca="false">IF(H245&gt;0,IF(H245&gt;=SUMPRODUCT(MAX(($B$5:$B$2004=B245)*$H$5:$H$2004)),"Rekor",""),"")</f>
        <v/>
      </c>
      <c r="J245" s="19" t="n">
        <f aca="false">IF(A245="",0,IF(COUNTIF(A$5:A245,A245)=1,1,0))</f>
        <v>0</v>
      </c>
    </row>
    <row r="246" customFormat="false" ht="15" hidden="false" customHeight="false" outlineLevel="0" collapsed="false">
      <c r="A246" s="12"/>
      <c r="B246" s="13"/>
      <c r="C246" s="14"/>
      <c r="D246" s="14"/>
      <c r="E246" s="15"/>
      <c r="F246" s="16" t="str">
        <f aca="false">IF(OR(C246="",D246="",E246=""),"",C246*D246*E246)</f>
        <v/>
      </c>
      <c r="G246" s="17" t="str">
        <f aca="false">IF(OR(D246="",E246=""),"",E246*(1+D246/30))</f>
        <v/>
      </c>
      <c r="H246" s="19" t="n">
        <f aca="false">IF(G246="",0,G246)</f>
        <v>0</v>
      </c>
      <c r="I246" s="18" t="str">
        <f aca="false">IF(H246&gt;0,IF(H246&gt;=SUMPRODUCT(MAX(($B$5:$B$2004=B246)*$H$5:$H$2004)),"Rekor",""),"")</f>
        <v/>
      </c>
      <c r="J246" s="19" t="n">
        <f aca="false">IF(A246="",0,IF(COUNTIF(A$5:A246,A246)=1,1,0))</f>
        <v>0</v>
      </c>
    </row>
    <row r="247" customFormat="false" ht="15" hidden="false" customHeight="false" outlineLevel="0" collapsed="false">
      <c r="A247" s="12"/>
      <c r="B247" s="13"/>
      <c r="C247" s="14"/>
      <c r="D247" s="14"/>
      <c r="E247" s="15"/>
      <c r="F247" s="16" t="str">
        <f aca="false">IF(OR(C247="",D247="",E247=""),"",C247*D247*E247)</f>
        <v/>
      </c>
      <c r="G247" s="17" t="str">
        <f aca="false">IF(OR(D247="",E247=""),"",E247*(1+D247/30))</f>
        <v/>
      </c>
      <c r="H247" s="19" t="n">
        <f aca="false">IF(G247="",0,G247)</f>
        <v>0</v>
      </c>
      <c r="I247" s="18" t="str">
        <f aca="false">IF(H247&gt;0,IF(H247&gt;=SUMPRODUCT(MAX(($B$5:$B$2004=B247)*$H$5:$H$2004)),"Rekor",""),"")</f>
        <v/>
      </c>
      <c r="J247" s="19" t="n">
        <f aca="false">IF(A247="",0,IF(COUNTIF(A$5:A247,A247)=1,1,0))</f>
        <v>0</v>
      </c>
    </row>
    <row r="248" customFormat="false" ht="15" hidden="false" customHeight="false" outlineLevel="0" collapsed="false">
      <c r="A248" s="12"/>
      <c r="B248" s="13"/>
      <c r="C248" s="14"/>
      <c r="D248" s="14"/>
      <c r="E248" s="15"/>
      <c r="F248" s="16" t="str">
        <f aca="false">IF(OR(C248="",D248="",E248=""),"",C248*D248*E248)</f>
        <v/>
      </c>
      <c r="G248" s="17" t="str">
        <f aca="false">IF(OR(D248="",E248=""),"",E248*(1+D248/30))</f>
        <v/>
      </c>
      <c r="H248" s="19" t="n">
        <f aca="false">IF(G248="",0,G248)</f>
        <v>0</v>
      </c>
      <c r="I248" s="18" t="str">
        <f aca="false">IF(H248&gt;0,IF(H248&gt;=SUMPRODUCT(MAX(($B$5:$B$2004=B248)*$H$5:$H$2004)),"Rekor",""),"")</f>
        <v/>
      </c>
      <c r="J248" s="19" t="n">
        <f aca="false">IF(A248="",0,IF(COUNTIF(A$5:A248,A248)=1,1,0))</f>
        <v>0</v>
      </c>
    </row>
    <row r="249" customFormat="false" ht="15" hidden="false" customHeight="false" outlineLevel="0" collapsed="false">
      <c r="A249" s="12"/>
      <c r="B249" s="13"/>
      <c r="C249" s="14"/>
      <c r="D249" s="14"/>
      <c r="E249" s="15"/>
      <c r="F249" s="16" t="str">
        <f aca="false">IF(OR(C249="",D249="",E249=""),"",C249*D249*E249)</f>
        <v/>
      </c>
      <c r="G249" s="17" t="str">
        <f aca="false">IF(OR(D249="",E249=""),"",E249*(1+D249/30))</f>
        <v/>
      </c>
      <c r="H249" s="19" t="n">
        <f aca="false">IF(G249="",0,G249)</f>
        <v>0</v>
      </c>
      <c r="I249" s="18" t="str">
        <f aca="false">IF(H249&gt;0,IF(H249&gt;=SUMPRODUCT(MAX(($B$5:$B$2004=B249)*$H$5:$H$2004)),"Rekor",""),"")</f>
        <v/>
      </c>
      <c r="J249" s="19" t="n">
        <f aca="false">IF(A249="",0,IF(COUNTIF(A$5:A249,A249)=1,1,0))</f>
        <v>0</v>
      </c>
    </row>
    <row r="250" customFormat="false" ht="15" hidden="false" customHeight="false" outlineLevel="0" collapsed="false">
      <c r="A250" s="12"/>
      <c r="B250" s="13"/>
      <c r="C250" s="14"/>
      <c r="D250" s="14"/>
      <c r="E250" s="15"/>
      <c r="F250" s="16" t="str">
        <f aca="false">IF(OR(C250="",D250="",E250=""),"",C250*D250*E250)</f>
        <v/>
      </c>
      <c r="G250" s="17" t="str">
        <f aca="false">IF(OR(D250="",E250=""),"",E250*(1+D250/30))</f>
        <v/>
      </c>
      <c r="H250" s="19" t="n">
        <f aca="false">IF(G250="",0,G250)</f>
        <v>0</v>
      </c>
      <c r="I250" s="18" t="str">
        <f aca="false">IF(H250&gt;0,IF(H250&gt;=SUMPRODUCT(MAX(($B$5:$B$2004=B250)*$H$5:$H$2004)),"Rekor",""),"")</f>
        <v/>
      </c>
      <c r="J250" s="19" t="n">
        <f aca="false">IF(A250="",0,IF(COUNTIF(A$5:A250,A250)=1,1,0))</f>
        <v>0</v>
      </c>
    </row>
    <row r="251" customFormat="false" ht="15" hidden="false" customHeight="false" outlineLevel="0" collapsed="false">
      <c r="A251" s="12"/>
      <c r="B251" s="13"/>
      <c r="C251" s="14"/>
      <c r="D251" s="14"/>
      <c r="E251" s="15"/>
      <c r="F251" s="16" t="str">
        <f aca="false">IF(OR(C251="",D251="",E251=""),"",C251*D251*E251)</f>
        <v/>
      </c>
      <c r="G251" s="17" t="str">
        <f aca="false">IF(OR(D251="",E251=""),"",E251*(1+D251/30))</f>
        <v/>
      </c>
      <c r="H251" s="19" t="n">
        <f aca="false">IF(G251="",0,G251)</f>
        <v>0</v>
      </c>
      <c r="I251" s="18" t="str">
        <f aca="false">IF(H251&gt;0,IF(H251&gt;=SUMPRODUCT(MAX(($B$5:$B$2004=B251)*$H$5:$H$2004)),"Rekor",""),"")</f>
        <v/>
      </c>
      <c r="J251" s="19" t="n">
        <f aca="false">IF(A251="",0,IF(COUNTIF(A$5:A251,A251)=1,1,0))</f>
        <v>0</v>
      </c>
    </row>
    <row r="252" customFormat="false" ht="15" hidden="false" customHeight="false" outlineLevel="0" collapsed="false">
      <c r="A252" s="12"/>
      <c r="B252" s="13"/>
      <c r="C252" s="14"/>
      <c r="D252" s="14"/>
      <c r="E252" s="15"/>
      <c r="F252" s="16" t="str">
        <f aca="false">IF(OR(C252="",D252="",E252=""),"",C252*D252*E252)</f>
        <v/>
      </c>
      <c r="G252" s="17" t="str">
        <f aca="false">IF(OR(D252="",E252=""),"",E252*(1+D252/30))</f>
        <v/>
      </c>
      <c r="H252" s="19" t="n">
        <f aca="false">IF(G252="",0,G252)</f>
        <v>0</v>
      </c>
      <c r="I252" s="18" t="str">
        <f aca="false">IF(H252&gt;0,IF(H252&gt;=SUMPRODUCT(MAX(($B$5:$B$2004=B252)*$H$5:$H$2004)),"Rekor",""),"")</f>
        <v/>
      </c>
      <c r="J252" s="19" t="n">
        <f aca="false">IF(A252="",0,IF(COUNTIF(A$5:A252,A252)=1,1,0))</f>
        <v>0</v>
      </c>
    </row>
    <row r="253" customFormat="false" ht="15" hidden="false" customHeight="false" outlineLevel="0" collapsed="false">
      <c r="A253" s="12"/>
      <c r="B253" s="13"/>
      <c r="C253" s="14"/>
      <c r="D253" s="14"/>
      <c r="E253" s="15"/>
      <c r="F253" s="16" t="str">
        <f aca="false">IF(OR(C253="",D253="",E253=""),"",C253*D253*E253)</f>
        <v/>
      </c>
      <c r="G253" s="17" t="str">
        <f aca="false">IF(OR(D253="",E253=""),"",E253*(1+D253/30))</f>
        <v/>
      </c>
      <c r="H253" s="19" t="n">
        <f aca="false">IF(G253="",0,G253)</f>
        <v>0</v>
      </c>
      <c r="I253" s="18" t="str">
        <f aca="false">IF(H253&gt;0,IF(H253&gt;=SUMPRODUCT(MAX(($B$5:$B$2004=B253)*$H$5:$H$2004)),"Rekor",""),"")</f>
        <v/>
      </c>
      <c r="J253" s="19" t="n">
        <f aca="false">IF(A253="",0,IF(COUNTIF(A$5:A253,A253)=1,1,0))</f>
        <v>0</v>
      </c>
    </row>
    <row r="254" customFormat="false" ht="15" hidden="false" customHeight="false" outlineLevel="0" collapsed="false">
      <c r="A254" s="12"/>
      <c r="B254" s="13"/>
      <c r="C254" s="14"/>
      <c r="D254" s="14"/>
      <c r="E254" s="15"/>
      <c r="F254" s="16" t="str">
        <f aca="false">IF(OR(C254="",D254="",E254=""),"",C254*D254*E254)</f>
        <v/>
      </c>
      <c r="G254" s="17" t="str">
        <f aca="false">IF(OR(D254="",E254=""),"",E254*(1+D254/30))</f>
        <v/>
      </c>
      <c r="H254" s="19" t="n">
        <f aca="false">IF(G254="",0,G254)</f>
        <v>0</v>
      </c>
      <c r="I254" s="18" t="str">
        <f aca="false">IF(H254&gt;0,IF(H254&gt;=SUMPRODUCT(MAX(($B$5:$B$2004=B254)*$H$5:$H$2004)),"Rekor",""),"")</f>
        <v/>
      </c>
      <c r="J254" s="19" t="n">
        <f aca="false">IF(A254="",0,IF(COUNTIF(A$5:A254,A254)=1,1,0))</f>
        <v>0</v>
      </c>
    </row>
    <row r="255" customFormat="false" ht="15" hidden="false" customHeight="false" outlineLevel="0" collapsed="false">
      <c r="A255" s="12"/>
      <c r="B255" s="13"/>
      <c r="C255" s="14"/>
      <c r="D255" s="14"/>
      <c r="E255" s="15"/>
      <c r="F255" s="16" t="str">
        <f aca="false">IF(OR(C255="",D255="",E255=""),"",C255*D255*E255)</f>
        <v/>
      </c>
      <c r="G255" s="17" t="str">
        <f aca="false">IF(OR(D255="",E255=""),"",E255*(1+D255/30))</f>
        <v/>
      </c>
      <c r="H255" s="19" t="n">
        <f aca="false">IF(G255="",0,G255)</f>
        <v>0</v>
      </c>
      <c r="I255" s="18" t="str">
        <f aca="false">IF(H255&gt;0,IF(H255&gt;=SUMPRODUCT(MAX(($B$5:$B$2004=B255)*$H$5:$H$2004)),"Rekor",""),"")</f>
        <v/>
      </c>
      <c r="J255" s="19" t="n">
        <f aca="false">IF(A255="",0,IF(COUNTIF(A$5:A255,A255)=1,1,0))</f>
        <v>0</v>
      </c>
    </row>
    <row r="256" customFormat="false" ht="15" hidden="false" customHeight="false" outlineLevel="0" collapsed="false">
      <c r="A256" s="12"/>
      <c r="B256" s="13"/>
      <c r="C256" s="14"/>
      <c r="D256" s="14"/>
      <c r="E256" s="15"/>
      <c r="F256" s="16" t="str">
        <f aca="false">IF(OR(C256="",D256="",E256=""),"",C256*D256*E256)</f>
        <v/>
      </c>
      <c r="G256" s="17" t="str">
        <f aca="false">IF(OR(D256="",E256=""),"",E256*(1+D256/30))</f>
        <v/>
      </c>
      <c r="H256" s="19" t="n">
        <f aca="false">IF(G256="",0,G256)</f>
        <v>0</v>
      </c>
      <c r="I256" s="18" t="str">
        <f aca="false">IF(H256&gt;0,IF(H256&gt;=SUMPRODUCT(MAX(($B$5:$B$2004=B256)*$H$5:$H$2004)),"Rekor",""),"")</f>
        <v/>
      </c>
      <c r="J256" s="19" t="n">
        <f aca="false">IF(A256="",0,IF(COUNTIF(A$5:A256,A256)=1,1,0))</f>
        <v>0</v>
      </c>
    </row>
    <row r="257" customFormat="false" ht="15" hidden="false" customHeight="false" outlineLevel="0" collapsed="false">
      <c r="A257" s="12"/>
      <c r="B257" s="13"/>
      <c r="C257" s="14"/>
      <c r="D257" s="14"/>
      <c r="E257" s="15"/>
      <c r="F257" s="16" t="str">
        <f aca="false">IF(OR(C257="",D257="",E257=""),"",C257*D257*E257)</f>
        <v/>
      </c>
      <c r="G257" s="17" t="str">
        <f aca="false">IF(OR(D257="",E257=""),"",E257*(1+D257/30))</f>
        <v/>
      </c>
      <c r="H257" s="19" t="n">
        <f aca="false">IF(G257="",0,G257)</f>
        <v>0</v>
      </c>
      <c r="I257" s="18" t="str">
        <f aca="false">IF(H257&gt;0,IF(H257&gt;=SUMPRODUCT(MAX(($B$5:$B$2004=B257)*$H$5:$H$2004)),"Rekor",""),"")</f>
        <v/>
      </c>
      <c r="J257" s="19" t="n">
        <f aca="false">IF(A257="",0,IF(COUNTIF(A$5:A257,A257)=1,1,0))</f>
        <v>0</v>
      </c>
    </row>
    <row r="258" customFormat="false" ht="15" hidden="false" customHeight="false" outlineLevel="0" collapsed="false">
      <c r="A258" s="12"/>
      <c r="B258" s="13"/>
      <c r="C258" s="14"/>
      <c r="D258" s="14"/>
      <c r="E258" s="15"/>
      <c r="F258" s="16" t="str">
        <f aca="false">IF(OR(C258="",D258="",E258=""),"",C258*D258*E258)</f>
        <v/>
      </c>
      <c r="G258" s="17" t="str">
        <f aca="false">IF(OR(D258="",E258=""),"",E258*(1+D258/30))</f>
        <v/>
      </c>
      <c r="H258" s="19" t="n">
        <f aca="false">IF(G258="",0,G258)</f>
        <v>0</v>
      </c>
      <c r="I258" s="18" t="str">
        <f aca="false">IF(H258&gt;0,IF(H258&gt;=SUMPRODUCT(MAX(($B$5:$B$2004=B258)*$H$5:$H$2004)),"Rekor",""),"")</f>
        <v/>
      </c>
      <c r="J258" s="19" t="n">
        <f aca="false">IF(A258="",0,IF(COUNTIF(A$5:A258,A258)=1,1,0))</f>
        <v>0</v>
      </c>
    </row>
    <row r="259" customFormat="false" ht="15" hidden="false" customHeight="false" outlineLevel="0" collapsed="false">
      <c r="A259" s="12"/>
      <c r="B259" s="13"/>
      <c r="C259" s="14"/>
      <c r="D259" s="14"/>
      <c r="E259" s="15"/>
      <c r="F259" s="16" t="str">
        <f aca="false">IF(OR(C259="",D259="",E259=""),"",C259*D259*E259)</f>
        <v/>
      </c>
      <c r="G259" s="17" t="str">
        <f aca="false">IF(OR(D259="",E259=""),"",E259*(1+D259/30))</f>
        <v/>
      </c>
      <c r="H259" s="19" t="n">
        <f aca="false">IF(G259="",0,G259)</f>
        <v>0</v>
      </c>
      <c r="I259" s="18" t="str">
        <f aca="false">IF(H259&gt;0,IF(H259&gt;=SUMPRODUCT(MAX(($B$5:$B$2004=B259)*$H$5:$H$2004)),"Rekor",""),"")</f>
        <v/>
      </c>
      <c r="J259" s="19" t="n">
        <f aca="false">IF(A259="",0,IF(COUNTIF(A$5:A259,A259)=1,1,0))</f>
        <v>0</v>
      </c>
    </row>
    <row r="260" customFormat="false" ht="15" hidden="false" customHeight="false" outlineLevel="0" collapsed="false">
      <c r="A260" s="12"/>
      <c r="B260" s="13"/>
      <c r="C260" s="14"/>
      <c r="D260" s="14"/>
      <c r="E260" s="15"/>
      <c r="F260" s="16" t="str">
        <f aca="false">IF(OR(C260="",D260="",E260=""),"",C260*D260*E260)</f>
        <v/>
      </c>
      <c r="G260" s="17" t="str">
        <f aca="false">IF(OR(D260="",E260=""),"",E260*(1+D260/30))</f>
        <v/>
      </c>
      <c r="H260" s="19" t="n">
        <f aca="false">IF(G260="",0,G260)</f>
        <v>0</v>
      </c>
      <c r="I260" s="18" t="str">
        <f aca="false">IF(H260&gt;0,IF(H260&gt;=SUMPRODUCT(MAX(($B$5:$B$2004=B260)*$H$5:$H$2004)),"Rekor",""),"")</f>
        <v/>
      </c>
      <c r="J260" s="19" t="n">
        <f aca="false">IF(A260="",0,IF(COUNTIF(A$5:A260,A260)=1,1,0))</f>
        <v>0</v>
      </c>
    </row>
    <row r="261" customFormat="false" ht="15" hidden="false" customHeight="false" outlineLevel="0" collapsed="false">
      <c r="A261" s="12"/>
      <c r="B261" s="13"/>
      <c r="C261" s="14"/>
      <c r="D261" s="14"/>
      <c r="E261" s="15"/>
      <c r="F261" s="16" t="str">
        <f aca="false">IF(OR(C261="",D261="",E261=""),"",C261*D261*E261)</f>
        <v/>
      </c>
      <c r="G261" s="17" t="str">
        <f aca="false">IF(OR(D261="",E261=""),"",E261*(1+D261/30))</f>
        <v/>
      </c>
      <c r="H261" s="19" t="n">
        <f aca="false">IF(G261="",0,G261)</f>
        <v>0</v>
      </c>
      <c r="I261" s="18" t="str">
        <f aca="false">IF(H261&gt;0,IF(H261&gt;=SUMPRODUCT(MAX(($B$5:$B$2004=B261)*$H$5:$H$2004)),"Rekor",""),"")</f>
        <v/>
      </c>
      <c r="J261" s="19" t="n">
        <f aca="false">IF(A261="",0,IF(COUNTIF(A$5:A261,A261)=1,1,0))</f>
        <v>0</v>
      </c>
    </row>
    <row r="262" customFormat="false" ht="15" hidden="false" customHeight="false" outlineLevel="0" collapsed="false">
      <c r="A262" s="12"/>
      <c r="B262" s="13"/>
      <c r="C262" s="14"/>
      <c r="D262" s="14"/>
      <c r="E262" s="15"/>
      <c r="F262" s="16" t="str">
        <f aca="false">IF(OR(C262="",D262="",E262=""),"",C262*D262*E262)</f>
        <v/>
      </c>
      <c r="G262" s="17" t="str">
        <f aca="false">IF(OR(D262="",E262=""),"",E262*(1+D262/30))</f>
        <v/>
      </c>
      <c r="H262" s="19" t="n">
        <f aca="false">IF(G262="",0,G262)</f>
        <v>0</v>
      </c>
      <c r="I262" s="18" t="str">
        <f aca="false">IF(H262&gt;0,IF(H262&gt;=SUMPRODUCT(MAX(($B$5:$B$2004=B262)*$H$5:$H$2004)),"Rekor",""),"")</f>
        <v/>
      </c>
      <c r="J262" s="19" t="n">
        <f aca="false">IF(A262="",0,IF(COUNTIF(A$5:A262,A262)=1,1,0))</f>
        <v>0</v>
      </c>
    </row>
    <row r="263" customFormat="false" ht="15" hidden="false" customHeight="false" outlineLevel="0" collapsed="false">
      <c r="A263" s="12"/>
      <c r="B263" s="13"/>
      <c r="C263" s="14"/>
      <c r="D263" s="14"/>
      <c r="E263" s="15"/>
      <c r="F263" s="16" t="str">
        <f aca="false">IF(OR(C263="",D263="",E263=""),"",C263*D263*E263)</f>
        <v/>
      </c>
      <c r="G263" s="17" t="str">
        <f aca="false">IF(OR(D263="",E263=""),"",E263*(1+D263/30))</f>
        <v/>
      </c>
      <c r="H263" s="19" t="n">
        <f aca="false">IF(G263="",0,G263)</f>
        <v>0</v>
      </c>
      <c r="I263" s="18" t="str">
        <f aca="false">IF(H263&gt;0,IF(H263&gt;=SUMPRODUCT(MAX(($B$5:$B$2004=B263)*$H$5:$H$2004)),"Rekor",""),"")</f>
        <v/>
      </c>
      <c r="J263" s="19" t="n">
        <f aca="false">IF(A263="",0,IF(COUNTIF(A$5:A263,A263)=1,1,0))</f>
        <v>0</v>
      </c>
    </row>
    <row r="264" customFormat="false" ht="15" hidden="false" customHeight="false" outlineLevel="0" collapsed="false">
      <c r="A264" s="12"/>
      <c r="B264" s="13"/>
      <c r="C264" s="14"/>
      <c r="D264" s="14"/>
      <c r="E264" s="15"/>
      <c r="F264" s="16" t="str">
        <f aca="false">IF(OR(C264="",D264="",E264=""),"",C264*D264*E264)</f>
        <v/>
      </c>
      <c r="G264" s="17" t="str">
        <f aca="false">IF(OR(D264="",E264=""),"",E264*(1+D264/30))</f>
        <v/>
      </c>
      <c r="H264" s="19" t="n">
        <f aca="false">IF(G264="",0,G264)</f>
        <v>0</v>
      </c>
      <c r="I264" s="18" t="str">
        <f aca="false">IF(H264&gt;0,IF(H264&gt;=SUMPRODUCT(MAX(($B$5:$B$2004=B264)*$H$5:$H$2004)),"Rekor",""),"")</f>
        <v/>
      </c>
      <c r="J264" s="19" t="n">
        <f aca="false">IF(A264="",0,IF(COUNTIF(A$5:A264,A264)=1,1,0))</f>
        <v>0</v>
      </c>
    </row>
    <row r="265" customFormat="false" ht="15" hidden="false" customHeight="false" outlineLevel="0" collapsed="false">
      <c r="A265" s="12"/>
      <c r="B265" s="13"/>
      <c r="C265" s="14"/>
      <c r="D265" s="14"/>
      <c r="E265" s="15"/>
      <c r="F265" s="16" t="str">
        <f aca="false">IF(OR(C265="",D265="",E265=""),"",C265*D265*E265)</f>
        <v/>
      </c>
      <c r="G265" s="17" t="str">
        <f aca="false">IF(OR(D265="",E265=""),"",E265*(1+D265/30))</f>
        <v/>
      </c>
      <c r="H265" s="19" t="n">
        <f aca="false">IF(G265="",0,G265)</f>
        <v>0</v>
      </c>
      <c r="I265" s="18" t="str">
        <f aca="false">IF(H265&gt;0,IF(H265&gt;=SUMPRODUCT(MAX(($B$5:$B$2004=B265)*$H$5:$H$2004)),"Rekor",""),"")</f>
        <v/>
      </c>
      <c r="J265" s="19" t="n">
        <f aca="false">IF(A265="",0,IF(COUNTIF(A$5:A265,A265)=1,1,0))</f>
        <v>0</v>
      </c>
    </row>
    <row r="266" customFormat="false" ht="15" hidden="false" customHeight="false" outlineLevel="0" collapsed="false">
      <c r="A266" s="12"/>
      <c r="B266" s="13"/>
      <c r="C266" s="14"/>
      <c r="D266" s="14"/>
      <c r="E266" s="15"/>
      <c r="F266" s="16" t="str">
        <f aca="false">IF(OR(C266="",D266="",E266=""),"",C266*D266*E266)</f>
        <v/>
      </c>
      <c r="G266" s="17" t="str">
        <f aca="false">IF(OR(D266="",E266=""),"",E266*(1+D266/30))</f>
        <v/>
      </c>
      <c r="H266" s="19" t="n">
        <f aca="false">IF(G266="",0,G266)</f>
        <v>0</v>
      </c>
      <c r="I266" s="18" t="str">
        <f aca="false">IF(H266&gt;0,IF(H266&gt;=SUMPRODUCT(MAX(($B$5:$B$2004=B266)*$H$5:$H$2004)),"Rekor",""),"")</f>
        <v/>
      </c>
      <c r="J266" s="19" t="n">
        <f aca="false">IF(A266="",0,IF(COUNTIF(A$5:A266,A266)=1,1,0))</f>
        <v>0</v>
      </c>
    </row>
    <row r="267" customFormat="false" ht="15" hidden="false" customHeight="false" outlineLevel="0" collapsed="false">
      <c r="A267" s="12"/>
      <c r="B267" s="13"/>
      <c r="C267" s="14"/>
      <c r="D267" s="14"/>
      <c r="E267" s="15"/>
      <c r="F267" s="16" t="str">
        <f aca="false">IF(OR(C267="",D267="",E267=""),"",C267*D267*E267)</f>
        <v/>
      </c>
      <c r="G267" s="17" t="str">
        <f aca="false">IF(OR(D267="",E267=""),"",E267*(1+D267/30))</f>
        <v/>
      </c>
      <c r="H267" s="19" t="n">
        <f aca="false">IF(G267="",0,G267)</f>
        <v>0</v>
      </c>
      <c r="I267" s="18" t="str">
        <f aca="false">IF(H267&gt;0,IF(H267&gt;=SUMPRODUCT(MAX(($B$5:$B$2004=B267)*$H$5:$H$2004)),"Rekor",""),"")</f>
        <v/>
      </c>
      <c r="J267" s="19" t="n">
        <f aca="false">IF(A267="",0,IF(COUNTIF(A$5:A267,A267)=1,1,0))</f>
        <v>0</v>
      </c>
    </row>
    <row r="268" customFormat="false" ht="15" hidden="false" customHeight="false" outlineLevel="0" collapsed="false">
      <c r="A268" s="12"/>
      <c r="B268" s="13"/>
      <c r="C268" s="14"/>
      <c r="D268" s="14"/>
      <c r="E268" s="15"/>
      <c r="F268" s="16" t="str">
        <f aca="false">IF(OR(C268="",D268="",E268=""),"",C268*D268*E268)</f>
        <v/>
      </c>
      <c r="G268" s="17" t="str">
        <f aca="false">IF(OR(D268="",E268=""),"",E268*(1+D268/30))</f>
        <v/>
      </c>
      <c r="H268" s="19" t="n">
        <f aca="false">IF(G268="",0,G268)</f>
        <v>0</v>
      </c>
      <c r="I268" s="18" t="str">
        <f aca="false">IF(H268&gt;0,IF(H268&gt;=SUMPRODUCT(MAX(($B$5:$B$2004=B268)*$H$5:$H$2004)),"Rekor",""),"")</f>
        <v/>
      </c>
      <c r="J268" s="19" t="n">
        <f aca="false">IF(A268="",0,IF(COUNTIF(A$5:A268,A268)=1,1,0))</f>
        <v>0</v>
      </c>
    </row>
    <row r="269" customFormat="false" ht="15" hidden="false" customHeight="false" outlineLevel="0" collapsed="false">
      <c r="A269" s="12"/>
      <c r="B269" s="13"/>
      <c r="C269" s="14"/>
      <c r="D269" s="14"/>
      <c r="E269" s="15"/>
      <c r="F269" s="16" t="str">
        <f aca="false">IF(OR(C269="",D269="",E269=""),"",C269*D269*E269)</f>
        <v/>
      </c>
      <c r="G269" s="17" t="str">
        <f aca="false">IF(OR(D269="",E269=""),"",E269*(1+D269/30))</f>
        <v/>
      </c>
      <c r="H269" s="19" t="n">
        <f aca="false">IF(G269="",0,G269)</f>
        <v>0</v>
      </c>
      <c r="I269" s="18" t="str">
        <f aca="false">IF(H269&gt;0,IF(H269&gt;=SUMPRODUCT(MAX(($B$5:$B$2004=B269)*$H$5:$H$2004)),"Rekor",""),"")</f>
        <v/>
      </c>
      <c r="J269" s="19" t="n">
        <f aca="false">IF(A269="",0,IF(COUNTIF(A$5:A269,A269)=1,1,0))</f>
        <v>0</v>
      </c>
    </row>
    <row r="270" customFormat="false" ht="15" hidden="false" customHeight="false" outlineLevel="0" collapsed="false">
      <c r="A270" s="12"/>
      <c r="B270" s="13"/>
      <c r="C270" s="14"/>
      <c r="D270" s="14"/>
      <c r="E270" s="15"/>
      <c r="F270" s="16" t="str">
        <f aca="false">IF(OR(C270="",D270="",E270=""),"",C270*D270*E270)</f>
        <v/>
      </c>
      <c r="G270" s="17" t="str">
        <f aca="false">IF(OR(D270="",E270=""),"",E270*(1+D270/30))</f>
        <v/>
      </c>
      <c r="H270" s="19" t="n">
        <f aca="false">IF(G270="",0,G270)</f>
        <v>0</v>
      </c>
      <c r="I270" s="18" t="str">
        <f aca="false">IF(H270&gt;0,IF(H270&gt;=SUMPRODUCT(MAX(($B$5:$B$2004=B270)*$H$5:$H$2004)),"Rekor",""),"")</f>
        <v/>
      </c>
      <c r="J270" s="19" t="n">
        <f aca="false">IF(A270="",0,IF(COUNTIF(A$5:A270,A270)=1,1,0))</f>
        <v>0</v>
      </c>
    </row>
    <row r="271" customFormat="false" ht="15" hidden="false" customHeight="false" outlineLevel="0" collapsed="false">
      <c r="A271" s="12"/>
      <c r="B271" s="13"/>
      <c r="C271" s="14"/>
      <c r="D271" s="14"/>
      <c r="E271" s="15"/>
      <c r="F271" s="16" t="str">
        <f aca="false">IF(OR(C271="",D271="",E271=""),"",C271*D271*E271)</f>
        <v/>
      </c>
      <c r="G271" s="17" t="str">
        <f aca="false">IF(OR(D271="",E271=""),"",E271*(1+D271/30))</f>
        <v/>
      </c>
      <c r="H271" s="19" t="n">
        <f aca="false">IF(G271="",0,G271)</f>
        <v>0</v>
      </c>
      <c r="I271" s="18" t="str">
        <f aca="false">IF(H271&gt;0,IF(H271&gt;=SUMPRODUCT(MAX(($B$5:$B$2004=B271)*$H$5:$H$2004)),"Rekor",""),"")</f>
        <v/>
      </c>
      <c r="J271" s="19" t="n">
        <f aca="false">IF(A271="",0,IF(COUNTIF(A$5:A271,A271)=1,1,0))</f>
        <v>0</v>
      </c>
    </row>
    <row r="272" customFormat="false" ht="15" hidden="false" customHeight="false" outlineLevel="0" collapsed="false">
      <c r="A272" s="12"/>
      <c r="B272" s="13"/>
      <c r="C272" s="14"/>
      <c r="D272" s="14"/>
      <c r="E272" s="15"/>
      <c r="F272" s="16" t="str">
        <f aca="false">IF(OR(C272="",D272="",E272=""),"",C272*D272*E272)</f>
        <v/>
      </c>
      <c r="G272" s="17" t="str">
        <f aca="false">IF(OR(D272="",E272=""),"",E272*(1+D272/30))</f>
        <v/>
      </c>
      <c r="H272" s="19" t="n">
        <f aca="false">IF(G272="",0,G272)</f>
        <v>0</v>
      </c>
      <c r="I272" s="18" t="str">
        <f aca="false">IF(H272&gt;0,IF(H272&gt;=SUMPRODUCT(MAX(($B$5:$B$2004=B272)*$H$5:$H$2004)),"Rekor",""),"")</f>
        <v/>
      </c>
      <c r="J272" s="19" t="n">
        <f aca="false">IF(A272="",0,IF(COUNTIF(A$5:A272,A272)=1,1,0))</f>
        <v>0</v>
      </c>
    </row>
    <row r="273" customFormat="false" ht="15" hidden="false" customHeight="false" outlineLevel="0" collapsed="false">
      <c r="A273" s="12"/>
      <c r="B273" s="13"/>
      <c r="C273" s="14"/>
      <c r="D273" s="14"/>
      <c r="E273" s="15"/>
      <c r="F273" s="16" t="str">
        <f aca="false">IF(OR(C273="",D273="",E273=""),"",C273*D273*E273)</f>
        <v/>
      </c>
      <c r="G273" s="17" t="str">
        <f aca="false">IF(OR(D273="",E273=""),"",E273*(1+D273/30))</f>
        <v/>
      </c>
      <c r="H273" s="19" t="n">
        <f aca="false">IF(G273="",0,G273)</f>
        <v>0</v>
      </c>
      <c r="I273" s="18" t="str">
        <f aca="false">IF(H273&gt;0,IF(H273&gt;=SUMPRODUCT(MAX(($B$5:$B$2004=B273)*$H$5:$H$2004)),"Rekor",""),"")</f>
        <v/>
      </c>
      <c r="J273" s="19" t="n">
        <f aca="false">IF(A273="",0,IF(COUNTIF(A$5:A273,A273)=1,1,0))</f>
        <v>0</v>
      </c>
    </row>
    <row r="274" customFormat="false" ht="15" hidden="false" customHeight="false" outlineLevel="0" collapsed="false">
      <c r="A274" s="12"/>
      <c r="B274" s="13"/>
      <c r="C274" s="14"/>
      <c r="D274" s="14"/>
      <c r="E274" s="15"/>
      <c r="F274" s="16" t="str">
        <f aca="false">IF(OR(C274="",D274="",E274=""),"",C274*D274*E274)</f>
        <v/>
      </c>
      <c r="G274" s="17" t="str">
        <f aca="false">IF(OR(D274="",E274=""),"",E274*(1+D274/30))</f>
        <v/>
      </c>
      <c r="H274" s="19" t="n">
        <f aca="false">IF(G274="",0,G274)</f>
        <v>0</v>
      </c>
      <c r="I274" s="18" t="str">
        <f aca="false">IF(H274&gt;0,IF(H274&gt;=SUMPRODUCT(MAX(($B$5:$B$2004=B274)*$H$5:$H$2004)),"Rekor",""),"")</f>
        <v/>
      </c>
      <c r="J274" s="19" t="n">
        <f aca="false">IF(A274="",0,IF(COUNTIF(A$5:A274,A274)=1,1,0))</f>
        <v>0</v>
      </c>
    </row>
    <row r="275" customFormat="false" ht="15" hidden="false" customHeight="false" outlineLevel="0" collapsed="false">
      <c r="A275" s="12"/>
      <c r="B275" s="13"/>
      <c r="C275" s="14"/>
      <c r="D275" s="14"/>
      <c r="E275" s="15"/>
      <c r="F275" s="16" t="str">
        <f aca="false">IF(OR(C275="",D275="",E275=""),"",C275*D275*E275)</f>
        <v/>
      </c>
      <c r="G275" s="17" t="str">
        <f aca="false">IF(OR(D275="",E275=""),"",E275*(1+D275/30))</f>
        <v/>
      </c>
      <c r="H275" s="19" t="n">
        <f aca="false">IF(G275="",0,G275)</f>
        <v>0</v>
      </c>
      <c r="I275" s="18" t="str">
        <f aca="false">IF(H275&gt;0,IF(H275&gt;=SUMPRODUCT(MAX(($B$5:$B$2004=B275)*$H$5:$H$2004)),"Rekor",""),"")</f>
        <v/>
      </c>
      <c r="J275" s="19" t="n">
        <f aca="false">IF(A275="",0,IF(COUNTIF(A$5:A275,A275)=1,1,0))</f>
        <v>0</v>
      </c>
    </row>
    <row r="276" customFormat="false" ht="15" hidden="false" customHeight="false" outlineLevel="0" collapsed="false">
      <c r="A276" s="12"/>
      <c r="B276" s="13"/>
      <c r="C276" s="14"/>
      <c r="D276" s="14"/>
      <c r="E276" s="15"/>
      <c r="F276" s="16" t="str">
        <f aca="false">IF(OR(C276="",D276="",E276=""),"",C276*D276*E276)</f>
        <v/>
      </c>
      <c r="G276" s="17" t="str">
        <f aca="false">IF(OR(D276="",E276=""),"",E276*(1+D276/30))</f>
        <v/>
      </c>
      <c r="H276" s="19" t="n">
        <f aca="false">IF(G276="",0,G276)</f>
        <v>0</v>
      </c>
      <c r="I276" s="18" t="str">
        <f aca="false">IF(H276&gt;0,IF(H276&gt;=SUMPRODUCT(MAX(($B$5:$B$2004=B276)*$H$5:$H$2004)),"Rekor",""),"")</f>
        <v/>
      </c>
      <c r="J276" s="19" t="n">
        <f aca="false">IF(A276="",0,IF(COUNTIF(A$5:A276,A276)=1,1,0))</f>
        <v>0</v>
      </c>
    </row>
    <row r="277" customFormat="false" ht="15" hidden="false" customHeight="false" outlineLevel="0" collapsed="false">
      <c r="A277" s="12"/>
      <c r="B277" s="13"/>
      <c r="C277" s="14"/>
      <c r="D277" s="14"/>
      <c r="E277" s="15"/>
      <c r="F277" s="16" t="str">
        <f aca="false">IF(OR(C277="",D277="",E277=""),"",C277*D277*E277)</f>
        <v/>
      </c>
      <c r="G277" s="17" t="str">
        <f aca="false">IF(OR(D277="",E277=""),"",E277*(1+D277/30))</f>
        <v/>
      </c>
      <c r="H277" s="19" t="n">
        <f aca="false">IF(G277="",0,G277)</f>
        <v>0</v>
      </c>
      <c r="I277" s="18" t="str">
        <f aca="false">IF(H277&gt;0,IF(H277&gt;=SUMPRODUCT(MAX(($B$5:$B$2004=B277)*$H$5:$H$2004)),"Rekor",""),"")</f>
        <v/>
      </c>
      <c r="J277" s="19" t="n">
        <f aca="false">IF(A277="",0,IF(COUNTIF(A$5:A277,A277)=1,1,0))</f>
        <v>0</v>
      </c>
    </row>
    <row r="278" customFormat="false" ht="15" hidden="false" customHeight="false" outlineLevel="0" collapsed="false">
      <c r="A278" s="12"/>
      <c r="B278" s="13"/>
      <c r="C278" s="14"/>
      <c r="D278" s="14"/>
      <c r="E278" s="15"/>
      <c r="F278" s="16" t="str">
        <f aca="false">IF(OR(C278="",D278="",E278=""),"",C278*D278*E278)</f>
        <v/>
      </c>
      <c r="G278" s="17" t="str">
        <f aca="false">IF(OR(D278="",E278=""),"",E278*(1+D278/30))</f>
        <v/>
      </c>
      <c r="H278" s="19" t="n">
        <f aca="false">IF(G278="",0,G278)</f>
        <v>0</v>
      </c>
      <c r="I278" s="18" t="str">
        <f aca="false">IF(H278&gt;0,IF(H278&gt;=SUMPRODUCT(MAX(($B$5:$B$2004=B278)*$H$5:$H$2004)),"Rekor",""),"")</f>
        <v/>
      </c>
      <c r="J278" s="19" t="n">
        <f aca="false">IF(A278="",0,IF(COUNTIF(A$5:A278,A278)=1,1,0))</f>
        <v>0</v>
      </c>
    </row>
    <row r="279" customFormat="false" ht="15" hidden="false" customHeight="false" outlineLevel="0" collapsed="false">
      <c r="A279" s="12"/>
      <c r="B279" s="13"/>
      <c r="C279" s="14"/>
      <c r="D279" s="14"/>
      <c r="E279" s="15"/>
      <c r="F279" s="16" t="str">
        <f aca="false">IF(OR(C279="",D279="",E279=""),"",C279*D279*E279)</f>
        <v/>
      </c>
      <c r="G279" s="17" t="str">
        <f aca="false">IF(OR(D279="",E279=""),"",E279*(1+D279/30))</f>
        <v/>
      </c>
      <c r="H279" s="19" t="n">
        <f aca="false">IF(G279="",0,G279)</f>
        <v>0</v>
      </c>
      <c r="I279" s="18" t="str">
        <f aca="false">IF(H279&gt;0,IF(H279&gt;=SUMPRODUCT(MAX(($B$5:$B$2004=B279)*$H$5:$H$2004)),"Rekor",""),"")</f>
        <v/>
      </c>
      <c r="J279" s="19" t="n">
        <f aca="false">IF(A279="",0,IF(COUNTIF(A$5:A279,A279)=1,1,0))</f>
        <v>0</v>
      </c>
    </row>
    <row r="280" customFormat="false" ht="15" hidden="false" customHeight="false" outlineLevel="0" collapsed="false">
      <c r="A280" s="12"/>
      <c r="B280" s="13"/>
      <c r="C280" s="14"/>
      <c r="D280" s="14"/>
      <c r="E280" s="15"/>
      <c r="F280" s="16" t="str">
        <f aca="false">IF(OR(C280="",D280="",E280=""),"",C280*D280*E280)</f>
        <v/>
      </c>
      <c r="G280" s="17" t="str">
        <f aca="false">IF(OR(D280="",E280=""),"",E280*(1+D280/30))</f>
        <v/>
      </c>
      <c r="H280" s="19" t="n">
        <f aca="false">IF(G280="",0,G280)</f>
        <v>0</v>
      </c>
      <c r="I280" s="18" t="str">
        <f aca="false">IF(H280&gt;0,IF(H280&gt;=SUMPRODUCT(MAX(($B$5:$B$2004=B280)*$H$5:$H$2004)),"Rekor",""),"")</f>
        <v/>
      </c>
      <c r="J280" s="19" t="n">
        <f aca="false">IF(A280="",0,IF(COUNTIF(A$5:A280,A280)=1,1,0))</f>
        <v>0</v>
      </c>
    </row>
    <row r="281" customFormat="false" ht="15" hidden="false" customHeight="false" outlineLevel="0" collapsed="false">
      <c r="A281" s="12"/>
      <c r="B281" s="13"/>
      <c r="C281" s="14"/>
      <c r="D281" s="14"/>
      <c r="E281" s="15"/>
      <c r="F281" s="16" t="str">
        <f aca="false">IF(OR(C281="",D281="",E281=""),"",C281*D281*E281)</f>
        <v/>
      </c>
      <c r="G281" s="17" t="str">
        <f aca="false">IF(OR(D281="",E281=""),"",E281*(1+D281/30))</f>
        <v/>
      </c>
      <c r="H281" s="19" t="n">
        <f aca="false">IF(G281="",0,G281)</f>
        <v>0</v>
      </c>
      <c r="I281" s="18" t="str">
        <f aca="false">IF(H281&gt;0,IF(H281&gt;=SUMPRODUCT(MAX(($B$5:$B$2004=B281)*$H$5:$H$2004)),"Rekor",""),"")</f>
        <v/>
      </c>
      <c r="J281" s="19" t="n">
        <f aca="false">IF(A281="",0,IF(COUNTIF(A$5:A281,A281)=1,1,0))</f>
        <v>0</v>
      </c>
    </row>
    <row r="282" customFormat="false" ht="15" hidden="false" customHeight="false" outlineLevel="0" collapsed="false">
      <c r="A282" s="12"/>
      <c r="B282" s="13"/>
      <c r="C282" s="14"/>
      <c r="D282" s="14"/>
      <c r="E282" s="15"/>
      <c r="F282" s="16" t="str">
        <f aca="false">IF(OR(C282="",D282="",E282=""),"",C282*D282*E282)</f>
        <v/>
      </c>
      <c r="G282" s="17" t="str">
        <f aca="false">IF(OR(D282="",E282=""),"",E282*(1+D282/30))</f>
        <v/>
      </c>
      <c r="H282" s="19" t="n">
        <f aca="false">IF(G282="",0,G282)</f>
        <v>0</v>
      </c>
      <c r="I282" s="18" t="str">
        <f aca="false">IF(H282&gt;0,IF(H282&gt;=SUMPRODUCT(MAX(($B$5:$B$2004=B282)*$H$5:$H$2004)),"Rekor",""),"")</f>
        <v/>
      </c>
      <c r="J282" s="19" t="n">
        <f aca="false">IF(A282="",0,IF(COUNTIF(A$5:A282,A282)=1,1,0))</f>
        <v>0</v>
      </c>
    </row>
    <row r="283" customFormat="false" ht="15" hidden="false" customHeight="false" outlineLevel="0" collapsed="false">
      <c r="A283" s="12"/>
      <c r="B283" s="13"/>
      <c r="C283" s="14"/>
      <c r="D283" s="14"/>
      <c r="E283" s="15"/>
      <c r="F283" s="16" t="str">
        <f aca="false">IF(OR(C283="",D283="",E283=""),"",C283*D283*E283)</f>
        <v/>
      </c>
      <c r="G283" s="17" t="str">
        <f aca="false">IF(OR(D283="",E283=""),"",E283*(1+D283/30))</f>
        <v/>
      </c>
      <c r="H283" s="19" t="n">
        <f aca="false">IF(G283="",0,G283)</f>
        <v>0</v>
      </c>
      <c r="I283" s="18" t="str">
        <f aca="false">IF(H283&gt;0,IF(H283&gt;=SUMPRODUCT(MAX(($B$5:$B$2004=B283)*$H$5:$H$2004)),"Rekor",""),"")</f>
        <v/>
      </c>
      <c r="J283" s="19" t="n">
        <f aca="false">IF(A283="",0,IF(COUNTIF(A$5:A283,A283)=1,1,0))</f>
        <v>0</v>
      </c>
    </row>
    <row r="284" customFormat="false" ht="15" hidden="false" customHeight="false" outlineLevel="0" collapsed="false">
      <c r="A284" s="12"/>
      <c r="B284" s="13"/>
      <c r="C284" s="14"/>
      <c r="D284" s="14"/>
      <c r="E284" s="15"/>
      <c r="F284" s="16" t="str">
        <f aca="false">IF(OR(C284="",D284="",E284=""),"",C284*D284*E284)</f>
        <v/>
      </c>
      <c r="G284" s="17" t="str">
        <f aca="false">IF(OR(D284="",E284=""),"",E284*(1+D284/30))</f>
        <v/>
      </c>
      <c r="H284" s="19" t="n">
        <f aca="false">IF(G284="",0,G284)</f>
        <v>0</v>
      </c>
      <c r="I284" s="18" t="str">
        <f aca="false">IF(H284&gt;0,IF(H284&gt;=SUMPRODUCT(MAX(($B$5:$B$2004=B284)*$H$5:$H$2004)),"Rekor",""),"")</f>
        <v/>
      </c>
      <c r="J284" s="19" t="n">
        <f aca="false">IF(A284="",0,IF(COUNTIF(A$5:A284,A284)=1,1,0))</f>
        <v>0</v>
      </c>
    </row>
    <row r="285" customFormat="false" ht="15" hidden="false" customHeight="false" outlineLevel="0" collapsed="false">
      <c r="A285" s="12"/>
      <c r="B285" s="13"/>
      <c r="C285" s="14"/>
      <c r="D285" s="14"/>
      <c r="E285" s="15"/>
      <c r="F285" s="16" t="str">
        <f aca="false">IF(OR(C285="",D285="",E285=""),"",C285*D285*E285)</f>
        <v/>
      </c>
      <c r="G285" s="17" t="str">
        <f aca="false">IF(OR(D285="",E285=""),"",E285*(1+D285/30))</f>
        <v/>
      </c>
      <c r="H285" s="19" t="n">
        <f aca="false">IF(G285="",0,G285)</f>
        <v>0</v>
      </c>
      <c r="I285" s="18" t="str">
        <f aca="false">IF(H285&gt;0,IF(H285&gt;=SUMPRODUCT(MAX(($B$5:$B$2004=B285)*$H$5:$H$2004)),"Rekor",""),"")</f>
        <v/>
      </c>
      <c r="J285" s="19" t="n">
        <f aca="false">IF(A285="",0,IF(COUNTIF(A$5:A285,A285)=1,1,0))</f>
        <v>0</v>
      </c>
    </row>
    <row r="286" customFormat="false" ht="15" hidden="false" customHeight="false" outlineLevel="0" collapsed="false">
      <c r="A286" s="12"/>
      <c r="B286" s="13"/>
      <c r="C286" s="14"/>
      <c r="D286" s="14"/>
      <c r="E286" s="15"/>
      <c r="F286" s="16" t="str">
        <f aca="false">IF(OR(C286="",D286="",E286=""),"",C286*D286*E286)</f>
        <v/>
      </c>
      <c r="G286" s="17" t="str">
        <f aca="false">IF(OR(D286="",E286=""),"",E286*(1+D286/30))</f>
        <v/>
      </c>
      <c r="H286" s="19" t="n">
        <f aca="false">IF(G286="",0,G286)</f>
        <v>0</v>
      </c>
      <c r="I286" s="18" t="str">
        <f aca="false">IF(H286&gt;0,IF(H286&gt;=SUMPRODUCT(MAX(($B$5:$B$2004=B286)*$H$5:$H$2004)),"Rekor",""),"")</f>
        <v/>
      </c>
      <c r="J286" s="19" t="n">
        <f aca="false">IF(A286="",0,IF(COUNTIF(A$5:A286,A286)=1,1,0))</f>
        <v>0</v>
      </c>
    </row>
    <row r="287" customFormat="false" ht="15" hidden="false" customHeight="false" outlineLevel="0" collapsed="false">
      <c r="A287" s="12"/>
      <c r="B287" s="13"/>
      <c r="C287" s="14"/>
      <c r="D287" s="14"/>
      <c r="E287" s="15"/>
      <c r="F287" s="16" t="str">
        <f aca="false">IF(OR(C287="",D287="",E287=""),"",C287*D287*E287)</f>
        <v/>
      </c>
      <c r="G287" s="17" t="str">
        <f aca="false">IF(OR(D287="",E287=""),"",E287*(1+D287/30))</f>
        <v/>
      </c>
      <c r="H287" s="19" t="n">
        <f aca="false">IF(G287="",0,G287)</f>
        <v>0</v>
      </c>
      <c r="I287" s="18" t="str">
        <f aca="false">IF(H287&gt;0,IF(H287&gt;=SUMPRODUCT(MAX(($B$5:$B$2004=B287)*$H$5:$H$2004)),"Rekor",""),"")</f>
        <v/>
      </c>
      <c r="J287" s="19" t="n">
        <f aca="false">IF(A287="",0,IF(COUNTIF(A$5:A287,A287)=1,1,0))</f>
        <v>0</v>
      </c>
    </row>
    <row r="288" customFormat="false" ht="15" hidden="false" customHeight="false" outlineLevel="0" collapsed="false">
      <c r="A288" s="12"/>
      <c r="B288" s="13"/>
      <c r="C288" s="14"/>
      <c r="D288" s="14"/>
      <c r="E288" s="15"/>
      <c r="F288" s="16" t="str">
        <f aca="false">IF(OR(C288="",D288="",E288=""),"",C288*D288*E288)</f>
        <v/>
      </c>
      <c r="G288" s="17" t="str">
        <f aca="false">IF(OR(D288="",E288=""),"",E288*(1+D288/30))</f>
        <v/>
      </c>
      <c r="H288" s="19" t="n">
        <f aca="false">IF(G288="",0,G288)</f>
        <v>0</v>
      </c>
      <c r="I288" s="18" t="str">
        <f aca="false">IF(H288&gt;0,IF(H288&gt;=SUMPRODUCT(MAX(($B$5:$B$2004=B288)*$H$5:$H$2004)),"Rekor",""),"")</f>
        <v/>
      </c>
      <c r="J288" s="19" t="n">
        <f aca="false">IF(A288="",0,IF(COUNTIF(A$5:A288,A288)=1,1,0))</f>
        <v>0</v>
      </c>
    </row>
    <row r="289" customFormat="false" ht="15" hidden="false" customHeight="false" outlineLevel="0" collapsed="false">
      <c r="A289" s="12"/>
      <c r="B289" s="13"/>
      <c r="C289" s="14"/>
      <c r="D289" s="14"/>
      <c r="E289" s="15"/>
      <c r="F289" s="16" t="str">
        <f aca="false">IF(OR(C289="",D289="",E289=""),"",C289*D289*E289)</f>
        <v/>
      </c>
      <c r="G289" s="17" t="str">
        <f aca="false">IF(OR(D289="",E289=""),"",E289*(1+D289/30))</f>
        <v/>
      </c>
      <c r="H289" s="19" t="n">
        <f aca="false">IF(G289="",0,G289)</f>
        <v>0</v>
      </c>
      <c r="I289" s="18" t="str">
        <f aca="false">IF(H289&gt;0,IF(H289&gt;=SUMPRODUCT(MAX(($B$5:$B$2004=B289)*$H$5:$H$2004)),"Rekor",""),"")</f>
        <v/>
      </c>
      <c r="J289" s="19" t="n">
        <f aca="false">IF(A289="",0,IF(COUNTIF(A$5:A289,A289)=1,1,0))</f>
        <v>0</v>
      </c>
    </row>
    <row r="290" customFormat="false" ht="15" hidden="false" customHeight="false" outlineLevel="0" collapsed="false">
      <c r="A290" s="12"/>
      <c r="B290" s="13"/>
      <c r="C290" s="14"/>
      <c r="D290" s="14"/>
      <c r="E290" s="15"/>
      <c r="F290" s="16" t="str">
        <f aca="false">IF(OR(C290="",D290="",E290=""),"",C290*D290*E290)</f>
        <v/>
      </c>
      <c r="G290" s="17" t="str">
        <f aca="false">IF(OR(D290="",E290=""),"",E290*(1+D290/30))</f>
        <v/>
      </c>
      <c r="H290" s="19" t="n">
        <f aca="false">IF(G290="",0,G290)</f>
        <v>0</v>
      </c>
      <c r="I290" s="18" t="str">
        <f aca="false">IF(H290&gt;0,IF(H290&gt;=SUMPRODUCT(MAX(($B$5:$B$2004=B290)*$H$5:$H$2004)),"Rekor",""),"")</f>
        <v/>
      </c>
      <c r="J290" s="19" t="n">
        <f aca="false">IF(A290="",0,IF(COUNTIF(A$5:A290,A290)=1,1,0))</f>
        <v>0</v>
      </c>
    </row>
    <row r="291" customFormat="false" ht="15" hidden="false" customHeight="false" outlineLevel="0" collapsed="false">
      <c r="A291" s="12"/>
      <c r="B291" s="13"/>
      <c r="C291" s="14"/>
      <c r="D291" s="14"/>
      <c r="E291" s="15"/>
      <c r="F291" s="16" t="str">
        <f aca="false">IF(OR(C291="",D291="",E291=""),"",C291*D291*E291)</f>
        <v/>
      </c>
      <c r="G291" s="17" t="str">
        <f aca="false">IF(OR(D291="",E291=""),"",E291*(1+D291/30))</f>
        <v/>
      </c>
      <c r="H291" s="19" t="n">
        <f aca="false">IF(G291="",0,G291)</f>
        <v>0</v>
      </c>
      <c r="I291" s="18" t="str">
        <f aca="false">IF(H291&gt;0,IF(H291&gt;=SUMPRODUCT(MAX(($B$5:$B$2004=B291)*$H$5:$H$2004)),"Rekor",""),"")</f>
        <v/>
      </c>
      <c r="J291" s="19" t="n">
        <f aca="false">IF(A291="",0,IF(COUNTIF(A$5:A291,A291)=1,1,0))</f>
        <v>0</v>
      </c>
    </row>
    <row r="292" customFormat="false" ht="15" hidden="false" customHeight="false" outlineLevel="0" collapsed="false">
      <c r="A292" s="12"/>
      <c r="B292" s="13"/>
      <c r="C292" s="14"/>
      <c r="D292" s="14"/>
      <c r="E292" s="15"/>
      <c r="F292" s="16" t="str">
        <f aca="false">IF(OR(C292="",D292="",E292=""),"",C292*D292*E292)</f>
        <v/>
      </c>
      <c r="G292" s="17" t="str">
        <f aca="false">IF(OR(D292="",E292=""),"",E292*(1+D292/30))</f>
        <v/>
      </c>
      <c r="H292" s="19" t="n">
        <f aca="false">IF(G292="",0,G292)</f>
        <v>0</v>
      </c>
      <c r="I292" s="18" t="str">
        <f aca="false">IF(H292&gt;0,IF(H292&gt;=SUMPRODUCT(MAX(($B$5:$B$2004=B292)*$H$5:$H$2004)),"Rekor",""),"")</f>
        <v/>
      </c>
      <c r="J292" s="19" t="n">
        <f aca="false">IF(A292="",0,IF(COUNTIF(A$5:A292,A292)=1,1,0))</f>
        <v>0</v>
      </c>
    </row>
    <row r="293" customFormat="false" ht="15" hidden="false" customHeight="false" outlineLevel="0" collapsed="false">
      <c r="A293" s="12"/>
      <c r="B293" s="13"/>
      <c r="C293" s="14"/>
      <c r="D293" s="14"/>
      <c r="E293" s="15"/>
      <c r="F293" s="16" t="str">
        <f aca="false">IF(OR(C293="",D293="",E293=""),"",C293*D293*E293)</f>
        <v/>
      </c>
      <c r="G293" s="17" t="str">
        <f aca="false">IF(OR(D293="",E293=""),"",E293*(1+D293/30))</f>
        <v/>
      </c>
      <c r="H293" s="19" t="n">
        <f aca="false">IF(G293="",0,G293)</f>
        <v>0</v>
      </c>
      <c r="I293" s="18" t="str">
        <f aca="false">IF(H293&gt;0,IF(H293&gt;=SUMPRODUCT(MAX(($B$5:$B$2004=B293)*$H$5:$H$2004)),"Rekor",""),"")</f>
        <v/>
      </c>
      <c r="J293" s="19" t="n">
        <f aca="false">IF(A293="",0,IF(COUNTIF(A$5:A293,A293)=1,1,0))</f>
        <v>0</v>
      </c>
    </row>
    <row r="294" customFormat="false" ht="15" hidden="false" customHeight="false" outlineLevel="0" collapsed="false">
      <c r="A294" s="12"/>
      <c r="B294" s="13"/>
      <c r="C294" s="14"/>
      <c r="D294" s="14"/>
      <c r="E294" s="15"/>
      <c r="F294" s="16" t="str">
        <f aca="false">IF(OR(C294="",D294="",E294=""),"",C294*D294*E294)</f>
        <v/>
      </c>
      <c r="G294" s="17" t="str">
        <f aca="false">IF(OR(D294="",E294=""),"",E294*(1+D294/30))</f>
        <v/>
      </c>
      <c r="H294" s="19" t="n">
        <f aca="false">IF(G294="",0,G294)</f>
        <v>0</v>
      </c>
      <c r="I294" s="18" t="str">
        <f aca="false">IF(H294&gt;0,IF(H294&gt;=SUMPRODUCT(MAX(($B$5:$B$2004=B294)*$H$5:$H$2004)),"Rekor",""),"")</f>
        <v/>
      </c>
      <c r="J294" s="19" t="n">
        <f aca="false">IF(A294="",0,IF(COUNTIF(A$5:A294,A294)=1,1,0))</f>
        <v>0</v>
      </c>
    </row>
    <row r="295" customFormat="false" ht="15" hidden="false" customHeight="false" outlineLevel="0" collapsed="false">
      <c r="A295" s="12"/>
      <c r="B295" s="13"/>
      <c r="C295" s="14"/>
      <c r="D295" s="14"/>
      <c r="E295" s="15"/>
      <c r="F295" s="16" t="str">
        <f aca="false">IF(OR(C295="",D295="",E295=""),"",C295*D295*E295)</f>
        <v/>
      </c>
      <c r="G295" s="17" t="str">
        <f aca="false">IF(OR(D295="",E295=""),"",E295*(1+D295/30))</f>
        <v/>
      </c>
      <c r="H295" s="19" t="n">
        <f aca="false">IF(G295="",0,G295)</f>
        <v>0</v>
      </c>
      <c r="I295" s="18" t="str">
        <f aca="false">IF(H295&gt;0,IF(H295&gt;=SUMPRODUCT(MAX(($B$5:$B$2004=B295)*$H$5:$H$2004)),"Rekor",""),"")</f>
        <v/>
      </c>
      <c r="J295" s="19" t="n">
        <f aca="false">IF(A295="",0,IF(COUNTIF(A$5:A295,A295)=1,1,0))</f>
        <v>0</v>
      </c>
    </row>
    <row r="296" customFormat="false" ht="15" hidden="false" customHeight="false" outlineLevel="0" collapsed="false">
      <c r="A296" s="12"/>
      <c r="B296" s="13"/>
      <c r="C296" s="14"/>
      <c r="D296" s="14"/>
      <c r="E296" s="15"/>
      <c r="F296" s="16" t="str">
        <f aca="false">IF(OR(C296="",D296="",E296=""),"",C296*D296*E296)</f>
        <v/>
      </c>
      <c r="G296" s="17" t="str">
        <f aca="false">IF(OR(D296="",E296=""),"",E296*(1+D296/30))</f>
        <v/>
      </c>
      <c r="H296" s="19" t="n">
        <f aca="false">IF(G296="",0,G296)</f>
        <v>0</v>
      </c>
      <c r="I296" s="18" t="str">
        <f aca="false">IF(H296&gt;0,IF(H296&gt;=SUMPRODUCT(MAX(($B$5:$B$2004=B296)*$H$5:$H$2004)),"Rekor",""),"")</f>
        <v/>
      </c>
      <c r="J296" s="19" t="n">
        <f aca="false">IF(A296="",0,IF(COUNTIF(A$5:A296,A296)=1,1,0))</f>
        <v>0</v>
      </c>
    </row>
    <row r="297" customFormat="false" ht="15" hidden="false" customHeight="false" outlineLevel="0" collapsed="false">
      <c r="A297" s="12"/>
      <c r="B297" s="13"/>
      <c r="C297" s="14"/>
      <c r="D297" s="14"/>
      <c r="E297" s="15"/>
      <c r="F297" s="16" t="str">
        <f aca="false">IF(OR(C297="",D297="",E297=""),"",C297*D297*E297)</f>
        <v/>
      </c>
      <c r="G297" s="17" t="str">
        <f aca="false">IF(OR(D297="",E297=""),"",E297*(1+D297/30))</f>
        <v/>
      </c>
      <c r="H297" s="19" t="n">
        <f aca="false">IF(G297="",0,G297)</f>
        <v>0</v>
      </c>
      <c r="I297" s="18" t="str">
        <f aca="false">IF(H297&gt;0,IF(H297&gt;=SUMPRODUCT(MAX(($B$5:$B$2004=B297)*$H$5:$H$2004)),"Rekor",""),"")</f>
        <v/>
      </c>
      <c r="J297" s="19" t="n">
        <f aca="false">IF(A297="",0,IF(COUNTIF(A$5:A297,A297)=1,1,0))</f>
        <v>0</v>
      </c>
    </row>
    <row r="298" customFormat="false" ht="15" hidden="false" customHeight="false" outlineLevel="0" collapsed="false">
      <c r="A298" s="12"/>
      <c r="B298" s="13"/>
      <c r="C298" s="14"/>
      <c r="D298" s="14"/>
      <c r="E298" s="15"/>
      <c r="F298" s="16" t="str">
        <f aca="false">IF(OR(C298="",D298="",E298=""),"",C298*D298*E298)</f>
        <v/>
      </c>
      <c r="G298" s="17" t="str">
        <f aca="false">IF(OR(D298="",E298=""),"",E298*(1+D298/30))</f>
        <v/>
      </c>
      <c r="H298" s="19" t="n">
        <f aca="false">IF(G298="",0,G298)</f>
        <v>0</v>
      </c>
      <c r="I298" s="18" t="str">
        <f aca="false">IF(H298&gt;0,IF(H298&gt;=SUMPRODUCT(MAX(($B$5:$B$2004=B298)*$H$5:$H$2004)),"Rekor",""),"")</f>
        <v/>
      </c>
      <c r="J298" s="19" t="n">
        <f aca="false">IF(A298="",0,IF(COUNTIF(A$5:A298,A298)=1,1,0))</f>
        <v>0</v>
      </c>
    </row>
    <row r="299" customFormat="false" ht="15" hidden="false" customHeight="false" outlineLevel="0" collapsed="false">
      <c r="A299" s="12"/>
      <c r="B299" s="13"/>
      <c r="C299" s="14"/>
      <c r="D299" s="14"/>
      <c r="E299" s="15"/>
      <c r="F299" s="16" t="str">
        <f aca="false">IF(OR(C299="",D299="",E299=""),"",C299*D299*E299)</f>
        <v/>
      </c>
      <c r="G299" s="17" t="str">
        <f aca="false">IF(OR(D299="",E299=""),"",E299*(1+D299/30))</f>
        <v/>
      </c>
      <c r="H299" s="19" t="n">
        <f aca="false">IF(G299="",0,G299)</f>
        <v>0</v>
      </c>
      <c r="I299" s="18" t="str">
        <f aca="false">IF(H299&gt;0,IF(H299&gt;=SUMPRODUCT(MAX(($B$5:$B$2004=B299)*$H$5:$H$2004)),"Rekor",""),"")</f>
        <v/>
      </c>
      <c r="J299" s="19" t="n">
        <f aca="false">IF(A299="",0,IF(COUNTIF(A$5:A299,A299)=1,1,0))</f>
        <v>0</v>
      </c>
    </row>
    <row r="300" customFormat="false" ht="15" hidden="false" customHeight="false" outlineLevel="0" collapsed="false">
      <c r="A300" s="12"/>
      <c r="B300" s="13"/>
      <c r="C300" s="14"/>
      <c r="D300" s="14"/>
      <c r="E300" s="15"/>
      <c r="F300" s="16" t="str">
        <f aca="false">IF(OR(C300="",D300="",E300=""),"",C300*D300*E300)</f>
        <v/>
      </c>
      <c r="G300" s="17" t="str">
        <f aca="false">IF(OR(D300="",E300=""),"",E300*(1+D300/30))</f>
        <v/>
      </c>
      <c r="H300" s="19" t="n">
        <f aca="false">IF(G300="",0,G300)</f>
        <v>0</v>
      </c>
      <c r="I300" s="18" t="str">
        <f aca="false">IF(H300&gt;0,IF(H300&gt;=SUMPRODUCT(MAX(($B$5:$B$2004=B300)*$H$5:$H$2004)),"Rekor",""),"")</f>
        <v/>
      </c>
      <c r="J300" s="19" t="n">
        <f aca="false">IF(A300="",0,IF(COUNTIF(A$5:A300,A300)=1,1,0))</f>
        <v>0</v>
      </c>
    </row>
    <row r="301" customFormat="false" ht="15" hidden="false" customHeight="false" outlineLevel="0" collapsed="false">
      <c r="A301" s="12"/>
      <c r="B301" s="13"/>
      <c r="C301" s="14"/>
      <c r="D301" s="14"/>
      <c r="E301" s="15"/>
      <c r="F301" s="16" t="str">
        <f aca="false">IF(OR(C301="",D301="",E301=""),"",C301*D301*E301)</f>
        <v/>
      </c>
      <c r="G301" s="17" t="str">
        <f aca="false">IF(OR(D301="",E301=""),"",E301*(1+D301/30))</f>
        <v/>
      </c>
      <c r="H301" s="19" t="n">
        <f aca="false">IF(G301="",0,G301)</f>
        <v>0</v>
      </c>
      <c r="I301" s="18" t="str">
        <f aca="false">IF(H301&gt;0,IF(H301&gt;=SUMPRODUCT(MAX(($B$5:$B$2004=B301)*$H$5:$H$2004)),"Rekor",""),"")</f>
        <v/>
      </c>
      <c r="J301" s="19" t="n">
        <f aca="false">IF(A301="",0,IF(COUNTIF(A$5:A301,A301)=1,1,0))</f>
        <v>0</v>
      </c>
    </row>
    <row r="302" customFormat="false" ht="15" hidden="false" customHeight="false" outlineLevel="0" collapsed="false">
      <c r="A302" s="12"/>
      <c r="B302" s="13"/>
      <c r="C302" s="14"/>
      <c r="D302" s="14"/>
      <c r="E302" s="15"/>
      <c r="F302" s="16" t="str">
        <f aca="false">IF(OR(C302="",D302="",E302=""),"",C302*D302*E302)</f>
        <v/>
      </c>
      <c r="G302" s="17" t="str">
        <f aca="false">IF(OR(D302="",E302=""),"",E302*(1+D302/30))</f>
        <v/>
      </c>
      <c r="H302" s="19" t="n">
        <f aca="false">IF(G302="",0,G302)</f>
        <v>0</v>
      </c>
      <c r="I302" s="18" t="str">
        <f aca="false">IF(H302&gt;0,IF(H302&gt;=SUMPRODUCT(MAX(($B$5:$B$2004=B302)*$H$5:$H$2004)),"Rekor",""),"")</f>
        <v/>
      </c>
      <c r="J302" s="19" t="n">
        <f aca="false">IF(A302="",0,IF(COUNTIF(A$5:A302,A302)=1,1,0))</f>
        <v>0</v>
      </c>
    </row>
    <row r="303" customFormat="false" ht="15" hidden="false" customHeight="false" outlineLevel="0" collapsed="false">
      <c r="A303" s="12"/>
      <c r="B303" s="13"/>
      <c r="C303" s="14"/>
      <c r="D303" s="14"/>
      <c r="E303" s="15"/>
      <c r="F303" s="16" t="str">
        <f aca="false">IF(OR(C303="",D303="",E303=""),"",C303*D303*E303)</f>
        <v/>
      </c>
      <c r="G303" s="17" t="str">
        <f aca="false">IF(OR(D303="",E303=""),"",E303*(1+D303/30))</f>
        <v/>
      </c>
      <c r="H303" s="19" t="n">
        <f aca="false">IF(G303="",0,G303)</f>
        <v>0</v>
      </c>
      <c r="I303" s="18" t="str">
        <f aca="false">IF(H303&gt;0,IF(H303&gt;=SUMPRODUCT(MAX(($B$5:$B$2004=B303)*$H$5:$H$2004)),"Rekor",""),"")</f>
        <v/>
      </c>
      <c r="J303" s="19" t="n">
        <f aca="false">IF(A303="",0,IF(COUNTIF(A$5:A303,A303)=1,1,0))</f>
        <v>0</v>
      </c>
    </row>
    <row r="304" customFormat="false" ht="15" hidden="false" customHeight="false" outlineLevel="0" collapsed="false">
      <c r="A304" s="12"/>
      <c r="B304" s="13"/>
      <c r="C304" s="14"/>
      <c r="D304" s="14"/>
      <c r="E304" s="15"/>
      <c r="F304" s="16" t="str">
        <f aca="false">IF(OR(C304="",D304="",E304=""),"",C304*D304*E304)</f>
        <v/>
      </c>
      <c r="G304" s="17" t="str">
        <f aca="false">IF(OR(D304="",E304=""),"",E304*(1+D304/30))</f>
        <v/>
      </c>
      <c r="H304" s="19" t="n">
        <f aca="false">IF(G304="",0,G304)</f>
        <v>0</v>
      </c>
      <c r="I304" s="18" t="str">
        <f aca="false">IF(H304&gt;0,IF(H304&gt;=SUMPRODUCT(MAX(($B$5:$B$2004=B304)*$H$5:$H$2004)),"Rekor",""),"")</f>
        <v/>
      </c>
      <c r="J304" s="19" t="n">
        <f aca="false">IF(A304="",0,IF(COUNTIF(A$5:A304,A304)=1,1,0))</f>
        <v>0</v>
      </c>
    </row>
    <row r="305" customFormat="false" ht="15" hidden="false" customHeight="false" outlineLevel="0" collapsed="false">
      <c r="A305" s="12"/>
      <c r="B305" s="13"/>
      <c r="C305" s="14"/>
      <c r="D305" s="14"/>
      <c r="E305" s="15"/>
      <c r="F305" s="16" t="str">
        <f aca="false">IF(OR(C305="",D305="",E305=""),"",C305*D305*E305)</f>
        <v/>
      </c>
      <c r="G305" s="17" t="str">
        <f aca="false">IF(OR(D305="",E305=""),"",E305*(1+D305/30))</f>
        <v/>
      </c>
      <c r="H305" s="19" t="n">
        <f aca="false">IF(G305="",0,G305)</f>
        <v>0</v>
      </c>
      <c r="I305" s="18" t="str">
        <f aca="false">IF(H305&gt;0,IF(H305&gt;=SUMPRODUCT(MAX(($B$5:$B$2004=B305)*$H$5:$H$2004)),"Rekor",""),"")</f>
        <v/>
      </c>
      <c r="J305" s="19" t="n">
        <f aca="false">IF(A305="",0,IF(COUNTIF(A$5:A305,A305)=1,1,0))</f>
        <v>0</v>
      </c>
    </row>
    <row r="306" customFormat="false" ht="15" hidden="false" customHeight="false" outlineLevel="0" collapsed="false">
      <c r="A306" s="12"/>
      <c r="B306" s="13"/>
      <c r="C306" s="14"/>
      <c r="D306" s="14"/>
      <c r="E306" s="15"/>
      <c r="F306" s="16" t="str">
        <f aca="false">IF(OR(C306="",D306="",E306=""),"",C306*D306*E306)</f>
        <v/>
      </c>
      <c r="G306" s="17" t="str">
        <f aca="false">IF(OR(D306="",E306=""),"",E306*(1+D306/30))</f>
        <v/>
      </c>
      <c r="H306" s="19" t="n">
        <f aca="false">IF(G306="",0,G306)</f>
        <v>0</v>
      </c>
      <c r="I306" s="18" t="str">
        <f aca="false">IF(H306&gt;0,IF(H306&gt;=SUMPRODUCT(MAX(($B$5:$B$2004=B306)*$H$5:$H$2004)),"Rekor",""),"")</f>
        <v/>
      </c>
      <c r="J306" s="19" t="n">
        <f aca="false">IF(A306="",0,IF(COUNTIF(A$5:A306,A306)=1,1,0))</f>
        <v>0</v>
      </c>
    </row>
    <row r="307" customFormat="false" ht="15" hidden="false" customHeight="false" outlineLevel="0" collapsed="false">
      <c r="A307" s="12"/>
      <c r="B307" s="13"/>
      <c r="C307" s="14"/>
      <c r="D307" s="14"/>
      <c r="E307" s="15"/>
      <c r="F307" s="16" t="str">
        <f aca="false">IF(OR(C307="",D307="",E307=""),"",C307*D307*E307)</f>
        <v/>
      </c>
      <c r="G307" s="17" t="str">
        <f aca="false">IF(OR(D307="",E307=""),"",E307*(1+D307/30))</f>
        <v/>
      </c>
      <c r="H307" s="19" t="n">
        <f aca="false">IF(G307="",0,G307)</f>
        <v>0</v>
      </c>
      <c r="I307" s="18" t="str">
        <f aca="false">IF(H307&gt;0,IF(H307&gt;=SUMPRODUCT(MAX(($B$5:$B$2004=B307)*$H$5:$H$2004)),"Rekor",""),"")</f>
        <v/>
      </c>
      <c r="J307" s="19" t="n">
        <f aca="false">IF(A307="",0,IF(COUNTIF(A$5:A307,A307)=1,1,0))</f>
        <v>0</v>
      </c>
    </row>
    <row r="308" customFormat="false" ht="15" hidden="false" customHeight="false" outlineLevel="0" collapsed="false">
      <c r="A308" s="12"/>
      <c r="B308" s="13"/>
      <c r="C308" s="14"/>
      <c r="D308" s="14"/>
      <c r="E308" s="15"/>
      <c r="F308" s="16" t="str">
        <f aca="false">IF(OR(C308="",D308="",E308=""),"",C308*D308*E308)</f>
        <v/>
      </c>
      <c r="G308" s="17" t="str">
        <f aca="false">IF(OR(D308="",E308=""),"",E308*(1+D308/30))</f>
        <v/>
      </c>
      <c r="H308" s="19" t="n">
        <f aca="false">IF(G308="",0,G308)</f>
        <v>0</v>
      </c>
      <c r="I308" s="18" t="str">
        <f aca="false">IF(H308&gt;0,IF(H308&gt;=SUMPRODUCT(MAX(($B$5:$B$2004=B308)*$H$5:$H$2004)),"Rekor",""),"")</f>
        <v/>
      </c>
      <c r="J308" s="19" t="n">
        <f aca="false">IF(A308="",0,IF(COUNTIF(A$5:A308,A308)=1,1,0))</f>
        <v>0</v>
      </c>
    </row>
    <row r="309" customFormat="false" ht="15" hidden="false" customHeight="false" outlineLevel="0" collapsed="false">
      <c r="A309" s="12"/>
      <c r="B309" s="13"/>
      <c r="C309" s="14"/>
      <c r="D309" s="14"/>
      <c r="E309" s="15"/>
      <c r="F309" s="16" t="str">
        <f aca="false">IF(OR(C309="",D309="",E309=""),"",C309*D309*E309)</f>
        <v/>
      </c>
      <c r="G309" s="17" t="str">
        <f aca="false">IF(OR(D309="",E309=""),"",E309*(1+D309/30))</f>
        <v/>
      </c>
      <c r="H309" s="19" t="n">
        <f aca="false">IF(G309="",0,G309)</f>
        <v>0</v>
      </c>
      <c r="I309" s="18" t="str">
        <f aca="false">IF(H309&gt;0,IF(H309&gt;=SUMPRODUCT(MAX(($B$5:$B$2004=B309)*$H$5:$H$2004)),"Rekor",""),"")</f>
        <v/>
      </c>
      <c r="J309" s="19" t="n">
        <f aca="false">IF(A309="",0,IF(COUNTIF(A$5:A309,A309)=1,1,0))</f>
        <v>0</v>
      </c>
    </row>
    <row r="310" customFormat="false" ht="15" hidden="false" customHeight="false" outlineLevel="0" collapsed="false">
      <c r="A310" s="12"/>
      <c r="B310" s="13"/>
      <c r="C310" s="14"/>
      <c r="D310" s="14"/>
      <c r="E310" s="15"/>
      <c r="F310" s="16" t="str">
        <f aca="false">IF(OR(C310="",D310="",E310=""),"",C310*D310*E310)</f>
        <v/>
      </c>
      <c r="G310" s="17" t="str">
        <f aca="false">IF(OR(D310="",E310=""),"",E310*(1+D310/30))</f>
        <v/>
      </c>
      <c r="H310" s="19" t="n">
        <f aca="false">IF(G310="",0,G310)</f>
        <v>0</v>
      </c>
      <c r="I310" s="18" t="str">
        <f aca="false">IF(H310&gt;0,IF(H310&gt;=SUMPRODUCT(MAX(($B$5:$B$2004=B310)*$H$5:$H$2004)),"Rekor",""),"")</f>
        <v/>
      </c>
      <c r="J310" s="19" t="n">
        <f aca="false">IF(A310="",0,IF(COUNTIF(A$5:A310,A310)=1,1,0))</f>
        <v>0</v>
      </c>
    </row>
    <row r="311" customFormat="false" ht="15" hidden="false" customHeight="false" outlineLevel="0" collapsed="false">
      <c r="A311" s="12"/>
      <c r="B311" s="13"/>
      <c r="C311" s="14"/>
      <c r="D311" s="14"/>
      <c r="E311" s="15"/>
      <c r="F311" s="16" t="str">
        <f aca="false">IF(OR(C311="",D311="",E311=""),"",C311*D311*E311)</f>
        <v/>
      </c>
      <c r="G311" s="17" t="str">
        <f aca="false">IF(OR(D311="",E311=""),"",E311*(1+D311/30))</f>
        <v/>
      </c>
      <c r="H311" s="19" t="n">
        <f aca="false">IF(G311="",0,G311)</f>
        <v>0</v>
      </c>
      <c r="I311" s="18" t="str">
        <f aca="false">IF(H311&gt;0,IF(H311&gt;=SUMPRODUCT(MAX(($B$5:$B$2004=B311)*$H$5:$H$2004)),"Rekor",""),"")</f>
        <v/>
      </c>
      <c r="J311" s="19" t="n">
        <f aca="false">IF(A311="",0,IF(COUNTIF(A$5:A311,A311)=1,1,0))</f>
        <v>0</v>
      </c>
    </row>
    <row r="312" customFormat="false" ht="15" hidden="false" customHeight="false" outlineLevel="0" collapsed="false">
      <c r="A312" s="12"/>
      <c r="B312" s="13"/>
      <c r="C312" s="14"/>
      <c r="D312" s="14"/>
      <c r="E312" s="15"/>
      <c r="F312" s="16" t="str">
        <f aca="false">IF(OR(C312="",D312="",E312=""),"",C312*D312*E312)</f>
        <v/>
      </c>
      <c r="G312" s="17" t="str">
        <f aca="false">IF(OR(D312="",E312=""),"",E312*(1+D312/30))</f>
        <v/>
      </c>
      <c r="H312" s="19" t="n">
        <f aca="false">IF(G312="",0,G312)</f>
        <v>0</v>
      </c>
      <c r="I312" s="18" t="str">
        <f aca="false">IF(H312&gt;0,IF(H312&gt;=SUMPRODUCT(MAX(($B$5:$B$2004=B312)*$H$5:$H$2004)),"Rekor",""),"")</f>
        <v/>
      </c>
      <c r="J312" s="19" t="n">
        <f aca="false">IF(A312="",0,IF(COUNTIF(A$5:A312,A312)=1,1,0))</f>
        <v>0</v>
      </c>
    </row>
    <row r="313" customFormat="false" ht="15" hidden="false" customHeight="false" outlineLevel="0" collapsed="false">
      <c r="A313" s="12"/>
      <c r="B313" s="13"/>
      <c r="C313" s="14"/>
      <c r="D313" s="14"/>
      <c r="E313" s="15"/>
      <c r="F313" s="16" t="str">
        <f aca="false">IF(OR(C313="",D313="",E313=""),"",C313*D313*E313)</f>
        <v/>
      </c>
      <c r="G313" s="17" t="str">
        <f aca="false">IF(OR(D313="",E313=""),"",E313*(1+D313/30))</f>
        <v/>
      </c>
      <c r="H313" s="19" t="n">
        <f aca="false">IF(G313="",0,G313)</f>
        <v>0</v>
      </c>
      <c r="I313" s="18" t="str">
        <f aca="false">IF(H313&gt;0,IF(H313&gt;=SUMPRODUCT(MAX(($B$5:$B$2004=B313)*$H$5:$H$2004)),"Rekor",""),"")</f>
        <v/>
      </c>
      <c r="J313" s="19" t="n">
        <f aca="false">IF(A313="",0,IF(COUNTIF(A$5:A313,A313)=1,1,0))</f>
        <v>0</v>
      </c>
    </row>
    <row r="314" customFormat="false" ht="15" hidden="false" customHeight="false" outlineLevel="0" collapsed="false">
      <c r="A314" s="12"/>
      <c r="B314" s="13"/>
      <c r="C314" s="14"/>
      <c r="D314" s="14"/>
      <c r="E314" s="15"/>
      <c r="F314" s="16" t="str">
        <f aca="false">IF(OR(C314="",D314="",E314=""),"",C314*D314*E314)</f>
        <v/>
      </c>
      <c r="G314" s="17" t="str">
        <f aca="false">IF(OR(D314="",E314=""),"",E314*(1+D314/30))</f>
        <v/>
      </c>
      <c r="H314" s="19" t="n">
        <f aca="false">IF(G314="",0,G314)</f>
        <v>0</v>
      </c>
      <c r="I314" s="18" t="str">
        <f aca="false">IF(H314&gt;0,IF(H314&gt;=SUMPRODUCT(MAX(($B$5:$B$2004=B314)*$H$5:$H$2004)),"Rekor",""),"")</f>
        <v/>
      </c>
      <c r="J314" s="19" t="n">
        <f aca="false">IF(A314="",0,IF(COUNTIF(A$5:A314,A314)=1,1,0))</f>
        <v>0</v>
      </c>
    </row>
    <row r="315" customFormat="false" ht="15" hidden="false" customHeight="false" outlineLevel="0" collapsed="false">
      <c r="A315" s="12"/>
      <c r="B315" s="13"/>
      <c r="C315" s="14"/>
      <c r="D315" s="14"/>
      <c r="E315" s="15"/>
      <c r="F315" s="16" t="str">
        <f aca="false">IF(OR(C315="",D315="",E315=""),"",C315*D315*E315)</f>
        <v/>
      </c>
      <c r="G315" s="17" t="str">
        <f aca="false">IF(OR(D315="",E315=""),"",E315*(1+D315/30))</f>
        <v/>
      </c>
      <c r="H315" s="19" t="n">
        <f aca="false">IF(G315="",0,G315)</f>
        <v>0</v>
      </c>
      <c r="I315" s="18" t="str">
        <f aca="false">IF(H315&gt;0,IF(H315&gt;=SUMPRODUCT(MAX(($B$5:$B$2004=B315)*$H$5:$H$2004)),"Rekor",""),"")</f>
        <v/>
      </c>
      <c r="J315" s="19" t="n">
        <f aca="false">IF(A315="",0,IF(COUNTIF(A$5:A315,A315)=1,1,0))</f>
        <v>0</v>
      </c>
    </row>
    <row r="316" customFormat="false" ht="15" hidden="false" customHeight="false" outlineLevel="0" collapsed="false">
      <c r="A316" s="12"/>
      <c r="B316" s="13"/>
      <c r="C316" s="14"/>
      <c r="D316" s="14"/>
      <c r="E316" s="15"/>
      <c r="F316" s="16" t="str">
        <f aca="false">IF(OR(C316="",D316="",E316=""),"",C316*D316*E316)</f>
        <v/>
      </c>
      <c r="G316" s="17" t="str">
        <f aca="false">IF(OR(D316="",E316=""),"",E316*(1+D316/30))</f>
        <v/>
      </c>
      <c r="H316" s="19" t="n">
        <f aca="false">IF(G316="",0,G316)</f>
        <v>0</v>
      </c>
      <c r="I316" s="18" t="str">
        <f aca="false">IF(H316&gt;0,IF(H316&gt;=SUMPRODUCT(MAX(($B$5:$B$2004=B316)*$H$5:$H$2004)),"Rekor",""),"")</f>
        <v/>
      </c>
      <c r="J316" s="19" t="n">
        <f aca="false">IF(A316="",0,IF(COUNTIF(A$5:A316,A316)=1,1,0))</f>
        <v>0</v>
      </c>
    </row>
    <row r="317" customFormat="false" ht="15" hidden="false" customHeight="false" outlineLevel="0" collapsed="false">
      <c r="A317" s="12"/>
      <c r="B317" s="13"/>
      <c r="C317" s="14"/>
      <c r="D317" s="14"/>
      <c r="E317" s="15"/>
      <c r="F317" s="16" t="str">
        <f aca="false">IF(OR(C317="",D317="",E317=""),"",C317*D317*E317)</f>
        <v/>
      </c>
      <c r="G317" s="17" t="str">
        <f aca="false">IF(OR(D317="",E317=""),"",E317*(1+D317/30))</f>
        <v/>
      </c>
      <c r="H317" s="19" t="n">
        <f aca="false">IF(G317="",0,G317)</f>
        <v>0</v>
      </c>
      <c r="I317" s="18" t="str">
        <f aca="false">IF(H317&gt;0,IF(H317&gt;=SUMPRODUCT(MAX(($B$5:$B$2004=B317)*$H$5:$H$2004)),"Rekor",""),"")</f>
        <v/>
      </c>
      <c r="J317" s="19" t="n">
        <f aca="false">IF(A317="",0,IF(COUNTIF(A$5:A317,A317)=1,1,0))</f>
        <v>0</v>
      </c>
    </row>
    <row r="318" customFormat="false" ht="15" hidden="false" customHeight="false" outlineLevel="0" collapsed="false">
      <c r="A318" s="12"/>
      <c r="B318" s="13"/>
      <c r="C318" s="14"/>
      <c r="D318" s="14"/>
      <c r="E318" s="15"/>
      <c r="F318" s="16" t="str">
        <f aca="false">IF(OR(C318="",D318="",E318=""),"",C318*D318*E318)</f>
        <v/>
      </c>
      <c r="G318" s="17" t="str">
        <f aca="false">IF(OR(D318="",E318=""),"",E318*(1+D318/30))</f>
        <v/>
      </c>
      <c r="H318" s="19" t="n">
        <f aca="false">IF(G318="",0,G318)</f>
        <v>0</v>
      </c>
      <c r="I318" s="18" t="str">
        <f aca="false">IF(H318&gt;0,IF(H318&gt;=SUMPRODUCT(MAX(($B$5:$B$2004=B318)*$H$5:$H$2004)),"Rekor",""),"")</f>
        <v/>
      </c>
      <c r="J318" s="19" t="n">
        <f aca="false">IF(A318="",0,IF(COUNTIF(A$5:A318,A318)=1,1,0))</f>
        <v>0</v>
      </c>
    </row>
    <row r="319" customFormat="false" ht="15" hidden="false" customHeight="false" outlineLevel="0" collapsed="false">
      <c r="A319" s="12"/>
      <c r="B319" s="13"/>
      <c r="C319" s="14"/>
      <c r="D319" s="14"/>
      <c r="E319" s="15"/>
      <c r="F319" s="16" t="str">
        <f aca="false">IF(OR(C319="",D319="",E319=""),"",C319*D319*E319)</f>
        <v/>
      </c>
      <c r="G319" s="17" t="str">
        <f aca="false">IF(OR(D319="",E319=""),"",E319*(1+D319/30))</f>
        <v/>
      </c>
      <c r="H319" s="19" t="n">
        <f aca="false">IF(G319="",0,G319)</f>
        <v>0</v>
      </c>
      <c r="I319" s="18" t="str">
        <f aca="false">IF(H319&gt;0,IF(H319&gt;=SUMPRODUCT(MAX(($B$5:$B$2004=B319)*$H$5:$H$2004)),"Rekor",""),"")</f>
        <v/>
      </c>
      <c r="J319" s="19" t="n">
        <f aca="false">IF(A319="",0,IF(COUNTIF(A$5:A319,A319)=1,1,0))</f>
        <v>0</v>
      </c>
    </row>
    <row r="320" customFormat="false" ht="15" hidden="false" customHeight="false" outlineLevel="0" collapsed="false">
      <c r="A320" s="12"/>
      <c r="B320" s="13"/>
      <c r="C320" s="14"/>
      <c r="D320" s="14"/>
      <c r="E320" s="15"/>
      <c r="F320" s="16" t="str">
        <f aca="false">IF(OR(C320="",D320="",E320=""),"",C320*D320*E320)</f>
        <v/>
      </c>
      <c r="G320" s="17" t="str">
        <f aca="false">IF(OR(D320="",E320=""),"",E320*(1+D320/30))</f>
        <v/>
      </c>
      <c r="H320" s="19" t="n">
        <f aca="false">IF(G320="",0,G320)</f>
        <v>0</v>
      </c>
      <c r="I320" s="18" t="str">
        <f aca="false">IF(H320&gt;0,IF(H320&gt;=SUMPRODUCT(MAX(($B$5:$B$2004=B320)*$H$5:$H$2004)),"Rekor",""),"")</f>
        <v/>
      </c>
      <c r="J320" s="19" t="n">
        <f aca="false">IF(A320="",0,IF(COUNTIF(A$5:A320,A320)=1,1,0))</f>
        <v>0</v>
      </c>
    </row>
    <row r="321" customFormat="false" ht="15" hidden="false" customHeight="false" outlineLevel="0" collapsed="false">
      <c r="A321" s="12"/>
      <c r="B321" s="13"/>
      <c r="C321" s="14"/>
      <c r="D321" s="14"/>
      <c r="E321" s="15"/>
      <c r="F321" s="16" t="str">
        <f aca="false">IF(OR(C321="",D321="",E321=""),"",C321*D321*E321)</f>
        <v/>
      </c>
      <c r="G321" s="17" t="str">
        <f aca="false">IF(OR(D321="",E321=""),"",E321*(1+D321/30))</f>
        <v/>
      </c>
      <c r="H321" s="19" t="n">
        <f aca="false">IF(G321="",0,G321)</f>
        <v>0</v>
      </c>
      <c r="I321" s="18" t="str">
        <f aca="false">IF(H321&gt;0,IF(H321&gt;=SUMPRODUCT(MAX(($B$5:$B$2004=B321)*$H$5:$H$2004)),"Rekor",""),"")</f>
        <v/>
      </c>
      <c r="J321" s="19" t="n">
        <f aca="false">IF(A321="",0,IF(COUNTIF(A$5:A321,A321)=1,1,0))</f>
        <v>0</v>
      </c>
    </row>
    <row r="322" customFormat="false" ht="15" hidden="false" customHeight="false" outlineLevel="0" collapsed="false">
      <c r="A322" s="12"/>
      <c r="B322" s="13"/>
      <c r="C322" s="14"/>
      <c r="D322" s="14"/>
      <c r="E322" s="15"/>
      <c r="F322" s="16" t="str">
        <f aca="false">IF(OR(C322="",D322="",E322=""),"",C322*D322*E322)</f>
        <v/>
      </c>
      <c r="G322" s="17" t="str">
        <f aca="false">IF(OR(D322="",E322=""),"",E322*(1+D322/30))</f>
        <v/>
      </c>
      <c r="H322" s="19" t="n">
        <f aca="false">IF(G322="",0,G322)</f>
        <v>0</v>
      </c>
      <c r="I322" s="18" t="str">
        <f aca="false">IF(H322&gt;0,IF(H322&gt;=SUMPRODUCT(MAX(($B$5:$B$2004=B322)*$H$5:$H$2004)),"Rekor",""),"")</f>
        <v/>
      </c>
      <c r="J322" s="19" t="n">
        <f aca="false">IF(A322="",0,IF(COUNTIF(A$5:A322,A322)=1,1,0))</f>
        <v>0</v>
      </c>
    </row>
    <row r="323" customFormat="false" ht="15" hidden="false" customHeight="false" outlineLevel="0" collapsed="false">
      <c r="A323" s="12"/>
      <c r="B323" s="13"/>
      <c r="C323" s="14"/>
      <c r="D323" s="14"/>
      <c r="E323" s="15"/>
      <c r="F323" s="16" t="str">
        <f aca="false">IF(OR(C323="",D323="",E323=""),"",C323*D323*E323)</f>
        <v/>
      </c>
      <c r="G323" s="17" t="str">
        <f aca="false">IF(OR(D323="",E323=""),"",E323*(1+D323/30))</f>
        <v/>
      </c>
      <c r="H323" s="19" t="n">
        <f aca="false">IF(G323="",0,G323)</f>
        <v>0</v>
      </c>
      <c r="I323" s="18" t="str">
        <f aca="false">IF(H323&gt;0,IF(H323&gt;=SUMPRODUCT(MAX(($B$5:$B$2004=B323)*$H$5:$H$2004)),"Rekor",""),"")</f>
        <v/>
      </c>
      <c r="J323" s="19" t="n">
        <f aca="false">IF(A323="",0,IF(COUNTIF(A$5:A323,A323)=1,1,0))</f>
        <v>0</v>
      </c>
    </row>
    <row r="324" customFormat="false" ht="15" hidden="false" customHeight="false" outlineLevel="0" collapsed="false">
      <c r="A324" s="12"/>
      <c r="B324" s="13"/>
      <c r="C324" s="14"/>
      <c r="D324" s="14"/>
      <c r="E324" s="15"/>
      <c r="F324" s="16" t="str">
        <f aca="false">IF(OR(C324="",D324="",E324=""),"",C324*D324*E324)</f>
        <v/>
      </c>
      <c r="G324" s="17" t="str">
        <f aca="false">IF(OR(D324="",E324=""),"",E324*(1+D324/30))</f>
        <v/>
      </c>
      <c r="H324" s="19" t="n">
        <f aca="false">IF(G324="",0,G324)</f>
        <v>0</v>
      </c>
      <c r="I324" s="18" t="str">
        <f aca="false">IF(H324&gt;0,IF(H324&gt;=SUMPRODUCT(MAX(($B$5:$B$2004=B324)*$H$5:$H$2004)),"Rekor",""),"")</f>
        <v/>
      </c>
      <c r="J324" s="19" t="n">
        <f aca="false">IF(A324="",0,IF(COUNTIF(A$5:A324,A324)=1,1,0))</f>
        <v>0</v>
      </c>
    </row>
    <row r="325" customFormat="false" ht="15" hidden="false" customHeight="false" outlineLevel="0" collapsed="false">
      <c r="A325" s="12"/>
      <c r="B325" s="13"/>
      <c r="C325" s="14"/>
      <c r="D325" s="14"/>
      <c r="E325" s="15"/>
      <c r="F325" s="16" t="str">
        <f aca="false">IF(OR(C325="",D325="",E325=""),"",C325*D325*E325)</f>
        <v/>
      </c>
      <c r="G325" s="17" t="str">
        <f aca="false">IF(OR(D325="",E325=""),"",E325*(1+D325/30))</f>
        <v/>
      </c>
      <c r="H325" s="19" t="n">
        <f aca="false">IF(G325="",0,G325)</f>
        <v>0</v>
      </c>
      <c r="I325" s="18" t="str">
        <f aca="false">IF(H325&gt;0,IF(H325&gt;=SUMPRODUCT(MAX(($B$5:$B$2004=B325)*$H$5:$H$2004)),"Rekor",""),"")</f>
        <v/>
      </c>
      <c r="J325" s="19" t="n">
        <f aca="false">IF(A325="",0,IF(COUNTIF(A$5:A325,A325)=1,1,0))</f>
        <v>0</v>
      </c>
    </row>
    <row r="326" customFormat="false" ht="15" hidden="false" customHeight="false" outlineLevel="0" collapsed="false">
      <c r="A326" s="12"/>
      <c r="B326" s="13"/>
      <c r="C326" s="14"/>
      <c r="D326" s="14"/>
      <c r="E326" s="15"/>
      <c r="F326" s="16" t="str">
        <f aca="false">IF(OR(C326="",D326="",E326=""),"",C326*D326*E326)</f>
        <v/>
      </c>
      <c r="G326" s="17" t="str">
        <f aca="false">IF(OR(D326="",E326=""),"",E326*(1+D326/30))</f>
        <v/>
      </c>
      <c r="H326" s="19" t="n">
        <f aca="false">IF(G326="",0,G326)</f>
        <v>0</v>
      </c>
      <c r="I326" s="18" t="str">
        <f aca="false">IF(H326&gt;0,IF(H326&gt;=SUMPRODUCT(MAX(($B$5:$B$2004=B326)*$H$5:$H$2004)),"Rekor",""),"")</f>
        <v/>
      </c>
      <c r="J326" s="19" t="n">
        <f aca="false">IF(A326="",0,IF(COUNTIF(A$5:A326,A326)=1,1,0))</f>
        <v>0</v>
      </c>
    </row>
    <row r="327" customFormat="false" ht="15" hidden="false" customHeight="false" outlineLevel="0" collapsed="false">
      <c r="A327" s="12"/>
      <c r="B327" s="13"/>
      <c r="C327" s="14"/>
      <c r="D327" s="14"/>
      <c r="E327" s="15"/>
      <c r="F327" s="16" t="str">
        <f aca="false">IF(OR(C327="",D327="",E327=""),"",C327*D327*E327)</f>
        <v/>
      </c>
      <c r="G327" s="17" t="str">
        <f aca="false">IF(OR(D327="",E327=""),"",E327*(1+D327/30))</f>
        <v/>
      </c>
      <c r="H327" s="19" t="n">
        <f aca="false">IF(G327="",0,G327)</f>
        <v>0</v>
      </c>
      <c r="I327" s="18" t="str">
        <f aca="false">IF(H327&gt;0,IF(H327&gt;=SUMPRODUCT(MAX(($B$5:$B$2004=B327)*$H$5:$H$2004)),"Rekor",""),"")</f>
        <v/>
      </c>
      <c r="J327" s="19" t="n">
        <f aca="false">IF(A327="",0,IF(COUNTIF(A$5:A327,A327)=1,1,0))</f>
        <v>0</v>
      </c>
    </row>
    <row r="328" customFormat="false" ht="15" hidden="false" customHeight="false" outlineLevel="0" collapsed="false">
      <c r="A328" s="12"/>
      <c r="B328" s="13"/>
      <c r="C328" s="14"/>
      <c r="D328" s="14"/>
      <c r="E328" s="15"/>
      <c r="F328" s="16" t="str">
        <f aca="false">IF(OR(C328="",D328="",E328=""),"",C328*D328*E328)</f>
        <v/>
      </c>
      <c r="G328" s="17" t="str">
        <f aca="false">IF(OR(D328="",E328=""),"",E328*(1+D328/30))</f>
        <v/>
      </c>
      <c r="H328" s="19" t="n">
        <f aca="false">IF(G328="",0,G328)</f>
        <v>0</v>
      </c>
      <c r="I328" s="18" t="str">
        <f aca="false">IF(H328&gt;0,IF(H328&gt;=SUMPRODUCT(MAX(($B$5:$B$2004=B328)*$H$5:$H$2004)),"Rekor",""),"")</f>
        <v/>
      </c>
      <c r="J328" s="19" t="n">
        <f aca="false">IF(A328="",0,IF(COUNTIF(A$5:A328,A328)=1,1,0))</f>
        <v>0</v>
      </c>
    </row>
    <row r="329" customFormat="false" ht="15" hidden="false" customHeight="false" outlineLevel="0" collapsed="false">
      <c r="A329" s="12"/>
      <c r="B329" s="13"/>
      <c r="C329" s="14"/>
      <c r="D329" s="14"/>
      <c r="E329" s="15"/>
      <c r="F329" s="16" t="str">
        <f aca="false">IF(OR(C329="",D329="",E329=""),"",C329*D329*E329)</f>
        <v/>
      </c>
      <c r="G329" s="17" t="str">
        <f aca="false">IF(OR(D329="",E329=""),"",E329*(1+D329/30))</f>
        <v/>
      </c>
      <c r="H329" s="19" t="n">
        <f aca="false">IF(G329="",0,G329)</f>
        <v>0</v>
      </c>
      <c r="I329" s="18" t="str">
        <f aca="false">IF(H329&gt;0,IF(H329&gt;=SUMPRODUCT(MAX(($B$5:$B$2004=B329)*$H$5:$H$2004)),"Rekor",""),"")</f>
        <v/>
      </c>
      <c r="J329" s="19" t="n">
        <f aca="false">IF(A329="",0,IF(COUNTIF(A$5:A329,A329)=1,1,0))</f>
        <v>0</v>
      </c>
    </row>
    <row r="330" customFormat="false" ht="15" hidden="false" customHeight="false" outlineLevel="0" collapsed="false">
      <c r="A330" s="12"/>
      <c r="B330" s="13"/>
      <c r="C330" s="14"/>
      <c r="D330" s="14"/>
      <c r="E330" s="15"/>
      <c r="F330" s="16" t="str">
        <f aca="false">IF(OR(C330="",D330="",E330=""),"",C330*D330*E330)</f>
        <v/>
      </c>
      <c r="G330" s="17" t="str">
        <f aca="false">IF(OR(D330="",E330=""),"",E330*(1+D330/30))</f>
        <v/>
      </c>
      <c r="H330" s="19" t="n">
        <f aca="false">IF(G330="",0,G330)</f>
        <v>0</v>
      </c>
      <c r="I330" s="18" t="str">
        <f aca="false">IF(H330&gt;0,IF(H330&gt;=SUMPRODUCT(MAX(($B$5:$B$2004=B330)*$H$5:$H$2004)),"Rekor",""),"")</f>
        <v/>
      </c>
      <c r="J330" s="19" t="n">
        <f aca="false">IF(A330="",0,IF(COUNTIF(A$5:A330,A330)=1,1,0))</f>
        <v>0</v>
      </c>
    </row>
    <row r="331" customFormat="false" ht="15" hidden="false" customHeight="false" outlineLevel="0" collapsed="false">
      <c r="A331" s="12"/>
      <c r="B331" s="13"/>
      <c r="C331" s="14"/>
      <c r="D331" s="14"/>
      <c r="E331" s="15"/>
      <c r="F331" s="16" t="str">
        <f aca="false">IF(OR(C331="",D331="",E331=""),"",C331*D331*E331)</f>
        <v/>
      </c>
      <c r="G331" s="17" t="str">
        <f aca="false">IF(OR(D331="",E331=""),"",E331*(1+D331/30))</f>
        <v/>
      </c>
      <c r="H331" s="19" t="n">
        <f aca="false">IF(G331="",0,G331)</f>
        <v>0</v>
      </c>
      <c r="I331" s="18" t="str">
        <f aca="false">IF(H331&gt;0,IF(H331&gt;=SUMPRODUCT(MAX(($B$5:$B$2004=B331)*$H$5:$H$2004)),"Rekor",""),"")</f>
        <v/>
      </c>
      <c r="J331" s="19" t="n">
        <f aca="false">IF(A331="",0,IF(COUNTIF(A$5:A331,A331)=1,1,0))</f>
        <v>0</v>
      </c>
    </row>
    <row r="332" customFormat="false" ht="15" hidden="false" customHeight="false" outlineLevel="0" collapsed="false">
      <c r="A332" s="12"/>
      <c r="B332" s="13"/>
      <c r="C332" s="14"/>
      <c r="D332" s="14"/>
      <c r="E332" s="15"/>
      <c r="F332" s="16" t="str">
        <f aca="false">IF(OR(C332="",D332="",E332=""),"",C332*D332*E332)</f>
        <v/>
      </c>
      <c r="G332" s="17" t="str">
        <f aca="false">IF(OR(D332="",E332=""),"",E332*(1+D332/30))</f>
        <v/>
      </c>
      <c r="H332" s="19" t="n">
        <f aca="false">IF(G332="",0,G332)</f>
        <v>0</v>
      </c>
      <c r="I332" s="18" t="str">
        <f aca="false">IF(H332&gt;0,IF(H332&gt;=SUMPRODUCT(MAX(($B$5:$B$2004=B332)*$H$5:$H$2004)),"Rekor",""),"")</f>
        <v/>
      </c>
      <c r="J332" s="19" t="n">
        <f aca="false">IF(A332="",0,IF(COUNTIF(A$5:A332,A332)=1,1,0))</f>
        <v>0</v>
      </c>
    </row>
    <row r="333" customFormat="false" ht="15" hidden="false" customHeight="false" outlineLevel="0" collapsed="false">
      <c r="A333" s="12"/>
      <c r="B333" s="13"/>
      <c r="C333" s="14"/>
      <c r="D333" s="14"/>
      <c r="E333" s="15"/>
      <c r="F333" s="16" t="str">
        <f aca="false">IF(OR(C333="",D333="",E333=""),"",C333*D333*E333)</f>
        <v/>
      </c>
      <c r="G333" s="17" t="str">
        <f aca="false">IF(OR(D333="",E333=""),"",E333*(1+D333/30))</f>
        <v/>
      </c>
      <c r="H333" s="19" t="n">
        <f aca="false">IF(G333="",0,G333)</f>
        <v>0</v>
      </c>
      <c r="I333" s="18" t="str">
        <f aca="false">IF(H333&gt;0,IF(H333&gt;=SUMPRODUCT(MAX(($B$5:$B$2004=B333)*$H$5:$H$2004)),"Rekor",""),"")</f>
        <v/>
      </c>
      <c r="J333" s="19" t="n">
        <f aca="false">IF(A333="",0,IF(COUNTIF(A$5:A333,A333)=1,1,0))</f>
        <v>0</v>
      </c>
    </row>
    <row r="334" customFormat="false" ht="15" hidden="false" customHeight="false" outlineLevel="0" collapsed="false">
      <c r="A334" s="12"/>
      <c r="B334" s="13"/>
      <c r="C334" s="14"/>
      <c r="D334" s="14"/>
      <c r="E334" s="15"/>
      <c r="F334" s="16" t="str">
        <f aca="false">IF(OR(C334="",D334="",E334=""),"",C334*D334*E334)</f>
        <v/>
      </c>
      <c r="G334" s="17" t="str">
        <f aca="false">IF(OR(D334="",E334=""),"",E334*(1+D334/30))</f>
        <v/>
      </c>
      <c r="H334" s="19" t="n">
        <f aca="false">IF(G334="",0,G334)</f>
        <v>0</v>
      </c>
      <c r="I334" s="18" t="str">
        <f aca="false">IF(H334&gt;0,IF(H334&gt;=SUMPRODUCT(MAX(($B$5:$B$2004=B334)*$H$5:$H$2004)),"Rekor",""),"")</f>
        <v/>
      </c>
      <c r="J334" s="19" t="n">
        <f aca="false">IF(A334="",0,IF(COUNTIF(A$5:A334,A334)=1,1,0))</f>
        <v>0</v>
      </c>
    </row>
    <row r="335" customFormat="false" ht="15" hidden="false" customHeight="false" outlineLevel="0" collapsed="false">
      <c r="A335" s="12"/>
      <c r="B335" s="13"/>
      <c r="C335" s="14"/>
      <c r="D335" s="14"/>
      <c r="E335" s="15"/>
      <c r="F335" s="16" t="str">
        <f aca="false">IF(OR(C335="",D335="",E335=""),"",C335*D335*E335)</f>
        <v/>
      </c>
      <c r="G335" s="17" t="str">
        <f aca="false">IF(OR(D335="",E335=""),"",E335*(1+D335/30))</f>
        <v/>
      </c>
      <c r="H335" s="19" t="n">
        <f aca="false">IF(G335="",0,G335)</f>
        <v>0</v>
      </c>
      <c r="I335" s="18" t="str">
        <f aca="false">IF(H335&gt;0,IF(H335&gt;=SUMPRODUCT(MAX(($B$5:$B$2004=B335)*$H$5:$H$2004)),"Rekor",""),"")</f>
        <v/>
      </c>
      <c r="J335" s="19" t="n">
        <f aca="false">IF(A335="",0,IF(COUNTIF(A$5:A335,A335)=1,1,0))</f>
        <v>0</v>
      </c>
    </row>
    <row r="336" customFormat="false" ht="15" hidden="false" customHeight="false" outlineLevel="0" collapsed="false">
      <c r="A336" s="12"/>
      <c r="B336" s="13"/>
      <c r="C336" s="14"/>
      <c r="D336" s="14"/>
      <c r="E336" s="15"/>
      <c r="F336" s="16" t="str">
        <f aca="false">IF(OR(C336="",D336="",E336=""),"",C336*D336*E336)</f>
        <v/>
      </c>
      <c r="G336" s="17" t="str">
        <f aca="false">IF(OR(D336="",E336=""),"",E336*(1+D336/30))</f>
        <v/>
      </c>
      <c r="H336" s="19" t="n">
        <f aca="false">IF(G336="",0,G336)</f>
        <v>0</v>
      </c>
      <c r="I336" s="18" t="str">
        <f aca="false">IF(H336&gt;0,IF(H336&gt;=SUMPRODUCT(MAX(($B$5:$B$2004=B336)*$H$5:$H$2004)),"Rekor",""),"")</f>
        <v/>
      </c>
      <c r="J336" s="19" t="n">
        <f aca="false">IF(A336="",0,IF(COUNTIF(A$5:A336,A336)=1,1,0))</f>
        <v>0</v>
      </c>
    </row>
    <row r="337" customFormat="false" ht="15" hidden="false" customHeight="false" outlineLevel="0" collapsed="false">
      <c r="A337" s="12"/>
      <c r="B337" s="13"/>
      <c r="C337" s="14"/>
      <c r="D337" s="14"/>
      <c r="E337" s="15"/>
      <c r="F337" s="16" t="str">
        <f aca="false">IF(OR(C337="",D337="",E337=""),"",C337*D337*E337)</f>
        <v/>
      </c>
      <c r="G337" s="17" t="str">
        <f aca="false">IF(OR(D337="",E337=""),"",E337*(1+D337/30))</f>
        <v/>
      </c>
      <c r="H337" s="19" t="n">
        <f aca="false">IF(G337="",0,G337)</f>
        <v>0</v>
      </c>
      <c r="I337" s="18" t="str">
        <f aca="false">IF(H337&gt;0,IF(H337&gt;=SUMPRODUCT(MAX(($B$5:$B$2004=B337)*$H$5:$H$2004)),"Rekor",""),"")</f>
        <v/>
      </c>
      <c r="J337" s="19" t="n">
        <f aca="false">IF(A337="",0,IF(COUNTIF(A$5:A337,A337)=1,1,0))</f>
        <v>0</v>
      </c>
    </row>
    <row r="338" customFormat="false" ht="15" hidden="false" customHeight="false" outlineLevel="0" collapsed="false">
      <c r="A338" s="12"/>
      <c r="B338" s="13"/>
      <c r="C338" s="14"/>
      <c r="D338" s="14"/>
      <c r="E338" s="15"/>
      <c r="F338" s="16" t="str">
        <f aca="false">IF(OR(C338="",D338="",E338=""),"",C338*D338*E338)</f>
        <v/>
      </c>
      <c r="G338" s="17" t="str">
        <f aca="false">IF(OR(D338="",E338=""),"",E338*(1+D338/30))</f>
        <v/>
      </c>
      <c r="H338" s="19" t="n">
        <f aca="false">IF(G338="",0,G338)</f>
        <v>0</v>
      </c>
      <c r="I338" s="18" t="str">
        <f aca="false">IF(H338&gt;0,IF(H338&gt;=SUMPRODUCT(MAX(($B$5:$B$2004=B338)*$H$5:$H$2004)),"Rekor",""),"")</f>
        <v/>
      </c>
      <c r="J338" s="19" t="n">
        <f aca="false">IF(A338="",0,IF(COUNTIF(A$5:A338,A338)=1,1,0))</f>
        <v>0</v>
      </c>
    </row>
    <row r="339" customFormat="false" ht="15" hidden="false" customHeight="false" outlineLevel="0" collapsed="false">
      <c r="A339" s="12"/>
      <c r="B339" s="13"/>
      <c r="C339" s="14"/>
      <c r="D339" s="14"/>
      <c r="E339" s="15"/>
      <c r="F339" s="16" t="str">
        <f aca="false">IF(OR(C339="",D339="",E339=""),"",C339*D339*E339)</f>
        <v/>
      </c>
      <c r="G339" s="17" t="str">
        <f aca="false">IF(OR(D339="",E339=""),"",E339*(1+D339/30))</f>
        <v/>
      </c>
      <c r="H339" s="19" t="n">
        <f aca="false">IF(G339="",0,G339)</f>
        <v>0</v>
      </c>
      <c r="I339" s="18" t="str">
        <f aca="false">IF(H339&gt;0,IF(H339&gt;=SUMPRODUCT(MAX(($B$5:$B$2004=B339)*$H$5:$H$2004)),"Rekor",""),"")</f>
        <v/>
      </c>
      <c r="J339" s="19" t="n">
        <f aca="false">IF(A339="",0,IF(COUNTIF(A$5:A339,A339)=1,1,0))</f>
        <v>0</v>
      </c>
    </row>
    <row r="340" customFormat="false" ht="15" hidden="false" customHeight="false" outlineLevel="0" collapsed="false">
      <c r="A340" s="12"/>
      <c r="B340" s="13"/>
      <c r="C340" s="14"/>
      <c r="D340" s="14"/>
      <c r="E340" s="15"/>
      <c r="F340" s="16" t="str">
        <f aca="false">IF(OR(C340="",D340="",E340=""),"",C340*D340*E340)</f>
        <v/>
      </c>
      <c r="G340" s="17" t="str">
        <f aca="false">IF(OR(D340="",E340=""),"",E340*(1+D340/30))</f>
        <v/>
      </c>
      <c r="H340" s="19" t="n">
        <f aca="false">IF(G340="",0,G340)</f>
        <v>0</v>
      </c>
      <c r="I340" s="18" t="str">
        <f aca="false">IF(H340&gt;0,IF(H340&gt;=SUMPRODUCT(MAX(($B$5:$B$2004=B340)*$H$5:$H$2004)),"Rekor",""),"")</f>
        <v/>
      </c>
      <c r="J340" s="19" t="n">
        <f aca="false">IF(A340="",0,IF(COUNTIF(A$5:A340,A340)=1,1,0))</f>
        <v>0</v>
      </c>
    </row>
    <row r="341" customFormat="false" ht="15" hidden="false" customHeight="false" outlineLevel="0" collapsed="false">
      <c r="A341" s="12"/>
      <c r="B341" s="13"/>
      <c r="C341" s="14"/>
      <c r="D341" s="14"/>
      <c r="E341" s="15"/>
      <c r="F341" s="16" t="str">
        <f aca="false">IF(OR(C341="",D341="",E341=""),"",C341*D341*E341)</f>
        <v/>
      </c>
      <c r="G341" s="17" t="str">
        <f aca="false">IF(OR(D341="",E341=""),"",E341*(1+D341/30))</f>
        <v/>
      </c>
      <c r="H341" s="19" t="n">
        <f aca="false">IF(G341="",0,G341)</f>
        <v>0</v>
      </c>
      <c r="I341" s="18" t="str">
        <f aca="false">IF(H341&gt;0,IF(H341&gt;=SUMPRODUCT(MAX(($B$5:$B$2004=B341)*$H$5:$H$2004)),"Rekor",""),"")</f>
        <v/>
      </c>
      <c r="J341" s="19" t="n">
        <f aca="false">IF(A341="",0,IF(COUNTIF(A$5:A341,A341)=1,1,0))</f>
        <v>0</v>
      </c>
    </row>
    <row r="342" customFormat="false" ht="15" hidden="false" customHeight="false" outlineLevel="0" collapsed="false">
      <c r="A342" s="12"/>
      <c r="B342" s="13"/>
      <c r="C342" s="14"/>
      <c r="D342" s="14"/>
      <c r="E342" s="15"/>
      <c r="F342" s="16" t="str">
        <f aca="false">IF(OR(C342="",D342="",E342=""),"",C342*D342*E342)</f>
        <v/>
      </c>
      <c r="G342" s="17" t="str">
        <f aca="false">IF(OR(D342="",E342=""),"",E342*(1+D342/30))</f>
        <v/>
      </c>
      <c r="H342" s="19" t="n">
        <f aca="false">IF(G342="",0,G342)</f>
        <v>0</v>
      </c>
      <c r="I342" s="18" t="str">
        <f aca="false">IF(H342&gt;0,IF(H342&gt;=SUMPRODUCT(MAX(($B$5:$B$2004=B342)*$H$5:$H$2004)),"Rekor",""),"")</f>
        <v/>
      </c>
      <c r="J342" s="19" t="n">
        <f aca="false">IF(A342="",0,IF(COUNTIF(A$5:A342,A342)=1,1,0))</f>
        <v>0</v>
      </c>
    </row>
    <row r="343" customFormat="false" ht="15" hidden="false" customHeight="false" outlineLevel="0" collapsed="false">
      <c r="A343" s="12"/>
      <c r="B343" s="13"/>
      <c r="C343" s="14"/>
      <c r="D343" s="14"/>
      <c r="E343" s="15"/>
      <c r="F343" s="16" t="str">
        <f aca="false">IF(OR(C343="",D343="",E343=""),"",C343*D343*E343)</f>
        <v/>
      </c>
      <c r="G343" s="17" t="str">
        <f aca="false">IF(OR(D343="",E343=""),"",E343*(1+D343/30))</f>
        <v/>
      </c>
      <c r="H343" s="19" t="n">
        <f aca="false">IF(G343="",0,G343)</f>
        <v>0</v>
      </c>
      <c r="I343" s="18" t="str">
        <f aca="false">IF(H343&gt;0,IF(H343&gt;=SUMPRODUCT(MAX(($B$5:$B$2004=B343)*$H$5:$H$2004)),"Rekor",""),"")</f>
        <v/>
      </c>
      <c r="J343" s="19" t="n">
        <f aca="false">IF(A343="",0,IF(COUNTIF(A$5:A343,A343)=1,1,0))</f>
        <v>0</v>
      </c>
    </row>
    <row r="344" customFormat="false" ht="15" hidden="false" customHeight="false" outlineLevel="0" collapsed="false">
      <c r="A344" s="12"/>
      <c r="B344" s="13"/>
      <c r="C344" s="14"/>
      <c r="D344" s="14"/>
      <c r="E344" s="15"/>
      <c r="F344" s="16" t="str">
        <f aca="false">IF(OR(C344="",D344="",E344=""),"",C344*D344*E344)</f>
        <v/>
      </c>
      <c r="G344" s="17" t="str">
        <f aca="false">IF(OR(D344="",E344=""),"",E344*(1+D344/30))</f>
        <v/>
      </c>
      <c r="H344" s="19" t="n">
        <f aca="false">IF(G344="",0,G344)</f>
        <v>0</v>
      </c>
      <c r="I344" s="18" t="str">
        <f aca="false">IF(H344&gt;0,IF(H344&gt;=SUMPRODUCT(MAX(($B$5:$B$2004=B344)*$H$5:$H$2004)),"Rekor",""),"")</f>
        <v/>
      </c>
      <c r="J344" s="19" t="n">
        <f aca="false">IF(A344="",0,IF(COUNTIF(A$5:A344,A344)=1,1,0))</f>
        <v>0</v>
      </c>
    </row>
    <row r="345" customFormat="false" ht="15" hidden="false" customHeight="false" outlineLevel="0" collapsed="false">
      <c r="A345" s="12"/>
      <c r="B345" s="13"/>
      <c r="C345" s="14"/>
      <c r="D345" s="14"/>
      <c r="E345" s="15"/>
      <c r="F345" s="16" t="str">
        <f aca="false">IF(OR(C345="",D345="",E345=""),"",C345*D345*E345)</f>
        <v/>
      </c>
      <c r="G345" s="17" t="str">
        <f aca="false">IF(OR(D345="",E345=""),"",E345*(1+D345/30))</f>
        <v/>
      </c>
      <c r="H345" s="19" t="n">
        <f aca="false">IF(G345="",0,G345)</f>
        <v>0</v>
      </c>
      <c r="I345" s="18" t="str">
        <f aca="false">IF(H345&gt;0,IF(H345&gt;=SUMPRODUCT(MAX(($B$5:$B$2004=B345)*$H$5:$H$2004)),"Rekor",""),"")</f>
        <v/>
      </c>
      <c r="J345" s="19" t="n">
        <f aca="false">IF(A345="",0,IF(COUNTIF(A$5:A345,A345)=1,1,0))</f>
        <v>0</v>
      </c>
    </row>
    <row r="346" customFormat="false" ht="15" hidden="false" customHeight="false" outlineLevel="0" collapsed="false">
      <c r="A346" s="12"/>
      <c r="B346" s="13"/>
      <c r="C346" s="14"/>
      <c r="D346" s="14"/>
      <c r="E346" s="15"/>
      <c r="F346" s="16" t="str">
        <f aca="false">IF(OR(C346="",D346="",E346=""),"",C346*D346*E346)</f>
        <v/>
      </c>
      <c r="G346" s="17" t="str">
        <f aca="false">IF(OR(D346="",E346=""),"",E346*(1+D346/30))</f>
        <v/>
      </c>
      <c r="H346" s="19" t="n">
        <f aca="false">IF(G346="",0,G346)</f>
        <v>0</v>
      </c>
      <c r="I346" s="18" t="str">
        <f aca="false">IF(H346&gt;0,IF(H346&gt;=SUMPRODUCT(MAX(($B$5:$B$2004=B346)*$H$5:$H$2004)),"Rekor",""),"")</f>
        <v/>
      </c>
      <c r="J346" s="19" t="n">
        <f aca="false">IF(A346="",0,IF(COUNTIF(A$5:A346,A346)=1,1,0))</f>
        <v>0</v>
      </c>
    </row>
    <row r="347" customFormat="false" ht="15" hidden="false" customHeight="false" outlineLevel="0" collapsed="false">
      <c r="A347" s="12"/>
      <c r="B347" s="13"/>
      <c r="C347" s="14"/>
      <c r="D347" s="14"/>
      <c r="E347" s="15"/>
      <c r="F347" s="16" t="str">
        <f aca="false">IF(OR(C347="",D347="",E347=""),"",C347*D347*E347)</f>
        <v/>
      </c>
      <c r="G347" s="17" t="str">
        <f aca="false">IF(OR(D347="",E347=""),"",E347*(1+D347/30))</f>
        <v/>
      </c>
      <c r="H347" s="19" t="n">
        <f aca="false">IF(G347="",0,G347)</f>
        <v>0</v>
      </c>
      <c r="I347" s="18" t="str">
        <f aca="false">IF(H347&gt;0,IF(H347&gt;=SUMPRODUCT(MAX(($B$5:$B$2004=B347)*$H$5:$H$2004)),"Rekor",""),"")</f>
        <v/>
      </c>
      <c r="J347" s="19" t="n">
        <f aca="false">IF(A347="",0,IF(COUNTIF(A$5:A347,A347)=1,1,0))</f>
        <v>0</v>
      </c>
    </row>
    <row r="348" customFormat="false" ht="15" hidden="false" customHeight="false" outlineLevel="0" collapsed="false">
      <c r="A348" s="12"/>
      <c r="B348" s="13"/>
      <c r="C348" s="14"/>
      <c r="D348" s="14"/>
      <c r="E348" s="15"/>
      <c r="F348" s="16" t="str">
        <f aca="false">IF(OR(C348="",D348="",E348=""),"",C348*D348*E348)</f>
        <v/>
      </c>
      <c r="G348" s="17" t="str">
        <f aca="false">IF(OR(D348="",E348=""),"",E348*(1+D348/30))</f>
        <v/>
      </c>
      <c r="H348" s="19" t="n">
        <f aca="false">IF(G348="",0,G348)</f>
        <v>0</v>
      </c>
      <c r="I348" s="18" t="str">
        <f aca="false">IF(H348&gt;0,IF(H348&gt;=SUMPRODUCT(MAX(($B$5:$B$2004=B348)*$H$5:$H$2004)),"Rekor",""),"")</f>
        <v/>
      </c>
      <c r="J348" s="19" t="n">
        <f aca="false">IF(A348="",0,IF(COUNTIF(A$5:A348,A348)=1,1,0))</f>
        <v>0</v>
      </c>
    </row>
    <row r="349" customFormat="false" ht="15" hidden="false" customHeight="false" outlineLevel="0" collapsed="false">
      <c r="A349" s="12"/>
      <c r="B349" s="13"/>
      <c r="C349" s="14"/>
      <c r="D349" s="14"/>
      <c r="E349" s="15"/>
      <c r="F349" s="16" t="str">
        <f aca="false">IF(OR(C349="",D349="",E349=""),"",C349*D349*E349)</f>
        <v/>
      </c>
      <c r="G349" s="17" t="str">
        <f aca="false">IF(OR(D349="",E349=""),"",E349*(1+D349/30))</f>
        <v/>
      </c>
      <c r="H349" s="19" t="n">
        <f aca="false">IF(G349="",0,G349)</f>
        <v>0</v>
      </c>
      <c r="I349" s="18" t="str">
        <f aca="false">IF(H349&gt;0,IF(H349&gt;=SUMPRODUCT(MAX(($B$5:$B$2004=B349)*$H$5:$H$2004)),"Rekor",""),"")</f>
        <v/>
      </c>
      <c r="J349" s="19" t="n">
        <f aca="false">IF(A349="",0,IF(COUNTIF(A$5:A349,A349)=1,1,0))</f>
        <v>0</v>
      </c>
    </row>
    <row r="350" customFormat="false" ht="15" hidden="false" customHeight="false" outlineLevel="0" collapsed="false">
      <c r="A350" s="12"/>
      <c r="B350" s="13"/>
      <c r="C350" s="14"/>
      <c r="D350" s="14"/>
      <c r="E350" s="15"/>
      <c r="F350" s="16" t="str">
        <f aca="false">IF(OR(C350="",D350="",E350=""),"",C350*D350*E350)</f>
        <v/>
      </c>
      <c r="G350" s="17" t="str">
        <f aca="false">IF(OR(D350="",E350=""),"",E350*(1+D350/30))</f>
        <v/>
      </c>
      <c r="H350" s="19" t="n">
        <f aca="false">IF(G350="",0,G350)</f>
        <v>0</v>
      </c>
      <c r="I350" s="18" t="str">
        <f aca="false">IF(H350&gt;0,IF(H350&gt;=SUMPRODUCT(MAX(($B$5:$B$2004=B350)*$H$5:$H$2004)),"Rekor",""),"")</f>
        <v/>
      </c>
      <c r="J350" s="19" t="n">
        <f aca="false">IF(A350="",0,IF(COUNTIF(A$5:A350,A350)=1,1,0))</f>
        <v>0</v>
      </c>
    </row>
    <row r="351" customFormat="false" ht="15" hidden="false" customHeight="false" outlineLevel="0" collapsed="false">
      <c r="A351" s="12"/>
      <c r="B351" s="13"/>
      <c r="C351" s="14"/>
      <c r="D351" s="14"/>
      <c r="E351" s="15"/>
      <c r="F351" s="16" t="str">
        <f aca="false">IF(OR(C351="",D351="",E351=""),"",C351*D351*E351)</f>
        <v/>
      </c>
      <c r="G351" s="17" t="str">
        <f aca="false">IF(OR(D351="",E351=""),"",E351*(1+D351/30))</f>
        <v/>
      </c>
      <c r="H351" s="19" t="n">
        <f aca="false">IF(G351="",0,G351)</f>
        <v>0</v>
      </c>
      <c r="I351" s="18" t="str">
        <f aca="false">IF(H351&gt;0,IF(H351&gt;=SUMPRODUCT(MAX(($B$5:$B$2004=B351)*$H$5:$H$2004)),"Rekor",""),"")</f>
        <v/>
      </c>
      <c r="J351" s="19" t="n">
        <f aca="false">IF(A351="",0,IF(COUNTIF(A$5:A351,A351)=1,1,0))</f>
        <v>0</v>
      </c>
    </row>
    <row r="352" customFormat="false" ht="15" hidden="false" customHeight="false" outlineLevel="0" collapsed="false">
      <c r="A352" s="12"/>
      <c r="B352" s="13"/>
      <c r="C352" s="14"/>
      <c r="D352" s="14"/>
      <c r="E352" s="15"/>
      <c r="F352" s="16" t="str">
        <f aca="false">IF(OR(C352="",D352="",E352=""),"",C352*D352*E352)</f>
        <v/>
      </c>
      <c r="G352" s="17" t="str">
        <f aca="false">IF(OR(D352="",E352=""),"",E352*(1+D352/30))</f>
        <v/>
      </c>
      <c r="H352" s="19" t="n">
        <f aca="false">IF(G352="",0,G352)</f>
        <v>0</v>
      </c>
      <c r="I352" s="18" t="str">
        <f aca="false">IF(H352&gt;0,IF(H352&gt;=SUMPRODUCT(MAX(($B$5:$B$2004=B352)*$H$5:$H$2004)),"Rekor",""),"")</f>
        <v/>
      </c>
      <c r="J352" s="19" t="n">
        <f aca="false">IF(A352="",0,IF(COUNTIF(A$5:A352,A352)=1,1,0))</f>
        <v>0</v>
      </c>
    </row>
    <row r="353" customFormat="false" ht="15" hidden="false" customHeight="false" outlineLevel="0" collapsed="false">
      <c r="A353" s="12"/>
      <c r="B353" s="13"/>
      <c r="C353" s="14"/>
      <c r="D353" s="14"/>
      <c r="E353" s="15"/>
      <c r="F353" s="16" t="str">
        <f aca="false">IF(OR(C353="",D353="",E353=""),"",C353*D353*E353)</f>
        <v/>
      </c>
      <c r="G353" s="17" t="str">
        <f aca="false">IF(OR(D353="",E353=""),"",E353*(1+D353/30))</f>
        <v/>
      </c>
      <c r="H353" s="19" t="n">
        <f aca="false">IF(G353="",0,G353)</f>
        <v>0</v>
      </c>
      <c r="I353" s="18" t="str">
        <f aca="false">IF(H353&gt;0,IF(H353&gt;=SUMPRODUCT(MAX(($B$5:$B$2004=B353)*$H$5:$H$2004)),"Rekor",""),"")</f>
        <v/>
      </c>
      <c r="J353" s="19" t="n">
        <f aca="false">IF(A353="",0,IF(COUNTIF(A$5:A353,A353)=1,1,0))</f>
        <v>0</v>
      </c>
    </row>
    <row r="354" customFormat="false" ht="15" hidden="false" customHeight="false" outlineLevel="0" collapsed="false">
      <c r="A354" s="12"/>
      <c r="B354" s="13"/>
      <c r="C354" s="14"/>
      <c r="D354" s="14"/>
      <c r="E354" s="15"/>
      <c r="F354" s="16" t="str">
        <f aca="false">IF(OR(C354="",D354="",E354=""),"",C354*D354*E354)</f>
        <v/>
      </c>
      <c r="G354" s="17" t="str">
        <f aca="false">IF(OR(D354="",E354=""),"",E354*(1+D354/30))</f>
        <v/>
      </c>
      <c r="H354" s="19" t="n">
        <f aca="false">IF(G354="",0,G354)</f>
        <v>0</v>
      </c>
      <c r="I354" s="18" t="str">
        <f aca="false">IF(H354&gt;0,IF(H354&gt;=SUMPRODUCT(MAX(($B$5:$B$2004=B354)*$H$5:$H$2004)),"Rekor",""),"")</f>
        <v/>
      </c>
      <c r="J354" s="19" t="n">
        <f aca="false">IF(A354="",0,IF(COUNTIF(A$5:A354,A354)=1,1,0))</f>
        <v>0</v>
      </c>
    </row>
    <row r="355" customFormat="false" ht="15" hidden="false" customHeight="false" outlineLevel="0" collapsed="false">
      <c r="A355" s="12"/>
      <c r="B355" s="13"/>
      <c r="C355" s="14"/>
      <c r="D355" s="14"/>
      <c r="E355" s="15"/>
      <c r="F355" s="16" t="str">
        <f aca="false">IF(OR(C355="",D355="",E355=""),"",C355*D355*E355)</f>
        <v/>
      </c>
      <c r="G355" s="17" t="str">
        <f aca="false">IF(OR(D355="",E355=""),"",E355*(1+D355/30))</f>
        <v/>
      </c>
      <c r="H355" s="19" t="n">
        <f aca="false">IF(G355="",0,G355)</f>
        <v>0</v>
      </c>
      <c r="I355" s="18" t="str">
        <f aca="false">IF(H355&gt;0,IF(H355&gt;=SUMPRODUCT(MAX(($B$5:$B$2004=B355)*$H$5:$H$2004)),"Rekor",""),"")</f>
        <v/>
      </c>
      <c r="J355" s="19" t="n">
        <f aca="false">IF(A355="",0,IF(COUNTIF(A$5:A355,A355)=1,1,0))</f>
        <v>0</v>
      </c>
    </row>
    <row r="356" customFormat="false" ht="15" hidden="false" customHeight="false" outlineLevel="0" collapsed="false">
      <c r="A356" s="12"/>
      <c r="B356" s="13"/>
      <c r="C356" s="14"/>
      <c r="D356" s="14"/>
      <c r="E356" s="15"/>
      <c r="F356" s="16" t="str">
        <f aca="false">IF(OR(C356="",D356="",E356=""),"",C356*D356*E356)</f>
        <v/>
      </c>
      <c r="G356" s="17" t="str">
        <f aca="false">IF(OR(D356="",E356=""),"",E356*(1+D356/30))</f>
        <v/>
      </c>
      <c r="H356" s="19" t="n">
        <f aca="false">IF(G356="",0,G356)</f>
        <v>0</v>
      </c>
      <c r="I356" s="18" t="str">
        <f aca="false">IF(H356&gt;0,IF(H356&gt;=SUMPRODUCT(MAX(($B$5:$B$2004=B356)*$H$5:$H$2004)),"Rekor",""),"")</f>
        <v/>
      </c>
      <c r="J356" s="19" t="n">
        <f aca="false">IF(A356="",0,IF(COUNTIF(A$5:A356,A356)=1,1,0))</f>
        <v>0</v>
      </c>
    </row>
    <row r="357" customFormat="false" ht="15" hidden="false" customHeight="false" outlineLevel="0" collapsed="false">
      <c r="A357" s="12"/>
      <c r="B357" s="13"/>
      <c r="C357" s="14"/>
      <c r="D357" s="14"/>
      <c r="E357" s="15"/>
      <c r="F357" s="16" t="str">
        <f aca="false">IF(OR(C357="",D357="",E357=""),"",C357*D357*E357)</f>
        <v/>
      </c>
      <c r="G357" s="17" t="str">
        <f aca="false">IF(OR(D357="",E357=""),"",E357*(1+D357/30))</f>
        <v/>
      </c>
      <c r="H357" s="19" t="n">
        <f aca="false">IF(G357="",0,G357)</f>
        <v>0</v>
      </c>
      <c r="I357" s="18" t="str">
        <f aca="false">IF(H357&gt;0,IF(H357&gt;=SUMPRODUCT(MAX(($B$5:$B$2004=B357)*$H$5:$H$2004)),"Rekor",""),"")</f>
        <v/>
      </c>
      <c r="J357" s="19" t="n">
        <f aca="false">IF(A357="",0,IF(COUNTIF(A$5:A357,A357)=1,1,0))</f>
        <v>0</v>
      </c>
    </row>
    <row r="358" customFormat="false" ht="15" hidden="false" customHeight="false" outlineLevel="0" collapsed="false">
      <c r="A358" s="12"/>
      <c r="B358" s="13"/>
      <c r="C358" s="14"/>
      <c r="D358" s="14"/>
      <c r="E358" s="15"/>
      <c r="F358" s="16" t="str">
        <f aca="false">IF(OR(C358="",D358="",E358=""),"",C358*D358*E358)</f>
        <v/>
      </c>
      <c r="G358" s="17" t="str">
        <f aca="false">IF(OR(D358="",E358=""),"",E358*(1+D358/30))</f>
        <v/>
      </c>
      <c r="H358" s="19" t="n">
        <f aca="false">IF(G358="",0,G358)</f>
        <v>0</v>
      </c>
      <c r="I358" s="18" t="str">
        <f aca="false">IF(H358&gt;0,IF(H358&gt;=SUMPRODUCT(MAX(($B$5:$B$2004=B358)*$H$5:$H$2004)),"Rekor",""),"")</f>
        <v/>
      </c>
      <c r="J358" s="19" t="n">
        <f aca="false">IF(A358="",0,IF(COUNTIF(A$5:A358,A358)=1,1,0))</f>
        <v>0</v>
      </c>
    </row>
    <row r="359" customFormat="false" ht="15" hidden="false" customHeight="false" outlineLevel="0" collapsed="false">
      <c r="A359" s="12"/>
      <c r="B359" s="13"/>
      <c r="C359" s="14"/>
      <c r="D359" s="14"/>
      <c r="E359" s="15"/>
      <c r="F359" s="16" t="str">
        <f aca="false">IF(OR(C359="",D359="",E359=""),"",C359*D359*E359)</f>
        <v/>
      </c>
      <c r="G359" s="17" t="str">
        <f aca="false">IF(OR(D359="",E359=""),"",E359*(1+D359/30))</f>
        <v/>
      </c>
      <c r="H359" s="19" t="n">
        <f aca="false">IF(G359="",0,G359)</f>
        <v>0</v>
      </c>
      <c r="I359" s="18" t="str">
        <f aca="false">IF(H359&gt;0,IF(H359&gt;=SUMPRODUCT(MAX(($B$5:$B$2004=B359)*$H$5:$H$2004)),"Rekor",""),"")</f>
        <v/>
      </c>
      <c r="J359" s="19" t="n">
        <f aca="false">IF(A359="",0,IF(COUNTIF(A$5:A359,A359)=1,1,0))</f>
        <v>0</v>
      </c>
    </row>
    <row r="360" customFormat="false" ht="15" hidden="false" customHeight="false" outlineLevel="0" collapsed="false">
      <c r="A360" s="12"/>
      <c r="B360" s="13"/>
      <c r="C360" s="14"/>
      <c r="D360" s="14"/>
      <c r="E360" s="15"/>
      <c r="F360" s="16" t="str">
        <f aca="false">IF(OR(C360="",D360="",E360=""),"",C360*D360*E360)</f>
        <v/>
      </c>
      <c r="G360" s="17" t="str">
        <f aca="false">IF(OR(D360="",E360=""),"",E360*(1+D360/30))</f>
        <v/>
      </c>
      <c r="H360" s="19" t="n">
        <f aca="false">IF(G360="",0,G360)</f>
        <v>0</v>
      </c>
      <c r="I360" s="18" t="str">
        <f aca="false">IF(H360&gt;0,IF(H360&gt;=SUMPRODUCT(MAX(($B$5:$B$2004=B360)*$H$5:$H$2004)),"Rekor",""),"")</f>
        <v/>
      </c>
      <c r="J360" s="19" t="n">
        <f aca="false">IF(A360="",0,IF(COUNTIF(A$5:A360,A360)=1,1,0))</f>
        <v>0</v>
      </c>
    </row>
    <row r="361" customFormat="false" ht="15" hidden="false" customHeight="false" outlineLevel="0" collapsed="false">
      <c r="A361" s="12"/>
      <c r="B361" s="13"/>
      <c r="C361" s="14"/>
      <c r="D361" s="14"/>
      <c r="E361" s="15"/>
      <c r="F361" s="16" t="str">
        <f aca="false">IF(OR(C361="",D361="",E361=""),"",C361*D361*E361)</f>
        <v/>
      </c>
      <c r="G361" s="17" t="str">
        <f aca="false">IF(OR(D361="",E361=""),"",E361*(1+D361/30))</f>
        <v/>
      </c>
      <c r="H361" s="19" t="n">
        <f aca="false">IF(G361="",0,G361)</f>
        <v>0</v>
      </c>
      <c r="I361" s="18" t="str">
        <f aca="false">IF(H361&gt;0,IF(H361&gt;=SUMPRODUCT(MAX(($B$5:$B$2004=B361)*$H$5:$H$2004)),"Rekor",""),"")</f>
        <v/>
      </c>
      <c r="J361" s="19" t="n">
        <f aca="false">IF(A361="",0,IF(COUNTIF(A$5:A361,A361)=1,1,0))</f>
        <v>0</v>
      </c>
    </row>
    <row r="362" customFormat="false" ht="15" hidden="false" customHeight="false" outlineLevel="0" collapsed="false">
      <c r="A362" s="12"/>
      <c r="B362" s="13"/>
      <c r="C362" s="14"/>
      <c r="D362" s="14"/>
      <c r="E362" s="15"/>
      <c r="F362" s="16" t="str">
        <f aca="false">IF(OR(C362="",D362="",E362=""),"",C362*D362*E362)</f>
        <v/>
      </c>
      <c r="G362" s="17" t="str">
        <f aca="false">IF(OR(D362="",E362=""),"",E362*(1+D362/30))</f>
        <v/>
      </c>
      <c r="H362" s="19" t="n">
        <f aca="false">IF(G362="",0,G362)</f>
        <v>0</v>
      </c>
      <c r="I362" s="18" t="str">
        <f aca="false">IF(H362&gt;0,IF(H362&gt;=SUMPRODUCT(MAX(($B$5:$B$2004=B362)*$H$5:$H$2004)),"Rekor",""),"")</f>
        <v/>
      </c>
      <c r="J362" s="19" t="n">
        <f aca="false">IF(A362="",0,IF(COUNTIF(A$5:A362,A362)=1,1,0))</f>
        <v>0</v>
      </c>
    </row>
    <row r="363" customFormat="false" ht="15" hidden="false" customHeight="false" outlineLevel="0" collapsed="false">
      <c r="A363" s="12"/>
      <c r="B363" s="13"/>
      <c r="C363" s="14"/>
      <c r="D363" s="14"/>
      <c r="E363" s="15"/>
      <c r="F363" s="16" t="str">
        <f aca="false">IF(OR(C363="",D363="",E363=""),"",C363*D363*E363)</f>
        <v/>
      </c>
      <c r="G363" s="17" t="str">
        <f aca="false">IF(OR(D363="",E363=""),"",E363*(1+D363/30))</f>
        <v/>
      </c>
      <c r="H363" s="19" t="n">
        <f aca="false">IF(G363="",0,G363)</f>
        <v>0</v>
      </c>
      <c r="I363" s="18" t="str">
        <f aca="false">IF(H363&gt;0,IF(H363&gt;=SUMPRODUCT(MAX(($B$5:$B$2004=B363)*$H$5:$H$2004)),"Rekor",""),"")</f>
        <v/>
      </c>
      <c r="J363" s="19" t="n">
        <f aca="false">IF(A363="",0,IF(COUNTIF(A$5:A363,A363)=1,1,0))</f>
        <v>0</v>
      </c>
    </row>
    <row r="364" customFormat="false" ht="15" hidden="false" customHeight="false" outlineLevel="0" collapsed="false">
      <c r="A364" s="12"/>
      <c r="B364" s="13"/>
      <c r="C364" s="14"/>
      <c r="D364" s="14"/>
      <c r="E364" s="15"/>
      <c r="F364" s="16" t="str">
        <f aca="false">IF(OR(C364="",D364="",E364=""),"",C364*D364*E364)</f>
        <v/>
      </c>
      <c r="G364" s="17" t="str">
        <f aca="false">IF(OR(D364="",E364=""),"",E364*(1+D364/30))</f>
        <v/>
      </c>
      <c r="H364" s="19" t="n">
        <f aca="false">IF(G364="",0,G364)</f>
        <v>0</v>
      </c>
      <c r="I364" s="18" t="str">
        <f aca="false">IF(H364&gt;0,IF(H364&gt;=SUMPRODUCT(MAX(($B$5:$B$2004=B364)*$H$5:$H$2004)),"Rekor",""),"")</f>
        <v/>
      </c>
      <c r="J364" s="19" t="n">
        <f aca="false">IF(A364="",0,IF(COUNTIF(A$5:A364,A364)=1,1,0))</f>
        <v>0</v>
      </c>
    </row>
    <row r="365" customFormat="false" ht="15" hidden="false" customHeight="false" outlineLevel="0" collapsed="false">
      <c r="A365" s="12"/>
      <c r="B365" s="13"/>
      <c r="C365" s="14"/>
      <c r="D365" s="14"/>
      <c r="E365" s="15"/>
      <c r="F365" s="16" t="str">
        <f aca="false">IF(OR(C365="",D365="",E365=""),"",C365*D365*E365)</f>
        <v/>
      </c>
      <c r="G365" s="17" t="str">
        <f aca="false">IF(OR(D365="",E365=""),"",E365*(1+D365/30))</f>
        <v/>
      </c>
      <c r="H365" s="19" t="n">
        <f aca="false">IF(G365="",0,G365)</f>
        <v>0</v>
      </c>
      <c r="I365" s="18" t="str">
        <f aca="false">IF(H365&gt;0,IF(H365&gt;=SUMPRODUCT(MAX(($B$5:$B$2004=B365)*$H$5:$H$2004)),"Rekor",""),"")</f>
        <v/>
      </c>
      <c r="J365" s="19" t="n">
        <f aca="false">IF(A365="",0,IF(COUNTIF(A$5:A365,A365)=1,1,0))</f>
        <v>0</v>
      </c>
    </row>
    <row r="366" customFormat="false" ht="15" hidden="false" customHeight="false" outlineLevel="0" collapsed="false">
      <c r="A366" s="12"/>
      <c r="B366" s="13"/>
      <c r="C366" s="14"/>
      <c r="D366" s="14"/>
      <c r="E366" s="15"/>
      <c r="F366" s="16" t="str">
        <f aca="false">IF(OR(C366="",D366="",E366=""),"",C366*D366*E366)</f>
        <v/>
      </c>
      <c r="G366" s="17" t="str">
        <f aca="false">IF(OR(D366="",E366=""),"",E366*(1+D366/30))</f>
        <v/>
      </c>
      <c r="H366" s="19" t="n">
        <f aca="false">IF(G366="",0,G366)</f>
        <v>0</v>
      </c>
      <c r="I366" s="18" t="str">
        <f aca="false">IF(H366&gt;0,IF(H366&gt;=SUMPRODUCT(MAX(($B$5:$B$2004=B366)*$H$5:$H$2004)),"Rekor",""),"")</f>
        <v/>
      </c>
      <c r="J366" s="19" t="n">
        <f aca="false">IF(A366="",0,IF(COUNTIF(A$5:A366,A366)=1,1,0))</f>
        <v>0</v>
      </c>
    </row>
    <row r="367" customFormat="false" ht="15" hidden="false" customHeight="false" outlineLevel="0" collapsed="false">
      <c r="A367" s="12"/>
      <c r="B367" s="13"/>
      <c r="C367" s="14"/>
      <c r="D367" s="14"/>
      <c r="E367" s="15"/>
      <c r="F367" s="16" t="str">
        <f aca="false">IF(OR(C367="",D367="",E367=""),"",C367*D367*E367)</f>
        <v/>
      </c>
      <c r="G367" s="17" t="str">
        <f aca="false">IF(OR(D367="",E367=""),"",E367*(1+D367/30))</f>
        <v/>
      </c>
      <c r="H367" s="19" t="n">
        <f aca="false">IF(G367="",0,G367)</f>
        <v>0</v>
      </c>
      <c r="I367" s="18" t="str">
        <f aca="false">IF(H367&gt;0,IF(H367&gt;=SUMPRODUCT(MAX(($B$5:$B$2004=B367)*$H$5:$H$2004)),"Rekor",""),"")</f>
        <v/>
      </c>
      <c r="J367" s="19" t="n">
        <f aca="false">IF(A367="",0,IF(COUNTIF(A$5:A367,A367)=1,1,0))</f>
        <v>0</v>
      </c>
    </row>
    <row r="368" customFormat="false" ht="15" hidden="false" customHeight="false" outlineLevel="0" collapsed="false">
      <c r="A368" s="12"/>
      <c r="B368" s="13"/>
      <c r="C368" s="14"/>
      <c r="D368" s="14"/>
      <c r="E368" s="15"/>
      <c r="F368" s="16" t="str">
        <f aca="false">IF(OR(C368="",D368="",E368=""),"",C368*D368*E368)</f>
        <v/>
      </c>
      <c r="G368" s="17" t="str">
        <f aca="false">IF(OR(D368="",E368=""),"",E368*(1+D368/30))</f>
        <v/>
      </c>
      <c r="H368" s="19" t="n">
        <f aca="false">IF(G368="",0,G368)</f>
        <v>0</v>
      </c>
      <c r="I368" s="18" t="str">
        <f aca="false">IF(H368&gt;0,IF(H368&gt;=SUMPRODUCT(MAX(($B$5:$B$2004=B368)*$H$5:$H$2004)),"Rekor",""),"")</f>
        <v/>
      </c>
      <c r="J368" s="19" t="n">
        <f aca="false">IF(A368="",0,IF(COUNTIF(A$5:A368,A368)=1,1,0))</f>
        <v>0</v>
      </c>
    </row>
    <row r="369" customFormat="false" ht="15" hidden="false" customHeight="false" outlineLevel="0" collapsed="false">
      <c r="A369" s="12"/>
      <c r="B369" s="13"/>
      <c r="C369" s="14"/>
      <c r="D369" s="14"/>
      <c r="E369" s="15"/>
      <c r="F369" s="16" t="str">
        <f aca="false">IF(OR(C369="",D369="",E369=""),"",C369*D369*E369)</f>
        <v/>
      </c>
      <c r="G369" s="17" t="str">
        <f aca="false">IF(OR(D369="",E369=""),"",E369*(1+D369/30))</f>
        <v/>
      </c>
      <c r="H369" s="19" t="n">
        <f aca="false">IF(G369="",0,G369)</f>
        <v>0</v>
      </c>
      <c r="I369" s="18" t="str">
        <f aca="false">IF(H369&gt;0,IF(H369&gt;=SUMPRODUCT(MAX(($B$5:$B$2004=B369)*$H$5:$H$2004)),"Rekor",""),"")</f>
        <v/>
      </c>
      <c r="J369" s="19" t="n">
        <f aca="false">IF(A369="",0,IF(COUNTIF(A$5:A369,A369)=1,1,0))</f>
        <v>0</v>
      </c>
    </row>
    <row r="370" customFormat="false" ht="15" hidden="false" customHeight="false" outlineLevel="0" collapsed="false">
      <c r="A370" s="12"/>
      <c r="B370" s="13"/>
      <c r="C370" s="14"/>
      <c r="D370" s="14"/>
      <c r="E370" s="15"/>
      <c r="F370" s="16" t="str">
        <f aca="false">IF(OR(C370="",D370="",E370=""),"",C370*D370*E370)</f>
        <v/>
      </c>
      <c r="G370" s="17" t="str">
        <f aca="false">IF(OR(D370="",E370=""),"",E370*(1+D370/30))</f>
        <v/>
      </c>
      <c r="H370" s="19" t="n">
        <f aca="false">IF(G370="",0,G370)</f>
        <v>0</v>
      </c>
      <c r="I370" s="18" t="str">
        <f aca="false">IF(H370&gt;0,IF(H370&gt;=SUMPRODUCT(MAX(($B$5:$B$2004=B370)*$H$5:$H$2004)),"Rekor",""),"")</f>
        <v/>
      </c>
      <c r="J370" s="19" t="n">
        <f aca="false">IF(A370="",0,IF(COUNTIF(A$5:A370,A370)=1,1,0))</f>
        <v>0</v>
      </c>
    </row>
    <row r="371" customFormat="false" ht="15" hidden="false" customHeight="false" outlineLevel="0" collapsed="false">
      <c r="A371" s="12"/>
      <c r="B371" s="13"/>
      <c r="C371" s="14"/>
      <c r="D371" s="14"/>
      <c r="E371" s="15"/>
      <c r="F371" s="16" t="str">
        <f aca="false">IF(OR(C371="",D371="",E371=""),"",C371*D371*E371)</f>
        <v/>
      </c>
      <c r="G371" s="17" t="str">
        <f aca="false">IF(OR(D371="",E371=""),"",E371*(1+D371/30))</f>
        <v/>
      </c>
      <c r="H371" s="19" t="n">
        <f aca="false">IF(G371="",0,G371)</f>
        <v>0</v>
      </c>
      <c r="I371" s="18" t="str">
        <f aca="false">IF(H371&gt;0,IF(H371&gt;=SUMPRODUCT(MAX(($B$5:$B$2004=B371)*$H$5:$H$2004)),"Rekor",""),"")</f>
        <v/>
      </c>
      <c r="J371" s="19" t="n">
        <f aca="false">IF(A371="",0,IF(COUNTIF(A$5:A371,A371)=1,1,0))</f>
        <v>0</v>
      </c>
    </row>
    <row r="372" customFormat="false" ht="15" hidden="false" customHeight="false" outlineLevel="0" collapsed="false">
      <c r="A372" s="12"/>
      <c r="B372" s="13"/>
      <c r="C372" s="14"/>
      <c r="D372" s="14"/>
      <c r="E372" s="15"/>
      <c r="F372" s="16" t="str">
        <f aca="false">IF(OR(C372="",D372="",E372=""),"",C372*D372*E372)</f>
        <v/>
      </c>
      <c r="G372" s="17" t="str">
        <f aca="false">IF(OR(D372="",E372=""),"",E372*(1+D372/30))</f>
        <v/>
      </c>
      <c r="H372" s="19" t="n">
        <f aca="false">IF(G372="",0,G372)</f>
        <v>0</v>
      </c>
      <c r="I372" s="18" t="str">
        <f aca="false">IF(H372&gt;0,IF(H372&gt;=SUMPRODUCT(MAX(($B$5:$B$2004=B372)*$H$5:$H$2004)),"Rekor",""),"")</f>
        <v/>
      </c>
      <c r="J372" s="19" t="n">
        <f aca="false">IF(A372="",0,IF(COUNTIF(A$5:A372,A372)=1,1,0))</f>
        <v>0</v>
      </c>
    </row>
    <row r="373" customFormat="false" ht="15" hidden="false" customHeight="false" outlineLevel="0" collapsed="false">
      <c r="A373" s="12"/>
      <c r="B373" s="13"/>
      <c r="C373" s="14"/>
      <c r="D373" s="14"/>
      <c r="E373" s="15"/>
      <c r="F373" s="16" t="str">
        <f aca="false">IF(OR(C373="",D373="",E373=""),"",C373*D373*E373)</f>
        <v/>
      </c>
      <c r="G373" s="17" t="str">
        <f aca="false">IF(OR(D373="",E373=""),"",E373*(1+D373/30))</f>
        <v/>
      </c>
      <c r="H373" s="19" t="n">
        <f aca="false">IF(G373="",0,G373)</f>
        <v>0</v>
      </c>
      <c r="I373" s="18" t="str">
        <f aca="false">IF(H373&gt;0,IF(H373&gt;=SUMPRODUCT(MAX(($B$5:$B$2004=B373)*$H$5:$H$2004)),"Rekor",""),"")</f>
        <v/>
      </c>
      <c r="J373" s="19" t="n">
        <f aca="false">IF(A373="",0,IF(COUNTIF(A$5:A373,A373)=1,1,0))</f>
        <v>0</v>
      </c>
    </row>
    <row r="374" customFormat="false" ht="15" hidden="false" customHeight="false" outlineLevel="0" collapsed="false">
      <c r="A374" s="12"/>
      <c r="B374" s="13"/>
      <c r="C374" s="14"/>
      <c r="D374" s="14"/>
      <c r="E374" s="15"/>
      <c r="F374" s="16" t="str">
        <f aca="false">IF(OR(C374="",D374="",E374=""),"",C374*D374*E374)</f>
        <v/>
      </c>
      <c r="G374" s="17" t="str">
        <f aca="false">IF(OR(D374="",E374=""),"",E374*(1+D374/30))</f>
        <v/>
      </c>
      <c r="H374" s="19" t="n">
        <f aca="false">IF(G374="",0,G374)</f>
        <v>0</v>
      </c>
      <c r="I374" s="18" t="str">
        <f aca="false">IF(H374&gt;0,IF(H374&gt;=SUMPRODUCT(MAX(($B$5:$B$2004=B374)*$H$5:$H$2004)),"Rekor",""),"")</f>
        <v/>
      </c>
      <c r="J374" s="19" t="n">
        <f aca="false">IF(A374="",0,IF(COUNTIF(A$5:A374,A374)=1,1,0))</f>
        <v>0</v>
      </c>
    </row>
    <row r="375" customFormat="false" ht="15" hidden="false" customHeight="false" outlineLevel="0" collapsed="false">
      <c r="A375" s="12"/>
      <c r="B375" s="13"/>
      <c r="C375" s="14"/>
      <c r="D375" s="14"/>
      <c r="E375" s="15"/>
      <c r="F375" s="16" t="str">
        <f aca="false">IF(OR(C375="",D375="",E375=""),"",C375*D375*E375)</f>
        <v/>
      </c>
      <c r="G375" s="17" t="str">
        <f aca="false">IF(OR(D375="",E375=""),"",E375*(1+D375/30))</f>
        <v/>
      </c>
      <c r="H375" s="19" t="n">
        <f aca="false">IF(G375="",0,G375)</f>
        <v>0</v>
      </c>
      <c r="I375" s="18" t="str">
        <f aca="false">IF(H375&gt;0,IF(H375&gt;=SUMPRODUCT(MAX(($B$5:$B$2004=B375)*$H$5:$H$2004)),"Rekor",""),"")</f>
        <v/>
      </c>
      <c r="J375" s="19" t="n">
        <f aca="false">IF(A375="",0,IF(COUNTIF(A$5:A375,A375)=1,1,0))</f>
        <v>0</v>
      </c>
    </row>
    <row r="376" customFormat="false" ht="15" hidden="false" customHeight="false" outlineLevel="0" collapsed="false">
      <c r="A376" s="12"/>
      <c r="B376" s="13"/>
      <c r="C376" s="14"/>
      <c r="D376" s="14"/>
      <c r="E376" s="15"/>
      <c r="F376" s="16" t="str">
        <f aca="false">IF(OR(C376="",D376="",E376=""),"",C376*D376*E376)</f>
        <v/>
      </c>
      <c r="G376" s="17" t="str">
        <f aca="false">IF(OR(D376="",E376=""),"",E376*(1+D376/30))</f>
        <v/>
      </c>
      <c r="H376" s="19" t="n">
        <f aca="false">IF(G376="",0,G376)</f>
        <v>0</v>
      </c>
      <c r="I376" s="18" t="str">
        <f aca="false">IF(H376&gt;0,IF(H376&gt;=SUMPRODUCT(MAX(($B$5:$B$2004=B376)*$H$5:$H$2004)),"Rekor",""),"")</f>
        <v/>
      </c>
      <c r="J376" s="19" t="n">
        <f aca="false">IF(A376="",0,IF(COUNTIF(A$5:A376,A376)=1,1,0))</f>
        <v>0</v>
      </c>
    </row>
    <row r="377" customFormat="false" ht="15" hidden="false" customHeight="false" outlineLevel="0" collapsed="false">
      <c r="A377" s="12"/>
      <c r="B377" s="13"/>
      <c r="C377" s="14"/>
      <c r="D377" s="14"/>
      <c r="E377" s="15"/>
      <c r="F377" s="16" t="str">
        <f aca="false">IF(OR(C377="",D377="",E377=""),"",C377*D377*E377)</f>
        <v/>
      </c>
      <c r="G377" s="17" t="str">
        <f aca="false">IF(OR(D377="",E377=""),"",E377*(1+D377/30))</f>
        <v/>
      </c>
      <c r="H377" s="19" t="n">
        <f aca="false">IF(G377="",0,G377)</f>
        <v>0</v>
      </c>
      <c r="I377" s="18" t="str">
        <f aca="false">IF(H377&gt;0,IF(H377&gt;=SUMPRODUCT(MAX(($B$5:$B$2004=B377)*$H$5:$H$2004)),"Rekor",""),"")</f>
        <v/>
      </c>
      <c r="J377" s="19" t="n">
        <f aca="false">IF(A377="",0,IF(COUNTIF(A$5:A377,A377)=1,1,0))</f>
        <v>0</v>
      </c>
    </row>
    <row r="378" customFormat="false" ht="15" hidden="false" customHeight="false" outlineLevel="0" collapsed="false">
      <c r="A378" s="12"/>
      <c r="B378" s="13"/>
      <c r="C378" s="14"/>
      <c r="D378" s="14"/>
      <c r="E378" s="15"/>
      <c r="F378" s="16" t="str">
        <f aca="false">IF(OR(C378="",D378="",E378=""),"",C378*D378*E378)</f>
        <v/>
      </c>
      <c r="G378" s="17" t="str">
        <f aca="false">IF(OR(D378="",E378=""),"",E378*(1+D378/30))</f>
        <v/>
      </c>
      <c r="H378" s="19" t="n">
        <f aca="false">IF(G378="",0,G378)</f>
        <v>0</v>
      </c>
      <c r="I378" s="18" t="str">
        <f aca="false">IF(H378&gt;0,IF(H378&gt;=SUMPRODUCT(MAX(($B$5:$B$2004=B378)*$H$5:$H$2004)),"Rekor",""),"")</f>
        <v/>
      </c>
      <c r="J378" s="19" t="n">
        <f aca="false">IF(A378="",0,IF(COUNTIF(A$5:A378,A378)=1,1,0))</f>
        <v>0</v>
      </c>
    </row>
    <row r="379" customFormat="false" ht="15" hidden="false" customHeight="false" outlineLevel="0" collapsed="false">
      <c r="A379" s="12"/>
      <c r="B379" s="13"/>
      <c r="C379" s="14"/>
      <c r="D379" s="14"/>
      <c r="E379" s="15"/>
      <c r="F379" s="16" t="str">
        <f aca="false">IF(OR(C379="",D379="",E379=""),"",C379*D379*E379)</f>
        <v/>
      </c>
      <c r="G379" s="17" t="str">
        <f aca="false">IF(OR(D379="",E379=""),"",E379*(1+D379/30))</f>
        <v/>
      </c>
      <c r="H379" s="19" t="n">
        <f aca="false">IF(G379="",0,G379)</f>
        <v>0</v>
      </c>
      <c r="I379" s="18" t="str">
        <f aca="false">IF(H379&gt;0,IF(H379&gt;=SUMPRODUCT(MAX(($B$5:$B$2004=B379)*$H$5:$H$2004)),"Rekor",""),"")</f>
        <v/>
      </c>
      <c r="J379" s="19" t="n">
        <f aca="false">IF(A379="",0,IF(COUNTIF(A$5:A379,A379)=1,1,0))</f>
        <v>0</v>
      </c>
    </row>
    <row r="380" customFormat="false" ht="15" hidden="false" customHeight="false" outlineLevel="0" collapsed="false">
      <c r="A380" s="12"/>
      <c r="B380" s="13"/>
      <c r="C380" s="14"/>
      <c r="D380" s="14"/>
      <c r="E380" s="15"/>
      <c r="F380" s="16" t="str">
        <f aca="false">IF(OR(C380="",D380="",E380=""),"",C380*D380*E380)</f>
        <v/>
      </c>
      <c r="G380" s="17" t="str">
        <f aca="false">IF(OR(D380="",E380=""),"",E380*(1+D380/30))</f>
        <v/>
      </c>
      <c r="H380" s="19" t="n">
        <f aca="false">IF(G380="",0,G380)</f>
        <v>0</v>
      </c>
      <c r="I380" s="18" t="str">
        <f aca="false">IF(H380&gt;0,IF(H380&gt;=SUMPRODUCT(MAX(($B$5:$B$2004=B380)*$H$5:$H$2004)),"Rekor",""),"")</f>
        <v/>
      </c>
      <c r="J380" s="19" t="n">
        <f aca="false">IF(A380="",0,IF(COUNTIF(A$5:A380,A380)=1,1,0))</f>
        <v>0</v>
      </c>
    </row>
    <row r="381" customFormat="false" ht="15" hidden="false" customHeight="false" outlineLevel="0" collapsed="false">
      <c r="A381" s="12"/>
      <c r="B381" s="13"/>
      <c r="C381" s="14"/>
      <c r="D381" s="14"/>
      <c r="E381" s="15"/>
      <c r="F381" s="16" t="str">
        <f aca="false">IF(OR(C381="",D381="",E381=""),"",C381*D381*E381)</f>
        <v/>
      </c>
      <c r="G381" s="17" t="str">
        <f aca="false">IF(OR(D381="",E381=""),"",E381*(1+D381/30))</f>
        <v/>
      </c>
      <c r="H381" s="19" t="n">
        <f aca="false">IF(G381="",0,G381)</f>
        <v>0</v>
      </c>
      <c r="I381" s="18" t="str">
        <f aca="false">IF(H381&gt;0,IF(H381&gt;=SUMPRODUCT(MAX(($B$5:$B$2004=B381)*$H$5:$H$2004)),"Rekor",""),"")</f>
        <v/>
      </c>
      <c r="J381" s="19" t="n">
        <f aca="false">IF(A381="",0,IF(COUNTIF(A$5:A381,A381)=1,1,0))</f>
        <v>0</v>
      </c>
    </row>
    <row r="382" customFormat="false" ht="15" hidden="false" customHeight="false" outlineLevel="0" collapsed="false">
      <c r="A382" s="12"/>
      <c r="B382" s="13"/>
      <c r="C382" s="14"/>
      <c r="D382" s="14"/>
      <c r="E382" s="15"/>
      <c r="F382" s="16" t="str">
        <f aca="false">IF(OR(C382="",D382="",E382=""),"",C382*D382*E382)</f>
        <v/>
      </c>
      <c r="G382" s="17" t="str">
        <f aca="false">IF(OR(D382="",E382=""),"",E382*(1+D382/30))</f>
        <v/>
      </c>
      <c r="H382" s="19" t="n">
        <f aca="false">IF(G382="",0,G382)</f>
        <v>0</v>
      </c>
      <c r="I382" s="18" t="str">
        <f aca="false">IF(H382&gt;0,IF(H382&gt;=SUMPRODUCT(MAX(($B$5:$B$2004=B382)*$H$5:$H$2004)),"Rekor",""),"")</f>
        <v/>
      </c>
      <c r="J382" s="19" t="n">
        <f aca="false">IF(A382="",0,IF(COUNTIF(A$5:A382,A382)=1,1,0))</f>
        <v>0</v>
      </c>
    </row>
    <row r="383" customFormat="false" ht="15" hidden="false" customHeight="false" outlineLevel="0" collapsed="false">
      <c r="A383" s="12"/>
      <c r="B383" s="13"/>
      <c r="C383" s="14"/>
      <c r="D383" s="14"/>
      <c r="E383" s="15"/>
      <c r="F383" s="16" t="str">
        <f aca="false">IF(OR(C383="",D383="",E383=""),"",C383*D383*E383)</f>
        <v/>
      </c>
      <c r="G383" s="17" t="str">
        <f aca="false">IF(OR(D383="",E383=""),"",E383*(1+D383/30))</f>
        <v/>
      </c>
      <c r="H383" s="19" t="n">
        <f aca="false">IF(G383="",0,G383)</f>
        <v>0</v>
      </c>
      <c r="I383" s="18" t="str">
        <f aca="false">IF(H383&gt;0,IF(H383&gt;=SUMPRODUCT(MAX(($B$5:$B$2004=B383)*$H$5:$H$2004)),"Rekor",""),"")</f>
        <v/>
      </c>
      <c r="J383" s="19" t="n">
        <f aca="false">IF(A383="",0,IF(COUNTIF(A$5:A383,A383)=1,1,0))</f>
        <v>0</v>
      </c>
    </row>
    <row r="384" customFormat="false" ht="15" hidden="false" customHeight="false" outlineLevel="0" collapsed="false">
      <c r="A384" s="12"/>
      <c r="B384" s="13"/>
      <c r="C384" s="14"/>
      <c r="D384" s="14"/>
      <c r="E384" s="15"/>
      <c r="F384" s="16" t="str">
        <f aca="false">IF(OR(C384="",D384="",E384=""),"",C384*D384*E384)</f>
        <v/>
      </c>
      <c r="G384" s="17" t="str">
        <f aca="false">IF(OR(D384="",E384=""),"",E384*(1+D384/30))</f>
        <v/>
      </c>
      <c r="H384" s="19" t="n">
        <f aca="false">IF(G384="",0,G384)</f>
        <v>0</v>
      </c>
      <c r="I384" s="18" t="str">
        <f aca="false">IF(H384&gt;0,IF(H384&gt;=SUMPRODUCT(MAX(($B$5:$B$2004=B384)*$H$5:$H$2004)),"Rekor",""),"")</f>
        <v/>
      </c>
      <c r="J384" s="19" t="n">
        <f aca="false">IF(A384="",0,IF(COUNTIF(A$5:A384,A384)=1,1,0))</f>
        <v>0</v>
      </c>
    </row>
    <row r="385" customFormat="false" ht="15" hidden="false" customHeight="false" outlineLevel="0" collapsed="false">
      <c r="A385" s="12"/>
      <c r="B385" s="13"/>
      <c r="C385" s="14"/>
      <c r="D385" s="14"/>
      <c r="E385" s="15"/>
      <c r="F385" s="16" t="str">
        <f aca="false">IF(OR(C385="",D385="",E385=""),"",C385*D385*E385)</f>
        <v/>
      </c>
      <c r="G385" s="17" t="str">
        <f aca="false">IF(OR(D385="",E385=""),"",E385*(1+D385/30))</f>
        <v/>
      </c>
      <c r="H385" s="19" t="n">
        <f aca="false">IF(G385="",0,G385)</f>
        <v>0</v>
      </c>
      <c r="I385" s="18" t="str">
        <f aca="false">IF(H385&gt;0,IF(H385&gt;=SUMPRODUCT(MAX(($B$5:$B$2004=B385)*$H$5:$H$2004)),"Rekor",""),"")</f>
        <v/>
      </c>
      <c r="J385" s="19" t="n">
        <f aca="false">IF(A385="",0,IF(COUNTIF(A$5:A385,A385)=1,1,0))</f>
        <v>0</v>
      </c>
    </row>
    <row r="386" customFormat="false" ht="15" hidden="false" customHeight="false" outlineLevel="0" collapsed="false">
      <c r="A386" s="12"/>
      <c r="B386" s="13"/>
      <c r="C386" s="14"/>
      <c r="D386" s="14"/>
      <c r="E386" s="15"/>
      <c r="F386" s="16" t="str">
        <f aca="false">IF(OR(C386="",D386="",E386=""),"",C386*D386*E386)</f>
        <v/>
      </c>
      <c r="G386" s="17" t="str">
        <f aca="false">IF(OR(D386="",E386=""),"",E386*(1+D386/30))</f>
        <v/>
      </c>
      <c r="H386" s="19" t="n">
        <f aca="false">IF(G386="",0,G386)</f>
        <v>0</v>
      </c>
      <c r="I386" s="18" t="str">
        <f aca="false">IF(H386&gt;0,IF(H386&gt;=SUMPRODUCT(MAX(($B$5:$B$2004=B386)*$H$5:$H$2004)),"Rekor",""),"")</f>
        <v/>
      </c>
      <c r="J386" s="19" t="n">
        <f aca="false">IF(A386="",0,IF(COUNTIF(A$5:A386,A386)=1,1,0))</f>
        <v>0</v>
      </c>
    </row>
    <row r="387" customFormat="false" ht="15" hidden="false" customHeight="false" outlineLevel="0" collapsed="false">
      <c r="A387" s="12"/>
      <c r="B387" s="13"/>
      <c r="C387" s="14"/>
      <c r="D387" s="14"/>
      <c r="E387" s="15"/>
      <c r="F387" s="16" t="str">
        <f aca="false">IF(OR(C387="",D387="",E387=""),"",C387*D387*E387)</f>
        <v/>
      </c>
      <c r="G387" s="17" t="str">
        <f aca="false">IF(OR(D387="",E387=""),"",E387*(1+D387/30))</f>
        <v/>
      </c>
      <c r="H387" s="19" t="n">
        <f aca="false">IF(G387="",0,G387)</f>
        <v>0</v>
      </c>
      <c r="I387" s="18" t="str">
        <f aca="false">IF(H387&gt;0,IF(H387&gt;=SUMPRODUCT(MAX(($B$5:$B$2004=B387)*$H$5:$H$2004)),"Rekor",""),"")</f>
        <v/>
      </c>
      <c r="J387" s="19" t="n">
        <f aca="false">IF(A387="",0,IF(COUNTIF(A$5:A387,A387)=1,1,0))</f>
        <v>0</v>
      </c>
    </row>
    <row r="388" customFormat="false" ht="15" hidden="false" customHeight="false" outlineLevel="0" collapsed="false">
      <c r="A388" s="12"/>
      <c r="B388" s="13"/>
      <c r="C388" s="14"/>
      <c r="D388" s="14"/>
      <c r="E388" s="15"/>
      <c r="F388" s="16" t="str">
        <f aca="false">IF(OR(C388="",D388="",E388=""),"",C388*D388*E388)</f>
        <v/>
      </c>
      <c r="G388" s="17" t="str">
        <f aca="false">IF(OR(D388="",E388=""),"",E388*(1+D388/30))</f>
        <v/>
      </c>
      <c r="H388" s="19" t="n">
        <f aca="false">IF(G388="",0,G388)</f>
        <v>0</v>
      </c>
      <c r="I388" s="18" t="str">
        <f aca="false">IF(H388&gt;0,IF(H388&gt;=SUMPRODUCT(MAX(($B$5:$B$2004=B388)*$H$5:$H$2004)),"Rekor",""),"")</f>
        <v/>
      </c>
      <c r="J388" s="19" t="n">
        <f aca="false">IF(A388="",0,IF(COUNTIF(A$5:A388,A388)=1,1,0))</f>
        <v>0</v>
      </c>
    </row>
    <row r="389" customFormat="false" ht="15" hidden="false" customHeight="false" outlineLevel="0" collapsed="false">
      <c r="A389" s="12"/>
      <c r="B389" s="13"/>
      <c r="C389" s="14"/>
      <c r="D389" s="14"/>
      <c r="E389" s="15"/>
      <c r="F389" s="16" t="str">
        <f aca="false">IF(OR(C389="",D389="",E389=""),"",C389*D389*E389)</f>
        <v/>
      </c>
      <c r="G389" s="17" t="str">
        <f aca="false">IF(OR(D389="",E389=""),"",E389*(1+D389/30))</f>
        <v/>
      </c>
      <c r="H389" s="19" t="n">
        <f aca="false">IF(G389="",0,G389)</f>
        <v>0</v>
      </c>
      <c r="I389" s="18" t="str">
        <f aca="false">IF(H389&gt;0,IF(H389&gt;=SUMPRODUCT(MAX(($B$5:$B$2004=B389)*$H$5:$H$2004)),"Rekor",""),"")</f>
        <v/>
      </c>
      <c r="J389" s="19" t="n">
        <f aca="false">IF(A389="",0,IF(COUNTIF(A$5:A389,A389)=1,1,0))</f>
        <v>0</v>
      </c>
    </row>
    <row r="390" customFormat="false" ht="15" hidden="false" customHeight="false" outlineLevel="0" collapsed="false">
      <c r="A390" s="12"/>
      <c r="B390" s="13"/>
      <c r="C390" s="14"/>
      <c r="D390" s="14"/>
      <c r="E390" s="15"/>
      <c r="F390" s="16" t="str">
        <f aca="false">IF(OR(C390="",D390="",E390=""),"",C390*D390*E390)</f>
        <v/>
      </c>
      <c r="G390" s="17" t="str">
        <f aca="false">IF(OR(D390="",E390=""),"",E390*(1+D390/30))</f>
        <v/>
      </c>
      <c r="H390" s="19" t="n">
        <f aca="false">IF(G390="",0,G390)</f>
        <v>0</v>
      </c>
      <c r="I390" s="18" t="str">
        <f aca="false">IF(H390&gt;0,IF(H390&gt;=SUMPRODUCT(MAX(($B$5:$B$2004=B390)*$H$5:$H$2004)),"Rekor",""),"")</f>
        <v/>
      </c>
      <c r="J390" s="19" t="n">
        <f aca="false">IF(A390="",0,IF(COUNTIF(A$5:A390,A390)=1,1,0))</f>
        <v>0</v>
      </c>
    </row>
    <row r="391" customFormat="false" ht="15" hidden="false" customHeight="false" outlineLevel="0" collapsed="false">
      <c r="A391" s="12"/>
      <c r="B391" s="13"/>
      <c r="C391" s="14"/>
      <c r="D391" s="14"/>
      <c r="E391" s="15"/>
      <c r="F391" s="16" t="str">
        <f aca="false">IF(OR(C391="",D391="",E391=""),"",C391*D391*E391)</f>
        <v/>
      </c>
      <c r="G391" s="17" t="str">
        <f aca="false">IF(OR(D391="",E391=""),"",E391*(1+D391/30))</f>
        <v/>
      </c>
      <c r="H391" s="19" t="n">
        <f aca="false">IF(G391="",0,G391)</f>
        <v>0</v>
      </c>
      <c r="I391" s="18" t="str">
        <f aca="false">IF(H391&gt;0,IF(H391&gt;=SUMPRODUCT(MAX(($B$5:$B$2004=B391)*$H$5:$H$2004)),"Rekor",""),"")</f>
        <v/>
      </c>
      <c r="J391" s="19" t="n">
        <f aca="false">IF(A391="",0,IF(COUNTIF(A$5:A391,A391)=1,1,0))</f>
        <v>0</v>
      </c>
    </row>
    <row r="392" customFormat="false" ht="15" hidden="false" customHeight="false" outlineLevel="0" collapsed="false">
      <c r="A392" s="12"/>
      <c r="B392" s="13"/>
      <c r="C392" s="14"/>
      <c r="D392" s="14"/>
      <c r="E392" s="15"/>
      <c r="F392" s="16" t="str">
        <f aca="false">IF(OR(C392="",D392="",E392=""),"",C392*D392*E392)</f>
        <v/>
      </c>
      <c r="G392" s="17" t="str">
        <f aca="false">IF(OR(D392="",E392=""),"",E392*(1+D392/30))</f>
        <v/>
      </c>
      <c r="H392" s="19" t="n">
        <f aca="false">IF(G392="",0,G392)</f>
        <v>0</v>
      </c>
      <c r="I392" s="18" t="str">
        <f aca="false">IF(H392&gt;0,IF(H392&gt;=SUMPRODUCT(MAX(($B$5:$B$2004=B392)*$H$5:$H$2004)),"Rekor",""),"")</f>
        <v/>
      </c>
      <c r="J392" s="19" t="n">
        <f aca="false">IF(A392="",0,IF(COUNTIF(A$5:A392,A392)=1,1,0))</f>
        <v>0</v>
      </c>
    </row>
    <row r="393" customFormat="false" ht="15" hidden="false" customHeight="false" outlineLevel="0" collapsed="false">
      <c r="A393" s="12"/>
      <c r="B393" s="13"/>
      <c r="C393" s="14"/>
      <c r="D393" s="14"/>
      <c r="E393" s="15"/>
      <c r="F393" s="16" t="str">
        <f aca="false">IF(OR(C393="",D393="",E393=""),"",C393*D393*E393)</f>
        <v/>
      </c>
      <c r="G393" s="17" t="str">
        <f aca="false">IF(OR(D393="",E393=""),"",E393*(1+D393/30))</f>
        <v/>
      </c>
      <c r="H393" s="19" t="n">
        <f aca="false">IF(G393="",0,G393)</f>
        <v>0</v>
      </c>
      <c r="I393" s="18" t="str">
        <f aca="false">IF(H393&gt;0,IF(H393&gt;=SUMPRODUCT(MAX(($B$5:$B$2004=B393)*$H$5:$H$2004)),"Rekor",""),"")</f>
        <v/>
      </c>
      <c r="J393" s="19" t="n">
        <f aca="false">IF(A393="",0,IF(COUNTIF(A$5:A393,A393)=1,1,0))</f>
        <v>0</v>
      </c>
    </row>
    <row r="394" customFormat="false" ht="15" hidden="false" customHeight="false" outlineLevel="0" collapsed="false">
      <c r="A394" s="12"/>
      <c r="B394" s="13"/>
      <c r="C394" s="14"/>
      <c r="D394" s="14"/>
      <c r="E394" s="15"/>
      <c r="F394" s="16" t="str">
        <f aca="false">IF(OR(C394="",D394="",E394=""),"",C394*D394*E394)</f>
        <v/>
      </c>
      <c r="G394" s="17" t="str">
        <f aca="false">IF(OR(D394="",E394=""),"",E394*(1+D394/30))</f>
        <v/>
      </c>
      <c r="H394" s="19" t="n">
        <f aca="false">IF(G394="",0,G394)</f>
        <v>0</v>
      </c>
      <c r="I394" s="18" t="str">
        <f aca="false">IF(H394&gt;0,IF(H394&gt;=SUMPRODUCT(MAX(($B$5:$B$2004=B394)*$H$5:$H$2004)),"Rekor",""),"")</f>
        <v/>
      </c>
      <c r="J394" s="19" t="n">
        <f aca="false">IF(A394="",0,IF(COUNTIF(A$5:A394,A394)=1,1,0))</f>
        <v>0</v>
      </c>
    </row>
    <row r="395" customFormat="false" ht="15" hidden="false" customHeight="false" outlineLevel="0" collapsed="false">
      <c r="A395" s="12"/>
      <c r="B395" s="13"/>
      <c r="C395" s="14"/>
      <c r="D395" s="14"/>
      <c r="E395" s="15"/>
      <c r="F395" s="16" t="str">
        <f aca="false">IF(OR(C395="",D395="",E395=""),"",C395*D395*E395)</f>
        <v/>
      </c>
      <c r="G395" s="17" t="str">
        <f aca="false">IF(OR(D395="",E395=""),"",E395*(1+D395/30))</f>
        <v/>
      </c>
      <c r="H395" s="19" t="n">
        <f aca="false">IF(G395="",0,G395)</f>
        <v>0</v>
      </c>
      <c r="I395" s="18" t="str">
        <f aca="false">IF(H395&gt;0,IF(H395&gt;=SUMPRODUCT(MAX(($B$5:$B$2004=B395)*$H$5:$H$2004)),"Rekor",""),"")</f>
        <v/>
      </c>
      <c r="J395" s="19" t="n">
        <f aca="false">IF(A395="",0,IF(COUNTIF(A$5:A395,A395)=1,1,0))</f>
        <v>0</v>
      </c>
    </row>
    <row r="396" customFormat="false" ht="15" hidden="false" customHeight="false" outlineLevel="0" collapsed="false">
      <c r="A396" s="12"/>
      <c r="B396" s="13"/>
      <c r="C396" s="14"/>
      <c r="D396" s="14"/>
      <c r="E396" s="15"/>
      <c r="F396" s="16" t="str">
        <f aca="false">IF(OR(C396="",D396="",E396=""),"",C396*D396*E396)</f>
        <v/>
      </c>
      <c r="G396" s="17" t="str">
        <f aca="false">IF(OR(D396="",E396=""),"",E396*(1+D396/30))</f>
        <v/>
      </c>
      <c r="H396" s="19" t="n">
        <f aca="false">IF(G396="",0,G396)</f>
        <v>0</v>
      </c>
      <c r="I396" s="18" t="str">
        <f aca="false">IF(H396&gt;0,IF(H396&gt;=SUMPRODUCT(MAX(($B$5:$B$2004=B396)*$H$5:$H$2004)),"Rekor",""),"")</f>
        <v/>
      </c>
      <c r="J396" s="19" t="n">
        <f aca="false">IF(A396="",0,IF(COUNTIF(A$5:A396,A396)=1,1,0))</f>
        <v>0</v>
      </c>
    </row>
    <row r="397" customFormat="false" ht="15" hidden="false" customHeight="false" outlineLevel="0" collapsed="false">
      <c r="A397" s="12"/>
      <c r="B397" s="13"/>
      <c r="C397" s="14"/>
      <c r="D397" s="14"/>
      <c r="E397" s="15"/>
      <c r="F397" s="16" t="str">
        <f aca="false">IF(OR(C397="",D397="",E397=""),"",C397*D397*E397)</f>
        <v/>
      </c>
      <c r="G397" s="17" t="str">
        <f aca="false">IF(OR(D397="",E397=""),"",E397*(1+D397/30))</f>
        <v/>
      </c>
      <c r="H397" s="19" t="n">
        <f aca="false">IF(G397="",0,G397)</f>
        <v>0</v>
      </c>
      <c r="I397" s="18" t="str">
        <f aca="false">IF(H397&gt;0,IF(H397&gt;=SUMPRODUCT(MAX(($B$5:$B$2004=B397)*$H$5:$H$2004)),"Rekor",""),"")</f>
        <v/>
      </c>
      <c r="J397" s="19" t="n">
        <f aca="false">IF(A397="",0,IF(COUNTIF(A$5:A397,A397)=1,1,0))</f>
        <v>0</v>
      </c>
    </row>
    <row r="398" customFormat="false" ht="15" hidden="false" customHeight="false" outlineLevel="0" collapsed="false">
      <c r="A398" s="12"/>
      <c r="B398" s="13"/>
      <c r="C398" s="14"/>
      <c r="D398" s="14"/>
      <c r="E398" s="15"/>
      <c r="F398" s="16" t="str">
        <f aca="false">IF(OR(C398="",D398="",E398=""),"",C398*D398*E398)</f>
        <v/>
      </c>
      <c r="G398" s="17" t="str">
        <f aca="false">IF(OR(D398="",E398=""),"",E398*(1+D398/30))</f>
        <v/>
      </c>
      <c r="H398" s="19" t="n">
        <f aca="false">IF(G398="",0,G398)</f>
        <v>0</v>
      </c>
      <c r="I398" s="18" t="str">
        <f aca="false">IF(H398&gt;0,IF(H398&gt;=SUMPRODUCT(MAX(($B$5:$B$2004=B398)*$H$5:$H$2004)),"Rekor",""),"")</f>
        <v/>
      </c>
      <c r="J398" s="19" t="n">
        <f aca="false">IF(A398="",0,IF(COUNTIF(A$5:A398,A398)=1,1,0))</f>
        <v>0</v>
      </c>
    </row>
    <row r="399" customFormat="false" ht="15" hidden="false" customHeight="false" outlineLevel="0" collapsed="false">
      <c r="A399" s="12"/>
      <c r="B399" s="13"/>
      <c r="C399" s="14"/>
      <c r="D399" s="14"/>
      <c r="E399" s="15"/>
      <c r="F399" s="16" t="str">
        <f aca="false">IF(OR(C399="",D399="",E399=""),"",C399*D399*E399)</f>
        <v/>
      </c>
      <c r="G399" s="17" t="str">
        <f aca="false">IF(OR(D399="",E399=""),"",E399*(1+D399/30))</f>
        <v/>
      </c>
      <c r="H399" s="19" t="n">
        <f aca="false">IF(G399="",0,G399)</f>
        <v>0</v>
      </c>
      <c r="I399" s="18" t="str">
        <f aca="false">IF(H399&gt;0,IF(H399&gt;=SUMPRODUCT(MAX(($B$5:$B$2004=B399)*$H$5:$H$2004)),"Rekor",""),"")</f>
        <v/>
      </c>
      <c r="J399" s="19" t="n">
        <f aca="false">IF(A399="",0,IF(COUNTIF(A$5:A399,A399)=1,1,0))</f>
        <v>0</v>
      </c>
    </row>
    <row r="400" customFormat="false" ht="15" hidden="false" customHeight="false" outlineLevel="0" collapsed="false">
      <c r="A400" s="12"/>
      <c r="B400" s="13"/>
      <c r="C400" s="14"/>
      <c r="D400" s="14"/>
      <c r="E400" s="15"/>
      <c r="F400" s="16" t="str">
        <f aca="false">IF(OR(C400="",D400="",E400=""),"",C400*D400*E400)</f>
        <v/>
      </c>
      <c r="G400" s="17" t="str">
        <f aca="false">IF(OR(D400="",E400=""),"",E400*(1+D400/30))</f>
        <v/>
      </c>
      <c r="H400" s="19" t="n">
        <f aca="false">IF(G400="",0,G400)</f>
        <v>0</v>
      </c>
      <c r="I400" s="18" t="str">
        <f aca="false">IF(H400&gt;0,IF(H400&gt;=SUMPRODUCT(MAX(($B$5:$B$2004=B400)*$H$5:$H$2004)),"Rekor",""),"")</f>
        <v/>
      </c>
      <c r="J400" s="19" t="n">
        <f aca="false">IF(A400="",0,IF(COUNTIF(A$5:A400,A400)=1,1,0))</f>
        <v>0</v>
      </c>
    </row>
    <row r="401" customFormat="false" ht="15" hidden="false" customHeight="false" outlineLevel="0" collapsed="false">
      <c r="A401" s="12"/>
      <c r="B401" s="13"/>
      <c r="C401" s="14"/>
      <c r="D401" s="14"/>
      <c r="E401" s="15"/>
      <c r="F401" s="16" t="str">
        <f aca="false">IF(OR(C401="",D401="",E401=""),"",C401*D401*E401)</f>
        <v/>
      </c>
      <c r="G401" s="17" t="str">
        <f aca="false">IF(OR(D401="",E401=""),"",E401*(1+D401/30))</f>
        <v/>
      </c>
      <c r="H401" s="19" t="n">
        <f aca="false">IF(G401="",0,G401)</f>
        <v>0</v>
      </c>
      <c r="I401" s="18" t="str">
        <f aca="false">IF(H401&gt;0,IF(H401&gt;=SUMPRODUCT(MAX(($B$5:$B$2004=B401)*$H$5:$H$2004)),"Rekor",""),"")</f>
        <v/>
      </c>
      <c r="J401" s="19" t="n">
        <f aca="false">IF(A401="",0,IF(COUNTIF(A$5:A401,A401)=1,1,0))</f>
        <v>0</v>
      </c>
    </row>
    <row r="402" customFormat="false" ht="15" hidden="false" customHeight="false" outlineLevel="0" collapsed="false">
      <c r="A402" s="12"/>
      <c r="B402" s="13"/>
      <c r="C402" s="14"/>
      <c r="D402" s="14"/>
      <c r="E402" s="15"/>
      <c r="F402" s="16" t="str">
        <f aca="false">IF(OR(C402="",D402="",E402=""),"",C402*D402*E402)</f>
        <v/>
      </c>
      <c r="G402" s="17" t="str">
        <f aca="false">IF(OR(D402="",E402=""),"",E402*(1+D402/30))</f>
        <v/>
      </c>
      <c r="H402" s="19" t="n">
        <f aca="false">IF(G402="",0,G402)</f>
        <v>0</v>
      </c>
      <c r="I402" s="18" t="str">
        <f aca="false">IF(H402&gt;0,IF(H402&gt;=SUMPRODUCT(MAX(($B$5:$B$2004=B402)*$H$5:$H$2004)),"Rekor",""),"")</f>
        <v/>
      </c>
      <c r="J402" s="19" t="n">
        <f aca="false">IF(A402="",0,IF(COUNTIF(A$5:A402,A402)=1,1,0))</f>
        <v>0</v>
      </c>
    </row>
    <row r="403" customFormat="false" ht="15" hidden="false" customHeight="false" outlineLevel="0" collapsed="false">
      <c r="A403" s="12"/>
      <c r="B403" s="13"/>
      <c r="C403" s="14"/>
      <c r="D403" s="14"/>
      <c r="E403" s="15"/>
      <c r="F403" s="16" t="str">
        <f aca="false">IF(OR(C403="",D403="",E403=""),"",C403*D403*E403)</f>
        <v/>
      </c>
      <c r="G403" s="17" t="str">
        <f aca="false">IF(OR(D403="",E403=""),"",E403*(1+D403/30))</f>
        <v/>
      </c>
      <c r="H403" s="19" t="n">
        <f aca="false">IF(G403="",0,G403)</f>
        <v>0</v>
      </c>
      <c r="I403" s="18" t="str">
        <f aca="false">IF(H403&gt;0,IF(H403&gt;=SUMPRODUCT(MAX(($B$5:$B$2004=B403)*$H$5:$H$2004)),"Rekor",""),"")</f>
        <v/>
      </c>
      <c r="J403" s="19" t="n">
        <f aca="false">IF(A403="",0,IF(COUNTIF(A$5:A403,A403)=1,1,0))</f>
        <v>0</v>
      </c>
    </row>
    <row r="404" customFormat="false" ht="15" hidden="false" customHeight="false" outlineLevel="0" collapsed="false">
      <c r="A404" s="12"/>
      <c r="B404" s="13"/>
      <c r="C404" s="14"/>
      <c r="D404" s="14"/>
      <c r="E404" s="15"/>
      <c r="F404" s="16" t="str">
        <f aca="false">IF(OR(C404="",D404="",E404=""),"",C404*D404*E404)</f>
        <v/>
      </c>
      <c r="G404" s="17" t="str">
        <f aca="false">IF(OR(D404="",E404=""),"",E404*(1+D404/30))</f>
        <v/>
      </c>
      <c r="H404" s="19" t="n">
        <f aca="false">IF(G404="",0,G404)</f>
        <v>0</v>
      </c>
      <c r="I404" s="18" t="str">
        <f aca="false">IF(H404&gt;0,IF(H404&gt;=SUMPRODUCT(MAX(($B$5:$B$2004=B404)*$H$5:$H$2004)),"Rekor",""),"")</f>
        <v/>
      </c>
      <c r="J404" s="19" t="n">
        <f aca="false">IF(A404="",0,IF(COUNTIF(A$5:A404,A404)=1,1,0))</f>
        <v>0</v>
      </c>
    </row>
    <row r="405" customFormat="false" ht="15" hidden="false" customHeight="false" outlineLevel="0" collapsed="false">
      <c r="A405" s="12"/>
      <c r="B405" s="13"/>
      <c r="C405" s="14"/>
      <c r="D405" s="14"/>
      <c r="E405" s="15"/>
      <c r="F405" s="16" t="str">
        <f aca="false">IF(OR(C405="",D405="",E405=""),"",C405*D405*E405)</f>
        <v/>
      </c>
      <c r="G405" s="17" t="str">
        <f aca="false">IF(OR(D405="",E405=""),"",E405*(1+D405/30))</f>
        <v/>
      </c>
      <c r="H405" s="19" t="n">
        <f aca="false">IF(G405="",0,G405)</f>
        <v>0</v>
      </c>
      <c r="I405" s="18" t="str">
        <f aca="false">IF(H405&gt;0,IF(H405&gt;=SUMPRODUCT(MAX(($B$5:$B$2004=B405)*$H$5:$H$2004)),"Rekor",""),"")</f>
        <v/>
      </c>
      <c r="J405" s="19" t="n">
        <f aca="false">IF(A405="",0,IF(COUNTIF(A$5:A405,A405)=1,1,0))</f>
        <v>0</v>
      </c>
    </row>
    <row r="406" customFormat="false" ht="15" hidden="false" customHeight="false" outlineLevel="0" collapsed="false">
      <c r="A406" s="12"/>
      <c r="B406" s="13"/>
      <c r="C406" s="14"/>
      <c r="D406" s="14"/>
      <c r="E406" s="15"/>
      <c r="F406" s="16" t="str">
        <f aca="false">IF(OR(C406="",D406="",E406=""),"",C406*D406*E406)</f>
        <v/>
      </c>
      <c r="G406" s="17" t="str">
        <f aca="false">IF(OR(D406="",E406=""),"",E406*(1+D406/30))</f>
        <v/>
      </c>
      <c r="H406" s="19" t="n">
        <f aca="false">IF(G406="",0,G406)</f>
        <v>0</v>
      </c>
      <c r="I406" s="18" t="str">
        <f aca="false">IF(H406&gt;0,IF(H406&gt;=SUMPRODUCT(MAX(($B$5:$B$2004=B406)*$H$5:$H$2004)),"Rekor",""),"")</f>
        <v/>
      </c>
      <c r="J406" s="19" t="n">
        <f aca="false">IF(A406="",0,IF(COUNTIF(A$5:A406,A406)=1,1,0))</f>
        <v>0</v>
      </c>
    </row>
    <row r="407" customFormat="false" ht="15" hidden="false" customHeight="false" outlineLevel="0" collapsed="false">
      <c r="A407" s="12"/>
      <c r="B407" s="13"/>
      <c r="C407" s="14"/>
      <c r="D407" s="14"/>
      <c r="E407" s="15"/>
      <c r="F407" s="16" t="str">
        <f aca="false">IF(OR(C407="",D407="",E407=""),"",C407*D407*E407)</f>
        <v/>
      </c>
      <c r="G407" s="17" t="str">
        <f aca="false">IF(OR(D407="",E407=""),"",E407*(1+D407/30))</f>
        <v/>
      </c>
      <c r="H407" s="19" t="n">
        <f aca="false">IF(G407="",0,G407)</f>
        <v>0</v>
      </c>
      <c r="I407" s="18" t="str">
        <f aca="false">IF(H407&gt;0,IF(H407&gt;=SUMPRODUCT(MAX(($B$5:$B$2004=B407)*$H$5:$H$2004)),"Rekor",""),"")</f>
        <v/>
      </c>
      <c r="J407" s="19" t="n">
        <f aca="false">IF(A407="",0,IF(COUNTIF(A$5:A407,A407)=1,1,0))</f>
        <v>0</v>
      </c>
    </row>
    <row r="408" customFormat="false" ht="15" hidden="false" customHeight="false" outlineLevel="0" collapsed="false">
      <c r="A408" s="12"/>
      <c r="B408" s="13"/>
      <c r="C408" s="14"/>
      <c r="D408" s="14"/>
      <c r="E408" s="15"/>
      <c r="F408" s="16" t="str">
        <f aca="false">IF(OR(C408="",D408="",E408=""),"",C408*D408*E408)</f>
        <v/>
      </c>
      <c r="G408" s="17" t="str">
        <f aca="false">IF(OR(D408="",E408=""),"",E408*(1+D408/30))</f>
        <v/>
      </c>
      <c r="H408" s="19" t="n">
        <f aca="false">IF(G408="",0,G408)</f>
        <v>0</v>
      </c>
      <c r="I408" s="18" t="str">
        <f aca="false">IF(H408&gt;0,IF(H408&gt;=SUMPRODUCT(MAX(($B$5:$B$2004=B408)*$H$5:$H$2004)),"Rekor",""),"")</f>
        <v/>
      </c>
      <c r="J408" s="19" t="n">
        <f aca="false">IF(A408="",0,IF(COUNTIF(A$5:A408,A408)=1,1,0))</f>
        <v>0</v>
      </c>
    </row>
    <row r="409" customFormat="false" ht="15" hidden="false" customHeight="false" outlineLevel="0" collapsed="false">
      <c r="A409" s="12"/>
      <c r="B409" s="13"/>
      <c r="C409" s="14"/>
      <c r="D409" s="14"/>
      <c r="E409" s="15"/>
      <c r="F409" s="16" t="str">
        <f aca="false">IF(OR(C409="",D409="",E409=""),"",C409*D409*E409)</f>
        <v/>
      </c>
      <c r="G409" s="17" t="str">
        <f aca="false">IF(OR(D409="",E409=""),"",E409*(1+D409/30))</f>
        <v/>
      </c>
      <c r="H409" s="19" t="n">
        <f aca="false">IF(G409="",0,G409)</f>
        <v>0</v>
      </c>
      <c r="I409" s="18" t="str">
        <f aca="false">IF(H409&gt;0,IF(H409&gt;=SUMPRODUCT(MAX(($B$5:$B$2004=B409)*$H$5:$H$2004)),"Rekor",""),"")</f>
        <v/>
      </c>
      <c r="J409" s="19" t="n">
        <f aca="false">IF(A409="",0,IF(COUNTIF(A$5:A409,A409)=1,1,0))</f>
        <v>0</v>
      </c>
    </row>
    <row r="410" customFormat="false" ht="15" hidden="false" customHeight="false" outlineLevel="0" collapsed="false">
      <c r="A410" s="12"/>
      <c r="B410" s="13"/>
      <c r="C410" s="14"/>
      <c r="D410" s="14"/>
      <c r="E410" s="15"/>
      <c r="F410" s="16" t="str">
        <f aca="false">IF(OR(C410="",D410="",E410=""),"",C410*D410*E410)</f>
        <v/>
      </c>
      <c r="G410" s="17" t="str">
        <f aca="false">IF(OR(D410="",E410=""),"",E410*(1+D410/30))</f>
        <v/>
      </c>
      <c r="H410" s="19" t="n">
        <f aca="false">IF(G410="",0,G410)</f>
        <v>0</v>
      </c>
      <c r="I410" s="18" t="str">
        <f aca="false">IF(H410&gt;0,IF(H410&gt;=SUMPRODUCT(MAX(($B$5:$B$2004=B410)*$H$5:$H$2004)),"Rekor",""),"")</f>
        <v/>
      </c>
      <c r="J410" s="19" t="n">
        <f aca="false">IF(A410="",0,IF(COUNTIF(A$5:A410,A410)=1,1,0))</f>
        <v>0</v>
      </c>
    </row>
    <row r="411" customFormat="false" ht="15" hidden="false" customHeight="false" outlineLevel="0" collapsed="false">
      <c r="A411" s="12"/>
      <c r="B411" s="13"/>
      <c r="C411" s="14"/>
      <c r="D411" s="14"/>
      <c r="E411" s="15"/>
      <c r="F411" s="16" t="str">
        <f aca="false">IF(OR(C411="",D411="",E411=""),"",C411*D411*E411)</f>
        <v/>
      </c>
      <c r="G411" s="17" t="str">
        <f aca="false">IF(OR(D411="",E411=""),"",E411*(1+D411/30))</f>
        <v/>
      </c>
      <c r="H411" s="19" t="n">
        <f aca="false">IF(G411="",0,G411)</f>
        <v>0</v>
      </c>
      <c r="I411" s="18" t="str">
        <f aca="false">IF(H411&gt;0,IF(H411&gt;=SUMPRODUCT(MAX(($B$5:$B$2004=B411)*$H$5:$H$2004)),"Rekor",""),"")</f>
        <v/>
      </c>
      <c r="J411" s="19" t="n">
        <f aca="false">IF(A411="",0,IF(COUNTIF(A$5:A411,A411)=1,1,0))</f>
        <v>0</v>
      </c>
    </row>
    <row r="412" customFormat="false" ht="15" hidden="false" customHeight="false" outlineLevel="0" collapsed="false">
      <c r="A412" s="12"/>
      <c r="B412" s="13"/>
      <c r="C412" s="14"/>
      <c r="D412" s="14"/>
      <c r="E412" s="15"/>
      <c r="F412" s="16" t="str">
        <f aca="false">IF(OR(C412="",D412="",E412=""),"",C412*D412*E412)</f>
        <v/>
      </c>
      <c r="G412" s="17" t="str">
        <f aca="false">IF(OR(D412="",E412=""),"",E412*(1+D412/30))</f>
        <v/>
      </c>
      <c r="H412" s="19" t="n">
        <f aca="false">IF(G412="",0,G412)</f>
        <v>0</v>
      </c>
      <c r="I412" s="18" t="str">
        <f aca="false">IF(H412&gt;0,IF(H412&gt;=SUMPRODUCT(MAX(($B$5:$B$2004=B412)*$H$5:$H$2004)),"Rekor",""),"")</f>
        <v/>
      </c>
      <c r="J412" s="19" t="n">
        <f aca="false">IF(A412="",0,IF(COUNTIF(A$5:A412,A412)=1,1,0))</f>
        <v>0</v>
      </c>
    </row>
    <row r="413" customFormat="false" ht="15" hidden="false" customHeight="false" outlineLevel="0" collapsed="false">
      <c r="A413" s="12"/>
      <c r="B413" s="13"/>
      <c r="C413" s="14"/>
      <c r="D413" s="14"/>
      <c r="E413" s="15"/>
      <c r="F413" s="16" t="str">
        <f aca="false">IF(OR(C413="",D413="",E413=""),"",C413*D413*E413)</f>
        <v/>
      </c>
      <c r="G413" s="17" t="str">
        <f aca="false">IF(OR(D413="",E413=""),"",E413*(1+D413/30))</f>
        <v/>
      </c>
      <c r="H413" s="19" t="n">
        <f aca="false">IF(G413="",0,G413)</f>
        <v>0</v>
      </c>
      <c r="I413" s="18" t="str">
        <f aca="false">IF(H413&gt;0,IF(H413&gt;=SUMPRODUCT(MAX(($B$5:$B$2004=B413)*$H$5:$H$2004)),"Rekor",""),"")</f>
        <v/>
      </c>
      <c r="J413" s="19" t="n">
        <f aca="false">IF(A413="",0,IF(COUNTIF(A$5:A413,A413)=1,1,0))</f>
        <v>0</v>
      </c>
    </row>
    <row r="414" customFormat="false" ht="15" hidden="false" customHeight="false" outlineLevel="0" collapsed="false">
      <c r="A414" s="12"/>
      <c r="B414" s="13"/>
      <c r="C414" s="14"/>
      <c r="D414" s="14"/>
      <c r="E414" s="15"/>
      <c r="F414" s="16" t="str">
        <f aca="false">IF(OR(C414="",D414="",E414=""),"",C414*D414*E414)</f>
        <v/>
      </c>
      <c r="G414" s="17" t="str">
        <f aca="false">IF(OR(D414="",E414=""),"",E414*(1+D414/30))</f>
        <v/>
      </c>
      <c r="H414" s="19" t="n">
        <f aca="false">IF(G414="",0,G414)</f>
        <v>0</v>
      </c>
      <c r="I414" s="18" t="str">
        <f aca="false">IF(H414&gt;0,IF(H414&gt;=SUMPRODUCT(MAX(($B$5:$B$2004=B414)*$H$5:$H$2004)),"Rekor",""),"")</f>
        <v/>
      </c>
      <c r="J414" s="19" t="n">
        <f aca="false">IF(A414="",0,IF(COUNTIF(A$5:A414,A414)=1,1,0))</f>
        <v>0</v>
      </c>
    </row>
    <row r="415" customFormat="false" ht="15" hidden="false" customHeight="false" outlineLevel="0" collapsed="false">
      <c r="A415" s="12"/>
      <c r="B415" s="13"/>
      <c r="C415" s="14"/>
      <c r="D415" s="14"/>
      <c r="E415" s="15"/>
      <c r="F415" s="16" t="str">
        <f aca="false">IF(OR(C415="",D415="",E415=""),"",C415*D415*E415)</f>
        <v/>
      </c>
      <c r="G415" s="17" t="str">
        <f aca="false">IF(OR(D415="",E415=""),"",E415*(1+D415/30))</f>
        <v/>
      </c>
      <c r="H415" s="19" t="n">
        <f aca="false">IF(G415="",0,G415)</f>
        <v>0</v>
      </c>
      <c r="I415" s="18" t="str">
        <f aca="false">IF(H415&gt;0,IF(H415&gt;=SUMPRODUCT(MAX(($B$5:$B$2004=B415)*$H$5:$H$2004)),"Rekor",""),"")</f>
        <v/>
      </c>
      <c r="J415" s="19" t="n">
        <f aca="false">IF(A415="",0,IF(COUNTIF(A$5:A415,A415)=1,1,0))</f>
        <v>0</v>
      </c>
    </row>
    <row r="416" customFormat="false" ht="15" hidden="false" customHeight="false" outlineLevel="0" collapsed="false">
      <c r="A416" s="12"/>
      <c r="B416" s="13"/>
      <c r="C416" s="14"/>
      <c r="D416" s="14"/>
      <c r="E416" s="15"/>
      <c r="F416" s="16" t="str">
        <f aca="false">IF(OR(C416="",D416="",E416=""),"",C416*D416*E416)</f>
        <v/>
      </c>
      <c r="G416" s="17" t="str">
        <f aca="false">IF(OR(D416="",E416=""),"",E416*(1+D416/30))</f>
        <v/>
      </c>
      <c r="H416" s="19" t="n">
        <f aca="false">IF(G416="",0,G416)</f>
        <v>0</v>
      </c>
      <c r="I416" s="18" t="str">
        <f aca="false">IF(H416&gt;0,IF(H416&gt;=SUMPRODUCT(MAX(($B$5:$B$2004=B416)*$H$5:$H$2004)),"Rekor",""),"")</f>
        <v/>
      </c>
      <c r="J416" s="19" t="n">
        <f aca="false">IF(A416="",0,IF(COUNTIF(A$5:A416,A416)=1,1,0))</f>
        <v>0</v>
      </c>
    </row>
    <row r="417" customFormat="false" ht="15" hidden="false" customHeight="false" outlineLevel="0" collapsed="false">
      <c r="A417" s="12"/>
      <c r="B417" s="13"/>
      <c r="C417" s="14"/>
      <c r="D417" s="14"/>
      <c r="E417" s="15"/>
      <c r="F417" s="16" t="str">
        <f aca="false">IF(OR(C417="",D417="",E417=""),"",C417*D417*E417)</f>
        <v/>
      </c>
      <c r="G417" s="17" t="str">
        <f aca="false">IF(OR(D417="",E417=""),"",E417*(1+D417/30))</f>
        <v/>
      </c>
      <c r="H417" s="19" t="n">
        <f aca="false">IF(G417="",0,G417)</f>
        <v>0</v>
      </c>
      <c r="I417" s="18" t="str">
        <f aca="false">IF(H417&gt;0,IF(H417&gt;=SUMPRODUCT(MAX(($B$5:$B$2004=B417)*$H$5:$H$2004)),"Rekor",""),"")</f>
        <v/>
      </c>
      <c r="J417" s="19" t="n">
        <f aca="false">IF(A417="",0,IF(COUNTIF(A$5:A417,A417)=1,1,0))</f>
        <v>0</v>
      </c>
    </row>
    <row r="418" customFormat="false" ht="15" hidden="false" customHeight="false" outlineLevel="0" collapsed="false">
      <c r="A418" s="12"/>
      <c r="B418" s="13"/>
      <c r="C418" s="14"/>
      <c r="D418" s="14"/>
      <c r="E418" s="15"/>
      <c r="F418" s="16" t="str">
        <f aca="false">IF(OR(C418="",D418="",E418=""),"",C418*D418*E418)</f>
        <v/>
      </c>
      <c r="G418" s="17" t="str">
        <f aca="false">IF(OR(D418="",E418=""),"",E418*(1+D418/30))</f>
        <v/>
      </c>
      <c r="H418" s="19" t="n">
        <f aca="false">IF(G418="",0,G418)</f>
        <v>0</v>
      </c>
      <c r="I418" s="18" t="str">
        <f aca="false">IF(H418&gt;0,IF(H418&gt;=SUMPRODUCT(MAX(($B$5:$B$2004=B418)*$H$5:$H$2004)),"Rekor",""),"")</f>
        <v/>
      </c>
      <c r="J418" s="19" t="n">
        <f aca="false">IF(A418="",0,IF(COUNTIF(A$5:A418,A418)=1,1,0))</f>
        <v>0</v>
      </c>
    </row>
    <row r="419" customFormat="false" ht="15" hidden="false" customHeight="false" outlineLevel="0" collapsed="false">
      <c r="A419" s="12"/>
      <c r="B419" s="13"/>
      <c r="C419" s="14"/>
      <c r="D419" s="14"/>
      <c r="E419" s="15"/>
      <c r="F419" s="16" t="str">
        <f aca="false">IF(OR(C419="",D419="",E419=""),"",C419*D419*E419)</f>
        <v/>
      </c>
      <c r="G419" s="17" t="str">
        <f aca="false">IF(OR(D419="",E419=""),"",E419*(1+D419/30))</f>
        <v/>
      </c>
      <c r="H419" s="19" t="n">
        <f aca="false">IF(G419="",0,G419)</f>
        <v>0</v>
      </c>
      <c r="I419" s="18" t="str">
        <f aca="false">IF(H419&gt;0,IF(H419&gt;=SUMPRODUCT(MAX(($B$5:$B$2004=B419)*$H$5:$H$2004)),"Rekor",""),"")</f>
        <v/>
      </c>
      <c r="J419" s="19" t="n">
        <f aca="false">IF(A419="",0,IF(COUNTIF(A$5:A419,A419)=1,1,0))</f>
        <v>0</v>
      </c>
    </row>
    <row r="420" customFormat="false" ht="15" hidden="false" customHeight="false" outlineLevel="0" collapsed="false">
      <c r="A420" s="12"/>
      <c r="B420" s="13"/>
      <c r="C420" s="14"/>
      <c r="D420" s="14"/>
      <c r="E420" s="15"/>
      <c r="F420" s="16" t="str">
        <f aca="false">IF(OR(C420="",D420="",E420=""),"",C420*D420*E420)</f>
        <v/>
      </c>
      <c r="G420" s="17" t="str">
        <f aca="false">IF(OR(D420="",E420=""),"",E420*(1+D420/30))</f>
        <v/>
      </c>
      <c r="H420" s="19" t="n">
        <f aca="false">IF(G420="",0,G420)</f>
        <v>0</v>
      </c>
      <c r="I420" s="18" t="str">
        <f aca="false">IF(H420&gt;0,IF(H420&gt;=SUMPRODUCT(MAX(($B$5:$B$2004=B420)*$H$5:$H$2004)),"Rekor",""),"")</f>
        <v/>
      </c>
      <c r="J420" s="19" t="n">
        <f aca="false">IF(A420="",0,IF(COUNTIF(A$5:A420,A420)=1,1,0))</f>
        <v>0</v>
      </c>
    </row>
    <row r="421" customFormat="false" ht="15" hidden="false" customHeight="false" outlineLevel="0" collapsed="false">
      <c r="A421" s="12"/>
      <c r="B421" s="13"/>
      <c r="C421" s="14"/>
      <c r="D421" s="14"/>
      <c r="E421" s="15"/>
      <c r="F421" s="16" t="str">
        <f aca="false">IF(OR(C421="",D421="",E421=""),"",C421*D421*E421)</f>
        <v/>
      </c>
      <c r="G421" s="17" t="str">
        <f aca="false">IF(OR(D421="",E421=""),"",E421*(1+D421/30))</f>
        <v/>
      </c>
      <c r="H421" s="19" t="n">
        <f aca="false">IF(G421="",0,G421)</f>
        <v>0</v>
      </c>
      <c r="I421" s="18" t="str">
        <f aca="false">IF(H421&gt;0,IF(H421&gt;=SUMPRODUCT(MAX(($B$5:$B$2004=B421)*$H$5:$H$2004)),"Rekor",""),"")</f>
        <v/>
      </c>
      <c r="J421" s="19" t="n">
        <f aca="false">IF(A421="",0,IF(COUNTIF(A$5:A421,A421)=1,1,0))</f>
        <v>0</v>
      </c>
    </row>
    <row r="422" customFormat="false" ht="15" hidden="false" customHeight="false" outlineLevel="0" collapsed="false">
      <c r="A422" s="12"/>
      <c r="B422" s="13"/>
      <c r="C422" s="14"/>
      <c r="D422" s="14"/>
      <c r="E422" s="15"/>
      <c r="F422" s="16" t="str">
        <f aca="false">IF(OR(C422="",D422="",E422=""),"",C422*D422*E422)</f>
        <v/>
      </c>
      <c r="G422" s="17" t="str">
        <f aca="false">IF(OR(D422="",E422=""),"",E422*(1+D422/30))</f>
        <v/>
      </c>
      <c r="H422" s="19" t="n">
        <f aca="false">IF(G422="",0,G422)</f>
        <v>0</v>
      </c>
      <c r="I422" s="18" t="str">
        <f aca="false">IF(H422&gt;0,IF(H422&gt;=SUMPRODUCT(MAX(($B$5:$B$2004=B422)*$H$5:$H$2004)),"Rekor",""),"")</f>
        <v/>
      </c>
      <c r="J422" s="19" t="n">
        <f aca="false">IF(A422="",0,IF(COUNTIF(A$5:A422,A422)=1,1,0))</f>
        <v>0</v>
      </c>
    </row>
    <row r="423" customFormat="false" ht="15" hidden="false" customHeight="false" outlineLevel="0" collapsed="false">
      <c r="A423" s="12"/>
      <c r="B423" s="13"/>
      <c r="C423" s="14"/>
      <c r="D423" s="14"/>
      <c r="E423" s="15"/>
      <c r="F423" s="16" t="str">
        <f aca="false">IF(OR(C423="",D423="",E423=""),"",C423*D423*E423)</f>
        <v/>
      </c>
      <c r="G423" s="17" t="str">
        <f aca="false">IF(OR(D423="",E423=""),"",E423*(1+D423/30))</f>
        <v/>
      </c>
      <c r="H423" s="19" t="n">
        <f aca="false">IF(G423="",0,G423)</f>
        <v>0</v>
      </c>
      <c r="I423" s="18" t="str">
        <f aca="false">IF(H423&gt;0,IF(H423&gt;=SUMPRODUCT(MAX(($B$5:$B$2004=B423)*$H$5:$H$2004)),"Rekor",""),"")</f>
        <v/>
      </c>
      <c r="J423" s="19" t="n">
        <f aca="false">IF(A423="",0,IF(COUNTIF(A$5:A423,A423)=1,1,0))</f>
        <v>0</v>
      </c>
    </row>
    <row r="424" customFormat="false" ht="15" hidden="false" customHeight="false" outlineLevel="0" collapsed="false">
      <c r="A424" s="12"/>
      <c r="B424" s="13"/>
      <c r="C424" s="14"/>
      <c r="D424" s="14"/>
      <c r="E424" s="15"/>
      <c r="F424" s="16" t="str">
        <f aca="false">IF(OR(C424="",D424="",E424=""),"",C424*D424*E424)</f>
        <v/>
      </c>
      <c r="G424" s="17" t="str">
        <f aca="false">IF(OR(D424="",E424=""),"",E424*(1+D424/30))</f>
        <v/>
      </c>
      <c r="H424" s="19" t="n">
        <f aca="false">IF(G424="",0,G424)</f>
        <v>0</v>
      </c>
      <c r="I424" s="18" t="str">
        <f aca="false">IF(H424&gt;0,IF(H424&gt;=SUMPRODUCT(MAX(($B$5:$B$2004=B424)*$H$5:$H$2004)),"Rekor",""),"")</f>
        <v/>
      </c>
      <c r="J424" s="19" t="n">
        <f aca="false">IF(A424="",0,IF(COUNTIF(A$5:A424,A424)=1,1,0))</f>
        <v>0</v>
      </c>
    </row>
    <row r="425" customFormat="false" ht="15" hidden="false" customHeight="false" outlineLevel="0" collapsed="false">
      <c r="A425" s="12"/>
      <c r="B425" s="13"/>
      <c r="C425" s="14"/>
      <c r="D425" s="14"/>
      <c r="E425" s="15"/>
      <c r="F425" s="16" t="str">
        <f aca="false">IF(OR(C425="",D425="",E425=""),"",C425*D425*E425)</f>
        <v/>
      </c>
      <c r="G425" s="17" t="str">
        <f aca="false">IF(OR(D425="",E425=""),"",E425*(1+D425/30))</f>
        <v/>
      </c>
      <c r="H425" s="19" t="n">
        <f aca="false">IF(G425="",0,G425)</f>
        <v>0</v>
      </c>
      <c r="I425" s="18" t="str">
        <f aca="false">IF(H425&gt;0,IF(H425&gt;=SUMPRODUCT(MAX(($B$5:$B$2004=B425)*$H$5:$H$2004)),"Rekor",""),"")</f>
        <v/>
      </c>
      <c r="J425" s="19" t="n">
        <f aca="false">IF(A425="",0,IF(COUNTIF(A$5:A425,A425)=1,1,0))</f>
        <v>0</v>
      </c>
    </row>
    <row r="426" customFormat="false" ht="15" hidden="false" customHeight="false" outlineLevel="0" collapsed="false">
      <c r="A426" s="12"/>
      <c r="B426" s="13"/>
      <c r="C426" s="14"/>
      <c r="D426" s="14"/>
      <c r="E426" s="15"/>
      <c r="F426" s="16" t="str">
        <f aca="false">IF(OR(C426="",D426="",E426=""),"",C426*D426*E426)</f>
        <v/>
      </c>
      <c r="G426" s="17" t="str">
        <f aca="false">IF(OR(D426="",E426=""),"",E426*(1+D426/30))</f>
        <v/>
      </c>
      <c r="H426" s="19" t="n">
        <f aca="false">IF(G426="",0,G426)</f>
        <v>0</v>
      </c>
      <c r="I426" s="18" t="str">
        <f aca="false">IF(H426&gt;0,IF(H426&gt;=SUMPRODUCT(MAX(($B$5:$B$2004=B426)*$H$5:$H$2004)),"Rekor",""),"")</f>
        <v/>
      </c>
      <c r="J426" s="19" t="n">
        <f aca="false">IF(A426="",0,IF(COUNTIF(A$5:A426,A426)=1,1,0))</f>
        <v>0</v>
      </c>
    </row>
    <row r="427" customFormat="false" ht="15" hidden="false" customHeight="false" outlineLevel="0" collapsed="false">
      <c r="A427" s="12"/>
      <c r="B427" s="13"/>
      <c r="C427" s="14"/>
      <c r="D427" s="14"/>
      <c r="E427" s="15"/>
      <c r="F427" s="16" t="str">
        <f aca="false">IF(OR(C427="",D427="",E427=""),"",C427*D427*E427)</f>
        <v/>
      </c>
      <c r="G427" s="17" t="str">
        <f aca="false">IF(OR(D427="",E427=""),"",E427*(1+D427/30))</f>
        <v/>
      </c>
      <c r="H427" s="19" t="n">
        <f aca="false">IF(G427="",0,G427)</f>
        <v>0</v>
      </c>
      <c r="I427" s="18" t="str">
        <f aca="false">IF(H427&gt;0,IF(H427&gt;=SUMPRODUCT(MAX(($B$5:$B$2004=B427)*$H$5:$H$2004)),"Rekor",""),"")</f>
        <v/>
      </c>
      <c r="J427" s="19" t="n">
        <f aca="false">IF(A427="",0,IF(COUNTIF(A$5:A427,A427)=1,1,0))</f>
        <v>0</v>
      </c>
    </row>
    <row r="428" customFormat="false" ht="15" hidden="false" customHeight="false" outlineLevel="0" collapsed="false">
      <c r="A428" s="12"/>
      <c r="B428" s="13"/>
      <c r="C428" s="14"/>
      <c r="D428" s="14"/>
      <c r="E428" s="15"/>
      <c r="F428" s="16" t="str">
        <f aca="false">IF(OR(C428="",D428="",E428=""),"",C428*D428*E428)</f>
        <v/>
      </c>
      <c r="G428" s="17" t="str">
        <f aca="false">IF(OR(D428="",E428=""),"",E428*(1+D428/30))</f>
        <v/>
      </c>
      <c r="H428" s="19" t="n">
        <f aca="false">IF(G428="",0,G428)</f>
        <v>0</v>
      </c>
      <c r="I428" s="18" t="str">
        <f aca="false">IF(H428&gt;0,IF(H428&gt;=SUMPRODUCT(MAX(($B$5:$B$2004=B428)*$H$5:$H$2004)),"Rekor",""),"")</f>
        <v/>
      </c>
      <c r="J428" s="19" t="n">
        <f aca="false">IF(A428="",0,IF(COUNTIF(A$5:A428,A428)=1,1,0))</f>
        <v>0</v>
      </c>
    </row>
    <row r="429" customFormat="false" ht="15" hidden="false" customHeight="false" outlineLevel="0" collapsed="false">
      <c r="A429" s="12"/>
      <c r="B429" s="13"/>
      <c r="C429" s="14"/>
      <c r="D429" s="14"/>
      <c r="E429" s="15"/>
      <c r="F429" s="16" t="str">
        <f aca="false">IF(OR(C429="",D429="",E429=""),"",C429*D429*E429)</f>
        <v/>
      </c>
      <c r="G429" s="17" t="str">
        <f aca="false">IF(OR(D429="",E429=""),"",E429*(1+D429/30))</f>
        <v/>
      </c>
      <c r="H429" s="19" t="n">
        <f aca="false">IF(G429="",0,G429)</f>
        <v>0</v>
      </c>
      <c r="I429" s="18" t="str">
        <f aca="false">IF(H429&gt;0,IF(H429&gt;=SUMPRODUCT(MAX(($B$5:$B$2004=B429)*$H$5:$H$2004)),"Rekor",""),"")</f>
        <v/>
      </c>
      <c r="J429" s="19" t="n">
        <f aca="false">IF(A429="",0,IF(COUNTIF(A$5:A429,A429)=1,1,0))</f>
        <v>0</v>
      </c>
    </row>
    <row r="430" customFormat="false" ht="15" hidden="false" customHeight="false" outlineLevel="0" collapsed="false">
      <c r="A430" s="12"/>
      <c r="B430" s="13"/>
      <c r="C430" s="14"/>
      <c r="D430" s="14"/>
      <c r="E430" s="15"/>
      <c r="F430" s="16" t="str">
        <f aca="false">IF(OR(C430="",D430="",E430=""),"",C430*D430*E430)</f>
        <v/>
      </c>
      <c r="G430" s="17" t="str">
        <f aca="false">IF(OR(D430="",E430=""),"",E430*(1+D430/30))</f>
        <v/>
      </c>
      <c r="H430" s="19" t="n">
        <f aca="false">IF(G430="",0,G430)</f>
        <v>0</v>
      </c>
      <c r="I430" s="18" t="str">
        <f aca="false">IF(H430&gt;0,IF(H430&gt;=SUMPRODUCT(MAX(($B$5:$B$2004=B430)*$H$5:$H$2004)),"Rekor",""),"")</f>
        <v/>
      </c>
      <c r="J430" s="19" t="n">
        <f aca="false">IF(A430="",0,IF(COUNTIF(A$5:A430,A430)=1,1,0))</f>
        <v>0</v>
      </c>
    </row>
    <row r="431" customFormat="false" ht="15" hidden="false" customHeight="false" outlineLevel="0" collapsed="false">
      <c r="A431" s="12"/>
      <c r="B431" s="13"/>
      <c r="C431" s="14"/>
      <c r="D431" s="14"/>
      <c r="E431" s="15"/>
      <c r="F431" s="16" t="str">
        <f aca="false">IF(OR(C431="",D431="",E431=""),"",C431*D431*E431)</f>
        <v/>
      </c>
      <c r="G431" s="17" t="str">
        <f aca="false">IF(OR(D431="",E431=""),"",E431*(1+D431/30))</f>
        <v/>
      </c>
      <c r="H431" s="19" t="n">
        <f aca="false">IF(G431="",0,G431)</f>
        <v>0</v>
      </c>
      <c r="I431" s="18" t="str">
        <f aca="false">IF(H431&gt;0,IF(H431&gt;=SUMPRODUCT(MAX(($B$5:$B$2004=B431)*$H$5:$H$2004)),"Rekor",""),"")</f>
        <v/>
      </c>
      <c r="J431" s="19" t="n">
        <f aca="false">IF(A431="",0,IF(COUNTIF(A$5:A431,A431)=1,1,0))</f>
        <v>0</v>
      </c>
    </row>
    <row r="432" customFormat="false" ht="15" hidden="false" customHeight="false" outlineLevel="0" collapsed="false">
      <c r="A432" s="12"/>
      <c r="B432" s="13"/>
      <c r="C432" s="14"/>
      <c r="D432" s="14"/>
      <c r="E432" s="15"/>
      <c r="F432" s="16" t="str">
        <f aca="false">IF(OR(C432="",D432="",E432=""),"",C432*D432*E432)</f>
        <v/>
      </c>
      <c r="G432" s="17" t="str">
        <f aca="false">IF(OR(D432="",E432=""),"",E432*(1+D432/30))</f>
        <v/>
      </c>
      <c r="H432" s="19" t="n">
        <f aca="false">IF(G432="",0,G432)</f>
        <v>0</v>
      </c>
      <c r="I432" s="18" t="str">
        <f aca="false">IF(H432&gt;0,IF(H432&gt;=SUMPRODUCT(MAX(($B$5:$B$2004=B432)*$H$5:$H$2004)),"Rekor",""),"")</f>
        <v/>
      </c>
      <c r="J432" s="19" t="n">
        <f aca="false">IF(A432="",0,IF(COUNTIF(A$5:A432,A432)=1,1,0))</f>
        <v>0</v>
      </c>
    </row>
    <row r="433" customFormat="false" ht="15" hidden="false" customHeight="false" outlineLevel="0" collapsed="false">
      <c r="A433" s="12"/>
      <c r="B433" s="13"/>
      <c r="C433" s="14"/>
      <c r="D433" s="14"/>
      <c r="E433" s="15"/>
      <c r="F433" s="16" t="str">
        <f aca="false">IF(OR(C433="",D433="",E433=""),"",C433*D433*E433)</f>
        <v/>
      </c>
      <c r="G433" s="17" t="str">
        <f aca="false">IF(OR(D433="",E433=""),"",E433*(1+D433/30))</f>
        <v/>
      </c>
      <c r="H433" s="19" t="n">
        <f aca="false">IF(G433="",0,G433)</f>
        <v>0</v>
      </c>
      <c r="I433" s="18" t="str">
        <f aca="false">IF(H433&gt;0,IF(H433&gt;=SUMPRODUCT(MAX(($B$5:$B$2004=B433)*$H$5:$H$2004)),"Rekor",""),"")</f>
        <v/>
      </c>
      <c r="J433" s="19" t="n">
        <f aca="false">IF(A433="",0,IF(COUNTIF(A$5:A433,A433)=1,1,0))</f>
        <v>0</v>
      </c>
    </row>
    <row r="434" customFormat="false" ht="15" hidden="false" customHeight="false" outlineLevel="0" collapsed="false">
      <c r="A434" s="12"/>
      <c r="B434" s="13"/>
      <c r="C434" s="14"/>
      <c r="D434" s="14"/>
      <c r="E434" s="15"/>
      <c r="F434" s="16" t="str">
        <f aca="false">IF(OR(C434="",D434="",E434=""),"",C434*D434*E434)</f>
        <v/>
      </c>
      <c r="G434" s="17" t="str">
        <f aca="false">IF(OR(D434="",E434=""),"",E434*(1+D434/30))</f>
        <v/>
      </c>
      <c r="H434" s="19" t="n">
        <f aca="false">IF(G434="",0,G434)</f>
        <v>0</v>
      </c>
      <c r="I434" s="18" t="str">
        <f aca="false">IF(H434&gt;0,IF(H434&gt;=SUMPRODUCT(MAX(($B$5:$B$2004=B434)*$H$5:$H$2004)),"Rekor",""),"")</f>
        <v/>
      </c>
      <c r="J434" s="19" t="n">
        <f aca="false">IF(A434="",0,IF(COUNTIF(A$5:A434,A434)=1,1,0))</f>
        <v>0</v>
      </c>
    </row>
    <row r="435" customFormat="false" ht="15" hidden="false" customHeight="false" outlineLevel="0" collapsed="false">
      <c r="A435" s="12"/>
      <c r="B435" s="13"/>
      <c r="C435" s="14"/>
      <c r="D435" s="14"/>
      <c r="E435" s="15"/>
      <c r="F435" s="16" t="str">
        <f aca="false">IF(OR(C435="",D435="",E435=""),"",C435*D435*E435)</f>
        <v/>
      </c>
      <c r="G435" s="17" t="str">
        <f aca="false">IF(OR(D435="",E435=""),"",E435*(1+D435/30))</f>
        <v/>
      </c>
      <c r="H435" s="19" t="n">
        <f aca="false">IF(G435="",0,G435)</f>
        <v>0</v>
      </c>
      <c r="I435" s="18" t="str">
        <f aca="false">IF(H435&gt;0,IF(H435&gt;=SUMPRODUCT(MAX(($B$5:$B$2004=B435)*$H$5:$H$2004)),"Rekor",""),"")</f>
        <v/>
      </c>
      <c r="J435" s="19" t="n">
        <f aca="false">IF(A435="",0,IF(COUNTIF(A$5:A435,A435)=1,1,0))</f>
        <v>0</v>
      </c>
    </row>
    <row r="436" customFormat="false" ht="15" hidden="false" customHeight="false" outlineLevel="0" collapsed="false">
      <c r="A436" s="12"/>
      <c r="B436" s="13"/>
      <c r="C436" s="14"/>
      <c r="D436" s="14"/>
      <c r="E436" s="15"/>
      <c r="F436" s="16" t="str">
        <f aca="false">IF(OR(C436="",D436="",E436=""),"",C436*D436*E436)</f>
        <v/>
      </c>
      <c r="G436" s="17" t="str">
        <f aca="false">IF(OR(D436="",E436=""),"",E436*(1+D436/30))</f>
        <v/>
      </c>
      <c r="H436" s="19" t="n">
        <f aca="false">IF(G436="",0,G436)</f>
        <v>0</v>
      </c>
      <c r="I436" s="18" t="str">
        <f aca="false">IF(H436&gt;0,IF(H436&gt;=SUMPRODUCT(MAX(($B$5:$B$2004=B436)*$H$5:$H$2004)),"Rekor",""),"")</f>
        <v/>
      </c>
      <c r="J436" s="19" t="n">
        <f aca="false">IF(A436="",0,IF(COUNTIF(A$5:A436,A436)=1,1,0))</f>
        <v>0</v>
      </c>
    </row>
    <row r="437" customFormat="false" ht="15" hidden="false" customHeight="false" outlineLevel="0" collapsed="false">
      <c r="A437" s="12"/>
      <c r="B437" s="13"/>
      <c r="C437" s="14"/>
      <c r="D437" s="14"/>
      <c r="E437" s="15"/>
      <c r="F437" s="16" t="str">
        <f aca="false">IF(OR(C437="",D437="",E437=""),"",C437*D437*E437)</f>
        <v/>
      </c>
      <c r="G437" s="17" t="str">
        <f aca="false">IF(OR(D437="",E437=""),"",E437*(1+D437/30))</f>
        <v/>
      </c>
      <c r="H437" s="19" t="n">
        <f aca="false">IF(G437="",0,G437)</f>
        <v>0</v>
      </c>
      <c r="I437" s="18" t="str">
        <f aca="false">IF(H437&gt;0,IF(H437&gt;=SUMPRODUCT(MAX(($B$5:$B$2004=B437)*$H$5:$H$2004)),"Rekor",""),"")</f>
        <v/>
      </c>
      <c r="J437" s="19" t="n">
        <f aca="false">IF(A437="",0,IF(COUNTIF(A$5:A437,A437)=1,1,0))</f>
        <v>0</v>
      </c>
    </row>
    <row r="438" customFormat="false" ht="15" hidden="false" customHeight="false" outlineLevel="0" collapsed="false">
      <c r="A438" s="12"/>
      <c r="B438" s="13"/>
      <c r="C438" s="14"/>
      <c r="D438" s="14"/>
      <c r="E438" s="15"/>
      <c r="F438" s="16" t="str">
        <f aca="false">IF(OR(C438="",D438="",E438=""),"",C438*D438*E438)</f>
        <v/>
      </c>
      <c r="G438" s="17" t="str">
        <f aca="false">IF(OR(D438="",E438=""),"",E438*(1+D438/30))</f>
        <v/>
      </c>
      <c r="H438" s="19" t="n">
        <f aca="false">IF(G438="",0,G438)</f>
        <v>0</v>
      </c>
      <c r="I438" s="18" t="str">
        <f aca="false">IF(H438&gt;0,IF(H438&gt;=SUMPRODUCT(MAX(($B$5:$B$2004=B438)*$H$5:$H$2004)),"Rekor",""),"")</f>
        <v/>
      </c>
      <c r="J438" s="19" t="n">
        <f aca="false">IF(A438="",0,IF(COUNTIF(A$5:A438,A438)=1,1,0))</f>
        <v>0</v>
      </c>
    </row>
    <row r="439" customFormat="false" ht="15" hidden="false" customHeight="false" outlineLevel="0" collapsed="false">
      <c r="A439" s="12"/>
      <c r="B439" s="13"/>
      <c r="C439" s="14"/>
      <c r="D439" s="14"/>
      <c r="E439" s="15"/>
      <c r="F439" s="16" t="str">
        <f aca="false">IF(OR(C439="",D439="",E439=""),"",C439*D439*E439)</f>
        <v/>
      </c>
      <c r="G439" s="17" t="str">
        <f aca="false">IF(OR(D439="",E439=""),"",E439*(1+D439/30))</f>
        <v/>
      </c>
      <c r="H439" s="19" t="n">
        <f aca="false">IF(G439="",0,G439)</f>
        <v>0</v>
      </c>
      <c r="I439" s="18" t="str">
        <f aca="false">IF(H439&gt;0,IF(H439&gt;=SUMPRODUCT(MAX(($B$5:$B$2004=B439)*$H$5:$H$2004)),"Rekor",""),"")</f>
        <v/>
      </c>
      <c r="J439" s="19" t="n">
        <f aca="false">IF(A439="",0,IF(COUNTIF(A$5:A439,A439)=1,1,0))</f>
        <v>0</v>
      </c>
    </row>
    <row r="440" customFormat="false" ht="15" hidden="false" customHeight="false" outlineLevel="0" collapsed="false">
      <c r="A440" s="12"/>
      <c r="B440" s="13"/>
      <c r="C440" s="14"/>
      <c r="D440" s="14"/>
      <c r="E440" s="15"/>
      <c r="F440" s="16" t="str">
        <f aca="false">IF(OR(C440="",D440="",E440=""),"",C440*D440*E440)</f>
        <v/>
      </c>
      <c r="G440" s="17" t="str">
        <f aca="false">IF(OR(D440="",E440=""),"",E440*(1+D440/30))</f>
        <v/>
      </c>
      <c r="H440" s="19" t="n">
        <f aca="false">IF(G440="",0,G440)</f>
        <v>0</v>
      </c>
      <c r="I440" s="18" t="str">
        <f aca="false">IF(H440&gt;0,IF(H440&gt;=SUMPRODUCT(MAX(($B$5:$B$2004=B440)*$H$5:$H$2004)),"Rekor",""),"")</f>
        <v/>
      </c>
      <c r="J440" s="19" t="n">
        <f aca="false">IF(A440="",0,IF(COUNTIF(A$5:A440,A440)=1,1,0))</f>
        <v>0</v>
      </c>
    </row>
    <row r="441" customFormat="false" ht="15" hidden="false" customHeight="false" outlineLevel="0" collapsed="false">
      <c r="A441" s="12"/>
      <c r="B441" s="13"/>
      <c r="C441" s="14"/>
      <c r="D441" s="14"/>
      <c r="E441" s="15"/>
      <c r="F441" s="16" t="str">
        <f aca="false">IF(OR(C441="",D441="",E441=""),"",C441*D441*E441)</f>
        <v/>
      </c>
      <c r="G441" s="17" t="str">
        <f aca="false">IF(OR(D441="",E441=""),"",E441*(1+D441/30))</f>
        <v/>
      </c>
      <c r="H441" s="19" t="n">
        <f aca="false">IF(G441="",0,G441)</f>
        <v>0</v>
      </c>
      <c r="I441" s="18" t="str">
        <f aca="false">IF(H441&gt;0,IF(H441&gt;=SUMPRODUCT(MAX(($B$5:$B$2004=B441)*$H$5:$H$2004)),"Rekor",""),"")</f>
        <v/>
      </c>
      <c r="J441" s="19" t="n">
        <f aca="false">IF(A441="",0,IF(COUNTIF(A$5:A441,A441)=1,1,0))</f>
        <v>0</v>
      </c>
    </row>
    <row r="442" customFormat="false" ht="15" hidden="false" customHeight="false" outlineLevel="0" collapsed="false">
      <c r="A442" s="12"/>
      <c r="B442" s="13"/>
      <c r="C442" s="14"/>
      <c r="D442" s="14"/>
      <c r="E442" s="15"/>
      <c r="F442" s="16" t="str">
        <f aca="false">IF(OR(C442="",D442="",E442=""),"",C442*D442*E442)</f>
        <v/>
      </c>
      <c r="G442" s="17" t="str">
        <f aca="false">IF(OR(D442="",E442=""),"",E442*(1+D442/30))</f>
        <v/>
      </c>
      <c r="H442" s="19" t="n">
        <f aca="false">IF(G442="",0,G442)</f>
        <v>0</v>
      </c>
      <c r="I442" s="18" t="str">
        <f aca="false">IF(H442&gt;0,IF(H442&gt;=SUMPRODUCT(MAX(($B$5:$B$2004=B442)*$H$5:$H$2004)),"Rekor",""),"")</f>
        <v/>
      </c>
      <c r="J442" s="19" t="n">
        <f aca="false">IF(A442="",0,IF(COUNTIF(A$5:A442,A442)=1,1,0))</f>
        <v>0</v>
      </c>
    </row>
    <row r="443" customFormat="false" ht="15" hidden="false" customHeight="false" outlineLevel="0" collapsed="false">
      <c r="A443" s="12"/>
      <c r="B443" s="13"/>
      <c r="C443" s="14"/>
      <c r="D443" s="14"/>
      <c r="E443" s="15"/>
      <c r="F443" s="16" t="str">
        <f aca="false">IF(OR(C443="",D443="",E443=""),"",C443*D443*E443)</f>
        <v/>
      </c>
      <c r="G443" s="17" t="str">
        <f aca="false">IF(OR(D443="",E443=""),"",E443*(1+D443/30))</f>
        <v/>
      </c>
      <c r="H443" s="19" t="n">
        <f aca="false">IF(G443="",0,G443)</f>
        <v>0</v>
      </c>
      <c r="I443" s="18" t="str">
        <f aca="false">IF(H443&gt;0,IF(H443&gt;=SUMPRODUCT(MAX(($B$5:$B$2004=B443)*$H$5:$H$2004)),"Rekor",""),"")</f>
        <v/>
      </c>
      <c r="J443" s="19" t="n">
        <f aca="false">IF(A443="",0,IF(COUNTIF(A$5:A443,A443)=1,1,0))</f>
        <v>0</v>
      </c>
    </row>
    <row r="444" customFormat="false" ht="15" hidden="false" customHeight="false" outlineLevel="0" collapsed="false">
      <c r="A444" s="12"/>
      <c r="B444" s="13"/>
      <c r="C444" s="14"/>
      <c r="D444" s="14"/>
      <c r="E444" s="15"/>
      <c r="F444" s="16" t="str">
        <f aca="false">IF(OR(C444="",D444="",E444=""),"",C444*D444*E444)</f>
        <v/>
      </c>
      <c r="G444" s="17" t="str">
        <f aca="false">IF(OR(D444="",E444=""),"",E444*(1+D444/30))</f>
        <v/>
      </c>
      <c r="H444" s="19" t="n">
        <f aca="false">IF(G444="",0,G444)</f>
        <v>0</v>
      </c>
      <c r="I444" s="18" t="str">
        <f aca="false">IF(H444&gt;0,IF(H444&gt;=SUMPRODUCT(MAX(($B$5:$B$2004=B444)*$H$5:$H$2004)),"Rekor",""),"")</f>
        <v/>
      </c>
      <c r="J444" s="19" t="n">
        <f aca="false">IF(A444="",0,IF(COUNTIF(A$5:A444,A444)=1,1,0))</f>
        <v>0</v>
      </c>
    </row>
    <row r="445" customFormat="false" ht="15" hidden="false" customHeight="false" outlineLevel="0" collapsed="false">
      <c r="A445" s="12"/>
      <c r="B445" s="13"/>
      <c r="C445" s="14"/>
      <c r="D445" s="14"/>
      <c r="E445" s="15"/>
      <c r="F445" s="16" t="str">
        <f aca="false">IF(OR(C445="",D445="",E445=""),"",C445*D445*E445)</f>
        <v/>
      </c>
      <c r="G445" s="17" t="str">
        <f aca="false">IF(OR(D445="",E445=""),"",E445*(1+D445/30))</f>
        <v/>
      </c>
      <c r="H445" s="19" t="n">
        <f aca="false">IF(G445="",0,G445)</f>
        <v>0</v>
      </c>
      <c r="I445" s="18" t="str">
        <f aca="false">IF(H445&gt;0,IF(H445&gt;=SUMPRODUCT(MAX(($B$5:$B$2004=B445)*$H$5:$H$2004)),"Rekor",""),"")</f>
        <v/>
      </c>
      <c r="J445" s="19" t="n">
        <f aca="false">IF(A445="",0,IF(COUNTIF(A$5:A445,A445)=1,1,0))</f>
        <v>0</v>
      </c>
    </row>
    <row r="446" customFormat="false" ht="15" hidden="false" customHeight="false" outlineLevel="0" collapsed="false">
      <c r="A446" s="12"/>
      <c r="B446" s="13"/>
      <c r="C446" s="14"/>
      <c r="D446" s="14"/>
      <c r="E446" s="15"/>
      <c r="F446" s="16" t="str">
        <f aca="false">IF(OR(C446="",D446="",E446=""),"",C446*D446*E446)</f>
        <v/>
      </c>
      <c r="G446" s="17" t="str">
        <f aca="false">IF(OR(D446="",E446=""),"",E446*(1+D446/30))</f>
        <v/>
      </c>
      <c r="H446" s="19" t="n">
        <f aca="false">IF(G446="",0,G446)</f>
        <v>0</v>
      </c>
      <c r="I446" s="18" t="str">
        <f aca="false">IF(H446&gt;0,IF(H446&gt;=SUMPRODUCT(MAX(($B$5:$B$2004=B446)*$H$5:$H$2004)),"Rekor",""),"")</f>
        <v/>
      </c>
      <c r="J446" s="19" t="n">
        <f aca="false">IF(A446="",0,IF(COUNTIF(A$5:A446,A446)=1,1,0))</f>
        <v>0</v>
      </c>
    </row>
    <row r="447" customFormat="false" ht="15" hidden="false" customHeight="false" outlineLevel="0" collapsed="false">
      <c r="A447" s="12"/>
      <c r="B447" s="13"/>
      <c r="C447" s="14"/>
      <c r="D447" s="14"/>
      <c r="E447" s="15"/>
      <c r="F447" s="16" t="str">
        <f aca="false">IF(OR(C447="",D447="",E447=""),"",C447*D447*E447)</f>
        <v/>
      </c>
      <c r="G447" s="17" t="str">
        <f aca="false">IF(OR(D447="",E447=""),"",E447*(1+D447/30))</f>
        <v/>
      </c>
      <c r="H447" s="19" t="n">
        <f aca="false">IF(G447="",0,G447)</f>
        <v>0</v>
      </c>
      <c r="I447" s="18" t="str">
        <f aca="false">IF(H447&gt;0,IF(H447&gt;=SUMPRODUCT(MAX(($B$5:$B$2004=B447)*$H$5:$H$2004)),"Rekor",""),"")</f>
        <v/>
      </c>
      <c r="J447" s="19" t="n">
        <f aca="false">IF(A447="",0,IF(COUNTIF(A$5:A447,A447)=1,1,0))</f>
        <v>0</v>
      </c>
    </row>
    <row r="448" customFormat="false" ht="15" hidden="false" customHeight="false" outlineLevel="0" collapsed="false">
      <c r="A448" s="12"/>
      <c r="B448" s="13"/>
      <c r="C448" s="14"/>
      <c r="D448" s="14"/>
      <c r="E448" s="15"/>
      <c r="F448" s="16" t="str">
        <f aca="false">IF(OR(C448="",D448="",E448=""),"",C448*D448*E448)</f>
        <v/>
      </c>
      <c r="G448" s="17" t="str">
        <f aca="false">IF(OR(D448="",E448=""),"",E448*(1+D448/30))</f>
        <v/>
      </c>
      <c r="H448" s="19" t="n">
        <f aca="false">IF(G448="",0,G448)</f>
        <v>0</v>
      </c>
      <c r="I448" s="18" t="str">
        <f aca="false">IF(H448&gt;0,IF(H448&gt;=SUMPRODUCT(MAX(($B$5:$B$2004=B448)*$H$5:$H$2004)),"Rekor",""),"")</f>
        <v/>
      </c>
      <c r="J448" s="19" t="n">
        <f aca="false">IF(A448="",0,IF(COUNTIF(A$5:A448,A448)=1,1,0))</f>
        <v>0</v>
      </c>
    </row>
    <row r="449" customFormat="false" ht="15" hidden="false" customHeight="false" outlineLevel="0" collapsed="false">
      <c r="A449" s="12"/>
      <c r="B449" s="13"/>
      <c r="C449" s="14"/>
      <c r="D449" s="14"/>
      <c r="E449" s="15"/>
      <c r="F449" s="16" t="str">
        <f aca="false">IF(OR(C449="",D449="",E449=""),"",C449*D449*E449)</f>
        <v/>
      </c>
      <c r="G449" s="17" t="str">
        <f aca="false">IF(OR(D449="",E449=""),"",E449*(1+D449/30))</f>
        <v/>
      </c>
      <c r="H449" s="19" t="n">
        <f aca="false">IF(G449="",0,G449)</f>
        <v>0</v>
      </c>
      <c r="I449" s="18" t="str">
        <f aca="false">IF(H449&gt;0,IF(H449&gt;=SUMPRODUCT(MAX(($B$5:$B$2004=B449)*$H$5:$H$2004)),"Rekor",""),"")</f>
        <v/>
      </c>
      <c r="J449" s="19" t="n">
        <f aca="false">IF(A449="",0,IF(COUNTIF(A$5:A449,A449)=1,1,0))</f>
        <v>0</v>
      </c>
    </row>
    <row r="450" customFormat="false" ht="15" hidden="false" customHeight="false" outlineLevel="0" collapsed="false">
      <c r="A450" s="12"/>
      <c r="B450" s="13"/>
      <c r="C450" s="14"/>
      <c r="D450" s="14"/>
      <c r="E450" s="15"/>
      <c r="F450" s="16" t="str">
        <f aca="false">IF(OR(C450="",D450="",E450=""),"",C450*D450*E450)</f>
        <v/>
      </c>
      <c r="G450" s="17" t="str">
        <f aca="false">IF(OR(D450="",E450=""),"",E450*(1+D450/30))</f>
        <v/>
      </c>
      <c r="H450" s="19" t="n">
        <f aca="false">IF(G450="",0,G450)</f>
        <v>0</v>
      </c>
      <c r="I450" s="18" t="str">
        <f aca="false">IF(H450&gt;0,IF(H450&gt;=SUMPRODUCT(MAX(($B$5:$B$2004=B450)*$H$5:$H$2004)),"Rekor",""),"")</f>
        <v/>
      </c>
      <c r="J450" s="19" t="n">
        <f aca="false">IF(A450="",0,IF(COUNTIF(A$5:A450,A450)=1,1,0))</f>
        <v>0</v>
      </c>
    </row>
    <row r="451" customFormat="false" ht="15" hidden="false" customHeight="false" outlineLevel="0" collapsed="false">
      <c r="A451" s="12"/>
      <c r="B451" s="13"/>
      <c r="C451" s="14"/>
      <c r="D451" s="14"/>
      <c r="E451" s="15"/>
      <c r="F451" s="16" t="str">
        <f aca="false">IF(OR(C451="",D451="",E451=""),"",C451*D451*E451)</f>
        <v/>
      </c>
      <c r="G451" s="17" t="str">
        <f aca="false">IF(OR(D451="",E451=""),"",E451*(1+D451/30))</f>
        <v/>
      </c>
      <c r="H451" s="19" t="n">
        <f aca="false">IF(G451="",0,G451)</f>
        <v>0</v>
      </c>
      <c r="I451" s="18" t="str">
        <f aca="false">IF(H451&gt;0,IF(H451&gt;=SUMPRODUCT(MAX(($B$5:$B$2004=B451)*$H$5:$H$2004)),"Rekor",""),"")</f>
        <v/>
      </c>
      <c r="J451" s="19" t="n">
        <f aca="false">IF(A451="",0,IF(COUNTIF(A$5:A451,A451)=1,1,0))</f>
        <v>0</v>
      </c>
    </row>
    <row r="452" customFormat="false" ht="15" hidden="false" customHeight="false" outlineLevel="0" collapsed="false">
      <c r="A452" s="12"/>
      <c r="B452" s="13"/>
      <c r="C452" s="14"/>
      <c r="D452" s="14"/>
      <c r="E452" s="15"/>
      <c r="F452" s="16" t="str">
        <f aca="false">IF(OR(C452="",D452="",E452=""),"",C452*D452*E452)</f>
        <v/>
      </c>
      <c r="G452" s="17" t="str">
        <f aca="false">IF(OR(D452="",E452=""),"",E452*(1+D452/30))</f>
        <v/>
      </c>
      <c r="H452" s="19" t="n">
        <f aca="false">IF(G452="",0,G452)</f>
        <v>0</v>
      </c>
      <c r="I452" s="18" t="str">
        <f aca="false">IF(H452&gt;0,IF(H452&gt;=SUMPRODUCT(MAX(($B$5:$B$2004=B452)*$H$5:$H$2004)),"Rekor",""),"")</f>
        <v/>
      </c>
      <c r="J452" s="19" t="n">
        <f aca="false">IF(A452="",0,IF(COUNTIF(A$5:A452,A452)=1,1,0))</f>
        <v>0</v>
      </c>
    </row>
    <row r="453" customFormat="false" ht="15" hidden="false" customHeight="false" outlineLevel="0" collapsed="false">
      <c r="A453" s="12"/>
      <c r="B453" s="13"/>
      <c r="C453" s="14"/>
      <c r="D453" s="14"/>
      <c r="E453" s="15"/>
      <c r="F453" s="16" t="str">
        <f aca="false">IF(OR(C453="",D453="",E453=""),"",C453*D453*E453)</f>
        <v/>
      </c>
      <c r="G453" s="17" t="str">
        <f aca="false">IF(OR(D453="",E453=""),"",E453*(1+D453/30))</f>
        <v/>
      </c>
      <c r="H453" s="19" t="n">
        <f aca="false">IF(G453="",0,G453)</f>
        <v>0</v>
      </c>
      <c r="I453" s="18" t="str">
        <f aca="false">IF(H453&gt;0,IF(H453&gt;=SUMPRODUCT(MAX(($B$5:$B$2004=B453)*$H$5:$H$2004)),"Rekor",""),"")</f>
        <v/>
      </c>
      <c r="J453" s="19" t="n">
        <f aca="false">IF(A453="",0,IF(COUNTIF(A$5:A453,A453)=1,1,0))</f>
        <v>0</v>
      </c>
    </row>
    <row r="454" customFormat="false" ht="15" hidden="false" customHeight="false" outlineLevel="0" collapsed="false">
      <c r="A454" s="12"/>
      <c r="B454" s="13"/>
      <c r="C454" s="14"/>
      <c r="D454" s="14"/>
      <c r="E454" s="15"/>
      <c r="F454" s="16" t="str">
        <f aca="false">IF(OR(C454="",D454="",E454=""),"",C454*D454*E454)</f>
        <v/>
      </c>
      <c r="G454" s="17" t="str">
        <f aca="false">IF(OR(D454="",E454=""),"",E454*(1+D454/30))</f>
        <v/>
      </c>
      <c r="H454" s="19" t="n">
        <f aca="false">IF(G454="",0,G454)</f>
        <v>0</v>
      </c>
      <c r="I454" s="18" t="str">
        <f aca="false">IF(H454&gt;0,IF(H454&gt;=SUMPRODUCT(MAX(($B$5:$B$2004=B454)*$H$5:$H$2004)),"Rekor",""),"")</f>
        <v/>
      </c>
      <c r="J454" s="19" t="n">
        <f aca="false">IF(A454="",0,IF(COUNTIF(A$5:A454,A454)=1,1,0))</f>
        <v>0</v>
      </c>
    </row>
    <row r="455" customFormat="false" ht="15" hidden="false" customHeight="false" outlineLevel="0" collapsed="false">
      <c r="A455" s="12"/>
      <c r="B455" s="13"/>
      <c r="C455" s="14"/>
      <c r="D455" s="14"/>
      <c r="E455" s="15"/>
      <c r="F455" s="16" t="str">
        <f aca="false">IF(OR(C455="",D455="",E455=""),"",C455*D455*E455)</f>
        <v/>
      </c>
      <c r="G455" s="17" t="str">
        <f aca="false">IF(OR(D455="",E455=""),"",E455*(1+D455/30))</f>
        <v/>
      </c>
      <c r="H455" s="19" t="n">
        <f aca="false">IF(G455="",0,G455)</f>
        <v>0</v>
      </c>
      <c r="I455" s="18" t="str">
        <f aca="false">IF(H455&gt;0,IF(H455&gt;=SUMPRODUCT(MAX(($B$5:$B$2004=B455)*$H$5:$H$2004)),"Rekor",""),"")</f>
        <v/>
      </c>
      <c r="J455" s="19" t="n">
        <f aca="false">IF(A455="",0,IF(COUNTIF(A$5:A455,A455)=1,1,0))</f>
        <v>0</v>
      </c>
    </row>
    <row r="456" customFormat="false" ht="15" hidden="false" customHeight="false" outlineLevel="0" collapsed="false">
      <c r="A456" s="12"/>
      <c r="B456" s="13"/>
      <c r="C456" s="14"/>
      <c r="D456" s="14"/>
      <c r="E456" s="15"/>
      <c r="F456" s="16" t="str">
        <f aca="false">IF(OR(C456="",D456="",E456=""),"",C456*D456*E456)</f>
        <v/>
      </c>
      <c r="G456" s="17" t="str">
        <f aca="false">IF(OR(D456="",E456=""),"",E456*(1+D456/30))</f>
        <v/>
      </c>
      <c r="H456" s="19" t="n">
        <f aca="false">IF(G456="",0,G456)</f>
        <v>0</v>
      </c>
      <c r="I456" s="18" t="str">
        <f aca="false">IF(H456&gt;0,IF(H456&gt;=SUMPRODUCT(MAX(($B$5:$B$2004=B456)*$H$5:$H$2004)),"Rekor",""),"")</f>
        <v/>
      </c>
      <c r="J456" s="19" t="n">
        <f aca="false">IF(A456="",0,IF(COUNTIF(A$5:A456,A456)=1,1,0))</f>
        <v>0</v>
      </c>
    </row>
    <row r="457" customFormat="false" ht="15" hidden="false" customHeight="false" outlineLevel="0" collapsed="false">
      <c r="A457" s="12"/>
      <c r="B457" s="13"/>
      <c r="C457" s="14"/>
      <c r="D457" s="14"/>
      <c r="E457" s="15"/>
      <c r="F457" s="16" t="str">
        <f aca="false">IF(OR(C457="",D457="",E457=""),"",C457*D457*E457)</f>
        <v/>
      </c>
      <c r="G457" s="17" t="str">
        <f aca="false">IF(OR(D457="",E457=""),"",E457*(1+D457/30))</f>
        <v/>
      </c>
      <c r="H457" s="19" t="n">
        <f aca="false">IF(G457="",0,G457)</f>
        <v>0</v>
      </c>
      <c r="I457" s="18" t="str">
        <f aca="false">IF(H457&gt;0,IF(H457&gt;=SUMPRODUCT(MAX(($B$5:$B$2004=B457)*$H$5:$H$2004)),"Rekor",""),"")</f>
        <v/>
      </c>
      <c r="J457" s="19" t="n">
        <f aca="false">IF(A457="",0,IF(COUNTIF(A$5:A457,A457)=1,1,0))</f>
        <v>0</v>
      </c>
    </row>
    <row r="458" customFormat="false" ht="15" hidden="false" customHeight="false" outlineLevel="0" collapsed="false">
      <c r="A458" s="12"/>
      <c r="B458" s="13"/>
      <c r="C458" s="14"/>
      <c r="D458" s="14"/>
      <c r="E458" s="15"/>
      <c r="F458" s="16" t="str">
        <f aca="false">IF(OR(C458="",D458="",E458=""),"",C458*D458*E458)</f>
        <v/>
      </c>
      <c r="G458" s="17" t="str">
        <f aca="false">IF(OR(D458="",E458=""),"",E458*(1+D458/30))</f>
        <v/>
      </c>
      <c r="H458" s="19" t="n">
        <f aca="false">IF(G458="",0,G458)</f>
        <v>0</v>
      </c>
      <c r="I458" s="18" t="str">
        <f aca="false">IF(H458&gt;0,IF(H458&gt;=SUMPRODUCT(MAX(($B$5:$B$2004=B458)*$H$5:$H$2004)),"Rekor",""),"")</f>
        <v/>
      </c>
      <c r="J458" s="19" t="n">
        <f aca="false">IF(A458="",0,IF(COUNTIF(A$5:A458,A458)=1,1,0))</f>
        <v>0</v>
      </c>
    </row>
    <row r="459" customFormat="false" ht="15" hidden="false" customHeight="false" outlineLevel="0" collapsed="false">
      <c r="A459" s="12"/>
      <c r="B459" s="13"/>
      <c r="C459" s="14"/>
      <c r="D459" s="14"/>
      <c r="E459" s="15"/>
      <c r="F459" s="16" t="str">
        <f aca="false">IF(OR(C459="",D459="",E459=""),"",C459*D459*E459)</f>
        <v/>
      </c>
      <c r="G459" s="17" t="str">
        <f aca="false">IF(OR(D459="",E459=""),"",E459*(1+D459/30))</f>
        <v/>
      </c>
      <c r="H459" s="19" t="n">
        <f aca="false">IF(G459="",0,G459)</f>
        <v>0</v>
      </c>
      <c r="I459" s="18" t="str">
        <f aca="false">IF(H459&gt;0,IF(H459&gt;=SUMPRODUCT(MAX(($B$5:$B$2004=B459)*$H$5:$H$2004)),"Rekor",""),"")</f>
        <v/>
      </c>
      <c r="J459" s="19" t="n">
        <f aca="false">IF(A459="",0,IF(COUNTIF(A$5:A459,A459)=1,1,0))</f>
        <v>0</v>
      </c>
    </row>
    <row r="460" customFormat="false" ht="15" hidden="false" customHeight="false" outlineLevel="0" collapsed="false">
      <c r="A460" s="12"/>
      <c r="B460" s="13"/>
      <c r="C460" s="14"/>
      <c r="D460" s="14"/>
      <c r="E460" s="15"/>
      <c r="F460" s="16" t="str">
        <f aca="false">IF(OR(C460="",D460="",E460=""),"",C460*D460*E460)</f>
        <v/>
      </c>
      <c r="G460" s="17" t="str">
        <f aca="false">IF(OR(D460="",E460=""),"",E460*(1+D460/30))</f>
        <v/>
      </c>
      <c r="H460" s="19" t="n">
        <f aca="false">IF(G460="",0,G460)</f>
        <v>0</v>
      </c>
      <c r="I460" s="18" t="str">
        <f aca="false">IF(H460&gt;0,IF(H460&gt;=SUMPRODUCT(MAX(($B$5:$B$2004=B460)*$H$5:$H$2004)),"Rekor",""),"")</f>
        <v/>
      </c>
      <c r="J460" s="19" t="n">
        <f aca="false">IF(A460="",0,IF(COUNTIF(A$5:A460,A460)=1,1,0))</f>
        <v>0</v>
      </c>
    </row>
    <row r="461" customFormat="false" ht="15" hidden="false" customHeight="false" outlineLevel="0" collapsed="false">
      <c r="A461" s="12"/>
      <c r="B461" s="13"/>
      <c r="C461" s="14"/>
      <c r="D461" s="14"/>
      <c r="E461" s="15"/>
      <c r="F461" s="16" t="str">
        <f aca="false">IF(OR(C461="",D461="",E461=""),"",C461*D461*E461)</f>
        <v/>
      </c>
      <c r="G461" s="17" t="str">
        <f aca="false">IF(OR(D461="",E461=""),"",E461*(1+D461/30))</f>
        <v/>
      </c>
      <c r="H461" s="19" t="n">
        <f aca="false">IF(G461="",0,G461)</f>
        <v>0</v>
      </c>
      <c r="I461" s="18" t="str">
        <f aca="false">IF(H461&gt;0,IF(H461&gt;=SUMPRODUCT(MAX(($B$5:$B$2004=B461)*$H$5:$H$2004)),"Rekor",""),"")</f>
        <v/>
      </c>
      <c r="J461" s="19" t="n">
        <f aca="false">IF(A461="",0,IF(COUNTIF(A$5:A461,A461)=1,1,0))</f>
        <v>0</v>
      </c>
    </row>
    <row r="462" customFormat="false" ht="15" hidden="false" customHeight="false" outlineLevel="0" collapsed="false">
      <c r="A462" s="12"/>
      <c r="B462" s="13"/>
      <c r="C462" s="14"/>
      <c r="D462" s="14"/>
      <c r="E462" s="15"/>
      <c r="F462" s="16" t="str">
        <f aca="false">IF(OR(C462="",D462="",E462=""),"",C462*D462*E462)</f>
        <v/>
      </c>
      <c r="G462" s="17" t="str">
        <f aca="false">IF(OR(D462="",E462=""),"",E462*(1+D462/30))</f>
        <v/>
      </c>
      <c r="H462" s="19" t="n">
        <f aca="false">IF(G462="",0,G462)</f>
        <v>0</v>
      </c>
      <c r="I462" s="18" t="str">
        <f aca="false">IF(H462&gt;0,IF(H462&gt;=SUMPRODUCT(MAX(($B$5:$B$2004=B462)*$H$5:$H$2004)),"Rekor",""),"")</f>
        <v/>
      </c>
      <c r="J462" s="19" t="n">
        <f aca="false">IF(A462="",0,IF(COUNTIF(A$5:A462,A462)=1,1,0))</f>
        <v>0</v>
      </c>
    </row>
    <row r="463" customFormat="false" ht="15" hidden="false" customHeight="false" outlineLevel="0" collapsed="false">
      <c r="A463" s="12"/>
      <c r="B463" s="13"/>
      <c r="C463" s="14"/>
      <c r="D463" s="14"/>
      <c r="E463" s="15"/>
      <c r="F463" s="16" t="str">
        <f aca="false">IF(OR(C463="",D463="",E463=""),"",C463*D463*E463)</f>
        <v/>
      </c>
      <c r="G463" s="17" t="str">
        <f aca="false">IF(OR(D463="",E463=""),"",E463*(1+D463/30))</f>
        <v/>
      </c>
      <c r="H463" s="19" t="n">
        <f aca="false">IF(G463="",0,G463)</f>
        <v>0</v>
      </c>
      <c r="I463" s="18" t="str">
        <f aca="false">IF(H463&gt;0,IF(H463&gt;=SUMPRODUCT(MAX(($B$5:$B$2004=B463)*$H$5:$H$2004)),"Rekor",""),"")</f>
        <v/>
      </c>
      <c r="J463" s="19" t="n">
        <f aca="false">IF(A463="",0,IF(COUNTIF(A$5:A463,A463)=1,1,0))</f>
        <v>0</v>
      </c>
    </row>
    <row r="464" customFormat="false" ht="15" hidden="false" customHeight="false" outlineLevel="0" collapsed="false">
      <c r="A464" s="12"/>
      <c r="B464" s="13"/>
      <c r="C464" s="14"/>
      <c r="D464" s="14"/>
      <c r="E464" s="15"/>
      <c r="F464" s="16" t="str">
        <f aca="false">IF(OR(C464="",D464="",E464=""),"",C464*D464*E464)</f>
        <v/>
      </c>
      <c r="G464" s="17" t="str">
        <f aca="false">IF(OR(D464="",E464=""),"",E464*(1+D464/30))</f>
        <v/>
      </c>
      <c r="H464" s="19" t="n">
        <f aca="false">IF(G464="",0,G464)</f>
        <v>0</v>
      </c>
      <c r="I464" s="18" t="str">
        <f aca="false">IF(H464&gt;0,IF(H464&gt;=SUMPRODUCT(MAX(($B$5:$B$2004=B464)*$H$5:$H$2004)),"Rekor",""),"")</f>
        <v/>
      </c>
      <c r="J464" s="19" t="n">
        <f aca="false">IF(A464="",0,IF(COUNTIF(A$5:A464,A464)=1,1,0))</f>
        <v>0</v>
      </c>
    </row>
    <row r="465" customFormat="false" ht="15" hidden="false" customHeight="false" outlineLevel="0" collapsed="false">
      <c r="A465" s="12"/>
      <c r="B465" s="13"/>
      <c r="C465" s="14"/>
      <c r="D465" s="14"/>
      <c r="E465" s="15"/>
      <c r="F465" s="16" t="str">
        <f aca="false">IF(OR(C465="",D465="",E465=""),"",C465*D465*E465)</f>
        <v/>
      </c>
      <c r="G465" s="17" t="str">
        <f aca="false">IF(OR(D465="",E465=""),"",E465*(1+D465/30))</f>
        <v/>
      </c>
      <c r="H465" s="19" t="n">
        <f aca="false">IF(G465="",0,G465)</f>
        <v>0</v>
      </c>
      <c r="I465" s="18" t="str">
        <f aca="false">IF(H465&gt;0,IF(H465&gt;=SUMPRODUCT(MAX(($B$5:$B$2004=B465)*$H$5:$H$2004)),"Rekor",""),"")</f>
        <v/>
      </c>
      <c r="J465" s="19" t="n">
        <f aca="false">IF(A465="",0,IF(COUNTIF(A$5:A465,A465)=1,1,0))</f>
        <v>0</v>
      </c>
    </row>
    <row r="466" customFormat="false" ht="15" hidden="false" customHeight="false" outlineLevel="0" collapsed="false">
      <c r="A466" s="12"/>
      <c r="B466" s="13"/>
      <c r="C466" s="14"/>
      <c r="D466" s="14"/>
      <c r="E466" s="15"/>
      <c r="F466" s="16" t="str">
        <f aca="false">IF(OR(C466="",D466="",E466=""),"",C466*D466*E466)</f>
        <v/>
      </c>
      <c r="G466" s="17" t="str">
        <f aca="false">IF(OR(D466="",E466=""),"",E466*(1+D466/30))</f>
        <v/>
      </c>
      <c r="H466" s="19" t="n">
        <f aca="false">IF(G466="",0,G466)</f>
        <v>0</v>
      </c>
      <c r="I466" s="18" t="str">
        <f aca="false">IF(H466&gt;0,IF(H466&gt;=SUMPRODUCT(MAX(($B$5:$B$2004=B466)*$H$5:$H$2004)),"Rekor",""),"")</f>
        <v/>
      </c>
      <c r="J466" s="19" t="n">
        <f aca="false">IF(A466="",0,IF(COUNTIF(A$5:A466,A466)=1,1,0))</f>
        <v>0</v>
      </c>
    </row>
    <row r="467" customFormat="false" ht="15" hidden="false" customHeight="false" outlineLevel="0" collapsed="false">
      <c r="A467" s="12"/>
      <c r="B467" s="13"/>
      <c r="C467" s="14"/>
      <c r="D467" s="14"/>
      <c r="E467" s="15"/>
      <c r="F467" s="16" t="str">
        <f aca="false">IF(OR(C467="",D467="",E467=""),"",C467*D467*E467)</f>
        <v/>
      </c>
      <c r="G467" s="17" t="str">
        <f aca="false">IF(OR(D467="",E467=""),"",E467*(1+D467/30))</f>
        <v/>
      </c>
      <c r="H467" s="19" t="n">
        <f aca="false">IF(G467="",0,G467)</f>
        <v>0</v>
      </c>
      <c r="I467" s="18" t="str">
        <f aca="false">IF(H467&gt;0,IF(H467&gt;=SUMPRODUCT(MAX(($B$5:$B$2004=B467)*$H$5:$H$2004)),"Rekor",""),"")</f>
        <v/>
      </c>
      <c r="J467" s="19" t="n">
        <f aca="false">IF(A467="",0,IF(COUNTIF(A$5:A467,A467)=1,1,0))</f>
        <v>0</v>
      </c>
    </row>
    <row r="468" customFormat="false" ht="15" hidden="false" customHeight="false" outlineLevel="0" collapsed="false">
      <c r="A468" s="12"/>
      <c r="B468" s="13"/>
      <c r="C468" s="14"/>
      <c r="D468" s="14"/>
      <c r="E468" s="15"/>
      <c r="F468" s="16" t="str">
        <f aca="false">IF(OR(C468="",D468="",E468=""),"",C468*D468*E468)</f>
        <v/>
      </c>
      <c r="G468" s="17" t="str">
        <f aca="false">IF(OR(D468="",E468=""),"",E468*(1+D468/30))</f>
        <v/>
      </c>
      <c r="H468" s="19" t="n">
        <f aca="false">IF(G468="",0,G468)</f>
        <v>0</v>
      </c>
      <c r="I468" s="18" t="str">
        <f aca="false">IF(H468&gt;0,IF(H468&gt;=SUMPRODUCT(MAX(($B$5:$B$2004=B468)*$H$5:$H$2004)),"Rekor",""),"")</f>
        <v/>
      </c>
      <c r="J468" s="19" t="n">
        <f aca="false">IF(A468="",0,IF(COUNTIF(A$5:A468,A468)=1,1,0))</f>
        <v>0</v>
      </c>
    </row>
    <row r="469" customFormat="false" ht="15" hidden="false" customHeight="false" outlineLevel="0" collapsed="false">
      <c r="A469" s="12"/>
      <c r="B469" s="13"/>
      <c r="C469" s="14"/>
      <c r="D469" s="14"/>
      <c r="E469" s="15"/>
      <c r="F469" s="16" t="str">
        <f aca="false">IF(OR(C469="",D469="",E469=""),"",C469*D469*E469)</f>
        <v/>
      </c>
      <c r="G469" s="17" t="str">
        <f aca="false">IF(OR(D469="",E469=""),"",E469*(1+D469/30))</f>
        <v/>
      </c>
      <c r="H469" s="19" t="n">
        <f aca="false">IF(G469="",0,G469)</f>
        <v>0</v>
      </c>
      <c r="I469" s="18" t="str">
        <f aca="false">IF(H469&gt;0,IF(H469&gt;=SUMPRODUCT(MAX(($B$5:$B$2004=B469)*$H$5:$H$2004)),"Rekor",""),"")</f>
        <v/>
      </c>
      <c r="J469" s="19" t="n">
        <f aca="false">IF(A469="",0,IF(COUNTIF(A$5:A469,A469)=1,1,0))</f>
        <v>0</v>
      </c>
    </row>
    <row r="470" customFormat="false" ht="15" hidden="false" customHeight="false" outlineLevel="0" collapsed="false">
      <c r="A470" s="12"/>
      <c r="B470" s="13"/>
      <c r="C470" s="14"/>
      <c r="D470" s="14"/>
      <c r="E470" s="15"/>
      <c r="F470" s="16" t="str">
        <f aca="false">IF(OR(C470="",D470="",E470=""),"",C470*D470*E470)</f>
        <v/>
      </c>
      <c r="G470" s="17" t="str">
        <f aca="false">IF(OR(D470="",E470=""),"",E470*(1+D470/30))</f>
        <v/>
      </c>
      <c r="H470" s="19" t="n">
        <f aca="false">IF(G470="",0,G470)</f>
        <v>0</v>
      </c>
      <c r="I470" s="18" t="str">
        <f aca="false">IF(H470&gt;0,IF(H470&gt;=SUMPRODUCT(MAX(($B$5:$B$2004=B470)*$H$5:$H$2004)),"Rekor",""),"")</f>
        <v/>
      </c>
      <c r="J470" s="19" t="n">
        <f aca="false">IF(A470="",0,IF(COUNTIF(A$5:A470,A470)=1,1,0))</f>
        <v>0</v>
      </c>
    </row>
    <row r="471" customFormat="false" ht="15" hidden="false" customHeight="false" outlineLevel="0" collapsed="false">
      <c r="A471" s="12"/>
      <c r="B471" s="13"/>
      <c r="C471" s="14"/>
      <c r="D471" s="14"/>
      <c r="E471" s="15"/>
      <c r="F471" s="16" t="str">
        <f aca="false">IF(OR(C471="",D471="",E471=""),"",C471*D471*E471)</f>
        <v/>
      </c>
      <c r="G471" s="17" t="str">
        <f aca="false">IF(OR(D471="",E471=""),"",E471*(1+D471/30))</f>
        <v/>
      </c>
      <c r="H471" s="19" t="n">
        <f aca="false">IF(G471="",0,G471)</f>
        <v>0</v>
      </c>
      <c r="I471" s="18" t="str">
        <f aca="false">IF(H471&gt;0,IF(H471&gt;=SUMPRODUCT(MAX(($B$5:$B$2004=B471)*$H$5:$H$2004)),"Rekor",""),"")</f>
        <v/>
      </c>
      <c r="J471" s="19" t="n">
        <f aca="false">IF(A471="",0,IF(COUNTIF(A$5:A471,A471)=1,1,0))</f>
        <v>0</v>
      </c>
    </row>
    <row r="472" customFormat="false" ht="15" hidden="false" customHeight="false" outlineLevel="0" collapsed="false">
      <c r="A472" s="12"/>
      <c r="B472" s="13"/>
      <c r="C472" s="14"/>
      <c r="D472" s="14"/>
      <c r="E472" s="15"/>
      <c r="F472" s="16" t="str">
        <f aca="false">IF(OR(C472="",D472="",E472=""),"",C472*D472*E472)</f>
        <v/>
      </c>
      <c r="G472" s="17" t="str">
        <f aca="false">IF(OR(D472="",E472=""),"",E472*(1+D472/30))</f>
        <v/>
      </c>
      <c r="H472" s="19" t="n">
        <f aca="false">IF(G472="",0,G472)</f>
        <v>0</v>
      </c>
      <c r="I472" s="18" t="str">
        <f aca="false">IF(H472&gt;0,IF(H472&gt;=SUMPRODUCT(MAX(($B$5:$B$2004=B472)*$H$5:$H$2004)),"Rekor",""),"")</f>
        <v/>
      </c>
      <c r="J472" s="19" t="n">
        <f aca="false">IF(A472="",0,IF(COUNTIF(A$5:A472,A472)=1,1,0))</f>
        <v>0</v>
      </c>
    </row>
    <row r="473" customFormat="false" ht="15" hidden="false" customHeight="false" outlineLevel="0" collapsed="false">
      <c r="A473" s="12"/>
      <c r="B473" s="13"/>
      <c r="C473" s="14"/>
      <c r="D473" s="14"/>
      <c r="E473" s="15"/>
      <c r="F473" s="16" t="str">
        <f aca="false">IF(OR(C473="",D473="",E473=""),"",C473*D473*E473)</f>
        <v/>
      </c>
      <c r="G473" s="17" t="str">
        <f aca="false">IF(OR(D473="",E473=""),"",E473*(1+D473/30))</f>
        <v/>
      </c>
      <c r="H473" s="19" t="n">
        <f aca="false">IF(G473="",0,G473)</f>
        <v>0</v>
      </c>
      <c r="I473" s="18" t="str">
        <f aca="false">IF(H473&gt;0,IF(H473&gt;=SUMPRODUCT(MAX(($B$5:$B$2004=B473)*$H$5:$H$2004)),"Rekor",""),"")</f>
        <v/>
      </c>
      <c r="J473" s="19" t="n">
        <f aca="false">IF(A473="",0,IF(COUNTIF(A$5:A473,A473)=1,1,0))</f>
        <v>0</v>
      </c>
    </row>
    <row r="474" customFormat="false" ht="15" hidden="false" customHeight="false" outlineLevel="0" collapsed="false">
      <c r="A474" s="12"/>
      <c r="B474" s="13"/>
      <c r="C474" s="14"/>
      <c r="D474" s="14"/>
      <c r="E474" s="15"/>
      <c r="F474" s="16" t="str">
        <f aca="false">IF(OR(C474="",D474="",E474=""),"",C474*D474*E474)</f>
        <v/>
      </c>
      <c r="G474" s="17" t="str">
        <f aca="false">IF(OR(D474="",E474=""),"",E474*(1+D474/30))</f>
        <v/>
      </c>
      <c r="H474" s="19" t="n">
        <f aca="false">IF(G474="",0,G474)</f>
        <v>0</v>
      </c>
      <c r="I474" s="18" t="str">
        <f aca="false">IF(H474&gt;0,IF(H474&gt;=SUMPRODUCT(MAX(($B$5:$B$2004=B474)*$H$5:$H$2004)),"Rekor",""),"")</f>
        <v/>
      </c>
      <c r="J474" s="19" t="n">
        <f aca="false">IF(A474="",0,IF(COUNTIF(A$5:A474,A474)=1,1,0))</f>
        <v>0</v>
      </c>
    </row>
    <row r="475" customFormat="false" ht="15" hidden="false" customHeight="false" outlineLevel="0" collapsed="false">
      <c r="A475" s="12"/>
      <c r="B475" s="13"/>
      <c r="C475" s="14"/>
      <c r="D475" s="14"/>
      <c r="E475" s="15"/>
      <c r="F475" s="16" t="str">
        <f aca="false">IF(OR(C475="",D475="",E475=""),"",C475*D475*E475)</f>
        <v/>
      </c>
      <c r="G475" s="17" t="str">
        <f aca="false">IF(OR(D475="",E475=""),"",E475*(1+D475/30))</f>
        <v/>
      </c>
      <c r="H475" s="19" t="n">
        <f aca="false">IF(G475="",0,G475)</f>
        <v>0</v>
      </c>
      <c r="I475" s="18" t="str">
        <f aca="false">IF(H475&gt;0,IF(H475&gt;=SUMPRODUCT(MAX(($B$5:$B$2004=B475)*$H$5:$H$2004)),"Rekor",""),"")</f>
        <v/>
      </c>
      <c r="J475" s="19" t="n">
        <f aca="false">IF(A475="",0,IF(COUNTIF(A$5:A475,A475)=1,1,0))</f>
        <v>0</v>
      </c>
    </row>
    <row r="476" customFormat="false" ht="15" hidden="false" customHeight="false" outlineLevel="0" collapsed="false">
      <c r="A476" s="12"/>
      <c r="B476" s="13"/>
      <c r="C476" s="14"/>
      <c r="D476" s="14"/>
      <c r="E476" s="15"/>
      <c r="F476" s="16" t="str">
        <f aca="false">IF(OR(C476="",D476="",E476=""),"",C476*D476*E476)</f>
        <v/>
      </c>
      <c r="G476" s="17" t="str">
        <f aca="false">IF(OR(D476="",E476=""),"",E476*(1+D476/30))</f>
        <v/>
      </c>
      <c r="H476" s="19" t="n">
        <f aca="false">IF(G476="",0,G476)</f>
        <v>0</v>
      </c>
      <c r="I476" s="18" t="str">
        <f aca="false">IF(H476&gt;0,IF(H476&gt;=SUMPRODUCT(MAX(($B$5:$B$2004=B476)*$H$5:$H$2004)),"Rekor",""),"")</f>
        <v/>
      </c>
      <c r="J476" s="19" t="n">
        <f aca="false">IF(A476="",0,IF(COUNTIF(A$5:A476,A476)=1,1,0))</f>
        <v>0</v>
      </c>
    </row>
    <row r="477" customFormat="false" ht="15" hidden="false" customHeight="false" outlineLevel="0" collapsed="false">
      <c r="A477" s="12"/>
      <c r="B477" s="13"/>
      <c r="C477" s="14"/>
      <c r="D477" s="14"/>
      <c r="E477" s="15"/>
      <c r="F477" s="16" t="str">
        <f aca="false">IF(OR(C477="",D477="",E477=""),"",C477*D477*E477)</f>
        <v/>
      </c>
      <c r="G477" s="17" t="str">
        <f aca="false">IF(OR(D477="",E477=""),"",E477*(1+D477/30))</f>
        <v/>
      </c>
      <c r="H477" s="19" t="n">
        <f aca="false">IF(G477="",0,G477)</f>
        <v>0</v>
      </c>
      <c r="I477" s="18" t="str">
        <f aca="false">IF(H477&gt;0,IF(H477&gt;=SUMPRODUCT(MAX(($B$5:$B$2004=B477)*$H$5:$H$2004)),"Rekor",""),"")</f>
        <v/>
      </c>
      <c r="J477" s="19" t="n">
        <f aca="false">IF(A477="",0,IF(COUNTIF(A$5:A477,A477)=1,1,0))</f>
        <v>0</v>
      </c>
    </row>
    <row r="478" customFormat="false" ht="15" hidden="false" customHeight="false" outlineLevel="0" collapsed="false">
      <c r="A478" s="12"/>
      <c r="B478" s="13"/>
      <c r="C478" s="14"/>
      <c r="D478" s="14"/>
      <c r="E478" s="15"/>
      <c r="F478" s="16" t="str">
        <f aca="false">IF(OR(C478="",D478="",E478=""),"",C478*D478*E478)</f>
        <v/>
      </c>
      <c r="G478" s="17" t="str">
        <f aca="false">IF(OR(D478="",E478=""),"",E478*(1+D478/30))</f>
        <v/>
      </c>
      <c r="H478" s="19" t="n">
        <f aca="false">IF(G478="",0,G478)</f>
        <v>0</v>
      </c>
      <c r="I478" s="18" t="str">
        <f aca="false">IF(H478&gt;0,IF(H478&gt;=SUMPRODUCT(MAX(($B$5:$B$2004=B478)*$H$5:$H$2004)),"Rekor",""),"")</f>
        <v/>
      </c>
      <c r="J478" s="19" t="n">
        <f aca="false">IF(A478="",0,IF(COUNTIF(A$5:A478,A478)=1,1,0))</f>
        <v>0</v>
      </c>
    </row>
    <row r="479" customFormat="false" ht="15" hidden="false" customHeight="false" outlineLevel="0" collapsed="false">
      <c r="A479" s="12"/>
      <c r="B479" s="13"/>
      <c r="C479" s="14"/>
      <c r="D479" s="14"/>
      <c r="E479" s="15"/>
      <c r="F479" s="16" t="str">
        <f aca="false">IF(OR(C479="",D479="",E479=""),"",C479*D479*E479)</f>
        <v/>
      </c>
      <c r="G479" s="17" t="str">
        <f aca="false">IF(OR(D479="",E479=""),"",E479*(1+D479/30))</f>
        <v/>
      </c>
      <c r="H479" s="19" t="n">
        <f aca="false">IF(G479="",0,G479)</f>
        <v>0</v>
      </c>
      <c r="I479" s="18" t="str">
        <f aca="false">IF(H479&gt;0,IF(H479&gt;=SUMPRODUCT(MAX(($B$5:$B$2004=B479)*$H$5:$H$2004)),"Rekor",""),"")</f>
        <v/>
      </c>
      <c r="J479" s="19" t="n">
        <f aca="false">IF(A479="",0,IF(COUNTIF(A$5:A479,A479)=1,1,0))</f>
        <v>0</v>
      </c>
    </row>
    <row r="480" customFormat="false" ht="15" hidden="false" customHeight="false" outlineLevel="0" collapsed="false">
      <c r="A480" s="12"/>
      <c r="B480" s="13"/>
      <c r="C480" s="14"/>
      <c r="D480" s="14"/>
      <c r="E480" s="15"/>
      <c r="F480" s="16" t="str">
        <f aca="false">IF(OR(C480="",D480="",E480=""),"",C480*D480*E480)</f>
        <v/>
      </c>
      <c r="G480" s="17" t="str">
        <f aca="false">IF(OR(D480="",E480=""),"",E480*(1+D480/30))</f>
        <v/>
      </c>
      <c r="H480" s="19" t="n">
        <f aca="false">IF(G480="",0,G480)</f>
        <v>0</v>
      </c>
      <c r="I480" s="18" t="str">
        <f aca="false">IF(H480&gt;0,IF(H480&gt;=SUMPRODUCT(MAX(($B$5:$B$2004=B480)*$H$5:$H$2004)),"Rekor",""),"")</f>
        <v/>
      </c>
      <c r="J480" s="19" t="n">
        <f aca="false">IF(A480="",0,IF(COUNTIF(A$5:A480,A480)=1,1,0))</f>
        <v>0</v>
      </c>
    </row>
    <row r="481" customFormat="false" ht="15" hidden="false" customHeight="false" outlineLevel="0" collapsed="false">
      <c r="A481" s="12"/>
      <c r="B481" s="13"/>
      <c r="C481" s="14"/>
      <c r="D481" s="14"/>
      <c r="E481" s="15"/>
      <c r="F481" s="16" t="str">
        <f aca="false">IF(OR(C481="",D481="",E481=""),"",C481*D481*E481)</f>
        <v/>
      </c>
      <c r="G481" s="17" t="str">
        <f aca="false">IF(OR(D481="",E481=""),"",E481*(1+D481/30))</f>
        <v/>
      </c>
      <c r="H481" s="19" t="n">
        <f aca="false">IF(G481="",0,G481)</f>
        <v>0</v>
      </c>
      <c r="I481" s="18" t="str">
        <f aca="false">IF(H481&gt;0,IF(H481&gt;=SUMPRODUCT(MAX(($B$5:$B$2004=B481)*$H$5:$H$2004)),"Rekor",""),"")</f>
        <v/>
      </c>
      <c r="J481" s="19" t="n">
        <f aca="false">IF(A481="",0,IF(COUNTIF(A$5:A481,A481)=1,1,0))</f>
        <v>0</v>
      </c>
    </row>
    <row r="482" customFormat="false" ht="15" hidden="false" customHeight="false" outlineLevel="0" collapsed="false">
      <c r="A482" s="12"/>
      <c r="B482" s="13"/>
      <c r="C482" s="14"/>
      <c r="D482" s="14"/>
      <c r="E482" s="15"/>
      <c r="F482" s="16" t="str">
        <f aca="false">IF(OR(C482="",D482="",E482=""),"",C482*D482*E482)</f>
        <v/>
      </c>
      <c r="G482" s="17" t="str">
        <f aca="false">IF(OR(D482="",E482=""),"",E482*(1+D482/30))</f>
        <v/>
      </c>
      <c r="H482" s="19" t="n">
        <f aca="false">IF(G482="",0,G482)</f>
        <v>0</v>
      </c>
      <c r="I482" s="18" t="str">
        <f aca="false">IF(H482&gt;0,IF(H482&gt;=SUMPRODUCT(MAX(($B$5:$B$2004=B482)*$H$5:$H$2004)),"Rekor",""),"")</f>
        <v/>
      </c>
      <c r="J482" s="19" t="n">
        <f aca="false">IF(A482="",0,IF(COUNTIF(A$5:A482,A482)=1,1,0))</f>
        <v>0</v>
      </c>
    </row>
    <row r="483" customFormat="false" ht="15" hidden="false" customHeight="false" outlineLevel="0" collapsed="false">
      <c r="A483" s="12"/>
      <c r="B483" s="13"/>
      <c r="C483" s="14"/>
      <c r="D483" s="14"/>
      <c r="E483" s="15"/>
      <c r="F483" s="16" t="str">
        <f aca="false">IF(OR(C483="",D483="",E483=""),"",C483*D483*E483)</f>
        <v/>
      </c>
      <c r="G483" s="17" t="str">
        <f aca="false">IF(OR(D483="",E483=""),"",E483*(1+D483/30))</f>
        <v/>
      </c>
      <c r="H483" s="19" t="n">
        <f aca="false">IF(G483="",0,G483)</f>
        <v>0</v>
      </c>
      <c r="I483" s="18" t="str">
        <f aca="false">IF(H483&gt;0,IF(H483&gt;=SUMPRODUCT(MAX(($B$5:$B$2004=B483)*$H$5:$H$2004)),"Rekor",""),"")</f>
        <v/>
      </c>
      <c r="J483" s="19" t="n">
        <f aca="false">IF(A483="",0,IF(COUNTIF(A$5:A483,A483)=1,1,0))</f>
        <v>0</v>
      </c>
    </row>
    <row r="484" customFormat="false" ht="15" hidden="false" customHeight="false" outlineLevel="0" collapsed="false">
      <c r="A484" s="12"/>
      <c r="B484" s="13"/>
      <c r="C484" s="14"/>
      <c r="D484" s="14"/>
      <c r="E484" s="15"/>
      <c r="F484" s="16" t="str">
        <f aca="false">IF(OR(C484="",D484="",E484=""),"",C484*D484*E484)</f>
        <v/>
      </c>
      <c r="G484" s="17" t="str">
        <f aca="false">IF(OR(D484="",E484=""),"",E484*(1+D484/30))</f>
        <v/>
      </c>
      <c r="H484" s="19" t="n">
        <f aca="false">IF(G484="",0,G484)</f>
        <v>0</v>
      </c>
      <c r="I484" s="18" t="str">
        <f aca="false">IF(H484&gt;0,IF(H484&gt;=SUMPRODUCT(MAX(($B$5:$B$2004=B484)*$H$5:$H$2004)),"Rekor",""),"")</f>
        <v/>
      </c>
      <c r="J484" s="19" t="n">
        <f aca="false">IF(A484="",0,IF(COUNTIF(A$5:A484,A484)=1,1,0))</f>
        <v>0</v>
      </c>
    </row>
    <row r="485" customFormat="false" ht="15" hidden="false" customHeight="false" outlineLevel="0" collapsed="false">
      <c r="A485" s="12"/>
      <c r="B485" s="13"/>
      <c r="C485" s="14"/>
      <c r="D485" s="14"/>
      <c r="E485" s="15"/>
      <c r="F485" s="16" t="str">
        <f aca="false">IF(OR(C485="",D485="",E485=""),"",C485*D485*E485)</f>
        <v/>
      </c>
      <c r="G485" s="17" t="str">
        <f aca="false">IF(OR(D485="",E485=""),"",E485*(1+D485/30))</f>
        <v/>
      </c>
      <c r="H485" s="19" t="n">
        <f aca="false">IF(G485="",0,G485)</f>
        <v>0</v>
      </c>
      <c r="I485" s="18" t="str">
        <f aca="false">IF(H485&gt;0,IF(H485&gt;=SUMPRODUCT(MAX(($B$5:$B$2004=B485)*$H$5:$H$2004)),"Rekor",""),"")</f>
        <v/>
      </c>
      <c r="J485" s="19" t="n">
        <f aca="false">IF(A485="",0,IF(COUNTIF(A$5:A485,A485)=1,1,0))</f>
        <v>0</v>
      </c>
    </row>
    <row r="486" customFormat="false" ht="15" hidden="false" customHeight="false" outlineLevel="0" collapsed="false">
      <c r="A486" s="12"/>
      <c r="B486" s="13"/>
      <c r="C486" s="14"/>
      <c r="D486" s="14"/>
      <c r="E486" s="15"/>
      <c r="F486" s="16" t="str">
        <f aca="false">IF(OR(C486="",D486="",E486=""),"",C486*D486*E486)</f>
        <v/>
      </c>
      <c r="G486" s="17" t="str">
        <f aca="false">IF(OR(D486="",E486=""),"",E486*(1+D486/30))</f>
        <v/>
      </c>
      <c r="H486" s="19" t="n">
        <f aca="false">IF(G486="",0,G486)</f>
        <v>0</v>
      </c>
      <c r="I486" s="18" t="str">
        <f aca="false">IF(H486&gt;0,IF(H486&gt;=SUMPRODUCT(MAX(($B$5:$B$2004=B486)*$H$5:$H$2004)),"Rekor",""),"")</f>
        <v/>
      </c>
      <c r="J486" s="19" t="n">
        <f aca="false">IF(A486="",0,IF(COUNTIF(A$5:A486,A486)=1,1,0))</f>
        <v>0</v>
      </c>
    </row>
    <row r="487" customFormat="false" ht="15" hidden="false" customHeight="false" outlineLevel="0" collapsed="false">
      <c r="A487" s="12"/>
      <c r="B487" s="13"/>
      <c r="C487" s="14"/>
      <c r="D487" s="14"/>
      <c r="E487" s="15"/>
      <c r="F487" s="16" t="str">
        <f aca="false">IF(OR(C487="",D487="",E487=""),"",C487*D487*E487)</f>
        <v/>
      </c>
      <c r="G487" s="17" t="str">
        <f aca="false">IF(OR(D487="",E487=""),"",E487*(1+D487/30))</f>
        <v/>
      </c>
      <c r="H487" s="19" t="n">
        <f aca="false">IF(G487="",0,G487)</f>
        <v>0</v>
      </c>
      <c r="I487" s="18" t="str">
        <f aca="false">IF(H487&gt;0,IF(H487&gt;=SUMPRODUCT(MAX(($B$5:$B$2004=B487)*$H$5:$H$2004)),"Rekor",""),"")</f>
        <v/>
      </c>
      <c r="J487" s="19" t="n">
        <f aca="false">IF(A487="",0,IF(COUNTIF(A$5:A487,A487)=1,1,0))</f>
        <v>0</v>
      </c>
    </row>
    <row r="488" customFormat="false" ht="15" hidden="false" customHeight="false" outlineLevel="0" collapsed="false">
      <c r="A488" s="12"/>
      <c r="B488" s="13"/>
      <c r="C488" s="14"/>
      <c r="D488" s="14"/>
      <c r="E488" s="15"/>
      <c r="F488" s="16" t="str">
        <f aca="false">IF(OR(C488="",D488="",E488=""),"",C488*D488*E488)</f>
        <v/>
      </c>
      <c r="G488" s="17" t="str">
        <f aca="false">IF(OR(D488="",E488=""),"",E488*(1+D488/30))</f>
        <v/>
      </c>
      <c r="H488" s="19" t="n">
        <f aca="false">IF(G488="",0,G488)</f>
        <v>0</v>
      </c>
      <c r="I488" s="18" t="str">
        <f aca="false">IF(H488&gt;0,IF(H488&gt;=SUMPRODUCT(MAX(($B$5:$B$2004=B488)*$H$5:$H$2004)),"Rekor",""),"")</f>
        <v/>
      </c>
      <c r="J488" s="19" t="n">
        <f aca="false">IF(A488="",0,IF(COUNTIF(A$5:A488,A488)=1,1,0))</f>
        <v>0</v>
      </c>
    </row>
    <row r="489" customFormat="false" ht="15" hidden="false" customHeight="false" outlineLevel="0" collapsed="false">
      <c r="A489" s="12"/>
      <c r="B489" s="13"/>
      <c r="C489" s="14"/>
      <c r="D489" s="14"/>
      <c r="E489" s="15"/>
      <c r="F489" s="16" t="str">
        <f aca="false">IF(OR(C489="",D489="",E489=""),"",C489*D489*E489)</f>
        <v/>
      </c>
      <c r="G489" s="17" t="str">
        <f aca="false">IF(OR(D489="",E489=""),"",E489*(1+D489/30))</f>
        <v/>
      </c>
      <c r="H489" s="19" t="n">
        <f aca="false">IF(G489="",0,G489)</f>
        <v>0</v>
      </c>
      <c r="I489" s="18" t="str">
        <f aca="false">IF(H489&gt;0,IF(H489&gt;=SUMPRODUCT(MAX(($B$5:$B$2004=B489)*$H$5:$H$2004)),"Rekor",""),"")</f>
        <v/>
      </c>
      <c r="J489" s="19" t="n">
        <f aca="false">IF(A489="",0,IF(COUNTIF(A$5:A489,A489)=1,1,0))</f>
        <v>0</v>
      </c>
    </row>
    <row r="490" customFormat="false" ht="15" hidden="false" customHeight="false" outlineLevel="0" collapsed="false">
      <c r="A490" s="12"/>
      <c r="B490" s="13"/>
      <c r="C490" s="14"/>
      <c r="D490" s="14"/>
      <c r="E490" s="15"/>
      <c r="F490" s="16" t="str">
        <f aca="false">IF(OR(C490="",D490="",E490=""),"",C490*D490*E490)</f>
        <v/>
      </c>
      <c r="G490" s="17" t="str">
        <f aca="false">IF(OR(D490="",E490=""),"",E490*(1+D490/30))</f>
        <v/>
      </c>
      <c r="H490" s="19" t="n">
        <f aca="false">IF(G490="",0,G490)</f>
        <v>0</v>
      </c>
      <c r="I490" s="18" t="str">
        <f aca="false">IF(H490&gt;0,IF(H490&gt;=SUMPRODUCT(MAX(($B$5:$B$2004=B490)*$H$5:$H$2004)),"Rekor",""),"")</f>
        <v/>
      </c>
      <c r="J490" s="19" t="n">
        <f aca="false">IF(A490="",0,IF(COUNTIF(A$5:A490,A490)=1,1,0))</f>
        <v>0</v>
      </c>
    </row>
    <row r="491" customFormat="false" ht="15" hidden="false" customHeight="false" outlineLevel="0" collapsed="false">
      <c r="A491" s="12"/>
      <c r="B491" s="13"/>
      <c r="C491" s="14"/>
      <c r="D491" s="14"/>
      <c r="E491" s="15"/>
      <c r="F491" s="16" t="str">
        <f aca="false">IF(OR(C491="",D491="",E491=""),"",C491*D491*E491)</f>
        <v/>
      </c>
      <c r="G491" s="17" t="str">
        <f aca="false">IF(OR(D491="",E491=""),"",E491*(1+D491/30))</f>
        <v/>
      </c>
      <c r="H491" s="19" t="n">
        <f aca="false">IF(G491="",0,G491)</f>
        <v>0</v>
      </c>
      <c r="I491" s="18" t="str">
        <f aca="false">IF(H491&gt;0,IF(H491&gt;=SUMPRODUCT(MAX(($B$5:$B$2004=B491)*$H$5:$H$2004)),"Rekor",""),"")</f>
        <v/>
      </c>
      <c r="J491" s="19" t="n">
        <f aca="false">IF(A491="",0,IF(COUNTIF(A$5:A491,A491)=1,1,0))</f>
        <v>0</v>
      </c>
    </row>
    <row r="492" customFormat="false" ht="15" hidden="false" customHeight="false" outlineLevel="0" collapsed="false">
      <c r="A492" s="12"/>
      <c r="B492" s="13"/>
      <c r="C492" s="14"/>
      <c r="D492" s="14"/>
      <c r="E492" s="15"/>
      <c r="F492" s="16" t="str">
        <f aca="false">IF(OR(C492="",D492="",E492=""),"",C492*D492*E492)</f>
        <v/>
      </c>
      <c r="G492" s="17" t="str">
        <f aca="false">IF(OR(D492="",E492=""),"",E492*(1+D492/30))</f>
        <v/>
      </c>
      <c r="H492" s="19" t="n">
        <f aca="false">IF(G492="",0,G492)</f>
        <v>0</v>
      </c>
      <c r="I492" s="18" t="str">
        <f aca="false">IF(H492&gt;0,IF(H492&gt;=SUMPRODUCT(MAX(($B$5:$B$2004=B492)*$H$5:$H$2004)),"Rekor",""),"")</f>
        <v/>
      </c>
      <c r="J492" s="19" t="n">
        <f aca="false">IF(A492="",0,IF(COUNTIF(A$5:A492,A492)=1,1,0))</f>
        <v>0</v>
      </c>
    </row>
    <row r="493" customFormat="false" ht="15" hidden="false" customHeight="false" outlineLevel="0" collapsed="false">
      <c r="A493" s="12"/>
      <c r="B493" s="13"/>
      <c r="C493" s="14"/>
      <c r="D493" s="14"/>
      <c r="E493" s="15"/>
      <c r="F493" s="16" t="str">
        <f aca="false">IF(OR(C493="",D493="",E493=""),"",C493*D493*E493)</f>
        <v/>
      </c>
      <c r="G493" s="17" t="str">
        <f aca="false">IF(OR(D493="",E493=""),"",E493*(1+D493/30))</f>
        <v/>
      </c>
      <c r="H493" s="19" t="n">
        <f aca="false">IF(G493="",0,G493)</f>
        <v>0</v>
      </c>
      <c r="I493" s="18" t="str">
        <f aca="false">IF(H493&gt;0,IF(H493&gt;=SUMPRODUCT(MAX(($B$5:$B$2004=B493)*$H$5:$H$2004)),"Rekor",""),"")</f>
        <v/>
      </c>
      <c r="J493" s="19" t="n">
        <f aca="false">IF(A493="",0,IF(COUNTIF(A$5:A493,A493)=1,1,0))</f>
        <v>0</v>
      </c>
    </row>
    <row r="494" customFormat="false" ht="15" hidden="false" customHeight="false" outlineLevel="0" collapsed="false">
      <c r="A494" s="12"/>
      <c r="B494" s="13"/>
      <c r="C494" s="14"/>
      <c r="D494" s="14"/>
      <c r="E494" s="15"/>
      <c r="F494" s="16" t="str">
        <f aca="false">IF(OR(C494="",D494="",E494=""),"",C494*D494*E494)</f>
        <v/>
      </c>
      <c r="G494" s="17" t="str">
        <f aca="false">IF(OR(D494="",E494=""),"",E494*(1+D494/30))</f>
        <v/>
      </c>
      <c r="H494" s="19" t="n">
        <f aca="false">IF(G494="",0,G494)</f>
        <v>0</v>
      </c>
      <c r="I494" s="18" t="str">
        <f aca="false">IF(H494&gt;0,IF(H494&gt;=SUMPRODUCT(MAX(($B$5:$B$2004=B494)*$H$5:$H$2004)),"Rekor",""),"")</f>
        <v/>
      </c>
      <c r="J494" s="19" t="n">
        <f aca="false">IF(A494="",0,IF(COUNTIF(A$5:A494,A494)=1,1,0))</f>
        <v>0</v>
      </c>
    </row>
    <row r="495" customFormat="false" ht="15" hidden="false" customHeight="false" outlineLevel="0" collapsed="false">
      <c r="A495" s="12"/>
      <c r="B495" s="13"/>
      <c r="C495" s="14"/>
      <c r="D495" s="14"/>
      <c r="E495" s="15"/>
      <c r="F495" s="16" t="str">
        <f aca="false">IF(OR(C495="",D495="",E495=""),"",C495*D495*E495)</f>
        <v/>
      </c>
      <c r="G495" s="17" t="str">
        <f aca="false">IF(OR(D495="",E495=""),"",E495*(1+D495/30))</f>
        <v/>
      </c>
      <c r="H495" s="19" t="n">
        <f aca="false">IF(G495="",0,G495)</f>
        <v>0</v>
      </c>
      <c r="I495" s="18" t="str">
        <f aca="false">IF(H495&gt;0,IF(H495&gt;=SUMPRODUCT(MAX(($B$5:$B$2004=B495)*$H$5:$H$2004)),"Rekor",""),"")</f>
        <v/>
      </c>
      <c r="J495" s="19" t="n">
        <f aca="false">IF(A495="",0,IF(COUNTIF(A$5:A495,A495)=1,1,0))</f>
        <v>0</v>
      </c>
    </row>
    <row r="496" customFormat="false" ht="15" hidden="false" customHeight="false" outlineLevel="0" collapsed="false">
      <c r="A496" s="12"/>
      <c r="B496" s="13"/>
      <c r="C496" s="14"/>
      <c r="D496" s="14"/>
      <c r="E496" s="15"/>
      <c r="F496" s="16" t="str">
        <f aca="false">IF(OR(C496="",D496="",E496=""),"",C496*D496*E496)</f>
        <v/>
      </c>
      <c r="G496" s="17" t="str">
        <f aca="false">IF(OR(D496="",E496=""),"",E496*(1+D496/30))</f>
        <v/>
      </c>
      <c r="H496" s="19" t="n">
        <f aca="false">IF(G496="",0,G496)</f>
        <v>0</v>
      </c>
      <c r="I496" s="18" t="str">
        <f aca="false">IF(H496&gt;0,IF(H496&gt;=SUMPRODUCT(MAX(($B$5:$B$2004=B496)*$H$5:$H$2004)),"Rekor",""),"")</f>
        <v/>
      </c>
      <c r="J496" s="19" t="n">
        <f aca="false">IF(A496="",0,IF(COUNTIF(A$5:A496,A496)=1,1,0))</f>
        <v>0</v>
      </c>
    </row>
    <row r="497" customFormat="false" ht="15" hidden="false" customHeight="false" outlineLevel="0" collapsed="false">
      <c r="A497" s="12"/>
      <c r="B497" s="13"/>
      <c r="C497" s="14"/>
      <c r="D497" s="14"/>
      <c r="E497" s="15"/>
      <c r="F497" s="16" t="str">
        <f aca="false">IF(OR(C497="",D497="",E497=""),"",C497*D497*E497)</f>
        <v/>
      </c>
      <c r="G497" s="17" t="str">
        <f aca="false">IF(OR(D497="",E497=""),"",E497*(1+D497/30))</f>
        <v/>
      </c>
      <c r="H497" s="19" t="n">
        <f aca="false">IF(G497="",0,G497)</f>
        <v>0</v>
      </c>
      <c r="I497" s="18" t="str">
        <f aca="false">IF(H497&gt;0,IF(H497&gt;=SUMPRODUCT(MAX(($B$5:$B$2004=B497)*$H$5:$H$2004)),"Rekor",""),"")</f>
        <v/>
      </c>
      <c r="J497" s="19" t="n">
        <f aca="false">IF(A497="",0,IF(COUNTIF(A$5:A497,A497)=1,1,0))</f>
        <v>0</v>
      </c>
    </row>
    <row r="498" customFormat="false" ht="15" hidden="false" customHeight="false" outlineLevel="0" collapsed="false">
      <c r="A498" s="12"/>
      <c r="B498" s="13"/>
      <c r="C498" s="14"/>
      <c r="D498" s="14"/>
      <c r="E498" s="15"/>
      <c r="F498" s="16" t="str">
        <f aca="false">IF(OR(C498="",D498="",E498=""),"",C498*D498*E498)</f>
        <v/>
      </c>
      <c r="G498" s="17" t="str">
        <f aca="false">IF(OR(D498="",E498=""),"",E498*(1+D498/30))</f>
        <v/>
      </c>
      <c r="H498" s="19" t="n">
        <f aca="false">IF(G498="",0,G498)</f>
        <v>0</v>
      </c>
      <c r="I498" s="18" t="str">
        <f aca="false">IF(H498&gt;0,IF(H498&gt;=SUMPRODUCT(MAX(($B$5:$B$2004=B498)*$H$5:$H$2004)),"Rekor",""),"")</f>
        <v/>
      </c>
      <c r="J498" s="19" t="n">
        <f aca="false">IF(A498="",0,IF(COUNTIF(A$5:A498,A498)=1,1,0))</f>
        <v>0</v>
      </c>
    </row>
    <row r="499" customFormat="false" ht="15" hidden="false" customHeight="false" outlineLevel="0" collapsed="false">
      <c r="A499" s="12"/>
      <c r="B499" s="13"/>
      <c r="C499" s="14"/>
      <c r="D499" s="14"/>
      <c r="E499" s="15"/>
      <c r="F499" s="16" t="str">
        <f aca="false">IF(OR(C499="",D499="",E499=""),"",C499*D499*E499)</f>
        <v/>
      </c>
      <c r="G499" s="17" t="str">
        <f aca="false">IF(OR(D499="",E499=""),"",E499*(1+D499/30))</f>
        <v/>
      </c>
      <c r="H499" s="19" t="n">
        <f aca="false">IF(G499="",0,G499)</f>
        <v>0</v>
      </c>
      <c r="I499" s="18" t="str">
        <f aca="false">IF(H499&gt;0,IF(H499&gt;=SUMPRODUCT(MAX(($B$5:$B$2004=B499)*$H$5:$H$2004)),"Rekor",""),"")</f>
        <v/>
      </c>
      <c r="J499" s="19" t="n">
        <f aca="false">IF(A499="",0,IF(COUNTIF(A$5:A499,A499)=1,1,0))</f>
        <v>0</v>
      </c>
    </row>
    <row r="500" customFormat="false" ht="15" hidden="false" customHeight="false" outlineLevel="0" collapsed="false">
      <c r="A500" s="12"/>
      <c r="B500" s="13"/>
      <c r="C500" s="14"/>
      <c r="D500" s="14"/>
      <c r="E500" s="15"/>
      <c r="F500" s="16" t="str">
        <f aca="false">IF(OR(C500="",D500="",E500=""),"",C500*D500*E500)</f>
        <v/>
      </c>
      <c r="G500" s="17" t="str">
        <f aca="false">IF(OR(D500="",E500=""),"",E500*(1+D500/30))</f>
        <v/>
      </c>
      <c r="H500" s="19" t="n">
        <f aca="false">IF(G500="",0,G500)</f>
        <v>0</v>
      </c>
      <c r="I500" s="18" t="str">
        <f aca="false">IF(H500&gt;0,IF(H500&gt;=SUMPRODUCT(MAX(($B$5:$B$2004=B500)*$H$5:$H$2004)),"Rekor",""),"")</f>
        <v/>
      </c>
      <c r="J500" s="19" t="n">
        <f aca="false">IF(A500="",0,IF(COUNTIF(A$5:A500,A500)=1,1,0))</f>
        <v>0</v>
      </c>
    </row>
    <row r="501" customFormat="false" ht="15" hidden="false" customHeight="false" outlineLevel="0" collapsed="false">
      <c r="A501" s="12"/>
      <c r="B501" s="13"/>
      <c r="C501" s="14"/>
      <c r="D501" s="14"/>
      <c r="E501" s="15"/>
      <c r="F501" s="16" t="str">
        <f aca="false">IF(OR(C501="",D501="",E501=""),"",C501*D501*E501)</f>
        <v/>
      </c>
      <c r="G501" s="17" t="str">
        <f aca="false">IF(OR(D501="",E501=""),"",E501*(1+D501/30))</f>
        <v/>
      </c>
      <c r="H501" s="19" t="n">
        <f aca="false">IF(G501="",0,G501)</f>
        <v>0</v>
      </c>
      <c r="I501" s="18" t="str">
        <f aca="false">IF(H501&gt;0,IF(H501&gt;=SUMPRODUCT(MAX(($B$5:$B$2004=B501)*$H$5:$H$2004)),"Rekor",""),"")</f>
        <v/>
      </c>
      <c r="J501" s="19" t="n">
        <f aca="false">IF(A501="",0,IF(COUNTIF(A$5:A501,A501)=1,1,0))</f>
        <v>0</v>
      </c>
    </row>
    <row r="502" customFormat="false" ht="15" hidden="false" customHeight="false" outlineLevel="0" collapsed="false">
      <c r="A502" s="12"/>
      <c r="B502" s="13"/>
      <c r="C502" s="14"/>
      <c r="D502" s="14"/>
      <c r="E502" s="15"/>
      <c r="F502" s="16" t="str">
        <f aca="false">IF(OR(C502="",D502="",E502=""),"",C502*D502*E502)</f>
        <v/>
      </c>
      <c r="G502" s="17" t="str">
        <f aca="false">IF(OR(D502="",E502=""),"",E502*(1+D502/30))</f>
        <v/>
      </c>
      <c r="H502" s="19" t="n">
        <f aca="false">IF(G502="",0,G502)</f>
        <v>0</v>
      </c>
      <c r="I502" s="18" t="str">
        <f aca="false">IF(H502&gt;0,IF(H502&gt;=SUMPRODUCT(MAX(($B$5:$B$2004=B502)*$H$5:$H$2004)),"Rekor",""),"")</f>
        <v/>
      </c>
      <c r="J502" s="19" t="n">
        <f aca="false">IF(A502="",0,IF(COUNTIF(A$5:A502,A502)=1,1,0))</f>
        <v>0</v>
      </c>
    </row>
    <row r="503" customFormat="false" ht="15" hidden="false" customHeight="false" outlineLevel="0" collapsed="false">
      <c r="A503" s="12"/>
      <c r="B503" s="13"/>
      <c r="C503" s="14"/>
      <c r="D503" s="14"/>
      <c r="E503" s="15"/>
      <c r="F503" s="16" t="str">
        <f aca="false">IF(OR(C503="",D503="",E503=""),"",C503*D503*E503)</f>
        <v/>
      </c>
      <c r="G503" s="17" t="str">
        <f aca="false">IF(OR(D503="",E503=""),"",E503*(1+D503/30))</f>
        <v/>
      </c>
      <c r="H503" s="19" t="n">
        <f aca="false">IF(G503="",0,G503)</f>
        <v>0</v>
      </c>
      <c r="I503" s="18" t="str">
        <f aca="false">IF(H503&gt;0,IF(H503&gt;=SUMPRODUCT(MAX(($B$5:$B$2004=B503)*$H$5:$H$2004)),"Rekor",""),"")</f>
        <v/>
      </c>
      <c r="J503" s="19" t="n">
        <f aca="false">IF(A503="",0,IF(COUNTIF(A$5:A503,A503)=1,1,0))</f>
        <v>0</v>
      </c>
    </row>
    <row r="504" customFormat="false" ht="15" hidden="false" customHeight="false" outlineLevel="0" collapsed="false">
      <c r="A504" s="12"/>
      <c r="B504" s="13"/>
      <c r="C504" s="14"/>
      <c r="D504" s="14"/>
      <c r="E504" s="15"/>
      <c r="F504" s="16" t="str">
        <f aca="false">IF(OR(C504="",D504="",E504=""),"",C504*D504*E504)</f>
        <v/>
      </c>
      <c r="G504" s="17" t="str">
        <f aca="false">IF(OR(D504="",E504=""),"",E504*(1+D504/30))</f>
        <v/>
      </c>
      <c r="H504" s="19" t="n">
        <f aca="false">IF(G504="",0,G504)</f>
        <v>0</v>
      </c>
      <c r="I504" s="18" t="str">
        <f aca="false">IF(H504&gt;0,IF(H504&gt;=SUMPRODUCT(MAX(($B$5:$B$2004=B504)*$H$5:$H$2004)),"Rekor",""),"")</f>
        <v/>
      </c>
      <c r="J504" s="19" t="n">
        <f aca="false">IF(A504="",0,IF(COUNTIF(A$5:A504,A504)=1,1,0))</f>
        <v>0</v>
      </c>
    </row>
    <row r="505" customFormat="false" ht="15" hidden="false" customHeight="false" outlineLevel="0" collapsed="false">
      <c r="A505" s="12"/>
      <c r="B505" s="13"/>
      <c r="C505" s="14"/>
      <c r="D505" s="14"/>
      <c r="E505" s="15"/>
      <c r="F505" s="16" t="str">
        <f aca="false">IF(OR(C505="",D505="",E505=""),"",C505*D505*E505)</f>
        <v/>
      </c>
      <c r="G505" s="17" t="str">
        <f aca="false">IF(OR(D505="",E505=""),"",E505*(1+D505/30))</f>
        <v/>
      </c>
      <c r="H505" s="19" t="n">
        <f aca="false">IF(G505="",0,G505)</f>
        <v>0</v>
      </c>
      <c r="I505" s="18" t="str">
        <f aca="false">IF(H505&gt;0,IF(H505&gt;=SUMPRODUCT(MAX(($B$5:$B$2004=B505)*$H$5:$H$2004)),"Rekor",""),"")</f>
        <v/>
      </c>
      <c r="J505" s="19" t="n">
        <f aca="false">IF(A505="",0,IF(COUNTIF(A$5:A505,A505)=1,1,0))</f>
        <v>0</v>
      </c>
    </row>
    <row r="506" customFormat="false" ht="15" hidden="false" customHeight="false" outlineLevel="0" collapsed="false">
      <c r="A506" s="12"/>
      <c r="B506" s="13"/>
      <c r="C506" s="14"/>
      <c r="D506" s="14"/>
      <c r="E506" s="15"/>
      <c r="F506" s="16" t="str">
        <f aca="false">IF(OR(C506="",D506="",E506=""),"",C506*D506*E506)</f>
        <v/>
      </c>
      <c r="G506" s="17" t="str">
        <f aca="false">IF(OR(D506="",E506=""),"",E506*(1+D506/30))</f>
        <v/>
      </c>
      <c r="H506" s="19" t="n">
        <f aca="false">IF(G506="",0,G506)</f>
        <v>0</v>
      </c>
      <c r="I506" s="18" t="str">
        <f aca="false">IF(H506&gt;0,IF(H506&gt;=SUMPRODUCT(MAX(($B$5:$B$2004=B506)*$H$5:$H$2004)),"Rekor",""),"")</f>
        <v/>
      </c>
      <c r="J506" s="19" t="n">
        <f aca="false">IF(A506="",0,IF(COUNTIF(A$5:A506,A506)=1,1,0))</f>
        <v>0</v>
      </c>
    </row>
    <row r="507" customFormat="false" ht="15" hidden="false" customHeight="false" outlineLevel="0" collapsed="false">
      <c r="A507" s="12"/>
      <c r="B507" s="13"/>
      <c r="C507" s="14"/>
      <c r="D507" s="14"/>
      <c r="E507" s="15"/>
      <c r="F507" s="16" t="str">
        <f aca="false">IF(OR(C507="",D507="",E507=""),"",C507*D507*E507)</f>
        <v/>
      </c>
      <c r="G507" s="17" t="str">
        <f aca="false">IF(OR(D507="",E507=""),"",E507*(1+D507/30))</f>
        <v/>
      </c>
      <c r="H507" s="19" t="n">
        <f aca="false">IF(G507="",0,G507)</f>
        <v>0</v>
      </c>
      <c r="I507" s="18" t="str">
        <f aca="false">IF(H507&gt;0,IF(H507&gt;=SUMPRODUCT(MAX(($B$5:$B$2004=B507)*$H$5:$H$2004)),"Rekor",""),"")</f>
        <v/>
      </c>
      <c r="J507" s="19" t="n">
        <f aca="false">IF(A507="",0,IF(COUNTIF(A$5:A507,A507)=1,1,0))</f>
        <v>0</v>
      </c>
    </row>
    <row r="508" customFormat="false" ht="15" hidden="false" customHeight="false" outlineLevel="0" collapsed="false">
      <c r="A508" s="12"/>
      <c r="B508" s="13"/>
      <c r="C508" s="14"/>
      <c r="D508" s="14"/>
      <c r="E508" s="15"/>
      <c r="F508" s="16" t="str">
        <f aca="false">IF(OR(C508="",D508="",E508=""),"",C508*D508*E508)</f>
        <v/>
      </c>
      <c r="G508" s="17" t="str">
        <f aca="false">IF(OR(D508="",E508=""),"",E508*(1+D508/30))</f>
        <v/>
      </c>
      <c r="H508" s="19" t="n">
        <f aca="false">IF(G508="",0,G508)</f>
        <v>0</v>
      </c>
      <c r="I508" s="18" t="str">
        <f aca="false">IF(H508&gt;0,IF(H508&gt;=SUMPRODUCT(MAX(($B$5:$B$2004=B508)*$H$5:$H$2004)),"Rekor",""),"")</f>
        <v/>
      </c>
      <c r="J508" s="19" t="n">
        <f aca="false">IF(A508="",0,IF(COUNTIF(A$5:A508,A508)=1,1,0))</f>
        <v>0</v>
      </c>
    </row>
    <row r="509" customFormat="false" ht="15" hidden="false" customHeight="false" outlineLevel="0" collapsed="false">
      <c r="A509" s="12"/>
      <c r="B509" s="13"/>
      <c r="C509" s="14"/>
      <c r="D509" s="14"/>
      <c r="E509" s="15"/>
      <c r="F509" s="16" t="str">
        <f aca="false">IF(OR(C509="",D509="",E509=""),"",C509*D509*E509)</f>
        <v/>
      </c>
      <c r="G509" s="17" t="str">
        <f aca="false">IF(OR(D509="",E509=""),"",E509*(1+D509/30))</f>
        <v/>
      </c>
      <c r="H509" s="19" t="n">
        <f aca="false">IF(G509="",0,G509)</f>
        <v>0</v>
      </c>
      <c r="I509" s="18" t="str">
        <f aca="false">IF(H509&gt;0,IF(H509&gt;=SUMPRODUCT(MAX(($B$5:$B$2004=B509)*$H$5:$H$2004)),"Rekor",""),"")</f>
        <v/>
      </c>
      <c r="J509" s="19" t="n">
        <f aca="false">IF(A509="",0,IF(COUNTIF(A$5:A509,A509)=1,1,0))</f>
        <v>0</v>
      </c>
    </row>
    <row r="510" customFormat="false" ht="15" hidden="false" customHeight="false" outlineLevel="0" collapsed="false">
      <c r="A510" s="12"/>
      <c r="B510" s="13"/>
      <c r="C510" s="14"/>
      <c r="D510" s="14"/>
      <c r="E510" s="15"/>
      <c r="F510" s="16" t="str">
        <f aca="false">IF(OR(C510="",D510="",E510=""),"",C510*D510*E510)</f>
        <v/>
      </c>
      <c r="G510" s="17" t="str">
        <f aca="false">IF(OR(D510="",E510=""),"",E510*(1+D510/30))</f>
        <v/>
      </c>
      <c r="H510" s="19" t="n">
        <f aca="false">IF(G510="",0,G510)</f>
        <v>0</v>
      </c>
      <c r="I510" s="18" t="str">
        <f aca="false">IF(H510&gt;0,IF(H510&gt;=SUMPRODUCT(MAX(($B$5:$B$2004=B510)*$H$5:$H$2004)),"Rekor",""),"")</f>
        <v/>
      </c>
      <c r="J510" s="19" t="n">
        <f aca="false">IF(A510="",0,IF(COUNTIF(A$5:A510,A510)=1,1,0))</f>
        <v>0</v>
      </c>
    </row>
    <row r="511" customFormat="false" ht="15" hidden="false" customHeight="false" outlineLevel="0" collapsed="false">
      <c r="A511" s="12"/>
      <c r="B511" s="13"/>
      <c r="C511" s="14"/>
      <c r="D511" s="14"/>
      <c r="E511" s="15"/>
      <c r="F511" s="16" t="str">
        <f aca="false">IF(OR(C511="",D511="",E511=""),"",C511*D511*E511)</f>
        <v/>
      </c>
      <c r="G511" s="17" t="str">
        <f aca="false">IF(OR(D511="",E511=""),"",E511*(1+D511/30))</f>
        <v/>
      </c>
      <c r="H511" s="19" t="n">
        <f aca="false">IF(G511="",0,G511)</f>
        <v>0</v>
      </c>
      <c r="I511" s="18" t="str">
        <f aca="false">IF(H511&gt;0,IF(H511&gt;=SUMPRODUCT(MAX(($B$5:$B$2004=B511)*$H$5:$H$2004)),"Rekor",""),"")</f>
        <v/>
      </c>
      <c r="J511" s="19" t="n">
        <f aca="false">IF(A511="",0,IF(COUNTIF(A$5:A511,A511)=1,1,0))</f>
        <v>0</v>
      </c>
    </row>
    <row r="512" customFormat="false" ht="15" hidden="false" customHeight="false" outlineLevel="0" collapsed="false">
      <c r="A512" s="12"/>
      <c r="B512" s="13"/>
      <c r="C512" s="14"/>
      <c r="D512" s="14"/>
      <c r="E512" s="15"/>
      <c r="F512" s="16" t="str">
        <f aca="false">IF(OR(C512="",D512="",E512=""),"",C512*D512*E512)</f>
        <v/>
      </c>
      <c r="G512" s="17" t="str">
        <f aca="false">IF(OR(D512="",E512=""),"",E512*(1+D512/30))</f>
        <v/>
      </c>
      <c r="H512" s="19" t="n">
        <f aca="false">IF(G512="",0,G512)</f>
        <v>0</v>
      </c>
      <c r="I512" s="18" t="str">
        <f aca="false">IF(H512&gt;0,IF(H512&gt;=SUMPRODUCT(MAX(($B$5:$B$2004=B512)*$H$5:$H$2004)),"Rekor",""),"")</f>
        <v/>
      </c>
      <c r="J512" s="19" t="n">
        <f aca="false">IF(A512="",0,IF(COUNTIF(A$5:A512,A512)=1,1,0))</f>
        <v>0</v>
      </c>
    </row>
    <row r="513" customFormat="false" ht="15" hidden="false" customHeight="false" outlineLevel="0" collapsed="false">
      <c r="A513" s="12"/>
      <c r="B513" s="13"/>
      <c r="C513" s="14"/>
      <c r="D513" s="14"/>
      <c r="E513" s="15"/>
      <c r="F513" s="16" t="str">
        <f aca="false">IF(OR(C513="",D513="",E513=""),"",C513*D513*E513)</f>
        <v/>
      </c>
      <c r="G513" s="17" t="str">
        <f aca="false">IF(OR(D513="",E513=""),"",E513*(1+D513/30))</f>
        <v/>
      </c>
      <c r="H513" s="19" t="n">
        <f aca="false">IF(G513="",0,G513)</f>
        <v>0</v>
      </c>
      <c r="I513" s="18" t="str">
        <f aca="false">IF(H513&gt;0,IF(H513&gt;=SUMPRODUCT(MAX(($B$5:$B$2004=B513)*$H$5:$H$2004)),"Rekor",""),"")</f>
        <v/>
      </c>
      <c r="J513" s="19" t="n">
        <f aca="false">IF(A513="",0,IF(COUNTIF(A$5:A513,A513)=1,1,0))</f>
        <v>0</v>
      </c>
    </row>
    <row r="514" customFormat="false" ht="15" hidden="false" customHeight="false" outlineLevel="0" collapsed="false">
      <c r="A514" s="12"/>
      <c r="B514" s="13"/>
      <c r="C514" s="14"/>
      <c r="D514" s="14"/>
      <c r="E514" s="15"/>
      <c r="F514" s="16" t="str">
        <f aca="false">IF(OR(C514="",D514="",E514=""),"",C514*D514*E514)</f>
        <v/>
      </c>
      <c r="G514" s="17" t="str">
        <f aca="false">IF(OR(D514="",E514=""),"",E514*(1+D514/30))</f>
        <v/>
      </c>
      <c r="H514" s="19" t="n">
        <f aca="false">IF(G514="",0,G514)</f>
        <v>0</v>
      </c>
      <c r="I514" s="18" t="str">
        <f aca="false">IF(H514&gt;0,IF(H514&gt;=SUMPRODUCT(MAX(($B$5:$B$2004=B514)*$H$5:$H$2004)),"Rekor",""),"")</f>
        <v/>
      </c>
      <c r="J514" s="19" t="n">
        <f aca="false">IF(A514="",0,IF(COUNTIF(A$5:A514,A514)=1,1,0))</f>
        <v>0</v>
      </c>
    </row>
    <row r="515" customFormat="false" ht="15" hidden="false" customHeight="false" outlineLevel="0" collapsed="false">
      <c r="A515" s="12"/>
      <c r="B515" s="13"/>
      <c r="C515" s="14"/>
      <c r="D515" s="14"/>
      <c r="E515" s="15"/>
      <c r="F515" s="16" t="str">
        <f aca="false">IF(OR(C515="",D515="",E515=""),"",C515*D515*E515)</f>
        <v/>
      </c>
      <c r="G515" s="17" t="str">
        <f aca="false">IF(OR(D515="",E515=""),"",E515*(1+D515/30))</f>
        <v/>
      </c>
      <c r="H515" s="19" t="n">
        <f aca="false">IF(G515="",0,G515)</f>
        <v>0</v>
      </c>
      <c r="I515" s="18" t="str">
        <f aca="false">IF(H515&gt;0,IF(H515&gt;=SUMPRODUCT(MAX(($B$5:$B$2004=B515)*$H$5:$H$2004)),"Rekor",""),"")</f>
        <v/>
      </c>
      <c r="J515" s="19" t="n">
        <f aca="false">IF(A515="",0,IF(COUNTIF(A$5:A515,A515)=1,1,0))</f>
        <v>0</v>
      </c>
    </row>
    <row r="516" customFormat="false" ht="15" hidden="false" customHeight="false" outlineLevel="0" collapsed="false">
      <c r="A516" s="12"/>
      <c r="B516" s="13"/>
      <c r="C516" s="14"/>
      <c r="D516" s="14"/>
      <c r="E516" s="15"/>
      <c r="F516" s="16" t="str">
        <f aca="false">IF(OR(C516="",D516="",E516=""),"",C516*D516*E516)</f>
        <v/>
      </c>
      <c r="G516" s="17" t="str">
        <f aca="false">IF(OR(D516="",E516=""),"",E516*(1+D516/30))</f>
        <v/>
      </c>
      <c r="H516" s="19" t="n">
        <f aca="false">IF(G516="",0,G516)</f>
        <v>0</v>
      </c>
      <c r="I516" s="18" t="str">
        <f aca="false">IF(H516&gt;0,IF(H516&gt;=SUMPRODUCT(MAX(($B$5:$B$2004=B516)*$H$5:$H$2004)),"Rekor",""),"")</f>
        <v/>
      </c>
      <c r="J516" s="19" t="n">
        <f aca="false">IF(A516="",0,IF(COUNTIF(A$5:A516,A516)=1,1,0))</f>
        <v>0</v>
      </c>
    </row>
    <row r="517" customFormat="false" ht="15" hidden="false" customHeight="false" outlineLevel="0" collapsed="false">
      <c r="A517" s="12"/>
      <c r="B517" s="13"/>
      <c r="C517" s="14"/>
      <c r="D517" s="14"/>
      <c r="E517" s="15"/>
      <c r="F517" s="16" t="str">
        <f aca="false">IF(OR(C517="",D517="",E517=""),"",C517*D517*E517)</f>
        <v/>
      </c>
      <c r="G517" s="17" t="str">
        <f aca="false">IF(OR(D517="",E517=""),"",E517*(1+D517/30))</f>
        <v/>
      </c>
      <c r="H517" s="19" t="n">
        <f aca="false">IF(G517="",0,G517)</f>
        <v>0</v>
      </c>
      <c r="I517" s="18" t="str">
        <f aca="false">IF(H517&gt;0,IF(H517&gt;=SUMPRODUCT(MAX(($B$5:$B$2004=B517)*$H$5:$H$2004)),"Rekor",""),"")</f>
        <v/>
      </c>
      <c r="J517" s="19" t="n">
        <f aca="false">IF(A517="",0,IF(COUNTIF(A$5:A517,A517)=1,1,0))</f>
        <v>0</v>
      </c>
    </row>
    <row r="518" customFormat="false" ht="15" hidden="false" customHeight="false" outlineLevel="0" collapsed="false">
      <c r="A518" s="12"/>
      <c r="B518" s="13"/>
      <c r="C518" s="14"/>
      <c r="D518" s="14"/>
      <c r="E518" s="15"/>
      <c r="F518" s="16" t="str">
        <f aca="false">IF(OR(C518="",D518="",E518=""),"",C518*D518*E518)</f>
        <v/>
      </c>
      <c r="G518" s="17" t="str">
        <f aca="false">IF(OR(D518="",E518=""),"",E518*(1+D518/30))</f>
        <v/>
      </c>
      <c r="H518" s="19" t="n">
        <f aca="false">IF(G518="",0,G518)</f>
        <v>0</v>
      </c>
      <c r="I518" s="18" t="str">
        <f aca="false">IF(H518&gt;0,IF(H518&gt;=SUMPRODUCT(MAX(($B$5:$B$2004=B518)*$H$5:$H$2004)),"Rekor",""),"")</f>
        <v/>
      </c>
      <c r="J518" s="19" t="n">
        <f aca="false">IF(A518="",0,IF(COUNTIF(A$5:A518,A518)=1,1,0))</f>
        <v>0</v>
      </c>
    </row>
    <row r="519" customFormat="false" ht="15" hidden="false" customHeight="false" outlineLevel="0" collapsed="false">
      <c r="A519" s="12"/>
      <c r="B519" s="13"/>
      <c r="C519" s="14"/>
      <c r="D519" s="14"/>
      <c r="E519" s="15"/>
      <c r="F519" s="16" t="str">
        <f aca="false">IF(OR(C519="",D519="",E519=""),"",C519*D519*E519)</f>
        <v/>
      </c>
      <c r="G519" s="17" t="str">
        <f aca="false">IF(OR(D519="",E519=""),"",E519*(1+D519/30))</f>
        <v/>
      </c>
      <c r="H519" s="19" t="n">
        <f aca="false">IF(G519="",0,G519)</f>
        <v>0</v>
      </c>
      <c r="I519" s="18" t="str">
        <f aca="false">IF(H519&gt;0,IF(H519&gt;=SUMPRODUCT(MAX(($B$5:$B$2004=B519)*$H$5:$H$2004)),"Rekor",""),"")</f>
        <v/>
      </c>
      <c r="J519" s="19" t="n">
        <f aca="false">IF(A519="",0,IF(COUNTIF(A$5:A519,A519)=1,1,0))</f>
        <v>0</v>
      </c>
    </row>
    <row r="520" customFormat="false" ht="15" hidden="false" customHeight="false" outlineLevel="0" collapsed="false">
      <c r="A520" s="12"/>
      <c r="B520" s="13"/>
      <c r="C520" s="14"/>
      <c r="D520" s="14"/>
      <c r="E520" s="15"/>
      <c r="F520" s="16" t="str">
        <f aca="false">IF(OR(C520="",D520="",E520=""),"",C520*D520*E520)</f>
        <v/>
      </c>
      <c r="G520" s="17" t="str">
        <f aca="false">IF(OR(D520="",E520=""),"",E520*(1+D520/30))</f>
        <v/>
      </c>
      <c r="H520" s="19" t="n">
        <f aca="false">IF(G520="",0,G520)</f>
        <v>0</v>
      </c>
      <c r="I520" s="18" t="str">
        <f aca="false">IF(H520&gt;0,IF(H520&gt;=SUMPRODUCT(MAX(($B$5:$B$2004=B520)*$H$5:$H$2004)),"Rekor",""),"")</f>
        <v/>
      </c>
      <c r="J520" s="19" t="n">
        <f aca="false">IF(A520="",0,IF(COUNTIF(A$5:A520,A520)=1,1,0))</f>
        <v>0</v>
      </c>
    </row>
    <row r="521" customFormat="false" ht="15" hidden="false" customHeight="false" outlineLevel="0" collapsed="false">
      <c r="A521" s="12"/>
      <c r="B521" s="13"/>
      <c r="C521" s="14"/>
      <c r="D521" s="14"/>
      <c r="E521" s="15"/>
      <c r="F521" s="16" t="str">
        <f aca="false">IF(OR(C521="",D521="",E521=""),"",C521*D521*E521)</f>
        <v/>
      </c>
      <c r="G521" s="17" t="str">
        <f aca="false">IF(OR(D521="",E521=""),"",E521*(1+D521/30))</f>
        <v/>
      </c>
      <c r="H521" s="19" t="n">
        <f aca="false">IF(G521="",0,G521)</f>
        <v>0</v>
      </c>
      <c r="I521" s="18" t="str">
        <f aca="false">IF(H521&gt;0,IF(H521&gt;=SUMPRODUCT(MAX(($B$5:$B$2004=B521)*$H$5:$H$2004)),"Rekor",""),"")</f>
        <v/>
      </c>
      <c r="J521" s="19" t="n">
        <f aca="false">IF(A521="",0,IF(COUNTIF(A$5:A521,A521)=1,1,0))</f>
        <v>0</v>
      </c>
    </row>
    <row r="522" customFormat="false" ht="15" hidden="false" customHeight="false" outlineLevel="0" collapsed="false">
      <c r="A522" s="12"/>
      <c r="B522" s="13"/>
      <c r="C522" s="14"/>
      <c r="D522" s="14"/>
      <c r="E522" s="15"/>
      <c r="F522" s="16" t="str">
        <f aca="false">IF(OR(C522="",D522="",E522=""),"",C522*D522*E522)</f>
        <v/>
      </c>
      <c r="G522" s="17" t="str">
        <f aca="false">IF(OR(D522="",E522=""),"",E522*(1+D522/30))</f>
        <v/>
      </c>
      <c r="H522" s="19" t="n">
        <f aca="false">IF(G522="",0,G522)</f>
        <v>0</v>
      </c>
      <c r="I522" s="18" t="str">
        <f aca="false">IF(H522&gt;0,IF(H522&gt;=SUMPRODUCT(MAX(($B$5:$B$2004=B522)*$H$5:$H$2004)),"Rekor",""),"")</f>
        <v/>
      </c>
      <c r="J522" s="19" t="n">
        <f aca="false">IF(A522="",0,IF(COUNTIF(A$5:A522,A522)=1,1,0))</f>
        <v>0</v>
      </c>
    </row>
    <row r="523" customFormat="false" ht="15" hidden="false" customHeight="false" outlineLevel="0" collapsed="false">
      <c r="A523" s="12"/>
      <c r="B523" s="13"/>
      <c r="C523" s="14"/>
      <c r="D523" s="14"/>
      <c r="E523" s="15"/>
      <c r="F523" s="16" t="str">
        <f aca="false">IF(OR(C523="",D523="",E523=""),"",C523*D523*E523)</f>
        <v/>
      </c>
      <c r="G523" s="17" t="str">
        <f aca="false">IF(OR(D523="",E523=""),"",E523*(1+D523/30))</f>
        <v/>
      </c>
      <c r="H523" s="19" t="n">
        <f aca="false">IF(G523="",0,G523)</f>
        <v>0</v>
      </c>
      <c r="I523" s="18" t="str">
        <f aca="false">IF(H523&gt;0,IF(H523&gt;=SUMPRODUCT(MAX(($B$5:$B$2004=B523)*$H$5:$H$2004)),"Rekor",""),"")</f>
        <v/>
      </c>
      <c r="J523" s="19" t="n">
        <f aca="false">IF(A523="",0,IF(COUNTIF(A$5:A523,A523)=1,1,0))</f>
        <v>0</v>
      </c>
    </row>
    <row r="524" customFormat="false" ht="15" hidden="false" customHeight="false" outlineLevel="0" collapsed="false">
      <c r="A524" s="12"/>
      <c r="B524" s="13"/>
      <c r="C524" s="14"/>
      <c r="D524" s="14"/>
      <c r="E524" s="15"/>
      <c r="F524" s="16" t="str">
        <f aca="false">IF(OR(C524="",D524="",E524=""),"",C524*D524*E524)</f>
        <v/>
      </c>
      <c r="G524" s="17" t="str">
        <f aca="false">IF(OR(D524="",E524=""),"",E524*(1+D524/30))</f>
        <v/>
      </c>
      <c r="H524" s="19" t="n">
        <f aca="false">IF(G524="",0,G524)</f>
        <v>0</v>
      </c>
      <c r="I524" s="18" t="str">
        <f aca="false">IF(H524&gt;0,IF(H524&gt;=SUMPRODUCT(MAX(($B$5:$B$2004=B524)*$H$5:$H$2004)),"Rekor",""),"")</f>
        <v/>
      </c>
      <c r="J524" s="19" t="n">
        <f aca="false">IF(A524="",0,IF(COUNTIF(A$5:A524,A524)=1,1,0))</f>
        <v>0</v>
      </c>
    </row>
    <row r="525" customFormat="false" ht="15" hidden="false" customHeight="false" outlineLevel="0" collapsed="false">
      <c r="A525" s="12"/>
      <c r="B525" s="13"/>
      <c r="C525" s="14"/>
      <c r="D525" s="14"/>
      <c r="E525" s="15"/>
      <c r="F525" s="16" t="str">
        <f aca="false">IF(OR(C525="",D525="",E525=""),"",C525*D525*E525)</f>
        <v/>
      </c>
      <c r="G525" s="17" t="str">
        <f aca="false">IF(OR(D525="",E525=""),"",E525*(1+D525/30))</f>
        <v/>
      </c>
      <c r="H525" s="19" t="n">
        <f aca="false">IF(G525="",0,G525)</f>
        <v>0</v>
      </c>
      <c r="I525" s="18" t="str">
        <f aca="false">IF(H525&gt;0,IF(H525&gt;=SUMPRODUCT(MAX(($B$5:$B$2004=B525)*$H$5:$H$2004)),"Rekor",""),"")</f>
        <v/>
      </c>
      <c r="J525" s="19" t="n">
        <f aca="false">IF(A525="",0,IF(COUNTIF(A$5:A525,A525)=1,1,0))</f>
        <v>0</v>
      </c>
    </row>
    <row r="526" customFormat="false" ht="15" hidden="false" customHeight="false" outlineLevel="0" collapsed="false">
      <c r="A526" s="12"/>
      <c r="B526" s="13"/>
      <c r="C526" s="14"/>
      <c r="D526" s="14"/>
      <c r="E526" s="15"/>
      <c r="F526" s="16" t="str">
        <f aca="false">IF(OR(C526="",D526="",E526=""),"",C526*D526*E526)</f>
        <v/>
      </c>
      <c r="G526" s="17" t="str">
        <f aca="false">IF(OR(D526="",E526=""),"",E526*(1+D526/30))</f>
        <v/>
      </c>
      <c r="H526" s="19" t="n">
        <f aca="false">IF(G526="",0,G526)</f>
        <v>0</v>
      </c>
      <c r="I526" s="18" t="str">
        <f aca="false">IF(H526&gt;0,IF(H526&gt;=SUMPRODUCT(MAX(($B$5:$B$2004=B526)*$H$5:$H$2004)),"Rekor",""),"")</f>
        <v/>
      </c>
      <c r="J526" s="19" t="n">
        <f aca="false">IF(A526="",0,IF(COUNTIF(A$5:A526,A526)=1,1,0))</f>
        <v>0</v>
      </c>
    </row>
    <row r="527" customFormat="false" ht="15" hidden="false" customHeight="false" outlineLevel="0" collapsed="false">
      <c r="A527" s="12"/>
      <c r="B527" s="13"/>
      <c r="C527" s="14"/>
      <c r="D527" s="14"/>
      <c r="E527" s="15"/>
      <c r="F527" s="16" t="str">
        <f aca="false">IF(OR(C527="",D527="",E527=""),"",C527*D527*E527)</f>
        <v/>
      </c>
      <c r="G527" s="17" t="str">
        <f aca="false">IF(OR(D527="",E527=""),"",E527*(1+D527/30))</f>
        <v/>
      </c>
      <c r="H527" s="19" t="n">
        <f aca="false">IF(G527="",0,G527)</f>
        <v>0</v>
      </c>
      <c r="I527" s="18" t="str">
        <f aca="false">IF(H527&gt;0,IF(H527&gt;=SUMPRODUCT(MAX(($B$5:$B$2004=B527)*$H$5:$H$2004)),"Rekor",""),"")</f>
        <v/>
      </c>
      <c r="J527" s="19" t="n">
        <f aca="false">IF(A527="",0,IF(COUNTIF(A$5:A527,A527)=1,1,0))</f>
        <v>0</v>
      </c>
    </row>
    <row r="528" customFormat="false" ht="15" hidden="false" customHeight="false" outlineLevel="0" collapsed="false">
      <c r="A528" s="12"/>
      <c r="B528" s="13"/>
      <c r="C528" s="14"/>
      <c r="D528" s="14"/>
      <c r="E528" s="15"/>
      <c r="F528" s="16" t="str">
        <f aca="false">IF(OR(C528="",D528="",E528=""),"",C528*D528*E528)</f>
        <v/>
      </c>
      <c r="G528" s="17" t="str">
        <f aca="false">IF(OR(D528="",E528=""),"",E528*(1+D528/30))</f>
        <v/>
      </c>
      <c r="H528" s="19" t="n">
        <f aca="false">IF(G528="",0,G528)</f>
        <v>0</v>
      </c>
      <c r="I528" s="18" t="str">
        <f aca="false">IF(H528&gt;0,IF(H528&gt;=SUMPRODUCT(MAX(($B$5:$B$2004=B528)*$H$5:$H$2004)),"Rekor",""),"")</f>
        <v/>
      </c>
      <c r="J528" s="19" t="n">
        <f aca="false">IF(A528="",0,IF(COUNTIF(A$5:A528,A528)=1,1,0))</f>
        <v>0</v>
      </c>
    </row>
    <row r="529" customFormat="false" ht="15" hidden="false" customHeight="false" outlineLevel="0" collapsed="false">
      <c r="A529" s="12"/>
      <c r="B529" s="13"/>
      <c r="C529" s="14"/>
      <c r="D529" s="14"/>
      <c r="E529" s="15"/>
      <c r="F529" s="16" t="str">
        <f aca="false">IF(OR(C529="",D529="",E529=""),"",C529*D529*E529)</f>
        <v/>
      </c>
      <c r="G529" s="17" t="str">
        <f aca="false">IF(OR(D529="",E529=""),"",E529*(1+D529/30))</f>
        <v/>
      </c>
      <c r="H529" s="19" t="n">
        <f aca="false">IF(G529="",0,G529)</f>
        <v>0</v>
      </c>
      <c r="I529" s="18" t="str">
        <f aca="false">IF(H529&gt;0,IF(H529&gt;=SUMPRODUCT(MAX(($B$5:$B$2004=B529)*$H$5:$H$2004)),"Rekor",""),"")</f>
        <v/>
      </c>
      <c r="J529" s="19" t="n">
        <f aca="false">IF(A529="",0,IF(COUNTIF(A$5:A529,A529)=1,1,0))</f>
        <v>0</v>
      </c>
    </row>
    <row r="530" customFormat="false" ht="15" hidden="false" customHeight="false" outlineLevel="0" collapsed="false">
      <c r="A530" s="12"/>
      <c r="B530" s="13"/>
      <c r="C530" s="14"/>
      <c r="D530" s="14"/>
      <c r="E530" s="15"/>
      <c r="F530" s="16" t="str">
        <f aca="false">IF(OR(C530="",D530="",E530=""),"",C530*D530*E530)</f>
        <v/>
      </c>
      <c r="G530" s="17" t="str">
        <f aca="false">IF(OR(D530="",E530=""),"",E530*(1+D530/30))</f>
        <v/>
      </c>
      <c r="H530" s="19" t="n">
        <f aca="false">IF(G530="",0,G530)</f>
        <v>0</v>
      </c>
      <c r="I530" s="18" t="str">
        <f aca="false">IF(H530&gt;0,IF(H530&gt;=SUMPRODUCT(MAX(($B$5:$B$2004=B530)*$H$5:$H$2004)),"Rekor",""),"")</f>
        <v/>
      </c>
      <c r="J530" s="19" t="n">
        <f aca="false">IF(A530="",0,IF(COUNTIF(A$5:A530,A530)=1,1,0))</f>
        <v>0</v>
      </c>
    </row>
    <row r="531" customFormat="false" ht="15" hidden="false" customHeight="false" outlineLevel="0" collapsed="false">
      <c r="A531" s="12"/>
      <c r="B531" s="13"/>
      <c r="C531" s="14"/>
      <c r="D531" s="14"/>
      <c r="E531" s="15"/>
      <c r="F531" s="16" t="str">
        <f aca="false">IF(OR(C531="",D531="",E531=""),"",C531*D531*E531)</f>
        <v/>
      </c>
      <c r="G531" s="17" t="str">
        <f aca="false">IF(OR(D531="",E531=""),"",E531*(1+D531/30))</f>
        <v/>
      </c>
      <c r="H531" s="19" t="n">
        <f aca="false">IF(G531="",0,G531)</f>
        <v>0</v>
      </c>
      <c r="I531" s="18" t="str">
        <f aca="false">IF(H531&gt;0,IF(H531&gt;=SUMPRODUCT(MAX(($B$5:$B$2004=B531)*$H$5:$H$2004)),"Rekor",""),"")</f>
        <v/>
      </c>
      <c r="J531" s="19" t="n">
        <f aca="false">IF(A531="",0,IF(COUNTIF(A$5:A531,A531)=1,1,0))</f>
        <v>0</v>
      </c>
    </row>
    <row r="532" customFormat="false" ht="15" hidden="false" customHeight="false" outlineLevel="0" collapsed="false">
      <c r="A532" s="12"/>
      <c r="B532" s="13"/>
      <c r="C532" s="14"/>
      <c r="D532" s="14"/>
      <c r="E532" s="15"/>
      <c r="F532" s="16" t="str">
        <f aca="false">IF(OR(C532="",D532="",E532=""),"",C532*D532*E532)</f>
        <v/>
      </c>
      <c r="G532" s="17" t="str">
        <f aca="false">IF(OR(D532="",E532=""),"",E532*(1+D532/30))</f>
        <v/>
      </c>
      <c r="H532" s="19" t="n">
        <f aca="false">IF(G532="",0,G532)</f>
        <v>0</v>
      </c>
      <c r="I532" s="18" t="str">
        <f aca="false">IF(H532&gt;0,IF(H532&gt;=SUMPRODUCT(MAX(($B$5:$B$2004=B532)*$H$5:$H$2004)),"Rekor",""),"")</f>
        <v/>
      </c>
      <c r="J532" s="19" t="n">
        <f aca="false">IF(A532="",0,IF(COUNTIF(A$5:A532,A532)=1,1,0))</f>
        <v>0</v>
      </c>
    </row>
    <row r="533" customFormat="false" ht="15" hidden="false" customHeight="false" outlineLevel="0" collapsed="false">
      <c r="A533" s="12"/>
      <c r="B533" s="13"/>
      <c r="C533" s="14"/>
      <c r="D533" s="14"/>
      <c r="E533" s="15"/>
      <c r="F533" s="16" t="str">
        <f aca="false">IF(OR(C533="",D533="",E533=""),"",C533*D533*E533)</f>
        <v/>
      </c>
      <c r="G533" s="17" t="str">
        <f aca="false">IF(OR(D533="",E533=""),"",E533*(1+D533/30))</f>
        <v/>
      </c>
      <c r="H533" s="19" t="n">
        <f aca="false">IF(G533="",0,G533)</f>
        <v>0</v>
      </c>
      <c r="I533" s="18" t="str">
        <f aca="false">IF(H533&gt;0,IF(H533&gt;=SUMPRODUCT(MAX(($B$5:$B$2004=B533)*$H$5:$H$2004)),"Rekor",""),"")</f>
        <v/>
      </c>
      <c r="J533" s="19" t="n">
        <f aca="false">IF(A533="",0,IF(COUNTIF(A$5:A533,A533)=1,1,0))</f>
        <v>0</v>
      </c>
    </row>
    <row r="534" customFormat="false" ht="15" hidden="false" customHeight="false" outlineLevel="0" collapsed="false">
      <c r="A534" s="12"/>
      <c r="B534" s="13"/>
      <c r="C534" s="14"/>
      <c r="D534" s="14"/>
      <c r="E534" s="15"/>
      <c r="F534" s="16" t="str">
        <f aca="false">IF(OR(C534="",D534="",E534=""),"",C534*D534*E534)</f>
        <v/>
      </c>
      <c r="G534" s="17" t="str">
        <f aca="false">IF(OR(D534="",E534=""),"",E534*(1+D534/30))</f>
        <v/>
      </c>
      <c r="H534" s="19" t="n">
        <f aca="false">IF(G534="",0,G534)</f>
        <v>0</v>
      </c>
      <c r="I534" s="18" t="str">
        <f aca="false">IF(H534&gt;0,IF(H534&gt;=SUMPRODUCT(MAX(($B$5:$B$2004=B534)*$H$5:$H$2004)),"Rekor",""),"")</f>
        <v/>
      </c>
      <c r="J534" s="19" t="n">
        <f aca="false">IF(A534="",0,IF(COUNTIF(A$5:A534,A534)=1,1,0))</f>
        <v>0</v>
      </c>
    </row>
    <row r="535" customFormat="false" ht="15" hidden="false" customHeight="false" outlineLevel="0" collapsed="false">
      <c r="A535" s="12"/>
      <c r="B535" s="13"/>
      <c r="C535" s="14"/>
      <c r="D535" s="14"/>
      <c r="E535" s="15"/>
      <c r="F535" s="16" t="str">
        <f aca="false">IF(OR(C535="",D535="",E535=""),"",C535*D535*E535)</f>
        <v/>
      </c>
      <c r="G535" s="17" t="str">
        <f aca="false">IF(OR(D535="",E535=""),"",E535*(1+D535/30))</f>
        <v/>
      </c>
      <c r="H535" s="19" t="n">
        <f aca="false">IF(G535="",0,G535)</f>
        <v>0</v>
      </c>
      <c r="I535" s="18" t="str">
        <f aca="false">IF(H535&gt;0,IF(H535&gt;=SUMPRODUCT(MAX(($B$5:$B$2004=B535)*$H$5:$H$2004)),"Rekor",""),"")</f>
        <v/>
      </c>
      <c r="J535" s="19" t="n">
        <f aca="false">IF(A535="",0,IF(COUNTIF(A$5:A535,A535)=1,1,0))</f>
        <v>0</v>
      </c>
    </row>
    <row r="536" customFormat="false" ht="15" hidden="false" customHeight="false" outlineLevel="0" collapsed="false">
      <c r="A536" s="12"/>
      <c r="B536" s="13"/>
      <c r="C536" s="14"/>
      <c r="D536" s="14"/>
      <c r="E536" s="15"/>
      <c r="F536" s="16" t="str">
        <f aca="false">IF(OR(C536="",D536="",E536=""),"",C536*D536*E536)</f>
        <v/>
      </c>
      <c r="G536" s="17" t="str">
        <f aca="false">IF(OR(D536="",E536=""),"",E536*(1+D536/30))</f>
        <v/>
      </c>
      <c r="H536" s="19" t="n">
        <f aca="false">IF(G536="",0,G536)</f>
        <v>0</v>
      </c>
      <c r="I536" s="18" t="str">
        <f aca="false">IF(H536&gt;0,IF(H536&gt;=SUMPRODUCT(MAX(($B$5:$B$2004=B536)*$H$5:$H$2004)),"Rekor",""),"")</f>
        <v/>
      </c>
      <c r="J536" s="19" t="n">
        <f aca="false">IF(A536="",0,IF(COUNTIF(A$5:A536,A536)=1,1,0))</f>
        <v>0</v>
      </c>
    </row>
    <row r="537" customFormat="false" ht="15" hidden="false" customHeight="false" outlineLevel="0" collapsed="false">
      <c r="A537" s="12"/>
      <c r="B537" s="13"/>
      <c r="C537" s="14"/>
      <c r="D537" s="14"/>
      <c r="E537" s="15"/>
      <c r="F537" s="16" t="str">
        <f aca="false">IF(OR(C537="",D537="",E537=""),"",C537*D537*E537)</f>
        <v/>
      </c>
      <c r="G537" s="17" t="str">
        <f aca="false">IF(OR(D537="",E537=""),"",E537*(1+D537/30))</f>
        <v/>
      </c>
      <c r="H537" s="19" t="n">
        <f aca="false">IF(G537="",0,G537)</f>
        <v>0</v>
      </c>
      <c r="I537" s="18" t="str">
        <f aca="false">IF(H537&gt;0,IF(H537&gt;=SUMPRODUCT(MAX(($B$5:$B$2004=B537)*$H$5:$H$2004)),"Rekor",""),"")</f>
        <v/>
      </c>
      <c r="J537" s="19" t="n">
        <f aca="false">IF(A537="",0,IF(COUNTIF(A$5:A537,A537)=1,1,0))</f>
        <v>0</v>
      </c>
    </row>
    <row r="538" customFormat="false" ht="15" hidden="false" customHeight="false" outlineLevel="0" collapsed="false">
      <c r="A538" s="12"/>
      <c r="B538" s="13"/>
      <c r="C538" s="14"/>
      <c r="D538" s="14"/>
      <c r="E538" s="15"/>
      <c r="F538" s="16" t="str">
        <f aca="false">IF(OR(C538="",D538="",E538=""),"",C538*D538*E538)</f>
        <v/>
      </c>
      <c r="G538" s="17" t="str">
        <f aca="false">IF(OR(D538="",E538=""),"",E538*(1+D538/30))</f>
        <v/>
      </c>
      <c r="H538" s="19" t="n">
        <f aca="false">IF(G538="",0,G538)</f>
        <v>0</v>
      </c>
      <c r="I538" s="18" t="str">
        <f aca="false">IF(H538&gt;0,IF(H538&gt;=SUMPRODUCT(MAX(($B$5:$B$2004=B538)*$H$5:$H$2004)),"Rekor",""),"")</f>
        <v/>
      </c>
      <c r="J538" s="19" t="n">
        <f aca="false">IF(A538="",0,IF(COUNTIF(A$5:A538,A538)=1,1,0))</f>
        <v>0</v>
      </c>
    </row>
    <row r="539" customFormat="false" ht="15" hidden="false" customHeight="false" outlineLevel="0" collapsed="false">
      <c r="A539" s="12"/>
      <c r="B539" s="13"/>
      <c r="C539" s="14"/>
      <c r="D539" s="14"/>
      <c r="E539" s="15"/>
      <c r="F539" s="16" t="str">
        <f aca="false">IF(OR(C539="",D539="",E539=""),"",C539*D539*E539)</f>
        <v/>
      </c>
      <c r="G539" s="17" t="str">
        <f aca="false">IF(OR(D539="",E539=""),"",E539*(1+D539/30))</f>
        <v/>
      </c>
      <c r="H539" s="19" t="n">
        <f aca="false">IF(G539="",0,G539)</f>
        <v>0</v>
      </c>
      <c r="I539" s="18" t="str">
        <f aca="false">IF(H539&gt;0,IF(H539&gt;=SUMPRODUCT(MAX(($B$5:$B$2004=B539)*$H$5:$H$2004)),"Rekor",""),"")</f>
        <v/>
      </c>
      <c r="J539" s="19" t="n">
        <f aca="false">IF(A539="",0,IF(COUNTIF(A$5:A539,A539)=1,1,0))</f>
        <v>0</v>
      </c>
    </row>
    <row r="540" customFormat="false" ht="15" hidden="false" customHeight="false" outlineLevel="0" collapsed="false">
      <c r="A540" s="12"/>
      <c r="B540" s="13"/>
      <c r="C540" s="14"/>
      <c r="D540" s="14"/>
      <c r="E540" s="15"/>
      <c r="F540" s="16" t="str">
        <f aca="false">IF(OR(C540="",D540="",E540=""),"",C540*D540*E540)</f>
        <v/>
      </c>
      <c r="G540" s="17" t="str">
        <f aca="false">IF(OR(D540="",E540=""),"",E540*(1+D540/30))</f>
        <v/>
      </c>
      <c r="H540" s="19" t="n">
        <f aca="false">IF(G540="",0,G540)</f>
        <v>0</v>
      </c>
      <c r="I540" s="18" t="str">
        <f aca="false">IF(H540&gt;0,IF(H540&gt;=SUMPRODUCT(MAX(($B$5:$B$2004=B540)*$H$5:$H$2004)),"Rekor",""),"")</f>
        <v/>
      </c>
      <c r="J540" s="19" t="n">
        <f aca="false">IF(A540="",0,IF(COUNTIF(A$5:A540,A540)=1,1,0))</f>
        <v>0</v>
      </c>
    </row>
    <row r="541" customFormat="false" ht="15" hidden="false" customHeight="false" outlineLevel="0" collapsed="false">
      <c r="A541" s="12"/>
      <c r="B541" s="13"/>
      <c r="C541" s="14"/>
      <c r="D541" s="14"/>
      <c r="E541" s="15"/>
      <c r="F541" s="16" t="str">
        <f aca="false">IF(OR(C541="",D541="",E541=""),"",C541*D541*E541)</f>
        <v/>
      </c>
      <c r="G541" s="17" t="str">
        <f aca="false">IF(OR(D541="",E541=""),"",E541*(1+D541/30))</f>
        <v/>
      </c>
      <c r="H541" s="19" t="n">
        <f aca="false">IF(G541="",0,G541)</f>
        <v>0</v>
      </c>
      <c r="I541" s="18" t="str">
        <f aca="false">IF(H541&gt;0,IF(H541&gt;=SUMPRODUCT(MAX(($B$5:$B$2004=B541)*$H$5:$H$2004)),"Rekor",""),"")</f>
        <v/>
      </c>
      <c r="J541" s="19" t="n">
        <f aca="false">IF(A541="",0,IF(COUNTIF(A$5:A541,A541)=1,1,0))</f>
        <v>0</v>
      </c>
    </row>
    <row r="542" customFormat="false" ht="15" hidden="false" customHeight="false" outlineLevel="0" collapsed="false">
      <c r="A542" s="12"/>
      <c r="B542" s="13"/>
      <c r="C542" s="14"/>
      <c r="D542" s="14"/>
      <c r="E542" s="15"/>
      <c r="F542" s="16" t="str">
        <f aca="false">IF(OR(C542="",D542="",E542=""),"",C542*D542*E542)</f>
        <v/>
      </c>
      <c r="G542" s="17" t="str">
        <f aca="false">IF(OR(D542="",E542=""),"",E542*(1+D542/30))</f>
        <v/>
      </c>
      <c r="H542" s="19" t="n">
        <f aca="false">IF(G542="",0,G542)</f>
        <v>0</v>
      </c>
      <c r="I542" s="18" t="str">
        <f aca="false">IF(H542&gt;0,IF(H542&gt;=SUMPRODUCT(MAX(($B$5:$B$2004=B542)*$H$5:$H$2004)),"Rekor",""),"")</f>
        <v/>
      </c>
      <c r="J542" s="19" t="n">
        <f aca="false">IF(A542="",0,IF(COUNTIF(A$5:A542,A542)=1,1,0))</f>
        <v>0</v>
      </c>
    </row>
    <row r="543" customFormat="false" ht="15" hidden="false" customHeight="false" outlineLevel="0" collapsed="false">
      <c r="A543" s="12"/>
      <c r="B543" s="13"/>
      <c r="C543" s="14"/>
      <c r="D543" s="14"/>
      <c r="E543" s="15"/>
      <c r="F543" s="16" t="str">
        <f aca="false">IF(OR(C543="",D543="",E543=""),"",C543*D543*E543)</f>
        <v/>
      </c>
      <c r="G543" s="17" t="str">
        <f aca="false">IF(OR(D543="",E543=""),"",E543*(1+D543/30))</f>
        <v/>
      </c>
      <c r="H543" s="19" t="n">
        <f aca="false">IF(G543="",0,G543)</f>
        <v>0</v>
      </c>
      <c r="I543" s="18" t="str">
        <f aca="false">IF(H543&gt;0,IF(H543&gt;=SUMPRODUCT(MAX(($B$5:$B$2004=B543)*$H$5:$H$2004)),"Rekor",""),"")</f>
        <v/>
      </c>
      <c r="J543" s="19" t="n">
        <f aca="false">IF(A543="",0,IF(COUNTIF(A$5:A543,A543)=1,1,0))</f>
        <v>0</v>
      </c>
    </row>
    <row r="544" customFormat="false" ht="15" hidden="false" customHeight="false" outlineLevel="0" collapsed="false">
      <c r="A544" s="12"/>
      <c r="B544" s="13"/>
      <c r="C544" s="14"/>
      <c r="D544" s="14"/>
      <c r="E544" s="15"/>
      <c r="F544" s="16" t="str">
        <f aca="false">IF(OR(C544="",D544="",E544=""),"",C544*D544*E544)</f>
        <v/>
      </c>
      <c r="G544" s="17" t="str">
        <f aca="false">IF(OR(D544="",E544=""),"",E544*(1+D544/30))</f>
        <v/>
      </c>
      <c r="H544" s="19" t="n">
        <f aca="false">IF(G544="",0,G544)</f>
        <v>0</v>
      </c>
      <c r="I544" s="18" t="str">
        <f aca="false">IF(H544&gt;0,IF(H544&gt;=SUMPRODUCT(MAX(($B$5:$B$2004=B544)*$H$5:$H$2004)),"Rekor",""),"")</f>
        <v/>
      </c>
      <c r="J544" s="19" t="n">
        <f aca="false">IF(A544="",0,IF(COUNTIF(A$5:A544,A544)=1,1,0))</f>
        <v>0</v>
      </c>
    </row>
    <row r="545" customFormat="false" ht="15" hidden="false" customHeight="false" outlineLevel="0" collapsed="false">
      <c r="A545" s="12"/>
      <c r="B545" s="13"/>
      <c r="C545" s="14"/>
      <c r="D545" s="14"/>
      <c r="E545" s="15"/>
      <c r="F545" s="16" t="str">
        <f aca="false">IF(OR(C545="",D545="",E545=""),"",C545*D545*E545)</f>
        <v/>
      </c>
      <c r="G545" s="17" t="str">
        <f aca="false">IF(OR(D545="",E545=""),"",E545*(1+D545/30))</f>
        <v/>
      </c>
      <c r="H545" s="19" t="n">
        <f aca="false">IF(G545="",0,G545)</f>
        <v>0</v>
      </c>
      <c r="I545" s="18" t="str">
        <f aca="false">IF(H545&gt;0,IF(H545&gt;=SUMPRODUCT(MAX(($B$5:$B$2004=B545)*$H$5:$H$2004)),"Rekor",""),"")</f>
        <v/>
      </c>
      <c r="J545" s="19" t="n">
        <f aca="false">IF(A545="",0,IF(COUNTIF(A$5:A545,A545)=1,1,0))</f>
        <v>0</v>
      </c>
    </row>
    <row r="546" customFormat="false" ht="15" hidden="false" customHeight="false" outlineLevel="0" collapsed="false">
      <c r="A546" s="12"/>
      <c r="B546" s="13"/>
      <c r="C546" s="14"/>
      <c r="D546" s="14"/>
      <c r="E546" s="15"/>
      <c r="F546" s="16" t="str">
        <f aca="false">IF(OR(C546="",D546="",E546=""),"",C546*D546*E546)</f>
        <v/>
      </c>
      <c r="G546" s="17" t="str">
        <f aca="false">IF(OR(D546="",E546=""),"",E546*(1+D546/30))</f>
        <v/>
      </c>
      <c r="H546" s="19" t="n">
        <f aca="false">IF(G546="",0,G546)</f>
        <v>0</v>
      </c>
      <c r="I546" s="18" t="str">
        <f aca="false">IF(H546&gt;0,IF(H546&gt;=SUMPRODUCT(MAX(($B$5:$B$2004=B546)*$H$5:$H$2004)),"Rekor",""),"")</f>
        <v/>
      </c>
      <c r="J546" s="19" t="n">
        <f aca="false">IF(A546="",0,IF(COUNTIF(A$5:A546,A546)=1,1,0))</f>
        <v>0</v>
      </c>
    </row>
    <row r="547" customFormat="false" ht="15" hidden="false" customHeight="false" outlineLevel="0" collapsed="false">
      <c r="A547" s="12"/>
      <c r="B547" s="13"/>
      <c r="C547" s="14"/>
      <c r="D547" s="14"/>
      <c r="E547" s="15"/>
      <c r="F547" s="16" t="str">
        <f aca="false">IF(OR(C547="",D547="",E547=""),"",C547*D547*E547)</f>
        <v/>
      </c>
      <c r="G547" s="17" t="str">
        <f aca="false">IF(OR(D547="",E547=""),"",E547*(1+D547/30))</f>
        <v/>
      </c>
      <c r="H547" s="19" t="n">
        <f aca="false">IF(G547="",0,G547)</f>
        <v>0</v>
      </c>
      <c r="I547" s="18" t="str">
        <f aca="false">IF(H547&gt;0,IF(H547&gt;=SUMPRODUCT(MAX(($B$5:$B$2004=B547)*$H$5:$H$2004)),"Rekor",""),"")</f>
        <v/>
      </c>
      <c r="J547" s="19" t="n">
        <f aca="false">IF(A547="",0,IF(COUNTIF(A$5:A547,A547)=1,1,0))</f>
        <v>0</v>
      </c>
    </row>
    <row r="548" customFormat="false" ht="15" hidden="false" customHeight="false" outlineLevel="0" collapsed="false">
      <c r="A548" s="12"/>
      <c r="B548" s="13"/>
      <c r="C548" s="14"/>
      <c r="D548" s="14"/>
      <c r="E548" s="15"/>
      <c r="F548" s="16" t="str">
        <f aca="false">IF(OR(C548="",D548="",E548=""),"",C548*D548*E548)</f>
        <v/>
      </c>
      <c r="G548" s="17" t="str">
        <f aca="false">IF(OR(D548="",E548=""),"",E548*(1+D548/30))</f>
        <v/>
      </c>
      <c r="H548" s="19" t="n">
        <f aca="false">IF(G548="",0,G548)</f>
        <v>0</v>
      </c>
      <c r="I548" s="18" t="str">
        <f aca="false">IF(H548&gt;0,IF(H548&gt;=SUMPRODUCT(MAX(($B$5:$B$2004=B548)*$H$5:$H$2004)),"Rekor",""),"")</f>
        <v/>
      </c>
      <c r="J548" s="19" t="n">
        <f aca="false">IF(A548="",0,IF(COUNTIF(A$5:A548,A548)=1,1,0))</f>
        <v>0</v>
      </c>
    </row>
    <row r="549" customFormat="false" ht="15" hidden="false" customHeight="false" outlineLevel="0" collapsed="false">
      <c r="A549" s="12"/>
      <c r="B549" s="13"/>
      <c r="C549" s="14"/>
      <c r="D549" s="14"/>
      <c r="E549" s="15"/>
      <c r="F549" s="16" t="str">
        <f aca="false">IF(OR(C549="",D549="",E549=""),"",C549*D549*E549)</f>
        <v/>
      </c>
      <c r="G549" s="17" t="str">
        <f aca="false">IF(OR(D549="",E549=""),"",E549*(1+D549/30))</f>
        <v/>
      </c>
      <c r="H549" s="19" t="n">
        <f aca="false">IF(G549="",0,G549)</f>
        <v>0</v>
      </c>
      <c r="I549" s="18" t="str">
        <f aca="false">IF(H549&gt;0,IF(H549&gt;=SUMPRODUCT(MAX(($B$5:$B$2004=B549)*$H$5:$H$2004)),"Rekor",""),"")</f>
        <v/>
      </c>
      <c r="J549" s="19" t="n">
        <f aca="false">IF(A549="",0,IF(COUNTIF(A$5:A549,A549)=1,1,0))</f>
        <v>0</v>
      </c>
    </row>
    <row r="550" customFormat="false" ht="15" hidden="false" customHeight="false" outlineLevel="0" collapsed="false">
      <c r="A550" s="12"/>
      <c r="B550" s="13"/>
      <c r="C550" s="14"/>
      <c r="D550" s="14"/>
      <c r="E550" s="15"/>
      <c r="F550" s="16" t="str">
        <f aca="false">IF(OR(C550="",D550="",E550=""),"",C550*D550*E550)</f>
        <v/>
      </c>
      <c r="G550" s="17" t="str">
        <f aca="false">IF(OR(D550="",E550=""),"",E550*(1+D550/30))</f>
        <v/>
      </c>
      <c r="H550" s="19" t="n">
        <f aca="false">IF(G550="",0,G550)</f>
        <v>0</v>
      </c>
      <c r="I550" s="18" t="str">
        <f aca="false">IF(H550&gt;0,IF(H550&gt;=SUMPRODUCT(MAX(($B$5:$B$2004=B550)*$H$5:$H$2004)),"Rekor",""),"")</f>
        <v/>
      </c>
      <c r="J550" s="19" t="n">
        <f aca="false">IF(A550="",0,IF(COUNTIF(A$5:A550,A550)=1,1,0))</f>
        <v>0</v>
      </c>
    </row>
    <row r="551" customFormat="false" ht="15" hidden="false" customHeight="false" outlineLevel="0" collapsed="false">
      <c r="A551" s="12"/>
      <c r="B551" s="13"/>
      <c r="C551" s="14"/>
      <c r="D551" s="14"/>
      <c r="E551" s="15"/>
      <c r="F551" s="16" t="str">
        <f aca="false">IF(OR(C551="",D551="",E551=""),"",C551*D551*E551)</f>
        <v/>
      </c>
      <c r="G551" s="17" t="str">
        <f aca="false">IF(OR(D551="",E551=""),"",E551*(1+D551/30))</f>
        <v/>
      </c>
      <c r="H551" s="19" t="n">
        <f aca="false">IF(G551="",0,G551)</f>
        <v>0</v>
      </c>
      <c r="I551" s="18" t="str">
        <f aca="false">IF(H551&gt;0,IF(H551&gt;=SUMPRODUCT(MAX(($B$5:$B$2004=B551)*$H$5:$H$2004)),"Rekor",""),"")</f>
        <v/>
      </c>
      <c r="J551" s="19" t="n">
        <f aca="false">IF(A551="",0,IF(COUNTIF(A$5:A551,A551)=1,1,0))</f>
        <v>0</v>
      </c>
    </row>
    <row r="552" customFormat="false" ht="15" hidden="false" customHeight="false" outlineLevel="0" collapsed="false">
      <c r="A552" s="12"/>
      <c r="B552" s="13"/>
      <c r="C552" s="14"/>
      <c r="D552" s="14"/>
      <c r="E552" s="15"/>
      <c r="F552" s="16" t="str">
        <f aca="false">IF(OR(C552="",D552="",E552=""),"",C552*D552*E552)</f>
        <v/>
      </c>
      <c r="G552" s="17" t="str">
        <f aca="false">IF(OR(D552="",E552=""),"",E552*(1+D552/30))</f>
        <v/>
      </c>
      <c r="H552" s="19" t="n">
        <f aca="false">IF(G552="",0,G552)</f>
        <v>0</v>
      </c>
      <c r="I552" s="18" t="str">
        <f aca="false">IF(H552&gt;0,IF(H552&gt;=SUMPRODUCT(MAX(($B$5:$B$2004=B552)*$H$5:$H$2004)),"Rekor",""),"")</f>
        <v/>
      </c>
      <c r="J552" s="19" t="n">
        <f aca="false">IF(A552="",0,IF(COUNTIF(A$5:A552,A552)=1,1,0))</f>
        <v>0</v>
      </c>
    </row>
    <row r="553" customFormat="false" ht="15" hidden="false" customHeight="false" outlineLevel="0" collapsed="false">
      <c r="A553" s="12"/>
      <c r="B553" s="13"/>
      <c r="C553" s="14"/>
      <c r="D553" s="14"/>
      <c r="E553" s="15"/>
      <c r="F553" s="16" t="str">
        <f aca="false">IF(OR(C553="",D553="",E553=""),"",C553*D553*E553)</f>
        <v/>
      </c>
      <c r="G553" s="17" t="str">
        <f aca="false">IF(OR(D553="",E553=""),"",E553*(1+D553/30))</f>
        <v/>
      </c>
      <c r="H553" s="19" t="n">
        <f aca="false">IF(G553="",0,G553)</f>
        <v>0</v>
      </c>
      <c r="I553" s="18" t="str">
        <f aca="false">IF(H553&gt;0,IF(H553&gt;=SUMPRODUCT(MAX(($B$5:$B$2004=B553)*$H$5:$H$2004)),"Rekor",""),"")</f>
        <v/>
      </c>
      <c r="J553" s="19" t="n">
        <f aca="false">IF(A553="",0,IF(COUNTIF(A$5:A553,A553)=1,1,0))</f>
        <v>0</v>
      </c>
    </row>
    <row r="554" customFormat="false" ht="15" hidden="false" customHeight="false" outlineLevel="0" collapsed="false">
      <c r="A554" s="12"/>
      <c r="B554" s="13"/>
      <c r="C554" s="14"/>
      <c r="D554" s="14"/>
      <c r="E554" s="15"/>
      <c r="F554" s="16" t="str">
        <f aca="false">IF(OR(C554="",D554="",E554=""),"",C554*D554*E554)</f>
        <v/>
      </c>
      <c r="G554" s="17" t="str">
        <f aca="false">IF(OR(D554="",E554=""),"",E554*(1+D554/30))</f>
        <v/>
      </c>
      <c r="H554" s="19" t="n">
        <f aca="false">IF(G554="",0,G554)</f>
        <v>0</v>
      </c>
      <c r="I554" s="18" t="str">
        <f aca="false">IF(H554&gt;0,IF(H554&gt;=SUMPRODUCT(MAX(($B$5:$B$2004=B554)*$H$5:$H$2004)),"Rekor",""),"")</f>
        <v/>
      </c>
      <c r="J554" s="19" t="n">
        <f aca="false">IF(A554="",0,IF(COUNTIF(A$5:A554,A554)=1,1,0))</f>
        <v>0</v>
      </c>
    </row>
    <row r="555" customFormat="false" ht="15" hidden="false" customHeight="false" outlineLevel="0" collapsed="false">
      <c r="A555" s="12"/>
      <c r="B555" s="13"/>
      <c r="C555" s="14"/>
      <c r="D555" s="14"/>
      <c r="E555" s="15"/>
      <c r="F555" s="16" t="str">
        <f aca="false">IF(OR(C555="",D555="",E555=""),"",C555*D555*E555)</f>
        <v/>
      </c>
      <c r="G555" s="17" t="str">
        <f aca="false">IF(OR(D555="",E555=""),"",E555*(1+D555/30))</f>
        <v/>
      </c>
      <c r="H555" s="19" t="n">
        <f aca="false">IF(G555="",0,G555)</f>
        <v>0</v>
      </c>
      <c r="I555" s="18" t="str">
        <f aca="false">IF(H555&gt;0,IF(H555&gt;=SUMPRODUCT(MAX(($B$5:$B$2004=B555)*$H$5:$H$2004)),"Rekor",""),"")</f>
        <v/>
      </c>
      <c r="J555" s="19" t="n">
        <f aca="false">IF(A555="",0,IF(COUNTIF(A$5:A555,A555)=1,1,0))</f>
        <v>0</v>
      </c>
    </row>
    <row r="556" customFormat="false" ht="15" hidden="false" customHeight="false" outlineLevel="0" collapsed="false">
      <c r="A556" s="12"/>
      <c r="B556" s="13"/>
      <c r="C556" s="14"/>
      <c r="D556" s="14"/>
      <c r="E556" s="15"/>
      <c r="F556" s="16" t="str">
        <f aca="false">IF(OR(C556="",D556="",E556=""),"",C556*D556*E556)</f>
        <v/>
      </c>
      <c r="G556" s="17" t="str">
        <f aca="false">IF(OR(D556="",E556=""),"",E556*(1+D556/30))</f>
        <v/>
      </c>
      <c r="H556" s="19" t="n">
        <f aca="false">IF(G556="",0,G556)</f>
        <v>0</v>
      </c>
      <c r="I556" s="18" t="str">
        <f aca="false">IF(H556&gt;0,IF(H556&gt;=SUMPRODUCT(MAX(($B$5:$B$2004=B556)*$H$5:$H$2004)),"Rekor",""),"")</f>
        <v/>
      </c>
      <c r="J556" s="19" t="n">
        <f aca="false">IF(A556="",0,IF(COUNTIF(A$5:A556,A556)=1,1,0))</f>
        <v>0</v>
      </c>
    </row>
    <row r="557" customFormat="false" ht="15" hidden="false" customHeight="false" outlineLevel="0" collapsed="false">
      <c r="A557" s="12"/>
      <c r="B557" s="13"/>
      <c r="C557" s="14"/>
      <c r="D557" s="14"/>
      <c r="E557" s="15"/>
      <c r="F557" s="16" t="str">
        <f aca="false">IF(OR(C557="",D557="",E557=""),"",C557*D557*E557)</f>
        <v/>
      </c>
      <c r="G557" s="17" t="str">
        <f aca="false">IF(OR(D557="",E557=""),"",E557*(1+D557/30))</f>
        <v/>
      </c>
      <c r="H557" s="19" t="n">
        <f aca="false">IF(G557="",0,G557)</f>
        <v>0</v>
      </c>
      <c r="I557" s="18" t="str">
        <f aca="false">IF(H557&gt;0,IF(H557&gt;=SUMPRODUCT(MAX(($B$5:$B$2004=B557)*$H$5:$H$2004)),"Rekor",""),"")</f>
        <v/>
      </c>
      <c r="J557" s="19" t="n">
        <f aca="false">IF(A557="",0,IF(COUNTIF(A$5:A557,A557)=1,1,0))</f>
        <v>0</v>
      </c>
    </row>
    <row r="558" customFormat="false" ht="15" hidden="false" customHeight="false" outlineLevel="0" collapsed="false">
      <c r="A558" s="12"/>
      <c r="B558" s="13"/>
      <c r="C558" s="14"/>
      <c r="D558" s="14"/>
      <c r="E558" s="15"/>
      <c r="F558" s="16" t="str">
        <f aca="false">IF(OR(C558="",D558="",E558=""),"",C558*D558*E558)</f>
        <v/>
      </c>
      <c r="G558" s="17" t="str">
        <f aca="false">IF(OR(D558="",E558=""),"",E558*(1+D558/30))</f>
        <v/>
      </c>
      <c r="H558" s="19" t="n">
        <f aca="false">IF(G558="",0,G558)</f>
        <v>0</v>
      </c>
      <c r="I558" s="18" t="str">
        <f aca="false">IF(H558&gt;0,IF(H558&gt;=SUMPRODUCT(MAX(($B$5:$B$2004=B558)*$H$5:$H$2004)),"Rekor",""),"")</f>
        <v/>
      </c>
      <c r="J558" s="19" t="n">
        <f aca="false">IF(A558="",0,IF(COUNTIF(A$5:A558,A558)=1,1,0))</f>
        <v>0</v>
      </c>
    </row>
    <row r="559" customFormat="false" ht="15" hidden="false" customHeight="false" outlineLevel="0" collapsed="false">
      <c r="A559" s="12"/>
      <c r="B559" s="13"/>
      <c r="C559" s="14"/>
      <c r="D559" s="14"/>
      <c r="E559" s="15"/>
      <c r="F559" s="16" t="str">
        <f aca="false">IF(OR(C559="",D559="",E559=""),"",C559*D559*E559)</f>
        <v/>
      </c>
      <c r="G559" s="17" t="str">
        <f aca="false">IF(OR(D559="",E559=""),"",E559*(1+D559/30))</f>
        <v/>
      </c>
      <c r="H559" s="19" t="n">
        <f aca="false">IF(G559="",0,G559)</f>
        <v>0</v>
      </c>
      <c r="I559" s="18" t="str">
        <f aca="false">IF(H559&gt;0,IF(H559&gt;=SUMPRODUCT(MAX(($B$5:$B$2004=B559)*$H$5:$H$2004)),"Rekor",""),"")</f>
        <v/>
      </c>
      <c r="J559" s="19" t="n">
        <f aca="false">IF(A559="",0,IF(COUNTIF(A$5:A559,A559)=1,1,0))</f>
        <v>0</v>
      </c>
    </row>
    <row r="560" customFormat="false" ht="15" hidden="false" customHeight="false" outlineLevel="0" collapsed="false">
      <c r="A560" s="12"/>
      <c r="B560" s="13"/>
      <c r="C560" s="14"/>
      <c r="D560" s="14"/>
      <c r="E560" s="15"/>
      <c r="F560" s="16" t="str">
        <f aca="false">IF(OR(C560="",D560="",E560=""),"",C560*D560*E560)</f>
        <v/>
      </c>
      <c r="G560" s="17" t="str">
        <f aca="false">IF(OR(D560="",E560=""),"",E560*(1+D560/30))</f>
        <v/>
      </c>
      <c r="H560" s="19" t="n">
        <f aca="false">IF(G560="",0,G560)</f>
        <v>0</v>
      </c>
      <c r="I560" s="18" t="str">
        <f aca="false">IF(H560&gt;0,IF(H560&gt;=SUMPRODUCT(MAX(($B$5:$B$2004=B560)*$H$5:$H$2004)),"Rekor",""),"")</f>
        <v/>
      </c>
      <c r="J560" s="19" t="n">
        <f aca="false">IF(A560="",0,IF(COUNTIF(A$5:A560,A560)=1,1,0))</f>
        <v>0</v>
      </c>
    </row>
    <row r="561" customFormat="false" ht="15" hidden="false" customHeight="false" outlineLevel="0" collapsed="false">
      <c r="A561" s="12"/>
      <c r="B561" s="13"/>
      <c r="C561" s="14"/>
      <c r="D561" s="14"/>
      <c r="E561" s="15"/>
      <c r="F561" s="16" t="str">
        <f aca="false">IF(OR(C561="",D561="",E561=""),"",C561*D561*E561)</f>
        <v/>
      </c>
      <c r="G561" s="17" t="str">
        <f aca="false">IF(OR(D561="",E561=""),"",E561*(1+D561/30))</f>
        <v/>
      </c>
      <c r="H561" s="19" t="n">
        <f aca="false">IF(G561="",0,G561)</f>
        <v>0</v>
      </c>
      <c r="I561" s="18" t="str">
        <f aca="false">IF(H561&gt;0,IF(H561&gt;=SUMPRODUCT(MAX(($B$5:$B$2004=B561)*$H$5:$H$2004)),"Rekor",""),"")</f>
        <v/>
      </c>
      <c r="J561" s="19" t="n">
        <f aca="false">IF(A561="",0,IF(COUNTIF(A$5:A561,A561)=1,1,0))</f>
        <v>0</v>
      </c>
    </row>
    <row r="562" customFormat="false" ht="15" hidden="false" customHeight="false" outlineLevel="0" collapsed="false">
      <c r="A562" s="12"/>
      <c r="B562" s="13"/>
      <c r="C562" s="14"/>
      <c r="D562" s="14"/>
      <c r="E562" s="15"/>
      <c r="F562" s="16" t="str">
        <f aca="false">IF(OR(C562="",D562="",E562=""),"",C562*D562*E562)</f>
        <v/>
      </c>
      <c r="G562" s="17" t="str">
        <f aca="false">IF(OR(D562="",E562=""),"",E562*(1+D562/30))</f>
        <v/>
      </c>
      <c r="H562" s="19" t="n">
        <f aca="false">IF(G562="",0,G562)</f>
        <v>0</v>
      </c>
      <c r="I562" s="18" t="str">
        <f aca="false">IF(H562&gt;0,IF(H562&gt;=SUMPRODUCT(MAX(($B$5:$B$2004=B562)*$H$5:$H$2004)),"Rekor",""),"")</f>
        <v/>
      </c>
      <c r="J562" s="19" t="n">
        <f aca="false">IF(A562="",0,IF(COUNTIF(A$5:A562,A562)=1,1,0))</f>
        <v>0</v>
      </c>
    </row>
    <row r="563" customFormat="false" ht="15" hidden="false" customHeight="false" outlineLevel="0" collapsed="false">
      <c r="A563" s="12"/>
      <c r="B563" s="13"/>
      <c r="C563" s="14"/>
      <c r="D563" s="14"/>
      <c r="E563" s="15"/>
      <c r="F563" s="16" t="str">
        <f aca="false">IF(OR(C563="",D563="",E563=""),"",C563*D563*E563)</f>
        <v/>
      </c>
      <c r="G563" s="17" t="str">
        <f aca="false">IF(OR(D563="",E563=""),"",E563*(1+D563/30))</f>
        <v/>
      </c>
      <c r="H563" s="19" t="n">
        <f aca="false">IF(G563="",0,G563)</f>
        <v>0</v>
      </c>
      <c r="I563" s="18" t="str">
        <f aca="false">IF(H563&gt;0,IF(H563&gt;=SUMPRODUCT(MAX(($B$5:$B$2004=B563)*$H$5:$H$2004)),"Rekor",""),"")</f>
        <v/>
      </c>
      <c r="J563" s="19" t="n">
        <f aca="false">IF(A563="",0,IF(COUNTIF(A$5:A563,A563)=1,1,0))</f>
        <v>0</v>
      </c>
    </row>
    <row r="564" customFormat="false" ht="15" hidden="false" customHeight="false" outlineLevel="0" collapsed="false">
      <c r="A564" s="12"/>
      <c r="B564" s="13"/>
      <c r="C564" s="14"/>
      <c r="D564" s="14"/>
      <c r="E564" s="15"/>
      <c r="F564" s="16" t="str">
        <f aca="false">IF(OR(C564="",D564="",E564=""),"",C564*D564*E564)</f>
        <v/>
      </c>
      <c r="G564" s="17" t="str">
        <f aca="false">IF(OR(D564="",E564=""),"",E564*(1+D564/30))</f>
        <v/>
      </c>
      <c r="H564" s="19" t="n">
        <f aca="false">IF(G564="",0,G564)</f>
        <v>0</v>
      </c>
      <c r="I564" s="18" t="str">
        <f aca="false">IF(H564&gt;0,IF(H564&gt;=SUMPRODUCT(MAX(($B$5:$B$2004=B564)*$H$5:$H$2004)),"Rekor",""),"")</f>
        <v/>
      </c>
      <c r="J564" s="19" t="n">
        <f aca="false">IF(A564="",0,IF(COUNTIF(A$5:A564,A564)=1,1,0))</f>
        <v>0</v>
      </c>
    </row>
    <row r="565" customFormat="false" ht="15" hidden="false" customHeight="false" outlineLevel="0" collapsed="false">
      <c r="A565" s="12"/>
      <c r="B565" s="13"/>
      <c r="C565" s="14"/>
      <c r="D565" s="14"/>
      <c r="E565" s="15"/>
      <c r="F565" s="16" t="str">
        <f aca="false">IF(OR(C565="",D565="",E565=""),"",C565*D565*E565)</f>
        <v/>
      </c>
      <c r="G565" s="17" t="str">
        <f aca="false">IF(OR(D565="",E565=""),"",E565*(1+D565/30))</f>
        <v/>
      </c>
      <c r="H565" s="19" t="n">
        <f aca="false">IF(G565="",0,G565)</f>
        <v>0</v>
      </c>
      <c r="I565" s="18" t="str">
        <f aca="false">IF(H565&gt;0,IF(H565&gt;=SUMPRODUCT(MAX(($B$5:$B$2004=B565)*$H$5:$H$2004)),"Rekor",""),"")</f>
        <v/>
      </c>
      <c r="J565" s="19" t="n">
        <f aca="false">IF(A565="",0,IF(COUNTIF(A$5:A565,A565)=1,1,0))</f>
        <v>0</v>
      </c>
    </row>
    <row r="566" customFormat="false" ht="15" hidden="false" customHeight="false" outlineLevel="0" collapsed="false">
      <c r="A566" s="12"/>
      <c r="B566" s="13"/>
      <c r="C566" s="14"/>
      <c r="D566" s="14"/>
      <c r="E566" s="15"/>
      <c r="F566" s="16" t="str">
        <f aca="false">IF(OR(C566="",D566="",E566=""),"",C566*D566*E566)</f>
        <v/>
      </c>
      <c r="G566" s="17" t="str">
        <f aca="false">IF(OR(D566="",E566=""),"",E566*(1+D566/30))</f>
        <v/>
      </c>
      <c r="H566" s="19" t="n">
        <f aca="false">IF(G566="",0,G566)</f>
        <v>0</v>
      </c>
      <c r="I566" s="18" t="str">
        <f aca="false">IF(H566&gt;0,IF(H566&gt;=SUMPRODUCT(MAX(($B$5:$B$2004=B566)*$H$5:$H$2004)),"Rekor",""),"")</f>
        <v/>
      </c>
      <c r="J566" s="19" t="n">
        <f aca="false">IF(A566="",0,IF(COUNTIF(A$5:A566,A566)=1,1,0))</f>
        <v>0</v>
      </c>
    </row>
    <row r="567" customFormat="false" ht="15" hidden="false" customHeight="false" outlineLevel="0" collapsed="false">
      <c r="A567" s="12"/>
      <c r="B567" s="13"/>
      <c r="C567" s="14"/>
      <c r="D567" s="14"/>
      <c r="E567" s="15"/>
      <c r="F567" s="16" t="str">
        <f aca="false">IF(OR(C567="",D567="",E567=""),"",C567*D567*E567)</f>
        <v/>
      </c>
      <c r="G567" s="17" t="str">
        <f aca="false">IF(OR(D567="",E567=""),"",E567*(1+D567/30))</f>
        <v/>
      </c>
      <c r="H567" s="19" t="n">
        <f aca="false">IF(G567="",0,G567)</f>
        <v>0</v>
      </c>
      <c r="I567" s="18" t="str">
        <f aca="false">IF(H567&gt;0,IF(H567&gt;=SUMPRODUCT(MAX(($B$5:$B$2004=B567)*$H$5:$H$2004)),"Rekor",""),"")</f>
        <v/>
      </c>
      <c r="J567" s="19" t="n">
        <f aca="false">IF(A567="",0,IF(COUNTIF(A$5:A567,A567)=1,1,0))</f>
        <v>0</v>
      </c>
    </row>
    <row r="568" customFormat="false" ht="15" hidden="false" customHeight="false" outlineLevel="0" collapsed="false">
      <c r="A568" s="12"/>
      <c r="B568" s="13"/>
      <c r="C568" s="14"/>
      <c r="D568" s="14"/>
      <c r="E568" s="15"/>
      <c r="F568" s="16" t="str">
        <f aca="false">IF(OR(C568="",D568="",E568=""),"",C568*D568*E568)</f>
        <v/>
      </c>
      <c r="G568" s="17" t="str">
        <f aca="false">IF(OR(D568="",E568=""),"",E568*(1+D568/30))</f>
        <v/>
      </c>
      <c r="H568" s="19" t="n">
        <f aca="false">IF(G568="",0,G568)</f>
        <v>0</v>
      </c>
      <c r="I568" s="18" t="str">
        <f aca="false">IF(H568&gt;0,IF(H568&gt;=SUMPRODUCT(MAX(($B$5:$B$2004=B568)*$H$5:$H$2004)),"Rekor",""),"")</f>
        <v/>
      </c>
      <c r="J568" s="19" t="n">
        <f aca="false">IF(A568="",0,IF(COUNTIF(A$5:A568,A568)=1,1,0))</f>
        <v>0</v>
      </c>
    </row>
    <row r="569" customFormat="false" ht="15" hidden="false" customHeight="false" outlineLevel="0" collapsed="false">
      <c r="A569" s="12"/>
      <c r="B569" s="13"/>
      <c r="C569" s="14"/>
      <c r="D569" s="14"/>
      <c r="E569" s="15"/>
      <c r="F569" s="16" t="str">
        <f aca="false">IF(OR(C569="",D569="",E569=""),"",C569*D569*E569)</f>
        <v/>
      </c>
      <c r="G569" s="17" t="str">
        <f aca="false">IF(OR(D569="",E569=""),"",E569*(1+D569/30))</f>
        <v/>
      </c>
      <c r="H569" s="19" t="n">
        <f aca="false">IF(G569="",0,G569)</f>
        <v>0</v>
      </c>
      <c r="I569" s="18" t="str">
        <f aca="false">IF(H569&gt;0,IF(H569&gt;=SUMPRODUCT(MAX(($B$5:$B$2004=B569)*$H$5:$H$2004)),"Rekor",""),"")</f>
        <v/>
      </c>
      <c r="J569" s="19" t="n">
        <f aca="false">IF(A569="",0,IF(COUNTIF(A$5:A569,A569)=1,1,0))</f>
        <v>0</v>
      </c>
    </row>
    <row r="570" customFormat="false" ht="15" hidden="false" customHeight="false" outlineLevel="0" collapsed="false">
      <c r="A570" s="12"/>
      <c r="B570" s="13"/>
      <c r="C570" s="14"/>
      <c r="D570" s="14"/>
      <c r="E570" s="15"/>
      <c r="F570" s="16" t="str">
        <f aca="false">IF(OR(C570="",D570="",E570=""),"",C570*D570*E570)</f>
        <v/>
      </c>
      <c r="G570" s="17" t="str">
        <f aca="false">IF(OR(D570="",E570=""),"",E570*(1+D570/30))</f>
        <v/>
      </c>
      <c r="H570" s="19" t="n">
        <f aca="false">IF(G570="",0,G570)</f>
        <v>0</v>
      </c>
      <c r="I570" s="18" t="str">
        <f aca="false">IF(H570&gt;0,IF(H570&gt;=SUMPRODUCT(MAX(($B$5:$B$2004=B570)*$H$5:$H$2004)),"Rekor",""),"")</f>
        <v/>
      </c>
      <c r="J570" s="19" t="n">
        <f aca="false">IF(A570="",0,IF(COUNTIF(A$5:A570,A570)=1,1,0))</f>
        <v>0</v>
      </c>
    </row>
    <row r="571" customFormat="false" ht="15" hidden="false" customHeight="false" outlineLevel="0" collapsed="false">
      <c r="A571" s="12"/>
      <c r="B571" s="13"/>
      <c r="C571" s="14"/>
      <c r="D571" s="14"/>
      <c r="E571" s="15"/>
      <c r="F571" s="16" t="str">
        <f aca="false">IF(OR(C571="",D571="",E571=""),"",C571*D571*E571)</f>
        <v/>
      </c>
      <c r="G571" s="17" t="str">
        <f aca="false">IF(OR(D571="",E571=""),"",E571*(1+D571/30))</f>
        <v/>
      </c>
      <c r="H571" s="19" t="n">
        <f aca="false">IF(G571="",0,G571)</f>
        <v>0</v>
      </c>
      <c r="I571" s="18" t="str">
        <f aca="false">IF(H571&gt;0,IF(H571&gt;=SUMPRODUCT(MAX(($B$5:$B$2004=B571)*$H$5:$H$2004)),"Rekor",""),"")</f>
        <v/>
      </c>
      <c r="J571" s="19" t="n">
        <f aca="false">IF(A571="",0,IF(COUNTIF(A$5:A571,A571)=1,1,0))</f>
        <v>0</v>
      </c>
    </row>
    <row r="572" customFormat="false" ht="15" hidden="false" customHeight="false" outlineLevel="0" collapsed="false">
      <c r="A572" s="12"/>
      <c r="B572" s="13"/>
      <c r="C572" s="14"/>
      <c r="D572" s="14"/>
      <c r="E572" s="15"/>
      <c r="F572" s="16" t="str">
        <f aca="false">IF(OR(C572="",D572="",E572=""),"",C572*D572*E572)</f>
        <v/>
      </c>
      <c r="G572" s="17" t="str">
        <f aca="false">IF(OR(D572="",E572=""),"",E572*(1+D572/30))</f>
        <v/>
      </c>
      <c r="H572" s="19" t="n">
        <f aca="false">IF(G572="",0,G572)</f>
        <v>0</v>
      </c>
      <c r="I572" s="18" t="str">
        <f aca="false">IF(H572&gt;0,IF(H572&gt;=SUMPRODUCT(MAX(($B$5:$B$2004=B572)*$H$5:$H$2004)),"Rekor",""),"")</f>
        <v/>
      </c>
      <c r="J572" s="19" t="n">
        <f aca="false">IF(A572="",0,IF(COUNTIF(A$5:A572,A572)=1,1,0))</f>
        <v>0</v>
      </c>
    </row>
    <row r="573" customFormat="false" ht="15" hidden="false" customHeight="false" outlineLevel="0" collapsed="false">
      <c r="A573" s="12"/>
      <c r="B573" s="13"/>
      <c r="C573" s="14"/>
      <c r="D573" s="14"/>
      <c r="E573" s="15"/>
      <c r="F573" s="16" t="str">
        <f aca="false">IF(OR(C573="",D573="",E573=""),"",C573*D573*E573)</f>
        <v/>
      </c>
      <c r="G573" s="17" t="str">
        <f aca="false">IF(OR(D573="",E573=""),"",E573*(1+D573/30))</f>
        <v/>
      </c>
      <c r="H573" s="19" t="n">
        <f aca="false">IF(G573="",0,G573)</f>
        <v>0</v>
      </c>
      <c r="I573" s="18" t="str">
        <f aca="false">IF(H573&gt;0,IF(H573&gt;=SUMPRODUCT(MAX(($B$5:$B$2004=B573)*$H$5:$H$2004)),"Rekor",""),"")</f>
        <v/>
      </c>
      <c r="J573" s="19" t="n">
        <f aca="false">IF(A573="",0,IF(COUNTIF(A$5:A573,A573)=1,1,0))</f>
        <v>0</v>
      </c>
    </row>
    <row r="574" customFormat="false" ht="15" hidden="false" customHeight="false" outlineLevel="0" collapsed="false">
      <c r="A574" s="12"/>
      <c r="B574" s="13"/>
      <c r="C574" s="14"/>
      <c r="D574" s="14"/>
      <c r="E574" s="15"/>
      <c r="F574" s="16" t="str">
        <f aca="false">IF(OR(C574="",D574="",E574=""),"",C574*D574*E574)</f>
        <v/>
      </c>
      <c r="G574" s="17" t="str">
        <f aca="false">IF(OR(D574="",E574=""),"",E574*(1+D574/30))</f>
        <v/>
      </c>
      <c r="H574" s="19" t="n">
        <f aca="false">IF(G574="",0,G574)</f>
        <v>0</v>
      </c>
      <c r="I574" s="18" t="str">
        <f aca="false">IF(H574&gt;0,IF(H574&gt;=SUMPRODUCT(MAX(($B$5:$B$2004=B574)*$H$5:$H$2004)),"Rekor",""),"")</f>
        <v/>
      </c>
      <c r="J574" s="19" t="n">
        <f aca="false">IF(A574="",0,IF(COUNTIF(A$5:A574,A574)=1,1,0))</f>
        <v>0</v>
      </c>
    </row>
    <row r="575" customFormat="false" ht="15" hidden="false" customHeight="false" outlineLevel="0" collapsed="false">
      <c r="A575" s="12"/>
      <c r="B575" s="13"/>
      <c r="C575" s="14"/>
      <c r="D575" s="14"/>
      <c r="E575" s="15"/>
      <c r="F575" s="16" t="str">
        <f aca="false">IF(OR(C575="",D575="",E575=""),"",C575*D575*E575)</f>
        <v/>
      </c>
      <c r="G575" s="17" t="str">
        <f aca="false">IF(OR(D575="",E575=""),"",E575*(1+D575/30))</f>
        <v/>
      </c>
      <c r="H575" s="19" t="n">
        <f aca="false">IF(G575="",0,G575)</f>
        <v>0</v>
      </c>
      <c r="I575" s="18" t="str">
        <f aca="false">IF(H575&gt;0,IF(H575&gt;=SUMPRODUCT(MAX(($B$5:$B$2004=B575)*$H$5:$H$2004)),"Rekor",""),"")</f>
        <v/>
      </c>
      <c r="J575" s="19" t="n">
        <f aca="false">IF(A575="",0,IF(COUNTIF(A$5:A575,A575)=1,1,0))</f>
        <v>0</v>
      </c>
    </row>
    <row r="576" customFormat="false" ht="15" hidden="false" customHeight="false" outlineLevel="0" collapsed="false">
      <c r="A576" s="12"/>
      <c r="B576" s="13"/>
      <c r="C576" s="14"/>
      <c r="D576" s="14"/>
      <c r="E576" s="15"/>
      <c r="F576" s="16" t="str">
        <f aca="false">IF(OR(C576="",D576="",E576=""),"",C576*D576*E576)</f>
        <v/>
      </c>
      <c r="G576" s="17" t="str">
        <f aca="false">IF(OR(D576="",E576=""),"",E576*(1+D576/30))</f>
        <v/>
      </c>
      <c r="H576" s="19" t="n">
        <f aca="false">IF(G576="",0,G576)</f>
        <v>0</v>
      </c>
      <c r="I576" s="18" t="str">
        <f aca="false">IF(H576&gt;0,IF(H576&gt;=SUMPRODUCT(MAX(($B$5:$B$2004=B576)*$H$5:$H$2004)),"Rekor",""),"")</f>
        <v/>
      </c>
      <c r="J576" s="19" t="n">
        <f aca="false">IF(A576="",0,IF(COUNTIF(A$5:A576,A576)=1,1,0))</f>
        <v>0</v>
      </c>
    </row>
    <row r="577" customFormat="false" ht="15" hidden="false" customHeight="false" outlineLevel="0" collapsed="false">
      <c r="A577" s="12"/>
      <c r="B577" s="13"/>
      <c r="C577" s="14"/>
      <c r="D577" s="14"/>
      <c r="E577" s="15"/>
      <c r="F577" s="16" t="str">
        <f aca="false">IF(OR(C577="",D577="",E577=""),"",C577*D577*E577)</f>
        <v/>
      </c>
      <c r="G577" s="17" t="str">
        <f aca="false">IF(OR(D577="",E577=""),"",E577*(1+D577/30))</f>
        <v/>
      </c>
      <c r="H577" s="19" t="n">
        <f aca="false">IF(G577="",0,G577)</f>
        <v>0</v>
      </c>
      <c r="I577" s="18" t="str">
        <f aca="false">IF(H577&gt;0,IF(H577&gt;=SUMPRODUCT(MAX(($B$5:$B$2004=B577)*$H$5:$H$2004)),"Rekor",""),"")</f>
        <v/>
      </c>
      <c r="J577" s="19" t="n">
        <f aca="false">IF(A577="",0,IF(COUNTIF(A$5:A577,A577)=1,1,0))</f>
        <v>0</v>
      </c>
    </row>
    <row r="578" customFormat="false" ht="15" hidden="false" customHeight="false" outlineLevel="0" collapsed="false">
      <c r="A578" s="12"/>
      <c r="B578" s="13"/>
      <c r="C578" s="14"/>
      <c r="D578" s="14"/>
      <c r="E578" s="15"/>
      <c r="F578" s="16" t="str">
        <f aca="false">IF(OR(C578="",D578="",E578=""),"",C578*D578*E578)</f>
        <v/>
      </c>
      <c r="G578" s="17" t="str">
        <f aca="false">IF(OR(D578="",E578=""),"",E578*(1+D578/30))</f>
        <v/>
      </c>
      <c r="H578" s="19" t="n">
        <f aca="false">IF(G578="",0,G578)</f>
        <v>0</v>
      </c>
      <c r="I578" s="18" t="str">
        <f aca="false">IF(H578&gt;0,IF(H578&gt;=SUMPRODUCT(MAX(($B$5:$B$2004=B578)*$H$5:$H$2004)),"Rekor",""),"")</f>
        <v/>
      </c>
      <c r="J578" s="19" t="n">
        <f aca="false">IF(A578="",0,IF(COUNTIF(A$5:A578,A578)=1,1,0))</f>
        <v>0</v>
      </c>
    </row>
    <row r="579" customFormat="false" ht="15" hidden="false" customHeight="false" outlineLevel="0" collapsed="false">
      <c r="A579" s="12"/>
      <c r="B579" s="13"/>
      <c r="C579" s="14"/>
      <c r="D579" s="14"/>
      <c r="E579" s="15"/>
      <c r="F579" s="16" t="str">
        <f aca="false">IF(OR(C579="",D579="",E579=""),"",C579*D579*E579)</f>
        <v/>
      </c>
      <c r="G579" s="17" t="str">
        <f aca="false">IF(OR(D579="",E579=""),"",E579*(1+D579/30))</f>
        <v/>
      </c>
      <c r="H579" s="19" t="n">
        <f aca="false">IF(G579="",0,G579)</f>
        <v>0</v>
      </c>
      <c r="I579" s="18" t="str">
        <f aca="false">IF(H579&gt;0,IF(H579&gt;=SUMPRODUCT(MAX(($B$5:$B$2004=B579)*$H$5:$H$2004)),"Rekor",""),"")</f>
        <v/>
      </c>
      <c r="J579" s="19" t="n">
        <f aca="false">IF(A579="",0,IF(COUNTIF(A$5:A579,A579)=1,1,0))</f>
        <v>0</v>
      </c>
    </row>
    <row r="580" customFormat="false" ht="15" hidden="false" customHeight="false" outlineLevel="0" collapsed="false">
      <c r="A580" s="12"/>
      <c r="B580" s="13"/>
      <c r="C580" s="14"/>
      <c r="D580" s="14"/>
      <c r="E580" s="15"/>
      <c r="F580" s="16" t="str">
        <f aca="false">IF(OR(C580="",D580="",E580=""),"",C580*D580*E580)</f>
        <v/>
      </c>
      <c r="G580" s="17" t="str">
        <f aca="false">IF(OR(D580="",E580=""),"",E580*(1+D580/30))</f>
        <v/>
      </c>
      <c r="H580" s="19" t="n">
        <f aca="false">IF(G580="",0,G580)</f>
        <v>0</v>
      </c>
      <c r="I580" s="18" t="str">
        <f aca="false">IF(H580&gt;0,IF(H580&gt;=SUMPRODUCT(MAX(($B$5:$B$2004=B580)*$H$5:$H$2004)),"Rekor",""),"")</f>
        <v/>
      </c>
      <c r="J580" s="19" t="n">
        <f aca="false">IF(A580="",0,IF(COUNTIF(A$5:A580,A580)=1,1,0))</f>
        <v>0</v>
      </c>
    </row>
    <row r="581" customFormat="false" ht="15" hidden="false" customHeight="false" outlineLevel="0" collapsed="false">
      <c r="A581" s="12"/>
      <c r="B581" s="13"/>
      <c r="C581" s="14"/>
      <c r="D581" s="14"/>
      <c r="E581" s="15"/>
      <c r="F581" s="16" t="str">
        <f aca="false">IF(OR(C581="",D581="",E581=""),"",C581*D581*E581)</f>
        <v/>
      </c>
      <c r="G581" s="17" t="str">
        <f aca="false">IF(OR(D581="",E581=""),"",E581*(1+D581/30))</f>
        <v/>
      </c>
      <c r="H581" s="19" t="n">
        <f aca="false">IF(G581="",0,G581)</f>
        <v>0</v>
      </c>
      <c r="I581" s="18" t="str">
        <f aca="false">IF(H581&gt;0,IF(H581&gt;=SUMPRODUCT(MAX(($B$5:$B$2004=B581)*$H$5:$H$2004)),"Rekor",""),"")</f>
        <v/>
      </c>
      <c r="J581" s="19" t="n">
        <f aca="false">IF(A581="",0,IF(COUNTIF(A$5:A581,A581)=1,1,0))</f>
        <v>0</v>
      </c>
    </row>
    <row r="582" customFormat="false" ht="15" hidden="false" customHeight="false" outlineLevel="0" collapsed="false">
      <c r="A582" s="12"/>
      <c r="B582" s="13"/>
      <c r="C582" s="14"/>
      <c r="D582" s="14"/>
      <c r="E582" s="15"/>
      <c r="F582" s="16" t="str">
        <f aca="false">IF(OR(C582="",D582="",E582=""),"",C582*D582*E582)</f>
        <v/>
      </c>
      <c r="G582" s="17" t="str">
        <f aca="false">IF(OR(D582="",E582=""),"",E582*(1+D582/30))</f>
        <v/>
      </c>
      <c r="H582" s="19" t="n">
        <f aca="false">IF(G582="",0,G582)</f>
        <v>0</v>
      </c>
      <c r="I582" s="18" t="str">
        <f aca="false">IF(H582&gt;0,IF(H582&gt;=SUMPRODUCT(MAX(($B$5:$B$2004=B582)*$H$5:$H$2004)),"Rekor",""),"")</f>
        <v/>
      </c>
      <c r="J582" s="19" t="n">
        <f aca="false">IF(A582="",0,IF(COUNTIF(A$5:A582,A582)=1,1,0))</f>
        <v>0</v>
      </c>
    </row>
    <row r="583" customFormat="false" ht="15" hidden="false" customHeight="false" outlineLevel="0" collapsed="false">
      <c r="A583" s="12"/>
      <c r="B583" s="13"/>
      <c r="C583" s="14"/>
      <c r="D583" s="14"/>
      <c r="E583" s="15"/>
      <c r="F583" s="16" t="str">
        <f aca="false">IF(OR(C583="",D583="",E583=""),"",C583*D583*E583)</f>
        <v/>
      </c>
      <c r="G583" s="17" t="str">
        <f aca="false">IF(OR(D583="",E583=""),"",E583*(1+D583/30))</f>
        <v/>
      </c>
      <c r="H583" s="19" t="n">
        <f aca="false">IF(G583="",0,G583)</f>
        <v>0</v>
      </c>
      <c r="I583" s="18" t="str">
        <f aca="false">IF(H583&gt;0,IF(H583&gt;=SUMPRODUCT(MAX(($B$5:$B$2004=B583)*$H$5:$H$2004)),"Rekor",""),"")</f>
        <v/>
      </c>
      <c r="J583" s="19" t="n">
        <f aca="false">IF(A583="",0,IF(COUNTIF(A$5:A583,A583)=1,1,0))</f>
        <v>0</v>
      </c>
    </row>
    <row r="584" customFormat="false" ht="15" hidden="false" customHeight="false" outlineLevel="0" collapsed="false">
      <c r="A584" s="12"/>
      <c r="B584" s="13"/>
      <c r="C584" s="14"/>
      <c r="D584" s="14"/>
      <c r="E584" s="15"/>
      <c r="F584" s="16" t="str">
        <f aca="false">IF(OR(C584="",D584="",E584=""),"",C584*D584*E584)</f>
        <v/>
      </c>
      <c r="G584" s="17" t="str">
        <f aca="false">IF(OR(D584="",E584=""),"",E584*(1+D584/30))</f>
        <v/>
      </c>
      <c r="H584" s="19" t="n">
        <f aca="false">IF(G584="",0,G584)</f>
        <v>0</v>
      </c>
      <c r="I584" s="18" t="str">
        <f aca="false">IF(H584&gt;0,IF(H584&gt;=SUMPRODUCT(MAX(($B$5:$B$2004=B584)*$H$5:$H$2004)),"Rekor",""),"")</f>
        <v/>
      </c>
      <c r="J584" s="19" t="n">
        <f aca="false">IF(A584="",0,IF(COUNTIF(A$5:A584,A584)=1,1,0))</f>
        <v>0</v>
      </c>
    </row>
    <row r="585" customFormat="false" ht="15" hidden="false" customHeight="false" outlineLevel="0" collapsed="false">
      <c r="A585" s="12"/>
      <c r="B585" s="13"/>
      <c r="C585" s="14"/>
      <c r="D585" s="14"/>
      <c r="E585" s="15"/>
      <c r="F585" s="16" t="str">
        <f aca="false">IF(OR(C585="",D585="",E585=""),"",C585*D585*E585)</f>
        <v/>
      </c>
      <c r="G585" s="17" t="str">
        <f aca="false">IF(OR(D585="",E585=""),"",E585*(1+D585/30))</f>
        <v/>
      </c>
      <c r="H585" s="19" t="n">
        <f aca="false">IF(G585="",0,G585)</f>
        <v>0</v>
      </c>
      <c r="I585" s="18" t="str">
        <f aca="false">IF(H585&gt;0,IF(H585&gt;=SUMPRODUCT(MAX(($B$5:$B$2004=B585)*$H$5:$H$2004)),"Rekor",""),"")</f>
        <v/>
      </c>
      <c r="J585" s="19" t="n">
        <f aca="false">IF(A585="",0,IF(COUNTIF(A$5:A585,A585)=1,1,0))</f>
        <v>0</v>
      </c>
    </row>
    <row r="586" customFormat="false" ht="15" hidden="false" customHeight="false" outlineLevel="0" collapsed="false">
      <c r="A586" s="12"/>
      <c r="B586" s="13"/>
      <c r="C586" s="14"/>
      <c r="D586" s="14"/>
      <c r="E586" s="15"/>
      <c r="F586" s="16" t="str">
        <f aca="false">IF(OR(C586="",D586="",E586=""),"",C586*D586*E586)</f>
        <v/>
      </c>
      <c r="G586" s="17" t="str">
        <f aca="false">IF(OR(D586="",E586=""),"",E586*(1+D586/30))</f>
        <v/>
      </c>
      <c r="H586" s="19" t="n">
        <f aca="false">IF(G586="",0,G586)</f>
        <v>0</v>
      </c>
      <c r="I586" s="18" t="str">
        <f aca="false">IF(H586&gt;0,IF(H586&gt;=SUMPRODUCT(MAX(($B$5:$B$2004=B586)*$H$5:$H$2004)),"Rekor",""),"")</f>
        <v/>
      </c>
      <c r="J586" s="19" t="n">
        <f aca="false">IF(A586="",0,IF(COUNTIF(A$5:A586,A586)=1,1,0))</f>
        <v>0</v>
      </c>
    </row>
    <row r="587" customFormat="false" ht="15" hidden="false" customHeight="false" outlineLevel="0" collapsed="false">
      <c r="A587" s="12"/>
      <c r="B587" s="13"/>
      <c r="C587" s="14"/>
      <c r="D587" s="14"/>
      <c r="E587" s="15"/>
      <c r="F587" s="16" t="str">
        <f aca="false">IF(OR(C587="",D587="",E587=""),"",C587*D587*E587)</f>
        <v/>
      </c>
      <c r="G587" s="17" t="str">
        <f aca="false">IF(OR(D587="",E587=""),"",E587*(1+D587/30))</f>
        <v/>
      </c>
      <c r="H587" s="19" t="n">
        <f aca="false">IF(G587="",0,G587)</f>
        <v>0</v>
      </c>
      <c r="I587" s="18" t="str">
        <f aca="false">IF(H587&gt;0,IF(H587&gt;=SUMPRODUCT(MAX(($B$5:$B$2004=B587)*$H$5:$H$2004)),"Rekor",""),"")</f>
        <v/>
      </c>
      <c r="J587" s="19" t="n">
        <f aca="false">IF(A587="",0,IF(COUNTIF(A$5:A587,A587)=1,1,0))</f>
        <v>0</v>
      </c>
    </row>
    <row r="588" customFormat="false" ht="15" hidden="false" customHeight="false" outlineLevel="0" collapsed="false">
      <c r="A588" s="12"/>
      <c r="B588" s="13"/>
      <c r="C588" s="14"/>
      <c r="D588" s="14"/>
      <c r="E588" s="15"/>
      <c r="F588" s="16" t="str">
        <f aca="false">IF(OR(C588="",D588="",E588=""),"",C588*D588*E588)</f>
        <v/>
      </c>
      <c r="G588" s="17" t="str">
        <f aca="false">IF(OR(D588="",E588=""),"",E588*(1+D588/30))</f>
        <v/>
      </c>
      <c r="H588" s="19" t="n">
        <f aca="false">IF(G588="",0,G588)</f>
        <v>0</v>
      </c>
      <c r="I588" s="18" t="str">
        <f aca="false">IF(H588&gt;0,IF(H588&gt;=SUMPRODUCT(MAX(($B$5:$B$2004=B588)*$H$5:$H$2004)),"Rekor",""),"")</f>
        <v/>
      </c>
      <c r="J588" s="19" t="n">
        <f aca="false">IF(A588="",0,IF(COUNTIF(A$5:A588,A588)=1,1,0))</f>
        <v>0</v>
      </c>
    </row>
    <row r="589" customFormat="false" ht="15" hidden="false" customHeight="false" outlineLevel="0" collapsed="false">
      <c r="A589" s="12"/>
      <c r="B589" s="13"/>
      <c r="C589" s="14"/>
      <c r="D589" s="14"/>
      <c r="E589" s="15"/>
      <c r="F589" s="16" t="str">
        <f aca="false">IF(OR(C589="",D589="",E589=""),"",C589*D589*E589)</f>
        <v/>
      </c>
      <c r="G589" s="17" t="str">
        <f aca="false">IF(OR(D589="",E589=""),"",E589*(1+D589/30))</f>
        <v/>
      </c>
      <c r="H589" s="19" t="n">
        <f aca="false">IF(G589="",0,G589)</f>
        <v>0</v>
      </c>
      <c r="I589" s="18" t="str">
        <f aca="false">IF(H589&gt;0,IF(H589&gt;=SUMPRODUCT(MAX(($B$5:$B$2004=B589)*$H$5:$H$2004)),"Rekor",""),"")</f>
        <v/>
      </c>
      <c r="J589" s="19" t="n">
        <f aca="false">IF(A589="",0,IF(COUNTIF(A$5:A589,A589)=1,1,0))</f>
        <v>0</v>
      </c>
    </row>
    <row r="590" customFormat="false" ht="15" hidden="false" customHeight="false" outlineLevel="0" collapsed="false">
      <c r="A590" s="12"/>
      <c r="B590" s="13"/>
      <c r="C590" s="14"/>
      <c r="D590" s="14"/>
      <c r="E590" s="15"/>
      <c r="F590" s="16" t="str">
        <f aca="false">IF(OR(C590="",D590="",E590=""),"",C590*D590*E590)</f>
        <v/>
      </c>
      <c r="G590" s="17" t="str">
        <f aca="false">IF(OR(D590="",E590=""),"",E590*(1+D590/30))</f>
        <v/>
      </c>
      <c r="H590" s="19" t="n">
        <f aca="false">IF(G590="",0,G590)</f>
        <v>0</v>
      </c>
      <c r="I590" s="18" t="str">
        <f aca="false">IF(H590&gt;0,IF(H590&gt;=SUMPRODUCT(MAX(($B$5:$B$2004=B590)*$H$5:$H$2004)),"Rekor",""),"")</f>
        <v/>
      </c>
      <c r="J590" s="19" t="n">
        <f aca="false">IF(A590="",0,IF(COUNTIF(A$5:A590,A590)=1,1,0))</f>
        <v>0</v>
      </c>
    </row>
    <row r="591" customFormat="false" ht="15" hidden="false" customHeight="false" outlineLevel="0" collapsed="false">
      <c r="A591" s="12"/>
      <c r="B591" s="13"/>
      <c r="C591" s="14"/>
      <c r="D591" s="14"/>
      <c r="E591" s="15"/>
      <c r="F591" s="16" t="str">
        <f aca="false">IF(OR(C591="",D591="",E591=""),"",C591*D591*E591)</f>
        <v/>
      </c>
      <c r="G591" s="17" t="str">
        <f aca="false">IF(OR(D591="",E591=""),"",E591*(1+D591/30))</f>
        <v/>
      </c>
      <c r="H591" s="19" t="n">
        <f aca="false">IF(G591="",0,G591)</f>
        <v>0</v>
      </c>
      <c r="I591" s="18" t="str">
        <f aca="false">IF(H591&gt;0,IF(H591&gt;=SUMPRODUCT(MAX(($B$5:$B$2004=B591)*$H$5:$H$2004)),"Rekor",""),"")</f>
        <v/>
      </c>
      <c r="J591" s="19" t="n">
        <f aca="false">IF(A591="",0,IF(COUNTIF(A$5:A591,A591)=1,1,0))</f>
        <v>0</v>
      </c>
    </row>
    <row r="592" customFormat="false" ht="15" hidden="false" customHeight="false" outlineLevel="0" collapsed="false">
      <c r="A592" s="12"/>
      <c r="B592" s="13"/>
      <c r="C592" s="14"/>
      <c r="D592" s="14"/>
      <c r="E592" s="15"/>
      <c r="F592" s="16" t="str">
        <f aca="false">IF(OR(C592="",D592="",E592=""),"",C592*D592*E592)</f>
        <v/>
      </c>
      <c r="G592" s="17" t="str">
        <f aca="false">IF(OR(D592="",E592=""),"",E592*(1+D592/30))</f>
        <v/>
      </c>
      <c r="H592" s="19" t="n">
        <f aca="false">IF(G592="",0,G592)</f>
        <v>0</v>
      </c>
      <c r="I592" s="18" t="str">
        <f aca="false">IF(H592&gt;0,IF(H592&gt;=SUMPRODUCT(MAX(($B$5:$B$2004=B592)*$H$5:$H$2004)),"Rekor",""),"")</f>
        <v/>
      </c>
      <c r="J592" s="19" t="n">
        <f aca="false">IF(A592="",0,IF(COUNTIF(A$5:A592,A592)=1,1,0))</f>
        <v>0</v>
      </c>
    </row>
    <row r="593" customFormat="false" ht="15" hidden="false" customHeight="false" outlineLevel="0" collapsed="false">
      <c r="A593" s="12"/>
      <c r="B593" s="13"/>
      <c r="C593" s="14"/>
      <c r="D593" s="14"/>
      <c r="E593" s="15"/>
      <c r="F593" s="16" t="str">
        <f aca="false">IF(OR(C593="",D593="",E593=""),"",C593*D593*E593)</f>
        <v/>
      </c>
      <c r="G593" s="17" t="str">
        <f aca="false">IF(OR(D593="",E593=""),"",E593*(1+D593/30))</f>
        <v/>
      </c>
      <c r="H593" s="19" t="n">
        <f aca="false">IF(G593="",0,G593)</f>
        <v>0</v>
      </c>
      <c r="I593" s="18" t="str">
        <f aca="false">IF(H593&gt;0,IF(H593&gt;=SUMPRODUCT(MAX(($B$5:$B$2004=B593)*$H$5:$H$2004)),"Rekor",""),"")</f>
        <v/>
      </c>
      <c r="J593" s="19" t="n">
        <f aca="false">IF(A593="",0,IF(COUNTIF(A$5:A593,A593)=1,1,0))</f>
        <v>0</v>
      </c>
    </row>
    <row r="594" customFormat="false" ht="15" hidden="false" customHeight="false" outlineLevel="0" collapsed="false">
      <c r="A594" s="12"/>
      <c r="B594" s="13"/>
      <c r="C594" s="14"/>
      <c r="D594" s="14"/>
      <c r="E594" s="15"/>
      <c r="F594" s="16" t="str">
        <f aca="false">IF(OR(C594="",D594="",E594=""),"",C594*D594*E594)</f>
        <v/>
      </c>
      <c r="G594" s="17" t="str">
        <f aca="false">IF(OR(D594="",E594=""),"",E594*(1+D594/30))</f>
        <v/>
      </c>
      <c r="H594" s="19" t="n">
        <f aca="false">IF(G594="",0,G594)</f>
        <v>0</v>
      </c>
      <c r="I594" s="18" t="str">
        <f aca="false">IF(H594&gt;0,IF(H594&gt;=SUMPRODUCT(MAX(($B$5:$B$2004=B594)*$H$5:$H$2004)),"Rekor",""),"")</f>
        <v/>
      </c>
      <c r="J594" s="19" t="n">
        <f aca="false">IF(A594="",0,IF(COUNTIF(A$5:A594,A594)=1,1,0))</f>
        <v>0</v>
      </c>
    </row>
    <row r="595" customFormat="false" ht="15" hidden="false" customHeight="false" outlineLevel="0" collapsed="false">
      <c r="A595" s="12"/>
      <c r="B595" s="13"/>
      <c r="C595" s="14"/>
      <c r="D595" s="14"/>
      <c r="E595" s="15"/>
      <c r="F595" s="16" t="str">
        <f aca="false">IF(OR(C595="",D595="",E595=""),"",C595*D595*E595)</f>
        <v/>
      </c>
      <c r="G595" s="17" t="str">
        <f aca="false">IF(OR(D595="",E595=""),"",E595*(1+D595/30))</f>
        <v/>
      </c>
      <c r="H595" s="19" t="n">
        <f aca="false">IF(G595="",0,G595)</f>
        <v>0</v>
      </c>
      <c r="I595" s="18" t="str">
        <f aca="false">IF(H595&gt;0,IF(H595&gt;=SUMPRODUCT(MAX(($B$5:$B$2004=B595)*$H$5:$H$2004)),"Rekor",""),"")</f>
        <v/>
      </c>
      <c r="J595" s="19" t="n">
        <f aca="false">IF(A595="",0,IF(COUNTIF(A$5:A595,A595)=1,1,0))</f>
        <v>0</v>
      </c>
    </row>
    <row r="596" customFormat="false" ht="15" hidden="false" customHeight="false" outlineLevel="0" collapsed="false">
      <c r="A596" s="12"/>
      <c r="B596" s="13"/>
      <c r="C596" s="14"/>
      <c r="D596" s="14"/>
      <c r="E596" s="15"/>
      <c r="F596" s="16" t="str">
        <f aca="false">IF(OR(C596="",D596="",E596=""),"",C596*D596*E596)</f>
        <v/>
      </c>
      <c r="G596" s="17" t="str">
        <f aca="false">IF(OR(D596="",E596=""),"",E596*(1+D596/30))</f>
        <v/>
      </c>
      <c r="H596" s="19" t="n">
        <f aca="false">IF(G596="",0,G596)</f>
        <v>0</v>
      </c>
      <c r="I596" s="18" t="str">
        <f aca="false">IF(H596&gt;0,IF(H596&gt;=SUMPRODUCT(MAX(($B$5:$B$2004=B596)*$H$5:$H$2004)),"Rekor",""),"")</f>
        <v/>
      </c>
      <c r="J596" s="19" t="n">
        <f aca="false">IF(A596="",0,IF(COUNTIF(A$5:A596,A596)=1,1,0))</f>
        <v>0</v>
      </c>
    </row>
    <row r="597" customFormat="false" ht="15" hidden="false" customHeight="false" outlineLevel="0" collapsed="false">
      <c r="A597" s="12"/>
      <c r="B597" s="13"/>
      <c r="C597" s="14"/>
      <c r="D597" s="14"/>
      <c r="E597" s="15"/>
      <c r="F597" s="16" t="str">
        <f aca="false">IF(OR(C597="",D597="",E597=""),"",C597*D597*E597)</f>
        <v/>
      </c>
      <c r="G597" s="17" t="str">
        <f aca="false">IF(OR(D597="",E597=""),"",E597*(1+D597/30))</f>
        <v/>
      </c>
      <c r="H597" s="19" t="n">
        <f aca="false">IF(G597="",0,G597)</f>
        <v>0</v>
      </c>
      <c r="I597" s="18" t="str">
        <f aca="false">IF(H597&gt;0,IF(H597&gt;=SUMPRODUCT(MAX(($B$5:$B$2004=B597)*$H$5:$H$2004)),"Rekor",""),"")</f>
        <v/>
      </c>
      <c r="J597" s="19" t="n">
        <f aca="false">IF(A597="",0,IF(COUNTIF(A$5:A597,A597)=1,1,0))</f>
        <v>0</v>
      </c>
    </row>
    <row r="598" customFormat="false" ht="15" hidden="false" customHeight="false" outlineLevel="0" collapsed="false">
      <c r="A598" s="12"/>
      <c r="B598" s="13"/>
      <c r="C598" s="14"/>
      <c r="D598" s="14"/>
      <c r="E598" s="15"/>
      <c r="F598" s="16" t="str">
        <f aca="false">IF(OR(C598="",D598="",E598=""),"",C598*D598*E598)</f>
        <v/>
      </c>
      <c r="G598" s="17" t="str">
        <f aca="false">IF(OR(D598="",E598=""),"",E598*(1+D598/30))</f>
        <v/>
      </c>
      <c r="H598" s="19" t="n">
        <f aca="false">IF(G598="",0,G598)</f>
        <v>0</v>
      </c>
      <c r="I598" s="18" t="str">
        <f aca="false">IF(H598&gt;0,IF(H598&gt;=SUMPRODUCT(MAX(($B$5:$B$2004=B598)*$H$5:$H$2004)),"Rekor",""),"")</f>
        <v/>
      </c>
      <c r="J598" s="19" t="n">
        <f aca="false">IF(A598="",0,IF(COUNTIF(A$5:A598,A598)=1,1,0))</f>
        <v>0</v>
      </c>
    </row>
    <row r="599" customFormat="false" ht="15" hidden="false" customHeight="false" outlineLevel="0" collapsed="false">
      <c r="A599" s="12"/>
      <c r="B599" s="13"/>
      <c r="C599" s="14"/>
      <c r="D599" s="14"/>
      <c r="E599" s="15"/>
      <c r="F599" s="16" t="str">
        <f aca="false">IF(OR(C599="",D599="",E599=""),"",C599*D599*E599)</f>
        <v/>
      </c>
      <c r="G599" s="17" t="str">
        <f aca="false">IF(OR(D599="",E599=""),"",E599*(1+D599/30))</f>
        <v/>
      </c>
      <c r="H599" s="19" t="n">
        <f aca="false">IF(G599="",0,G599)</f>
        <v>0</v>
      </c>
      <c r="I599" s="18" t="str">
        <f aca="false">IF(H599&gt;0,IF(H599&gt;=SUMPRODUCT(MAX(($B$5:$B$2004=B599)*$H$5:$H$2004)),"Rekor",""),"")</f>
        <v/>
      </c>
      <c r="J599" s="19" t="n">
        <f aca="false">IF(A599="",0,IF(COUNTIF(A$5:A599,A599)=1,1,0))</f>
        <v>0</v>
      </c>
    </row>
    <row r="600" customFormat="false" ht="15" hidden="false" customHeight="false" outlineLevel="0" collapsed="false">
      <c r="A600" s="12"/>
      <c r="B600" s="13"/>
      <c r="C600" s="14"/>
      <c r="D600" s="14"/>
      <c r="E600" s="15"/>
      <c r="F600" s="16" t="str">
        <f aca="false">IF(OR(C600="",D600="",E600=""),"",C600*D600*E600)</f>
        <v/>
      </c>
      <c r="G600" s="17" t="str">
        <f aca="false">IF(OR(D600="",E600=""),"",E600*(1+D600/30))</f>
        <v/>
      </c>
      <c r="H600" s="19" t="n">
        <f aca="false">IF(G600="",0,G600)</f>
        <v>0</v>
      </c>
      <c r="I600" s="18" t="str">
        <f aca="false">IF(H600&gt;0,IF(H600&gt;=SUMPRODUCT(MAX(($B$5:$B$2004=B600)*$H$5:$H$2004)),"Rekor",""),"")</f>
        <v/>
      </c>
      <c r="J600" s="19" t="n">
        <f aca="false">IF(A600="",0,IF(COUNTIF(A$5:A600,A600)=1,1,0))</f>
        <v>0</v>
      </c>
    </row>
    <row r="601" customFormat="false" ht="15" hidden="false" customHeight="false" outlineLevel="0" collapsed="false">
      <c r="A601" s="12"/>
      <c r="B601" s="13"/>
      <c r="C601" s="14"/>
      <c r="D601" s="14"/>
      <c r="E601" s="15"/>
      <c r="F601" s="16" t="str">
        <f aca="false">IF(OR(C601="",D601="",E601=""),"",C601*D601*E601)</f>
        <v/>
      </c>
      <c r="G601" s="17" t="str">
        <f aca="false">IF(OR(D601="",E601=""),"",E601*(1+D601/30))</f>
        <v/>
      </c>
      <c r="H601" s="19" t="n">
        <f aca="false">IF(G601="",0,G601)</f>
        <v>0</v>
      </c>
      <c r="I601" s="18" t="str">
        <f aca="false">IF(H601&gt;0,IF(H601&gt;=SUMPRODUCT(MAX(($B$5:$B$2004=B601)*$H$5:$H$2004)),"Rekor",""),"")</f>
        <v/>
      </c>
      <c r="J601" s="19" t="n">
        <f aca="false">IF(A601="",0,IF(COUNTIF(A$5:A601,A601)=1,1,0))</f>
        <v>0</v>
      </c>
    </row>
    <row r="602" customFormat="false" ht="15" hidden="false" customHeight="false" outlineLevel="0" collapsed="false">
      <c r="A602" s="12"/>
      <c r="B602" s="13"/>
      <c r="C602" s="14"/>
      <c r="D602" s="14"/>
      <c r="E602" s="15"/>
      <c r="F602" s="16" t="str">
        <f aca="false">IF(OR(C602="",D602="",E602=""),"",C602*D602*E602)</f>
        <v/>
      </c>
      <c r="G602" s="17" t="str">
        <f aca="false">IF(OR(D602="",E602=""),"",E602*(1+D602/30))</f>
        <v/>
      </c>
      <c r="H602" s="19" t="n">
        <f aca="false">IF(G602="",0,G602)</f>
        <v>0</v>
      </c>
      <c r="I602" s="18" t="str">
        <f aca="false">IF(H602&gt;0,IF(H602&gt;=SUMPRODUCT(MAX(($B$5:$B$2004=B602)*$H$5:$H$2004)),"Rekor",""),"")</f>
        <v/>
      </c>
      <c r="J602" s="19" t="n">
        <f aca="false">IF(A602="",0,IF(COUNTIF(A$5:A602,A602)=1,1,0))</f>
        <v>0</v>
      </c>
    </row>
    <row r="603" customFormat="false" ht="15" hidden="false" customHeight="false" outlineLevel="0" collapsed="false">
      <c r="A603" s="12"/>
      <c r="B603" s="13"/>
      <c r="C603" s="14"/>
      <c r="D603" s="14"/>
      <c r="E603" s="15"/>
      <c r="F603" s="16" t="str">
        <f aca="false">IF(OR(C603="",D603="",E603=""),"",C603*D603*E603)</f>
        <v/>
      </c>
      <c r="G603" s="17" t="str">
        <f aca="false">IF(OR(D603="",E603=""),"",E603*(1+D603/30))</f>
        <v/>
      </c>
      <c r="H603" s="19" t="n">
        <f aca="false">IF(G603="",0,G603)</f>
        <v>0</v>
      </c>
      <c r="I603" s="18" t="str">
        <f aca="false">IF(H603&gt;0,IF(H603&gt;=SUMPRODUCT(MAX(($B$5:$B$2004=B603)*$H$5:$H$2004)),"Rekor",""),"")</f>
        <v/>
      </c>
      <c r="J603" s="19" t="n">
        <f aca="false">IF(A603="",0,IF(COUNTIF(A$5:A603,A603)=1,1,0))</f>
        <v>0</v>
      </c>
    </row>
    <row r="604" customFormat="false" ht="15" hidden="false" customHeight="false" outlineLevel="0" collapsed="false">
      <c r="A604" s="12"/>
      <c r="B604" s="13"/>
      <c r="C604" s="14"/>
      <c r="D604" s="14"/>
      <c r="E604" s="15"/>
      <c r="F604" s="16" t="str">
        <f aca="false">IF(OR(C604="",D604="",E604=""),"",C604*D604*E604)</f>
        <v/>
      </c>
      <c r="G604" s="17" t="str">
        <f aca="false">IF(OR(D604="",E604=""),"",E604*(1+D604/30))</f>
        <v/>
      </c>
      <c r="H604" s="19" t="n">
        <f aca="false">IF(G604="",0,G604)</f>
        <v>0</v>
      </c>
      <c r="I604" s="18" t="str">
        <f aca="false">IF(H604&gt;0,IF(H604&gt;=SUMPRODUCT(MAX(($B$5:$B$2004=B604)*$H$5:$H$2004)),"Rekor",""),"")</f>
        <v/>
      </c>
      <c r="J604" s="19" t="n">
        <f aca="false">IF(A604="",0,IF(COUNTIF(A$5:A604,A604)=1,1,0))</f>
        <v>0</v>
      </c>
    </row>
    <row r="605" customFormat="false" ht="15" hidden="false" customHeight="false" outlineLevel="0" collapsed="false">
      <c r="A605" s="12"/>
      <c r="B605" s="13"/>
      <c r="C605" s="14"/>
      <c r="D605" s="14"/>
      <c r="E605" s="15"/>
      <c r="F605" s="16" t="str">
        <f aca="false">IF(OR(C605="",D605="",E605=""),"",C605*D605*E605)</f>
        <v/>
      </c>
      <c r="G605" s="17" t="str">
        <f aca="false">IF(OR(D605="",E605=""),"",E605*(1+D605/30))</f>
        <v/>
      </c>
      <c r="H605" s="19" t="n">
        <f aca="false">IF(G605="",0,G605)</f>
        <v>0</v>
      </c>
      <c r="I605" s="18" t="str">
        <f aca="false">IF(H605&gt;0,IF(H605&gt;=SUMPRODUCT(MAX(($B$5:$B$2004=B605)*$H$5:$H$2004)),"Rekor",""),"")</f>
        <v/>
      </c>
      <c r="J605" s="19" t="n">
        <f aca="false">IF(A605="",0,IF(COUNTIF(A$5:A605,A605)=1,1,0))</f>
        <v>0</v>
      </c>
    </row>
    <row r="606" customFormat="false" ht="15" hidden="false" customHeight="false" outlineLevel="0" collapsed="false">
      <c r="A606" s="12"/>
      <c r="B606" s="13"/>
      <c r="C606" s="14"/>
      <c r="D606" s="14"/>
      <c r="E606" s="15"/>
      <c r="F606" s="16" t="str">
        <f aca="false">IF(OR(C606="",D606="",E606=""),"",C606*D606*E606)</f>
        <v/>
      </c>
      <c r="G606" s="17" t="str">
        <f aca="false">IF(OR(D606="",E606=""),"",E606*(1+D606/30))</f>
        <v/>
      </c>
      <c r="H606" s="19" t="n">
        <f aca="false">IF(G606="",0,G606)</f>
        <v>0</v>
      </c>
      <c r="I606" s="18" t="str">
        <f aca="false">IF(H606&gt;0,IF(H606&gt;=SUMPRODUCT(MAX(($B$5:$B$2004=B606)*$H$5:$H$2004)),"Rekor",""),"")</f>
        <v/>
      </c>
      <c r="J606" s="19" t="n">
        <f aca="false">IF(A606="",0,IF(COUNTIF(A$5:A606,A606)=1,1,0))</f>
        <v>0</v>
      </c>
    </row>
    <row r="607" customFormat="false" ht="15" hidden="false" customHeight="false" outlineLevel="0" collapsed="false">
      <c r="A607" s="12"/>
      <c r="B607" s="13"/>
      <c r="C607" s="14"/>
      <c r="D607" s="14"/>
      <c r="E607" s="15"/>
      <c r="F607" s="16" t="str">
        <f aca="false">IF(OR(C607="",D607="",E607=""),"",C607*D607*E607)</f>
        <v/>
      </c>
      <c r="G607" s="17" t="str">
        <f aca="false">IF(OR(D607="",E607=""),"",E607*(1+D607/30))</f>
        <v/>
      </c>
      <c r="H607" s="19" t="n">
        <f aca="false">IF(G607="",0,G607)</f>
        <v>0</v>
      </c>
      <c r="I607" s="18" t="str">
        <f aca="false">IF(H607&gt;0,IF(H607&gt;=SUMPRODUCT(MAX(($B$5:$B$2004=B607)*$H$5:$H$2004)),"Rekor",""),"")</f>
        <v/>
      </c>
      <c r="J607" s="19" t="n">
        <f aca="false">IF(A607="",0,IF(COUNTIF(A$5:A607,A607)=1,1,0))</f>
        <v>0</v>
      </c>
    </row>
    <row r="608" customFormat="false" ht="15" hidden="false" customHeight="false" outlineLevel="0" collapsed="false">
      <c r="A608" s="12"/>
      <c r="B608" s="13"/>
      <c r="C608" s="14"/>
      <c r="D608" s="14"/>
      <c r="E608" s="15"/>
      <c r="F608" s="16" t="str">
        <f aca="false">IF(OR(C608="",D608="",E608=""),"",C608*D608*E608)</f>
        <v/>
      </c>
      <c r="G608" s="17" t="str">
        <f aca="false">IF(OR(D608="",E608=""),"",E608*(1+D608/30))</f>
        <v/>
      </c>
      <c r="H608" s="19" t="n">
        <f aca="false">IF(G608="",0,G608)</f>
        <v>0</v>
      </c>
      <c r="I608" s="18" t="str">
        <f aca="false">IF(H608&gt;0,IF(H608&gt;=SUMPRODUCT(MAX(($B$5:$B$2004=B608)*$H$5:$H$2004)),"Rekor",""),"")</f>
        <v/>
      </c>
      <c r="J608" s="19" t="n">
        <f aca="false">IF(A608="",0,IF(COUNTIF(A$5:A608,A608)=1,1,0))</f>
        <v>0</v>
      </c>
    </row>
    <row r="609" customFormat="false" ht="15" hidden="false" customHeight="false" outlineLevel="0" collapsed="false">
      <c r="A609" s="12"/>
      <c r="B609" s="13"/>
      <c r="C609" s="14"/>
      <c r="D609" s="14"/>
      <c r="E609" s="15"/>
      <c r="F609" s="16" t="str">
        <f aca="false">IF(OR(C609="",D609="",E609=""),"",C609*D609*E609)</f>
        <v/>
      </c>
      <c r="G609" s="17" t="str">
        <f aca="false">IF(OR(D609="",E609=""),"",E609*(1+D609/30))</f>
        <v/>
      </c>
      <c r="H609" s="19" t="n">
        <f aca="false">IF(G609="",0,G609)</f>
        <v>0</v>
      </c>
      <c r="I609" s="18" t="str">
        <f aca="false">IF(H609&gt;0,IF(H609&gt;=SUMPRODUCT(MAX(($B$5:$B$2004=B609)*$H$5:$H$2004)),"Rekor",""),"")</f>
        <v/>
      </c>
      <c r="J609" s="19" t="n">
        <f aca="false">IF(A609="",0,IF(COUNTIF(A$5:A609,A609)=1,1,0))</f>
        <v>0</v>
      </c>
    </row>
    <row r="610" customFormat="false" ht="15" hidden="false" customHeight="false" outlineLevel="0" collapsed="false">
      <c r="A610" s="12"/>
      <c r="B610" s="13"/>
      <c r="C610" s="14"/>
      <c r="D610" s="14"/>
      <c r="E610" s="15"/>
      <c r="F610" s="16" t="str">
        <f aca="false">IF(OR(C610="",D610="",E610=""),"",C610*D610*E610)</f>
        <v/>
      </c>
      <c r="G610" s="17" t="str">
        <f aca="false">IF(OR(D610="",E610=""),"",E610*(1+D610/30))</f>
        <v/>
      </c>
      <c r="H610" s="19" t="n">
        <f aca="false">IF(G610="",0,G610)</f>
        <v>0</v>
      </c>
      <c r="I610" s="18" t="str">
        <f aca="false">IF(H610&gt;0,IF(H610&gt;=SUMPRODUCT(MAX(($B$5:$B$2004=B610)*$H$5:$H$2004)),"Rekor",""),"")</f>
        <v/>
      </c>
      <c r="J610" s="19" t="n">
        <f aca="false">IF(A610="",0,IF(COUNTIF(A$5:A610,A610)=1,1,0))</f>
        <v>0</v>
      </c>
    </row>
    <row r="611" customFormat="false" ht="15" hidden="false" customHeight="false" outlineLevel="0" collapsed="false">
      <c r="A611" s="12"/>
      <c r="B611" s="13"/>
      <c r="C611" s="14"/>
      <c r="D611" s="14"/>
      <c r="E611" s="15"/>
      <c r="F611" s="16" t="str">
        <f aca="false">IF(OR(C611="",D611="",E611=""),"",C611*D611*E611)</f>
        <v/>
      </c>
      <c r="G611" s="17" t="str">
        <f aca="false">IF(OR(D611="",E611=""),"",E611*(1+D611/30))</f>
        <v/>
      </c>
      <c r="H611" s="19" t="n">
        <f aca="false">IF(G611="",0,G611)</f>
        <v>0</v>
      </c>
      <c r="I611" s="18" t="str">
        <f aca="false">IF(H611&gt;0,IF(H611&gt;=SUMPRODUCT(MAX(($B$5:$B$2004=B611)*$H$5:$H$2004)),"Rekor",""),"")</f>
        <v/>
      </c>
      <c r="J611" s="19" t="n">
        <f aca="false">IF(A611="",0,IF(COUNTIF(A$5:A611,A611)=1,1,0))</f>
        <v>0</v>
      </c>
    </row>
    <row r="612" customFormat="false" ht="15" hidden="false" customHeight="false" outlineLevel="0" collapsed="false">
      <c r="A612" s="12"/>
      <c r="B612" s="13"/>
      <c r="C612" s="14"/>
      <c r="D612" s="14"/>
      <c r="E612" s="15"/>
      <c r="F612" s="16" t="str">
        <f aca="false">IF(OR(C612="",D612="",E612=""),"",C612*D612*E612)</f>
        <v/>
      </c>
      <c r="G612" s="17" t="str">
        <f aca="false">IF(OR(D612="",E612=""),"",E612*(1+D612/30))</f>
        <v/>
      </c>
      <c r="H612" s="19" t="n">
        <f aca="false">IF(G612="",0,G612)</f>
        <v>0</v>
      </c>
      <c r="I612" s="18" t="str">
        <f aca="false">IF(H612&gt;0,IF(H612&gt;=SUMPRODUCT(MAX(($B$5:$B$2004=B612)*$H$5:$H$2004)),"Rekor",""),"")</f>
        <v/>
      </c>
      <c r="J612" s="19" t="n">
        <f aca="false">IF(A612="",0,IF(COUNTIF(A$5:A612,A612)=1,1,0))</f>
        <v>0</v>
      </c>
    </row>
    <row r="613" customFormat="false" ht="15" hidden="false" customHeight="false" outlineLevel="0" collapsed="false">
      <c r="A613" s="12"/>
      <c r="B613" s="13"/>
      <c r="C613" s="14"/>
      <c r="D613" s="14"/>
      <c r="E613" s="15"/>
      <c r="F613" s="16" t="str">
        <f aca="false">IF(OR(C613="",D613="",E613=""),"",C613*D613*E613)</f>
        <v/>
      </c>
      <c r="G613" s="17" t="str">
        <f aca="false">IF(OR(D613="",E613=""),"",E613*(1+D613/30))</f>
        <v/>
      </c>
      <c r="H613" s="19" t="n">
        <f aca="false">IF(G613="",0,G613)</f>
        <v>0</v>
      </c>
      <c r="I613" s="18" t="str">
        <f aca="false">IF(H613&gt;0,IF(H613&gt;=SUMPRODUCT(MAX(($B$5:$B$2004=B613)*$H$5:$H$2004)),"Rekor",""),"")</f>
        <v/>
      </c>
      <c r="J613" s="19" t="n">
        <f aca="false">IF(A613="",0,IF(COUNTIF(A$5:A613,A613)=1,1,0))</f>
        <v>0</v>
      </c>
    </row>
    <row r="614" customFormat="false" ht="15" hidden="false" customHeight="false" outlineLevel="0" collapsed="false">
      <c r="A614" s="12"/>
      <c r="B614" s="13"/>
      <c r="C614" s="14"/>
      <c r="D614" s="14"/>
      <c r="E614" s="15"/>
      <c r="F614" s="16" t="str">
        <f aca="false">IF(OR(C614="",D614="",E614=""),"",C614*D614*E614)</f>
        <v/>
      </c>
      <c r="G614" s="17" t="str">
        <f aca="false">IF(OR(D614="",E614=""),"",E614*(1+D614/30))</f>
        <v/>
      </c>
      <c r="H614" s="19" t="n">
        <f aca="false">IF(G614="",0,G614)</f>
        <v>0</v>
      </c>
      <c r="I614" s="18" t="str">
        <f aca="false">IF(H614&gt;0,IF(H614&gt;=SUMPRODUCT(MAX(($B$5:$B$2004=B614)*$H$5:$H$2004)),"Rekor",""),"")</f>
        <v/>
      </c>
      <c r="J614" s="19" t="n">
        <f aca="false">IF(A614="",0,IF(COUNTIF(A$5:A614,A614)=1,1,0))</f>
        <v>0</v>
      </c>
    </row>
    <row r="615" customFormat="false" ht="15" hidden="false" customHeight="false" outlineLevel="0" collapsed="false">
      <c r="A615" s="12"/>
      <c r="B615" s="13"/>
      <c r="C615" s="14"/>
      <c r="D615" s="14"/>
      <c r="E615" s="15"/>
      <c r="F615" s="16" t="str">
        <f aca="false">IF(OR(C615="",D615="",E615=""),"",C615*D615*E615)</f>
        <v/>
      </c>
      <c r="G615" s="17" t="str">
        <f aca="false">IF(OR(D615="",E615=""),"",E615*(1+D615/30))</f>
        <v/>
      </c>
      <c r="H615" s="19" t="n">
        <f aca="false">IF(G615="",0,G615)</f>
        <v>0</v>
      </c>
      <c r="I615" s="18" t="str">
        <f aca="false">IF(H615&gt;0,IF(H615&gt;=SUMPRODUCT(MAX(($B$5:$B$2004=B615)*$H$5:$H$2004)),"Rekor",""),"")</f>
        <v/>
      </c>
      <c r="J615" s="19" t="n">
        <f aca="false">IF(A615="",0,IF(COUNTIF(A$5:A615,A615)=1,1,0))</f>
        <v>0</v>
      </c>
    </row>
    <row r="616" customFormat="false" ht="15" hidden="false" customHeight="false" outlineLevel="0" collapsed="false">
      <c r="A616" s="12"/>
      <c r="B616" s="13"/>
      <c r="C616" s="14"/>
      <c r="D616" s="14"/>
      <c r="E616" s="15"/>
      <c r="F616" s="16" t="str">
        <f aca="false">IF(OR(C616="",D616="",E616=""),"",C616*D616*E616)</f>
        <v/>
      </c>
      <c r="G616" s="17" t="str">
        <f aca="false">IF(OR(D616="",E616=""),"",E616*(1+D616/30))</f>
        <v/>
      </c>
      <c r="H616" s="19" t="n">
        <f aca="false">IF(G616="",0,G616)</f>
        <v>0</v>
      </c>
      <c r="I616" s="18" t="str">
        <f aca="false">IF(H616&gt;0,IF(H616&gt;=SUMPRODUCT(MAX(($B$5:$B$2004=B616)*$H$5:$H$2004)),"Rekor",""),"")</f>
        <v/>
      </c>
      <c r="J616" s="19" t="n">
        <f aca="false">IF(A616="",0,IF(COUNTIF(A$5:A616,A616)=1,1,0))</f>
        <v>0</v>
      </c>
    </row>
    <row r="617" customFormat="false" ht="15" hidden="false" customHeight="false" outlineLevel="0" collapsed="false">
      <c r="A617" s="12"/>
      <c r="B617" s="13"/>
      <c r="C617" s="14"/>
      <c r="D617" s="14"/>
      <c r="E617" s="15"/>
      <c r="F617" s="16" t="str">
        <f aca="false">IF(OR(C617="",D617="",E617=""),"",C617*D617*E617)</f>
        <v/>
      </c>
      <c r="G617" s="17" t="str">
        <f aca="false">IF(OR(D617="",E617=""),"",E617*(1+D617/30))</f>
        <v/>
      </c>
      <c r="H617" s="19" t="n">
        <f aca="false">IF(G617="",0,G617)</f>
        <v>0</v>
      </c>
      <c r="I617" s="18" t="str">
        <f aca="false">IF(H617&gt;0,IF(H617&gt;=SUMPRODUCT(MAX(($B$5:$B$2004=B617)*$H$5:$H$2004)),"Rekor",""),"")</f>
        <v/>
      </c>
      <c r="J617" s="19" t="n">
        <f aca="false">IF(A617="",0,IF(COUNTIF(A$5:A617,A617)=1,1,0))</f>
        <v>0</v>
      </c>
    </row>
    <row r="618" customFormat="false" ht="15" hidden="false" customHeight="false" outlineLevel="0" collapsed="false">
      <c r="A618" s="12"/>
      <c r="B618" s="13"/>
      <c r="C618" s="14"/>
      <c r="D618" s="14"/>
      <c r="E618" s="15"/>
      <c r="F618" s="16" t="str">
        <f aca="false">IF(OR(C618="",D618="",E618=""),"",C618*D618*E618)</f>
        <v/>
      </c>
      <c r="G618" s="17" t="str">
        <f aca="false">IF(OR(D618="",E618=""),"",E618*(1+D618/30))</f>
        <v/>
      </c>
      <c r="H618" s="19" t="n">
        <f aca="false">IF(G618="",0,G618)</f>
        <v>0</v>
      </c>
      <c r="I618" s="18" t="str">
        <f aca="false">IF(H618&gt;0,IF(H618&gt;=SUMPRODUCT(MAX(($B$5:$B$2004=B618)*$H$5:$H$2004)),"Rekor",""),"")</f>
        <v/>
      </c>
      <c r="J618" s="19" t="n">
        <f aca="false">IF(A618="",0,IF(COUNTIF(A$5:A618,A618)=1,1,0))</f>
        <v>0</v>
      </c>
    </row>
    <row r="619" customFormat="false" ht="15" hidden="false" customHeight="false" outlineLevel="0" collapsed="false">
      <c r="A619" s="12"/>
      <c r="B619" s="13"/>
      <c r="C619" s="14"/>
      <c r="D619" s="14"/>
      <c r="E619" s="15"/>
      <c r="F619" s="16" t="str">
        <f aca="false">IF(OR(C619="",D619="",E619=""),"",C619*D619*E619)</f>
        <v/>
      </c>
      <c r="G619" s="17" t="str">
        <f aca="false">IF(OR(D619="",E619=""),"",E619*(1+D619/30))</f>
        <v/>
      </c>
      <c r="H619" s="19" t="n">
        <f aca="false">IF(G619="",0,G619)</f>
        <v>0</v>
      </c>
      <c r="I619" s="18" t="str">
        <f aca="false">IF(H619&gt;0,IF(H619&gt;=SUMPRODUCT(MAX(($B$5:$B$2004=B619)*$H$5:$H$2004)),"Rekor",""),"")</f>
        <v/>
      </c>
      <c r="J619" s="19" t="n">
        <f aca="false">IF(A619="",0,IF(COUNTIF(A$5:A619,A619)=1,1,0))</f>
        <v>0</v>
      </c>
    </row>
    <row r="620" customFormat="false" ht="15" hidden="false" customHeight="false" outlineLevel="0" collapsed="false">
      <c r="A620" s="12"/>
      <c r="B620" s="13"/>
      <c r="C620" s="14"/>
      <c r="D620" s="14"/>
      <c r="E620" s="15"/>
      <c r="F620" s="16" t="str">
        <f aca="false">IF(OR(C620="",D620="",E620=""),"",C620*D620*E620)</f>
        <v/>
      </c>
      <c r="G620" s="17" t="str">
        <f aca="false">IF(OR(D620="",E620=""),"",E620*(1+D620/30))</f>
        <v/>
      </c>
      <c r="H620" s="19" t="n">
        <f aca="false">IF(G620="",0,G620)</f>
        <v>0</v>
      </c>
      <c r="I620" s="18" t="str">
        <f aca="false">IF(H620&gt;0,IF(H620&gt;=SUMPRODUCT(MAX(($B$5:$B$2004=B620)*$H$5:$H$2004)),"Rekor",""),"")</f>
        <v/>
      </c>
      <c r="J620" s="19" t="n">
        <f aca="false">IF(A620="",0,IF(COUNTIF(A$5:A620,A620)=1,1,0))</f>
        <v>0</v>
      </c>
    </row>
    <row r="621" customFormat="false" ht="15" hidden="false" customHeight="false" outlineLevel="0" collapsed="false">
      <c r="A621" s="12"/>
      <c r="B621" s="13"/>
      <c r="C621" s="14"/>
      <c r="D621" s="14"/>
      <c r="E621" s="15"/>
      <c r="F621" s="16" t="str">
        <f aca="false">IF(OR(C621="",D621="",E621=""),"",C621*D621*E621)</f>
        <v/>
      </c>
      <c r="G621" s="17" t="str">
        <f aca="false">IF(OR(D621="",E621=""),"",E621*(1+D621/30))</f>
        <v/>
      </c>
      <c r="H621" s="19" t="n">
        <f aca="false">IF(G621="",0,G621)</f>
        <v>0</v>
      </c>
      <c r="I621" s="18" t="str">
        <f aca="false">IF(H621&gt;0,IF(H621&gt;=SUMPRODUCT(MAX(($B$5:$B$2004=B621)*$H$5:$H$2004)),"Rekor",""),"")</f>
        <v/>
      </c>
      <c r="J621" s="19" t="n">
        <f aca="false">IF(A621="",0,IF(COUNTIF(A$5:A621,A621)=1,1,0))</f>
        <v>0</v>
      </c>
    </row>
    <row r="622" customFormat="false" ht="15" hidden="false" customHeight="false" outlineLevel="0" collapsed="false">
      <c r="A622" s="12"/>
      <c r="B622" s="13"/>
      <c r="C622" s="14"/>
      <c r="D622" s="14"/>
      <c r="E622" s="15"/>
      <c r="F622" s="16" t="str">
        <f aca="false">IF(OR(C622="",D622="",E622=""),"",C622*D622*E622)</f>
        <v/>
      </c>
      <c r="G622" s="17" t="str">
        <f aca="false">IF(OR(D622="",E622=""),"",E622*(1+D622/30))</f>
        <v/>
      </c>
      <c r="H622" s="19" t="n">
        <f aca="false">IF(G622="",0,G622)</f>
        <v>0</v>
      </c>
      <c r="I622" s="18" t="str">
        <f aca="false">IF(H622&gt;0,IF(H622&gt;=SUMPRODUCT(MAX(($B$5:$B$2004=B622)*$H$5:$H$2004)),"Rekor",""),"")</f>
        <v/>
      </c>
      <c r="J622" s="19" t="n">
        <f aca="false">IF(A622="",0,IF(COUNTIF(A$5:A622,A622)=1,1,0))</f>
        <v>0</v>
      </c>
    </row>
    <row r="623" customFormat="false" ht="15" hidden="false" customHeight="false" outlineLevel="0" collapsed="false">
      <c r="A623" s="12"/>
      <c r="B623" s="13"/>
      <c r="C623" s="14"/>
      <c r="D623" s="14"/>
      <c r="E623" s="15"/>
      <c r="F623" s="16" t="str">
        <f aca="false">IF(OR(C623="",D623="",E623=""),"",C623*D623*E623)</f>
        <v/>
      </c>
      <c r="G623" s="17" t="str">
        <f aca="false">IF(OR(D623="",E623=""),"",E623*(1+D623/30))</f>
        <v/>
      </c>
      <c r="H623" s="19" t="n">
        <f aca="false">IF(G623="",0,G623)</f>
        <v>0</v>
      </c>
      <c r="I623" s="18" t="str">
        <f aca="false">IF(H623&gt;0,IF(H623&gt;=SUMPRODUCT(MAX(($B$5:$B$2004=B623)*$H$5:$H$2004)),"Rekor",""),"")</f>
        <v/>
      </c>
      <c r="J623" s="19" t="n">
        <f aca="false">IF(A623="",0,IF(COUNTIF(A$5:A623,A623)=1,1,0))</f>
        <v>0</v>
      </c>
    </row>
    <row r="624" customFormat="false" ht="15" hidden="false" customHeight="false" outlineLevel="0" collapsed="false">
      <c r="A624" s="12"/>
      <c r="B624" s="13"/>
      <c r="C624" s="14"/>
      <c r="D624" s="14"/>
      <c r="E624" s="15"/>
      <c r="F624" s="16" t="str">
        <f aca="false">IF(OR(C624="",D624="",E624=""),"",C624*D624*E624)</f>
        <v/>
      </c>
      <c r="G624" s="17" t="str">
        <f aca="false">IF(OR(D624="",E624=""),"",E624*(1+D624/30))</f>
        <v/>
      </c>
      <c r="H624" s="19" t="n">
        <f aca="false">IF(G624="",0,G624)</f>
        <v>0</v>
      </c>
      <c r="I624" s="18" t="str">
        <f aca="false">IF(H624&gt;0,IF(H624&gt;=SUMPRODUCT(MAX(($B$5:$B$2004=B624)*$H$5:$H$2004)),"Rekor",""),"")</f>
        <v/>
      </c>
      <c r="J624" s="19" t="n">
        <f aca="false">IF(A624="",0,IF(COUNTIF(A$5:A624,A624)=1,1,0))</f>
        <v>0</v>
      </c>
    </row>
    <row r="625" customFormat="false" ht="15" hidden="false" customHeight="false" outlineLevel="0" collapsed="false">
      <c r="A625" s="12"/>
      <c r="B625" s="13"/>
      <c r="C625" s="14"/>
      <c r="D625" s="14"/>
      <c r="E625" s="15"/>
      <c r="F625" s="16" t="str">
        <f aca="false">IF(OR(C625="",D625="",E625=""),"",C625*D625*E625)</f>
        <v/>
      </c>
      <c r="G625" s="17" t="str">
        <f aca="false">IF(OR(D625="",E625=""),"",E625*(1+D625/30))</f>
        <v/>
      </c>
      <c r="H625" s="19" t="n">
        <f aca="false">IF(G625="",0,G625)</f>
        <v>0</v>
      </c>
      <c r="I625" s="18" t="str">
        <f aca="false">IF(H625&gt;0,IF(H625&gt;=SUMPRODUCT(MAX(($B$5:$B$2004=B625)*$H$5:$H$2004)),"Rekor",""),"")</f>
        <v/>
      </c>
      <c r="J625" s="19" t="n">
        <f aca="false">IF(A625="",0,IF(COUNTIF(A$5:A625,A625)=1,1,0))</f>
        <v>0</v>
      </c>
    </row>
    <row r="626" customFormat="false" ht="15" hidden="false" customHeight="false" outlineLevel="0" collapsed="false">
      <c r="A626" s="12"/>
      <c r="B626" s="13"/>
      <c r="C626" s="14"/>
      <c r="D626" s="14"/>
      <c r="E626" s="15"/>
      <c r="F626" s="16" t="str">
        <f aca="false">IF(OR(C626="",D626="",E626=""),"",C626*D626*E626)</f>
        <v/>
      </c>
      <c r="G626" s="17" t="str">
        <f aca="false">IF(OR(D626="",E626=""),"",E626*(1+D626/30))</f>
        <v/>
      </c>
      <c r="H626" s="19" t="n">
        <f aca="false">IF(G626="",0,G626)</f>
        <v>0</v>
      </c>
      <c r="I626" s="18" t="str">
        <f aca="false">IF(H626&gt;0,IF(H626&gt;=SUMPRODUCT(MAX(($B$5:$B$2004=B626)*$H$5:$H$2004)),"Rekor",""),"")</f>
        <v/>
      </c>
      <c r="J626" s="19" t="n">
        <f aca="false">IF(A626="",0,IF(COUNTIF(A$5:A626,A626)=1,1,0))</f>
        <v>0</v>
      </c>
    </row>
    <row r="627" customFormat="false" ht="15" hidden="false" customHeight="false" outlineLevel="0" collapsed="false">
      <c r="A627" s="12"/>
      <c r="B627" s="13"/>
      <c r="C627" s="14"/>
      <c r="D627" s="14"/>
      <c r="E627" s="15"/>
      <c r="F627" s="16" t="str">
        <f aca="false">IF(OR(C627="",D627="",E627=""),"",C627*D627*E627)</f>
        <v/>
      </c>
      <c r="G627" s="17" t="str">
        <f aca="false">IF(OR(D627="",E627=""),"",E627*(1+D627/30))</f>
        <v/>
      </c>
      <c r="H627" s="19" t="n">
        <f aca="false">IF(G627="",0,G627)</f>
        <v>0</v>
      </c>
      <c r="I627" s="18" t="str">
        <f aca="false">IF(H627&gt;0,IF(H627&gt;=SUMPRODUCT(MAX(($B$5:$B$2004=B627)*$H$5:$H$2004)),"Rekor",""),"")</f>
        <v/>
      </c>
      <c r="J627" s="19" t="n">
        <f aca="false">IF(A627="",0,IF(COUNTIF(A$5:A627,A627)=1,1,0))</f>
        <v>0</v>
      </c>
    </row>
    <row r="628" customFormat="false" ht="15" hidden="false" customHeight="false" outlineLevel="0" collapsed="false">
      <c r="A628" s="12"/>
      <c r="B628" s="13"/>
      <c r="C628" s="14"/>
      <c r="D628" s="14"/>
      <c r="E628" s="15"/>
      <c r="F628" s="16" t="str">
        <f aca="false">IF(OR(C628="",D628="",E628=""),"",C628*D628*E628)</f>
        <v/>
      </c>
      <c r="G628" s="17" t="str">
        <f aca="false">IF(OR(D628="",E628=""),"",E628*(1+D628/30))</f>
        <v/>
      </c>
      <c r="H628" s="19" t="n">
        <f aca="false">IF(G628="",0,G628)</f>
        <v>0</v>
      </c>
      <c r="I628" s="18" t="str">
        <f aca="false">IF(H628&gt;0,IF(H628&gt;=SUMPRODUCT(MAX(($B$5:$B$2004=B628)*$H$5:$H$2004)),"Rekor",""),"")</f>
        <v/>
      </c>
      <c r="J628" s="19" t="n">
        <f aca="false">IF(A628="",0,IF(COUNTIF(A$5:A628,A628)=1,1,0))</f>
        <v>0</v>
      </c>
    </row>
    <row r="629" customFormat="false" ht="15" hidden="false" customHeight="false" outlineLevel="0" collapsed="false">
      <c r="A629" s="12"/>
      <c r="B629" s="13"/>
      <c r="C629" s="14"/>
      <c r="D629" s="14"/>
      <c r="E629" s="15"/>
      <c r="F629" s="16" t="str">
        <f aca="false">IF(OR(C629="",D629="",E629=""),"",C629*D629*E629)</f>
        <v/>
      </c>
      <c r="G629" s="17" t="str">
        <f aca="false">IF(OR(D629="",E629=""),"",E629*(1+D629/30))</f>
        <v/>
      </c>
      <c r="H629" s="19" t="n">
        <f aca="false">IF(G629="",0,G629)</f>
        <v>0</v>
      </c>
      <c r="I629" s="18" t="str">
        <f aca="false">IF(H629&gt;0,IF(H629&gt;=SUMPRODUCT(MAX(($B$5:$B$2004=B629)*$H$5:$H$2004)),"Rekor",""),"")</f>
        <v/>
      </c>
      <c r="J629" s="19" t="n">
        <f aca="false">IF(A629="",0,IF(COUNTIF(A$5:A629,A629)=1,1,0))</f>
        <v>0</v>
      </c>
    </row>
    <row r="630" customFormat="false" ht="15" hidden="false" customHeight="false" outlineLevel="0" collapsed="false">
      <c r="A630" s="12"/>
      <c r="B630" s="13"/>
      <c r="C630" s="14"/>
      <c r="D630" s="14"/>
      <c r="E630" s="15"/>
      <c r="F630" s="16" t="str">
        <f aca="false">IF(OR(C630="",D630="",E630=""),"",C630*D630*E630)</f>
        <v/>
      </c>
      <c r="G630" s="17" t="str">
        <f aca="false">IF(OR(D630="",E630=""),"",E630*(1+D630/30))</f>
        <v/>
      </c>
      <c r="H630" s="19" t="n">
        <f aca="false">IF(G630="",0,G630)</f>
        <v>0</v>
      </c>
      <c r="I630" s="18" t="str">
        <f aca="false">IF(H630&gt;0,IF(H630&gt;=SUMPRODUCT(MAX(($B$5:$B$2004=B630)*$H$5:$H$2004)),"Rekor",""),"")</f>
        <v/>
      </c>
      <c r="J630" s="19" t="n">
        <f aca="false">IF(A630="",0,IF(COUNTIF(A$5:A630,A630)=1,1,0))</f>
        <v>0</v>
      </c>
    </row>
    <row r="631" customFormat="false" ht="15" hidden="false" customHeight="false" outlineLevel="0" collapsed="false">
      <c r="A631" s="12"/>
      <c r="B631" s="13"/>
      <c r="C631" s="14"/>
      <c r="D631" s="14"/>
      <c r="E631" s="15"/>
      <c r="F631" s="16" t="str">
        <f aca="false">IF(OR(C631="",D631="",E631=""),"",C631*D631*E631)</f>
        <v/>
      </c>
      <c r="G631" s="17" t="str">
        <f aca="false">IF(OR(D631="",E631=""),"",E631*(1+D631/30))</f>
        <v/>
      </c>
      <c r="H631" s="19" t="n">
        <f aca="false">IF(G631="",0,G631)</f>
        <v>0</v>
      </c>
      <c r="I631" s="18" t="str">
        <f aca="false">IF(H631&gt;0,IF(H631&gt;=SUMPRODUCT(MAX(($B$5:$B$2004=B631)*$H$5:$H$2004)),"Rekor",""),"")</f>
        <v/>
      </c>
      <c r="J631" s="19" t="n">
        <f aca="false">IF(A631="",0,IF(COUNTIF(A$5:A631,A631)=1,1,0))</f>
        <v>0</v>
      </c>
    </row>
    <row r="632" customFormat="false" ht="15" hidden="false" customHeight="false" outlineLevel="0" collapsed="false">
      <c r="A632" s="12"/>
      <c r="B632" s="13"/>
      <c r="C632" s="14"/>
      <c r="D632" s="14"/>
      <c r="E632" s="15"/>
      <c r="F632" s="16" t="str">
        <f aca="false">IF(OR(C632="",D632="",E632=""),"",C632*D632*E632)</f>
        <v/>
      </c>
      <c r="G632" s="17" t="str">
        <f aca="false">IF(OR(D632="",E632=""),"",E632*(1+D632/30))</f>
        <v/>
      </c>
      <c r="H632" s="19" t="n">
        <f aca="false">IF(G632="",0,G632)</f>
        <v>0</v>
      </c>
      <c r="I632" s="18" t="str">
        <f aca="false">IF(H632&gt;0,IF(H632&gt;=SUMPRODUCT(MAX(($B$5:$B$2004=B632)*$H$5:$H$2004)),"Rekor",""),"")</f>
        <v/>
      </c>
      <c r="J632" s="19" t="n">
        <f aca="false">IF(A632="",0,IF(COUNTIF(A$5:A632,A632)=1,1,0))</f>
        <v>0</v>
      </c>
    </row>
    <row r="633" customFormat="false" ht="15" hidden="false" customHeight="false" outlineLevel="0" collapsed="false">
      <c r="A633" s="12"/>
      <c r="B633" s="13"/>
      <c r="C633" s="14"/>
      <c r="D633" s="14"/>
      <c r="E633" s="15"/>
      <c r="F633" s="16" t="str">
        <f aca="false">IF(OR(C633="",D633="",E633=""),"",C633*D633*E633)</f>
        <v/>
      </c>
      <c r="G633" s="17" t="str">
        <f aca="false">IF(OR(D633="",E633=""),"",E633*(1+D633/30))</f>
        <v/>
      </c>
      <c r="H633" s="19" t="n">
        <f aca="false">IF(G633="",0,G633)</f>
        <v>0</v>
      </c>
      <c r="I633" s="18" t="str">
        <f aca="false">IF(H633&gt;0,IF(H633&gt;=SUMPRODUCT(MAX(($B$5:$B$2004=B633)*$H$5:$H$2004)),"Rekor",""),"")</f>
        <v/>
      </c>
      <c r="J633" s="19" t="n">
        <f aca="false">IF(A633="",0,IF(COUNTIF(A$5:A633,A633)=1,1,0))</f>
        <v>0</v>
      </c>
    </row>
    <row r="634" customFormat="false" ht="15" hidden="false" customHeight="false" outlineLevel="0" collapsed="false">
      <c r="A634" s="12"/>
      <c r="B634" s="13"/>
      <c r="C634" s="14"/>
      <c r="D634" s="14"/>
      <c r="E634" s="15"/>
      <c r="F634" s="16" t="str">
        <f aca="false">IF(OR(C634="",D634="",E634=""),"",C634*D634*E634)</f>
        <v/>
      </c>
      <c r="G634" s="17" t="str">
        <f aca="false">IF(OR(D634="",E634=""),"",E634*(1+D634/30))</f>
        <v/>
      </c>
      <c r="H634" s="19" t="n">
        <f aca="false">IF(G634="",0,G634)</f>
        <v>0</v>
      </c>
      <c r="I634" s="18" t="str">
        <f aca="false">IF(H634&gt;0,IF(H634&gt;=SUMPRODUCT(MAX(($B$5:$B$2004=B634)*$H$5:$H$2004)),"Rekor",""),"")</f>
        <v/>
      </c>
      <c r="J634" s="19" t="n">
        <f aca="false">IF(A634="",0,IF(COUNTIF(A$5:A634,A634)=1,1,0))</f>
        <v>0</v>
      </c>
    </row>
    <row r="635" customFormat="false" ht="15" hidden="false" customHeight="false" outlineLevel="0" collapsed="false">
      <c r="A635" s="12"/>
      <c r="B635" s="13"/>
      <c r="C635" s="14"/>
      <c r="D635" s="14"/>
      <c r="E635" s="15"/>
      <c r="F635" s="16" t="str">
        <f aca="false">IF(OR(C635="",D635="",E635=""),"",C635*D635*E635)</f>
        <v/>
      </c>
      <c r="G635" s="17" t="str">
        <f aca="false">IF(OR(D635="",E635=""),"",E635*(1+D635/30))</f>
        <v/>
      </c>
      <c r="H635" s="19" t="n">
        <f aca="false">IF(G635="",0,G635)</f>
        <v>0</v>
      </c>
      <c r="I635" s="18" t="str">
        <f aca="false">IF(H635&gt;0,IF(H635&gt;=SUMPRODUCT(MAX(($B$5:$B$2004=B635)*$H$5:$H$2004)),"Rekor",""),"")</f>
        <v/>
      </c>
      <c r="J635" s="19" t="n">
        <f aca="false">IF(A635="",0,IF(COUNTIF(A$5:A635,A635)=1,1,0))</f>
        <v>0</v>
      </c>
    </row>
    <row r="636" customFormat="false" ht="15" hidden="false" customHeight="false" outlineLevel="0" collapsed="false">
      <c r="A636" s="12"/>
      <c r="B636" s="13"/>
      <c r="C636" s="14"/>
      <c r="D636" s="14"/>
      <c r="E636" s="15"/>
      <c r="F636" s="16" t="str">
        <f aca="false">IF(OR(C636="",D636="",E636=""),"",C636*D636*E636)</f>
        <v/>
      </c>
      <c r="G636" s="17" t="str">
        <f aca="false">IF(OR(D636="",E636=""),"",E636*(1+D636/30))</f>
        <v/>
      </c>
      <c r="H636" s="19" t="n">
        <f aca="false">IF(G636="",0,G636)</f>
        <v>0</v>
      </c>
      <c r="I636" s="18" t="str">
        <f aca="false">IF(H636&gt;0,IF(H636&gt;=SUMPRODUCT(MAX(($B$5:$B$2004=B636)*$H$5:$H$2004)),"Rekor",""),"")</f>
        <v/>
      </c>
      <c r="J636" s="19" t="n">
        <f aca="false">IF(A636="",0,IF(COUNTIF(A$5:A636,A636)=1,1,0))</f>
        <v>0</v>
      </c>
    </row>
    <row r="637" customFormat="false" ht="15" hidden="false" customHeight="false" outlineLevel="0" collapsed="false">
      <c r="A637" s="12"/>
      <c r="B637" s="13"/>
      <c r="C637" s="14"/>
      <c r="D637" s="14"/>
      <c r="E637" s="15"/>
      <c r="F637" s="16" t="str">
        <f aca="false">IF(OR(C637="",D637="",E637=""),"",C637*D637*E637)</f>
        <v/>
      </c>
      <c r="G637" s="17" t="str">
        <f aca="false">IF(OR(D637="",E637=""),"",E637*(1+D637/30))</f>
        <v/>
      </c>
      <c r="H637" s="19" t="n">
        <f aca="false">IF(G637="",0,G637)</f>
        <v>0</v>
      </c>
      <c r="I637" s="18" t="str">
        <f aca="false">IF(H637&gt;0,IF(H637&gt;=SUMPRODUCT(MAX(($B$5:$B$2004=B637)*$H$5:$H$2004)),"Rekor",""),"")</f>
        <v/>
      </c>
      <c r="J637" s="19" t="n">
        <f aca="false">IF(A637="",0,IF(COUNTIF(A$5:A637,A637)=1,1,0))</f>
        <v>0</v>
      </c>
    </row>
    <row r="638" customFormat="false" ht="15" hidden="false" customHeight="false" outlineLevel="0" collapsed="false">
      <c r="A638" s="12"/>
      <c r="B638" s="13"/>
      <c r="C638" s="14"/>
      <c r="D638" s="14"/>
      <c r="E638" s="15"/>
      <c r="F638" s="16" t="str">
        <f aca="false">IF(OR(C638="",D638="",E638=""),"",C638*D638*E638)</f>
        <v/>
      </c>
      <c r="G638" s="17" t="str">
        <f aca="false">IF(OR(D638="",E638=""),"",E638*(1+D638/30))</f>
        <v/>
      </c>
      <c r="H638" s="19" t="n">
        <f aca="false">IF(G638="",0,G638)</f>
        <v>0</v>
      </c>
      <c r="I638" s="18" t="str">
        <f aca="false">IF(H638&gt;0,IF(H638&gt;=SUMPRODUCT(MAX(($B$5:$B$2004=B638)*$H$5:$H$2004)),"Rekor",""),"")</f>
        <v/>
      </c>
      <c r="J638" s="19" t="n">
        <f aca="false">IF(A638="",0,IF(COUNTIF(A$5:A638,A638)=1,1,0))</f>
        <v>0</v>
      </c>
    </row>
    <row r="639" customFormat="false" ht="15" hidden="false" customHeight="false" outlineLevel="0" collapsed="false">
      <c r="A639" s="12"/>
      <c r="B639" s="13"/>
      <c r="C639" s="14"/>
      <c r="D639" s="14"/>
      <c r="E639" s="15"/>
      <c r="F639" s="16" t="str">
        <f aca="false">IF(OR(C639="",D639="",E639=""),"",C639*D639*E639)</f>
        <v/>
      </c>
      <c r="G639" s="17" t="str">
        <f aca="false">IF(OR(D639="",E639=""),"",E639*(1+D639/30))</f>
        <v/>
      </c>
      <c r="H639" s="19" t="n">
        <f aca="false">IF(G639="",0,G639)</f>
        <v>0</v>
      </c>
      <c r="I639" s="18" t="str">
        <f aca="false">IF(H639&gt;0,IF(H639&gt;=SUMPRODUCT(MAX(($B$5:$B$2004=B639)*$H$5:$H$2004)),"Rekor",""),"")</f>
        <v/>
      </c>
      <c r="J639" s="19" t="n">
        <f aca="false">IF(A639="",0,IF(COUNTIF(A$5:A639,A639)=1,1,0))</f>
        <v>0</v>
      </c>
    </row>
    <row r="640" customFormat="false" ht="15" hidden="false" customHeight="false" outlineLevel="0" collapsed="false">
      <c r="A640" s="12"/>
      <c r="B640" s="13"/>
      <c r="C640" s="14"/>
      <c r="D640" s="14"/>
      <c r="E640" s="15"/>
      <c r="F640" s="16" t="str">
        <f aca="false">IF(OR(C640="",D640="",E640=""),"",C640*D640*E640)</f>
        <v/>
      </c>
      <c r="G640" s="17" t="str">
        <f aca="false">IF(OR(D640="",E640=""),"",E640*(1+D640/30))</f>
        <v/>
      </c>
      <c r="H640" s="19" t="n">
        <f aca="false">IF(G640="",0,G640)</f>
        <v>0</v>
      </c>
      <c r="I640" s="18" t="str">
        <f aca="false">IF(H640&gt;0,IF(H640&gt;=SUMPRODUCT(MAX(($B$5:$B$2004=B640)*$H$5:$H$2004)),"Rekor",""),"")</f>
        <v/>
      </c>
      <c r="J640" s="19" t="n">
        <f aca="false">IF(A640="",0,IF(COUNTIF(A$5:A640,A640)=1,1,0))</f>
        <v>0</v>
      </c>
    </row>
    <row r="641" customFormat="false" ht="15" hidden="false" customHeight="false" outlineLevel="0" collapsed="false">
      <c r="A641" s="12"/>
      <c r="B641" s="13"/>
      <c r="C641" s="14"/>
      <c r="D641" s="14"/>
      <c r="E641" s="15"/>
      <c r="F641" s="16" t="str">
        <f aca="false">IF(OR(C641="",D641="",E641=""),"",C641*D641*E641)</f>
        <v/>
      </c>
      <c r="G641" s="17" t="str">
        <f aca="false">IF(OR(D641="",E641=""),"",E641*(1+D641/30))</f>
        <v/>
      </c>
      <c r="H641" s="19" t="n">
        <f aca="false">IF(G641="",0,G641)</f>
        <v>0</v>
      </c>
      <c r="I641" s="18" t="str">
        <f aca="false">IF(H641&gt;0,IF(H641&gt;=SUMPRODUCT(MAX(($B$5:$B$2004=B641)*$H$5:$H$2004)),"Rekor",""),"")</f>
        <v/>
      </c>
      <c r="J641" s="19" t="n">
        <f aca="false">IF(A641="",0,IF(COUNTIF(A$5:A641,A641)=1,1,0))</f>
        <v>0</v>
      </c>
    </row>
    <row r="642" customFormat="false" ht="15" hidden="false" customHeight="false" outlineLevel="0" collapsed="false">
      <c r="A642" s="12"/>
      <c r="B642" s="13"/>
      <c r="C642" s="14"/>
      <c r="D642" s="14"/>
      <c r="E642" s="15"/>
      <c r="F642" s="16" t="str">
        <f aca="false">IF(OR(C642="",D642="",E642=""),"",C642*D642*E642)</f>
        <v/>
      </c>
      <c r="G642" s="17" t="str">
        <f aca="false">IF(OR(D642="",E642=""),"",E642*(1+D642/30))</f>
        <v/>
      </c>
      <c r="H642" s="19" t="n">
        <f aca="false">IF(G642="",0,G642)</f>
        <v>0</v>
      </c>
      <c r="I642" s="18" t="str">
        <f aca="false">IF(H642&gt;0,IF(H642&gt;=SUMPRODUCT(MAX(($B$5:$B$2004=B642)*$H$5:$H$2004)),"Rekor",""),"")</f>
        <v/>
      </c>
      <c r="J642" s="19" t="n">
        <f aca="false">IF(A642="",0,IF(COUNTIF(A$5:A642,A642)=1,1,0))</f>
        <v>0</v>
      </c>
    </row>
    <row r="643" customFormat="false" ht="15" hidden="false" customHeight="false" outlineLevel="0" collapsed="false">
      <c r="A643" s="12"/>
      <c r="B643" s="13"/>
      <c r="C643" s="14"/>
      <c r="D643" s="14"/>
      <c r="E643" s="15"/>
      <c r="F643" s="16" t="str">
        <f aca="false">IF(OR(C643="",D643="",E643=""),"",C643*D643*E643)</f>
        <v/>
      </c>
      <c r="G643" s="17" t="str">
        <f aca="false">IF(OR(D643="",E643=""),"",E643*(1+D643/30))</f>
        <v/>
      </c>
      <c r="H643" s="19" t="n">
        <f aca="false">IF(G643="",0,G643)</f>
        <v>0</v>
      </c>
      <c r="I643" s="18" t="str">
        <f aca="false">IF(H643&gt;0,IF(H643&gt;=SUMPRODUCT(MAX(($B$5:$B$2004=B643)*$H$5:$H$2004)),"Rekor",""),"")</f>
        <v/>
      </c>
      <c r="J643" s="19" t="n">
        <f aca="false">IF(A643="",0,IF(COUNTIF(A$5:A643,A643)=1,1,0))</f>
        <v>0</v>
      </c>
    </row>
    <row r="644" customFormat="false" ht="15" hidden="false" customHeight="false" outlineLevel="0" collapsed="false">
      <c r="A644" s="12"/>
      <c r="B644" s="13"/>
      <c r="C644" s="14"/>
      <c r="D644" s="14"/>
      <c r="E644" s="15"/>
      <c r="F644" s="16" t="str">
        <f aca="false">IF(OR(C644="",D644="",E644=""),"",C644*D644*E644)</f>
        <v/>
      </c>
      <c r="G644" s="17" t="str">
        <f aca="false">IF(OR(D644="",E644=""),"",E644*(1+D644/30))</f>
        <v/>
      </c>
      <c r="H644" s="19" t="n">
        <f aca="false">IF(G644="",0,G644)</f>
        <v>0</v>
      </c>
      <c r="I644" s="18" t="str">
        <f aca="false">IF(H644&gt;0,IF(H644&gt;=SUMPRODUCT(MAX(($B$5:$B$2004=B644)*$H$5:$H$2004)),"Rekor",""),"")</f>
        <v/>
      </c>
      <c r="J644" s="19" t="n">
        <f aca="false">IF(A644="",0,IF(COUNTIF(A$5:A644,A644)=1,1,0))</f>
        <v>0</v>
      </c>
    </row>
    <row r="645" customFormat="false" ht="15" hidden="false" customHeight="false" outlineLevel="0" collapsed="false">
      <c r="A645" s="12"/>
      <c r="B645" s="13"/>
      <c r="C645" s="14"/>
      <c r="D645" s="14"/>
      <c r="E645" s="15"/>
      <c r="F645" s="16" t="str">
        <f aca="false">IF(OR(C645="",D645="",E645=""),"",C645*D645*E645)</f>
        <v/>
      </c>
      <c r="G645" s="17" t="str">
        <f aca="false">IF(OR(D645="",E645=""),"",E645*(1+D645/30))</f>
        <v/>
      </c>
      <c r="H645" s="19" t="n">
        <f aca="false">IF(G645="",0,G645)</f>
        <v>0</v>
      </c>
      <c r="I645" s="18" t="str">
        <f aca="false">IF(H645&gt;0,IF(H645&gt;=SUMPRODUCT(MAX(($B$5:$B$2004=B645)*$H$5:$H$2004)),"Rekor",""),"")</f>
        <v/>
      </c>
      <c r="J645" s="19" t="n">
        <f aca="false">IF(A645="",0,IF(COUNTIF(A$5:A645,A645)=1,1,0))</f>
        <v>0</v>
      </c>
    </row>
    <row r="646" customFormat="false" ht="15" hidden="false" customHeight="false" outlineLevel="0" collapsed="false">
      <c r="A646" s="12"/>
      <c r="B646" s="13"/>
      <c r="C646" s="14"/>
      <c r="D646" s="14"/>
      <c r="E646" s="15"/>
      <c r="F646" s="16" t="str">
        <f aca="false">IF(OR(C646="",D646="",E646=""),"",C646*D646*E646)</f>
        <v/>
      </c>
      <c r="G646" s="17" t="str">
        <f aca="false">IF(OR(D646="",E646=""),"",E646*(1+D646/30))</f>
        <v/>
      </c>
      <c r="H646" s="19" t="n">
        <f aca="false">IF(G646="",0,G646)</f>
        <v>0</v>
      </c>
      <c r="I646" s="18" t="str">
        <f aca="false">IF(H646&gt;0,IF(H646&gt;=SUMPRODUCT(MAX(($B$5:$B$2004=B646)*$H$5:$H$2004)),"Rekor",""),"")</f>
        <v/>
      </c>
      <c r="J646" s="19" t="n">
        <f aca="false">IF(A646="",0,IF(COUNTIF(A$5:A646,A646)=1,1,0))</f>
        <v>0</v>
      </c>
    </row>
    <row r="647" customFormat="false" ht="15" hidden="false" customHeight="false" outlineLevel="0" collapsed="false">
      <c r="A647" s="12"/>
      <c r="B647" s="13"/>
      <c r="C647" s="14"/>
      <c r="D647" s="14"/>
      <c r="E647" s="15"/>
      <c r="F647" s="16" t="str">
        <f aca="false">IF(OR(C647="",D647="",E647=""),"",C647*D647*E647)</f>
        <v/>
      </c>
      <c r="G647" s="17" t="str">
        <f aca="false">IF(OR(D647="",E647=""),"",E647*(1+D647/30))</f>
        <v/>
      </c>
      <c r="H647" s="19" t="n">
        <f aca="false">IF(G647="",0,G647)</f>
        <v>0</v>
      </c>
      <c r="I647" s="18" t="str">
        <f aca="false">IF(H647&gt;0,IF(H647&gt;=SUMPRODUCT(MAX(($B$5:$B$2004=B647)*$H$5:$H$2004)),"Rekor",""),"")</f>
        <v/>
      </c>
      <c r="J647" s="19" t="n">
        <f aca="false">IF(A647="",0,IF(COUNTIF(A$5:A647,A647)=1,1,0))</f>
        <v>0</v>
      </c>
    </row>
    <row r="648" customFormat="false" ht="15" hidden="false" customHeight="false" outlineLevel="0" collapsed="false">
      <c r="A648" s="12"/>
      <c r="B648" s="13"/>
      <c r="C648" s="14"/>
      <c r="D648" s="14"/>
      <c r="E648" s="15"/>
      <c r="F648" s="16" t="str">
        <f aca="false">IF(OR(C648="",D648="",E648=""),"",C648*D648*E648)</f>
        <v/>
      </c>
      <c r="G648" s="17" t="str">
        <f aca="false">IF(OR(D648="",E648=""),"",E648*(1+D648/30))</f>
        <v/>
      </c>
      <c r="H648" s="19" t="n">
        <f aca="false">IF(G648="",0,G648)</f>
        <v>0</v>
      </c>
      <c r="I648" s="18" t="str">
        <f aca="false">IF(H648&gt;0,IF(H648&gt;=SUMPRODUCT(MAX(($B$5:$B$2004=B648)*$H$5:$H$2004)),"Rekor",""),"")</f>
        <v/>
      </c>
      <c r="J648" s="19" t="n">
        <f aca="false">IF(A648="",0,IF(COUNTIF(A$5:A648,A648)=1,1,0))</f>
        <v>0</v>
      </c>
    </row>
    <row r="649" customFormat="false" ht="15" hidden="false" customHeight="false" outlineLevel="0" collapsed="false">
      <c r="A649" s="12"/>
      <c r="B649" s="13"/>
      <c r="C649" s="14"/>
      <c r="D649" s="14"/>
      <c r="E649" s="15"/>
      <c r="F649" s="16" t="str">
        <f aca="false">IF(OR(C649="",D649="",E649=""),"",C649*D649*E649)</f>
        <v/>
      </c>
      <c r="G649" s="17" t="str">
        <f aca="false">IF(OR(D649="",E649=""),"",E649*(1+D649/30))</f>
        <v/>
      </c>
      <c r="H649" s="19" t="n">
        <f aca="false">IF(G649="",0,G649)</f>
        <v>0</v>
      </c>
      <c r="I649" s="18" t="str">
        <f aca="false">IF(H649&gt;0,IF(H649&gt;=SUMPRODUCT(MAX(($B$5:$B$2004=B649)*$H$5:$H$2004)),"Rekor",""),"")</f>
        <v/>
      </c>
      <c r="J649" s="19" t="n">
        <f aca="false">IF(A649="",0,IF(COUNTIF(A$5:A649,A649)=1,1,0))</f>
        <v>0</v>
      </c>
    </row>
    <row r="650" customFormat="false" ht="15" hidden="false" customHeight="false" outlineLevel="0" collapsed="false">
      <c r="A650" s="12"/>
      <c r="B650" s="13"/>
      <c r="C650" s="14"/>
      <c r="D650" s="14"/>
      <c r="E650" s="15"/>
      <c r="F650" s="16" t="str">
        <f aca="false">IF(OR(C650="",D650="",E650=""),"",C650*D650*E650)</f>
        <v/>
      </c>
      <c r="G650" s="17" t="str">
        <f aca="false">IF(OR(D650="",E650=""),"",E650*(1+D650/30))</f>
        <v/>
      </c>
      <c r="H650" s="19" t="n">
        <f aca="false">IF(G650="",0,G650)</f>
        <v>0</v>
      </c>
      <c r="I650" s="18" t="str">
        <f aca="false">IF(H650&gt;0,IF(H650&gt;=SUMPRODUCT(MAX(($B$5:$B$2004=B650)*$H$5:$H$2004)),"Rekor",""),"")</f>
        <v/>
      </c>
      <c r="J650" s="19" t="n">
        <f aca="false">IF(A650="",0,IF(COUNTIF(A$5:A650,A650)=1,1,0))</f>
        <v>0</v>
      </c>
    </row>
    <row r="651" customFormat="false" ht="15" hidden="false" customHeight="false" outlineLevel="0" collapsed="false">
      <c r="A651" s="12"/>
      <c r="B651" s="13"/>
      <c r="C651" s="14"/>
      <c r="D651" s="14"/>
      <c r="E651" s="15"/>
      <c r="F651" s="16" t="str">
        <f aca="false">IF(OR(C651="",D651="",E651=""),"",C651*D651*E651)</f>
        <v/>
      </c>
      <c r="G651" s="17" t="str">
        <f aca="false">IF(OR(D651="",E651=""),"",E651*(1+D651/30))</f>
        <v/>
      </c>
      <c r="H651" s="19" t="n">
        <f aca="false">IF(G651="",0,G651)</f>
        <v>0</v>
      </c>
      <c r="I651" s="18" t="str">
        <f aca="false">IF(H651&gt;0,IF(H651&gt;=SUMPRODUCT(MAX(($B$5:$B$2004=B651)*$H$5:$H$2004)),"Rekor",""),"")</f>
        <v/>
      </c>
      <c r="J651" s="19" t="n">
        <f aca="false">IF(A651="",0,IF(COUNTIF(A$5:A651,A651)=1,1,0))</f>
        <v>0</v>
      </c>
    </row>
    <row r="652" customFormat="false" ht="15" hidden="false" customHeight="false" outlineLevel="0" collapsed="false">
      <c r="A652" s="12"/>
      <c r="B652" s="13"/>
      <c r="C652" s="14"/>
      <c r="D652" s="14"/>
      <c r="E652" s="15"/>
      <c r="F652" s="16" t="str">
        <f aca="false">IF(OR(C652="",D652="",E652=""),"",C652*D652*E652)</f>
        <v/>
      </c>
      <c r="G652" s="17" t="str">
        <f aca="false">IF(OR(D652="",E652=""),"",E652*(1+D652/30))</f>
        <v/>
      </c>
      <c r="H652" s="19" t="n">
        <f aca="false">IF(G652="",0,G652)</f>
        <v>0</v>
      </c>
      <c r="I652" s="18" t="str">
        <f aca="false">IF(H652&gt;0,IF(H652&gt;=SUMPRODUCT(MAX(($B$5:$B$2004=B652)*$H$5:$H$2004)),"Rekor",""),"")</f>
        <v/>
      </c>
      <c r="J652" s="19" t="n">
        <f aca="false">IF(A652="",0,IF(COUNTIF(A$5:A652,A652)=1,1,0))</f>
        <v>0</v>
      </c>
    </row>
    <row r="653" customFormat="false" ht="15" hidden="false" customHeight="false" outlineLevel="0" collapsed="false">
      <c r="A653" s="12"/>
      <c r="B653" s="13"/>
      <c r="C653" s="14"/>
      <c r="D653" s="14"/>
      <c r="E653" s="15"/>
      <c r="F653" s="16" t="str">
        <f aca="false">IF(OR(C653="",D653="",E653=""),"",C653*D653*E653)</f>
        <v/>
      </c>
      <c r="G653" s="17" t="str">
        <f aca="false">IF(OR(D653="",E653=""),"",E653*(1+D653/30))</f>
        <v/>
      </c>
      <c r="H653" s="19" t="n">
        <f aca="false">IF(G653="",0,G653)</f>
        <v>0</v>
      </c>
      <c r="I653" s="18" t="str">
        <f aca="false">IF(H653&gt;0,IF(H653&gt;=SUMPRODUCT(MAX(($B$5:$B$2004=B653)*$H$5:$H$2004)),"Rekor",""),"")</f>
        <v/>
      </c>
      <c r="J653" s="19" t="n">
        <f aca="false">IF(A653="",0,IF(COUNTIF(A$5:A653,A653)=1,1,0))</f>
        <v>0</v>
      </c>
    </row>
    <row r="654" customFormat="false" ht="15" hidden="false" customHeight="false" outlineLevel="0" collapsed="false">
      <c r="A654" s="12"/>
      <c r="B654" s="13"/>
      <c r="C654" s="14"/>
      <c r="D654" s="14"/>
      <c r="E654" s="15"/>
      <c r="F654" s="16" t="str">
        <f aca="false">IF(OR(C654="",D654="",E654=""),"",C654*D654*E654)</f>
        <v/>
      </c>
      <c r="G654" s="17" t="str">
        <f aca="false">IF(OR(D654="",E654=""),"",E654*(1+D654/30))</f>
        <v/>
      </c>
      <c r="H654" s="19" t="n">
        <f aca="false">IF(G654="",0,G654)</f>
        <v>0</v>
      </c>
      <c r="I654" s="18" t="str">
        <f aca="false">IF(H654&gt;0,IF(H654&gt;=SUMPRODUCT(MAX(($B$5:$B$2004=B654)*$H$5:$H$2004)),"Rekor",""),"")</f>
        <v/>
      </c>
      <c r="J654" s="19" t="n">
        <f aca="false">IF(A654="",0,IF(COUNTIF(A$5:A654,A654)=1,1,0))</f>
        <v>0</v>
      </c>
    </row>
    <row r="655" customFormat="false" ht="15" hidden="false" customHeight="false" outlineLevel="0" collapsed="false">
      <c r="A655" s="12"/>
      <c r="B655" s="13"/>
      <c r="C655" s="14"/>
      <c r="D655" s="14"/>
      <c r="E655" s="15"/>
      <c r="F655" s="16" t="str">
        <f aca="false">IF(OR(C655="",D655="",E655=""),"",C655*D655*E655)</f>
        <v/>
      </c>
      <c r="G655" s="17" t="str">
        <f aca="false">IF(OR(D655="",E655=""),"",E655*(1+D655/30))</f>
        <v/>
      </c>
      <c r="H655" s="19" t="n">
        <f aca="false">IF(G655="",0,G655)</f>
        <v>0</v>
      </c>
      <c r="I655" s="18" t="str">
        <f aca="false">IF(H655&gt;0,IF(H655&gt;=SUMPRODUCT(MAX(($B$5:$B$2004=B655)*$H$5:$H$2004)),"Rekor",""),"")</f>
        <v/>
      </c>
      <c r="J655" s="19" t="n">
        <f aca="false">IF(A655="",0,IF(COUNTIF(A$5:A655,A655)=1,1,0))</f>
        <v>0</v>
      </c>
    </row>
    <row r="656" customFormat="false" ht="15" hidden="false" customHeight="false" outlineLevel="0" collapsed="false">
      <c r="A656" s="12"/>
      <c r="B656" s="13"/>
      <c r="C656" s="14"/>
      <c r="D656" s="14"/>
      <c r="E656" s="15"/>
      <c r="F656" s="16" t="str">
        <f aca="false">IF(OR(C656="",D656="",E656=""),"",C656*D656*E656)</f>
        <v/>
      </c>
      <c r="G656" s="17" t="str">
        <f aca="false">IF(OR(D656="",E656=""),"",E656*(1+D656/30))</f>
        <v/>
      </c>
      <c r="H656" s="19" t="n">
        <f aca="false">IF(G656="",0,G656)</f>
        <v>0</v>
      </c>
      <c r="I656" s="18" t="str">
        <f aca="false">IF(H656&gt;0,IF(H656&gt;=SUMPRODUCT(MAX(($B$5:$B$2004=B656)*$H$5:$H$2004)),"Rekor",""),"")</f>
        <v/>
      </c>
      <c r="J656" s="19" t="n">
        <f aca="false">IF(A656="",0,IF(COUNTIF(A$5:A656,A656)=1,1,0))</f>
        <v>0</v>
      </c>
    </row>
    <row r="657" customFormat="false" ht="15" hidden="false" customHeight="false" outlineLevel="0" collapsed="false">
      <c r="A657" s="12"/>
      <c r="B657" s="13"/>
      <c r="C657" s="14"/>
      <c r="D657" s="14"/>
      <c r="E657" s="15"/>
      <c r="F657" s="16" t="str">
        <f aca="false">IF(OR(C657="",D657="",E657=""),"",C657*D657*E657)</f>
        <v/>
      </c>
      <c r="G657" s="17" t="str">
        <f aca="false">IF(OR(D657="",E657=""),"",E657*(1+D657/30))</f>
        <v/>
      </c>
      <c r="H657" s="19" t="n">
        <f aca="false">IF(G657="",0,G657)</f>
        <v>0</v>
      </c>
      <c r="I657" s="18" t="str">
        <f aca="false">IF(H657&gt;0,IF(H657&gt;=SUMPRODUCT(MAX(($B$5:$B$2004=B657)*$H$5:$H$2004)),"Rekor",""),"")</f>
        <v/>
      </c>
      <c r="J657" s="19" t="n">
        <f aca="false">IF(A657="",0,IF(COUNTIF(A$5:A657,A657)=1,1,0))</f>
        <v>0</v>
      </c>
    </row>
    <row r="658" customFormat="false" ht="15" hidden="false" customHeight="false" outlineLevel="0" collapsed="false">
      <c r="A658" s="12"/>
      <c r="B658" s="13"/>
      <c r="C658" s="14"/>
      <c r="D658" s="14"/>
      <c r="E658" s="15"/>
      <c r="F658" s="16" t="str">
        <f aca="false">IF(OR(C658="",D658="",E658=""),"",C658*D658*E658)</f>
        <v/>
      </c>
      <c r="G658" s="17" t="str">
        <f aca="false">IF(OR(D658="",E658=""),"",E658*(1+D658/30))</f>
        <v/>
      </c>
      <c r="H658" s="19" t="n">
        <f aca="false">IF(G658="",0,G658)</f>
        <v>0</v>
      </c>
      <c r="I658" s="18" t="str">
        <f aca="false">IF(H658&gt;0,IF(H658&gt;=SUMPRODUCT(MAX(($B$5:$B$2004=B658)*$H$5:$H$2004)),"Rekor",""),"")</f>
        <v/>
      </c>
      <c r="J658" s="19" t="n">
        <f aca="false">IF(A658="",0,IF(COUNTIF(A$5:A658,A658)=1,1,0))</f>
        <v>0</v>
      </c>
    </row>
    <row r="659" customFormat="false" ht="15" hidden="false" customHeight="false" outlineLevel="0" collapsed="false">
      <c r="A659" s="12"/>
      <c r="B659" s="13"/>
      <c r="C659" s="14"/>
      <c r="D659" s="14"/>
      <c r="E659" s="15"/>
      <c r="F659" s="16" t="str">
        <f aca="false">IF(OR(C659="",D659="",E659=""),"",C659*D659*E659)</f>
        <v/>
      </c>
      <c r="G659" s="17" t="str">
        <f aca="false">IF(OR(D659="",E659=""),"",E659*(1+D659/30))</f>
        <v/>
      </c>
      <c r="H659" s="19" t="n">
        <f aca="false">IF(G659="",0,G659)</f>
        <v>0</v>
      </c>
      <c r="I659" s="18" t="str">
        <f aca="false">IF(H659&gt;0,IF(H659&gt;=SUMPRODUCT(MAX(($B$5:$B$2004=B659)*$H$5:$H$2004)),"Rekor",""),"")</f>
        <v/>
      </c>
      <c r="J659" s="19" t="n">
        <f aca="false">IF(A659="",0,IF(COUNTIF(A$5:A659,A659)=1,1,0))</f>
        <v>0</v>
      </c>
    </row>
    <row r="660" customFormat="false" ht="15" hidden="false" customHeight="false" outlineLevel="0" collapsed="false">
      <c r="A660" s="12"/>
      <c r="B660" s="13"/>
      <c r="C660" s="14"/>
      <c r="D660" s="14"/>
      <c r="E660" s="15"/>
      <c r="F660" s="16" t="str">
        <f aca="false">IF(OR(C660="",D660="",E660=""),"",C660*D660*E660)</f>
        <v/>
      </c>
      <c r="G660" s="17" t="str">
        <f aca="false">IF(OR(D660="",E660=""),"",E660*(1+D660/30))</f>
        <v/>
      </c>
      <c r="H660" s="19" t="n">
        <f aca="false">IF(G660="",0,G660)</f>
        <v>0</v>
      </c>
      <c r="I660" s="18" t="str">
        <f aca="false">IF(H660&gt;0,IF(H660&gt;=SUMPRODUCT(MAX(($B$5:$B$2004=B660)*$H$5:$H$2004)),"Rekor",""),"")</f>
        <v/>
      </c>
      <c r="J660" s="19" t="n">
        <f aca="false">IF(A660="",0,IF(COUNTIF(A$5:A660,A660)=1,1,0))</f>
        <v>0</v>
      </c>
    </row>
    <row r="661" customFormat="false" ht="15" hidden="false" customHeight="false" outlineLevel="0" collapsed="false">
      <c r="A661" s="12"/>
      <c r="B661" s="13"/>
      <c r="C661" s="14"/>
      <c r="D661" s="14"/>
      <c r="E661" s="15"/>
      <c r="F661" s="16" t="str">
        <f aca="false">IF(OR(C661="",D661="",E661=""),"",C661*D661*E661)</f>
        <v/>
      </c>
      <c r="G661" s="17" t="str">
        <f aca="false">IF(OR(D661="",E661=""),"",E661*(1+D661/30))</f>
        <v/>
      </c>
      <c r="H661" s="19" t="n">
        <f aca="false">IF(G661="",0,G661)</f>
        <v>0</v>
      </c>
      <c r="I661" s="18" t="str">
        <f aca="false">IF(H661&gt;0,IF(H661&gt;=SUMPRODUCT(MAX(($B$5:$B$2004=B661)*$H$5:$H$2004)),"Rekor",""),"")</f>
        <v/>
      </c>
      <c r="J661" s="19" t="n">
        <f aca="false">IF(A661="",0,IF(COUNTIF(A$5:A661,A661)=1,1,0))</f>
        <v>0</v>
      </c>
    </row>
    <row r="662" customFormat="false" ht="15" hidden="false" customHeight="false" outlineLevel="0" collapsed="false">
      <c r="A662" s="12"/>
      <c r="B662" s="13"/>
      <c r="C662" s="14"/>
      <c r="D662" s="14"/>
      <c r="E662" s="15"/>
      <c r="F662" s="16" t="str">
        <f aca="false">IF(OR(C662="",D662="",E662=""),"",C662*D662*E662)</f>
        <v/>
      </c>
      <c r="G662" s="17" t="str">
        <f aca="false">IF(OR(D662="",E662=""),"",E662*(1+D662/30))</f>
        <v/>
      </c>
      <c r="H662" s="19" t="n">
        <f aca="false">IF(G662="",0,G662)</f>
        <v>0</v>
      </c>
      <c r="I662" s="18" t="str">
        <f aca="false">IF(H662&gt;0,IF(H662&gt;=SUMPRODUCT(MAX(($B$5:$B$2004=B662)*$H$5:$H$2004)),"Rekor",""),"")</f>
        <v/>
      </c>
      <c r="J662" s="19" t="n">
        <f aca="false">IF(A662="",0,IF(COUNTIF(A$5:A662,A662)=1,1,0))</f>
        <v>0</v>
      </c>
    </row>
    <row r="663" customFormat="false" ht="15" hidden="false" customHeight="false" outlineLevel="0" collapsed="false">
      <c r="A663" s="12"/>
      <c r="B663" s="13"/>
      <c r="C663" s="14"/>
      <c r="D663" s="14"/>
      <c r="E663" s="15"/>
      <c r="F663" s="16" t="str">
        <f aca="false">IF(OR(C663="",D663="",E663=""),"",C663*D663*E663)</f>
        <v/>
      </c>
      <c r="G663" s="17" t="str">
        <f aca="false">IF(OR(D663="",E663=""),"",E663*(1+D663/30))</f>
        <v/>
      </c>
      <c r="H663" s="19" t="n">
        <f aca="false">IF(G663="",0,G663)</f>
        <v>0</v>
      </c>
      <c r="I663" s="18" t="str">
        <f aca="false">IF(H663&gt;0,IF(H663&gt;=SUMPRODUCT(MAX(($B$5:$B$2004=B663)*$H$5:$H$2004)),"Rekor",""),"")</f>
        <v/>
      </c>
      <c r="J663" s="19" t="n">
        <f aca="false">IF(A663="",0,IF(COUNTIF(A$5:A663,A663)=1,1,0))</f>
        <v>0</v>
      </c>
    </row>
    <row r="664" customFormat="false" ht="15" hidden="false" customHeight="false" outlineLevel="0" collapsed="false">
      <c r="A664" s="12"/>
      <c r="B664" s="13"/>
      <c r="C664" s="14"/>
      <c r="D664" s="14"/>
      <c r="E664" s="15"/>
      <c r="F664" s="16" t="str">
        <f aca="false">IF(OR(C664="",D664="",E664=""),"",C664*D664*E664)</f>
        <v/>
      </c>
      <c r="G664" s="17" t="str">
        <f aca="false">IF(OR(D664="",E664=""),"",E664*(1+D664/30))</f>
        <v/>
      </c>
      <c r="H664" s="19" t="n">
        <f aca="false">IF(G664="",0,G664)</f>
        <v>0</v>
      </c>
      <c r="I664" s="18" t="str">
        <f aca="false">IF(H664&gt;0,IF(H664&gt;=SUMPRODUCT(MAX(($B$5:$B$2004=B664)*$H$5:$H$2004)),"Rekor",""),"")</f>
        <v/>
      </c>
      <c r="J664" s="19" t="n">
        <f aca="false">IF(A664="",0,IF(COUNTIF(A$5:A664,A664)=1,1,0))</f>
        <v>0</v>
      </c>
    </row>
    <row r="665" customFormat="false" ht="15" hidden="false" customHeight="false" outlineLevel="0" collapsed="false">
      <c r="A665" s="12"/>
      <c r="B665" s="13"/>
      <c r="C665" s="14"/>
      <c r="D665" s="14"/>
      <c r="E665" s="15"/>
      <c r="F665" s="16" t="str">
        <f aca="false">IF(OR(C665="",D665="",E665=""),"",C665*D665*E665)</f>
        <v/>
      </c>
      <c r="G665" s="17" t="str">
        <f aca="false">IF(OR(D665="",E665=""),"",E665*(1+D665/30))</f>
        <v/>
      </c>
      <c r="H665" s="19" t="n">
        <f aca="false">IF(G665="",0,G665)</f>
        <v>0</v>
      </c>
      <c r="I665" s="18" t="str">
        <f aca="false">IF(H665&gt;0,IF(H665&gt;=SUMPRODUCT(MAX(($B$5:$B$2004=B665)*$H$5:$H$2004)),"Rekor",""),"")</f>
        <v/>
      </c>
      <c r="J665" s="19" t="n">
        <f aca="false">IF(A665="",0,IF(COUNTIF(A$5:A665,A665)=1,1,0))</f>
        <v>0</v>
      </c>
    </row>
    <row r="666" customFormat="false" ht="15" hidden="false" customHeight="false" outlineLevel="0" collapsed="false">
      <c r="A666" s="12"/>
      <c r="B666" s="13"/>
      <c r="C666" s="14"/>
      <c r="D666" s="14"/>
      <c r="E666" s="15"/>
      <c r="F666" s="16" t="str">
        <f aca="false">IF(OR(C666="",D666="",E666=""),"",C666*D666*E666)</f>
        <v/>
      </c>
      <c r="G666" s="17" t="str">
        <f aca="false">IF(OR(D666="",E666=""),"",E666*(1+D666/30))</f>
        <v/>
      </c>
      <c r="H666" s="19" t="n">
        <f aca="false">IF(G666="",0,G666)</f>
        <v>0</v>
      </c>
      <c r="I666" s="18" t="str">
        <f aca="false">IF(H666&gt;0,IF(H666&gt;=SUMPRODUCT(MAX(($B$5:$B$2004=B666)*$H$5:$H$2004)),"Rekor",""),"")</f>
        <v/>
      </c>
      <c r="J666" s="19" t="n">
        <f aca="false">IF(A666="",0,IF(COUNTIF(A$5:A666,A666)=1,1,0))</f>
        <v>0</v>
      </c>
    </row>
    <row r="667" customFormat="false" ht="15" hidden="false" customHeight="false" outlineLevel="0" collapsed="false">
      <c r="A667" s="12"/>
      <c r="B667" s="13"/>
      <c r="C667" s="14"/>
      <c r="D667" s="14"/>
      <c r="E667" s="15"/>
      <c r="F667" s="16" t="str">
        <f aca="false">IF(OR(C667="",D667="",E667=""),"",C667*D667*E667)</f>
        <v/>
      </c>
      <c r="G667" s="17" t="str">
        <f aca="false">IF(OR(D667="",E667=""),"",E667*(1+D667/30))</f>
        <v/>
      </c>
      <c r="H667" s="19" t="n">
        <f aca="false">IF(G667="",0,G667)</f>
        <v>0</v>
      </c>
      <c r="I667" s="18" t="str">
        <f aca="false">IF(H667&gt;0,IF(H667&gt;=SUMPRODUCT(MAX(($B$5:$B$2004=B667)*$H$5:$H$2004)),"Rekor",""),"")</f>
        <v/>
      </c>
      <c r="J667" s="19" t="n">
        <f aca="false">IF(A667="",0,IF(COUNTIF(A$5:A667,A667)=1,1,0))</f>
        <v>0</v>
      </c>
    </row>
    <row r="668" customFormat="false" ht="15" hidden="false" customHeight="false" outlineLevel="0" collapsed="false">
      <c r="A668" s="12"/>
      <c r="B668" s="13"/>
      <c r="C668" s="14"/>
      <c r="D668" s="14"/>
      <c r="E668" s="15"/>
      <c r="F668" s="16" t="str">
        <f aca="false">IF(OR(C668="",D668="",E668=""),"",C668*D668*E668)</f>
        <v/>
      </c>
      <c r="G668" s="17" t="str">
        <f aca="false">IF(OR(D668="",E668=""),"",E668*(1+D668/30))</f>
        <v/>
      </c>
      <c r="H668" s="19" t="n">
        <f aca="false">IF(G668="",0,G668)</f>
        <v>0</v>
      </c>
      <c r="I668" s="18" t="str">
        <f aca="false">IF(H668&gt;0,IF(H668&gt;=SUMPRODUCT(MAX(($B$5:$B$2004=B668)*$H$5:$H$2004)),"Rekor",""),"")</f>
        <v/>
      </c>
      <c r="J668" s="19" t="n">
        <f aca="false">IF(A668="",0,IF(COUNTIF(A$5:A668,A668)=1,1,0))</f>
        <v>0</v>
      </c>
    </row>
    <row r="669" customFormat="false" ht="15" hidden="false" customHeight="false" outlineLevel="0" collapsed="false">
      <c r="A669" s="12"/>
      <c r="B669" s="13"/>
      <c r="C669" s="14"/>
      <c r="D669" s="14"/>
      <c r="E669" s="15"/>
      <c r="F669" s="16" t="str">
        <f aca="false">IF(OR(C669="",D669="",E669=""),"",C669*D669*E669)</f>
        <v/>
      </c>
      <c r="G669" s="17" t="str">
        <f aca="false">IF(OR(D669="",E669=""),"",E669*(1+D669/30))</f>
        <v/>
      </c>
      <c r="H669" s="19" t="n">
        <f aca="false">IF(G669="",0,G669)</f>
        <v>0</v>
      </c>
      <c r="I669" s="18" t="str">
        <f aca="false">IF(H669&gt;0,IF(H669&gt;=SUMPRODUCT(MAX(($B$5:$B$2004=B669)*$H$5:$H$2004)),"Rekor",""),"")</f>
        <v/>
      </c>
      <c r="J669" s="19" t="n">
        <f aca="false">IF(A669="",0,IF(COUNTIF(A$5:A669,A669)=1,1,0))</f>
        <v>0</v>
      </c>
    </row>
    <row r="670" customFormat="false" ht="15" hidden="false" customHeight="false" outlineLevel="0" collapsed="false">
      <c r="A670" s="12"/>
      <c r="B670" s="13"/>
      <c r="C670" s="14"/>
      <c r="D670" s="14"/>
      <c r="E670" s="15"/>
      <c r="F670" s="16" t="str">
        <f aca="false">IF(OR(C670="",D670="",E670=""),"",C670*D670*E670)</f>
        <v/>
      </c>
      <c r="G670" s="17" t="str">
        <f aca="false">IF(OR(D670="",E670=""),"",E670*(1+D670/30))</f>
        <v/>
      </c>
      <c r="H670" s="19" t="n">
        <f aca="false">IF(G670="",0,G670)</f>
        <v>0</v>
      </c>
      <c r="I670" s="18" t="str">
        <f aca="false">IF(H670&gt;0,IF(H670&gt;=SUMPRODUCT(MAX(($B$5:$B$2004=B670)*$H$5:$H$2004)),"Rekor",""),"")</f>
        <v/>
      </c>
      <c r="J670" s="19" t="n">
        <f aca="false">IF(A670="",0,IF(COUNTIF(A$5:A670,A670)=1,1,0))</f>
        <v>0</v>
      </c>
    </row>
    <row r="671" customFormat="false" ht="15" hidden="false" customHeight="false" outlineLevel="0" collapsed="false">
      <c r="A671" s="12"/>
      <c r="B671" s="13"/>
      <c r="C671" s="14"/>
      <c r="D671" s="14"/>
      <c r="E671" s="15"/>
      <c r="F671" s="16" t="str">
        <f aca="false">IF(OR(C671="",D671="",E671=""),"",C671*D671*E671)</f>
        <v/>
      </c>
      <c r="G671" s="17" t="str">
        <f aca="false">IF(OR(D671="",E671=""),"",E671*(1+D671/30))</f>
        <v/>
      </c>
      <c r="H671" s="19" t="n">
        <f aca="false">IF(G671="",0,G671)</f>
        <v>0</v>
      </c>
      <c r="I671" s="18" t="str">
        <f aca="false">IF(H671&gt;0,IF(H671&gt;=SUMPRODUCT(MAX(($B$5:$B$2004=B671)*$H$5:$H$2004)),"Rekor",""),"")</f>
        <v/>
      </c>
      <c r="J671" s="19" t="n">
        <f aca="false">IF(A671="",0,IF(COUNTIF(A$5:A671,A671)=1,1,0))</f>
        <v>0</v>
      </c>
    </row>
    <row r="672" customFormat="false" ht="15" hidden="false" customHeight="false" outlineLevel="0" collapsed="false">
      <c r="A672" s="12"/>
      <c r="B672" s="13"/>
      <c r="C672" s="14"/>
      <c r="D672" s="14"/>
      <c r="E672" s="15"/>
      <c r="F672" s="16" t="str">
        <f aca="false">IF(OR(C672="",D672="",E672=""),"",C672*D672*E672)</f>
        <v/>
      </c>
      <c r="G672" s="17" t="str">
        <f aca="false">IF(OR(D672="",E672=""),"",E672*(1+D672/30))</f>
        <v/>
      </c>
      <c r="H672" s="19" t="n">
        <f aca="false">IF(G672="",0,G672)</f>
        <v>0</v>
      </c>
      <c r="I672" s="18" t="str">
        <f aca="false">IF(H672&gt;0,IF(H672&gt;=SUMPRODUCT(MAX(($B$5:$B$2004=B672)*$H$5:$H$2004)),"Rekor",""),"")</f>
        <v/>
      </c>
      <c r="J672" s="19" t="n">
        <f aca="false">IF(A672="",0,IF(COUNTIF(A$5:A672,A672)=1,1,0))</f>
        <v>0</v>
      </c>
    </row>
    <row r="673" customFormat="false" ht="15" hidden="false" customHeight="false" outlineLevel="0" collapsed="false">
      <c r="A673" s="12"/>
      <c r="B673" s="13"/>
      <c r="C673" s="14"/>
      <c r="D673" s="14"/>
      <c r="E673" s="15"/>
      <c r="F673" s="16" t="str">
        <f aca="false">IF(OR(C673="",D673="",E673=""),"",C673*D673*E673)</f>
        <v/>
      </c>
      <c r="G673" s="17" t="str">
        <f aca="false">IF(OR(D673="",E673=""),"",E673*(1+D673/30))</f>
        <v/>
      </c>
      <c r="H673" s="19" t="n">
        <f aca="false">IF(G673="",0,G673)</f>
        <v>0</v>
      </c>
      <c r="I673" s="18" t="str">
        <f aca="false">IF(H673&gt;0,IF(H673&gt;=SUMPRODUCT(MAX(($B$5:$B$2004=B673)*$H$5:$H$2004)),"Rekor",""),"")</f>
        <v/>
      </c>
      <c r="J673" s="19" t="n">
        <f aca="false">IF(A673="",0,IF(COUNTIF(A$5:A673,A673)=1,1,0))</f>
        <v>0</v>
      </c>
    </row>
    <row r="674" customFormat="false" ht="15" hidden="false" customHeight="false" outlineLevel="0" collapsed="false">
      <c r="A674" s="12"/>
      <c r="B674" s="13"/>
      <c r="C674" s="14"/>
      <c r="D674" s="14"/>
      <c r="E674" s="15"/>
      <c r="F674" s="16" t="str">
        <f aca="false">IF(OR(C674="",D674="",E674=""),"",C674*D674*E674)</f>
        <v/>
      </c>
      <c r="G674" s="17" t="str">
        <f aca="false">IF(OR(D674="",E674=""),"",E674*(1+D674/30))</f>
        <v/>
      </c>
      <c r="H674" s="19" t="n">
        <f aca="false">IF(G674="",0,G674)</f>
        <v>0</v>
      </c>
      <c r="I674" s="18" t="str">
        <f aca="false">IF(H674&gt;0,IF(H674&gt;=SUMPRODUCT(MAX(($B$5:$B$2004=B674)*$H$5:$H$2004)),"Rekor",""),"")</f>
        <v/>
      </c>
      <c r="J674" s="19" t="n">
        <f aca="false">IF(A674="",0,IF(COUNTIF(A$5:A674,A674)=1,1,0))</f>
        <v>0</v>
      </c>
    </row>
    <row r="675" customFormat="false" ht="15" hidden="false" customHeight="false" outlineLevel="0" collapsed="false">
      <c r="A675" s="12"/>
      <c r="B675" s="13"/>
      <c r="C675" s="14"/>
      <c r="D675" s="14"/>
      <c r="E675" s="15"/>
      <c r="F675" s="16" t="str">
        <f aca="false">IF(OR(C675="",D675="",E675=""),"",C675*D675*E675)</f>
        <v/>
      </c>
      <c r="G675" s="17" t="str">
        <f aca="false">IF(OR(D675="",E675=""),"",E675*(1+D675/30))</f>
        <v/>
      </c>
      <c r="H675" s="19" t="n">
        <f aca="false">IF(G675="",0,G675)</f>
        <v>0</v>
      </c>
      <c r="I675" s="18" t="str">
        <f aca="false">IF(H675&gt;0,IF(H675&gt;=SUMPRODUCT(MAX(($B$5:$B$2004=B675)*$H$5:$H$2004)),"Rekor",""),"")</f>
        <v/>
      </c>
      <c r="J675" s="19" t="n">
        <f aca="false">IF(A675="",0,IF(COUNTIF(A$5:A675,A675)=1,1,0))</f>
        <v>0</v>
      </c>
    </row>
    <row r="676" customFormat="false" ht="15" hidden="false" customHeight="false" outlineLevel="0" collapsed="false">
      <c r="A676" s="12"/>
      <c r="B676" s="13"/>
      <c r="C676" s="14"/>
      <c r="D676" s="14"/>
      <c r="E676" s="15"/>
      <c r="F676" s="16" t="str">
        <f aca="false">IF(OR(C676="",D676="",E676=""),"",C676*D676*E676)</f>
        <v/>
      </c>
      <c r="G676" s="17" t="str">
        <f aca="false">IF(OR(D676="",E676=""),"",E676*(1+D676/30))</f>
        <v/>
      </c>
      <c r="H676" s="19" t="n">
        <f aca="false">IF(G676="",0,G676)</f>
        <v>0</v>
      </c>
      <c r="I676" s="18" t="str">
        <f aca="false">IF(H676&gt;0,IF(H676&gt;=SUMPRODUCT(MAX(($B$5:$B$2004=B676)*$H$5:$H$2004)),"Rekor",""),"")</f>
        <v/>
      </c>
      <c r="J676" s="19" t="n">
        <f aca="false">IF(A676="",0,IF(COUNTIF(A$5:A676,A676)=1,1,0))</f>
        <v>0</v>
      </c>
    </row>
    <row r="677" customFormat="false" ht="15" hidden="false" customHeight="false" outlineLevel="0" collapsed="false">
      <c r="A677" s="12"/>
      <c r="B677" s="13"/>
      <c r="C677" s="14"/>
      <c r="D677" s="14"/>
      <c r="E677" s="15"/>
      <c r="F677" s="16" t="str">
        <f aca="false">IF(OR(C677="",D677="",E677=""),"",C677*D677*E677)</f>
        <v/>
      </c>
      <c r="G677" s="17" t="str">
        <f aca="false">IF(OR(D677="",E677=""),"",E677*(1+D677/30))</f>
        <v/>
      </c>
      <c r="H677" s="19" t="n">
        <f aca="false">IF(G677="",0,G677)</f>
        <v>0</v>
      </c>
      <c r="I677" s="18" t="str">
        <f aca="false">IF(H677&gt;0,IF(H677&gt;=SUMPRODUCT(MAX(($B$5:$B$2004=B677)*$H$5:$H$2004)),"Rekor",""),"")</f>
        <v/>
      </c>
      <c r="J677" s="19" t="n">
        <f aca="false">IF(A677="",0,IF(COUNTIF(A$5:A677,A677)=1,1,0))</f>
        <v>0</v>
      </c>
    </row>
    <row r="678" customFormat="false" ht="15" hidden="false" customHeight="false" outlineLevel="0" collapsed="false">
      <c r="A678" s="12"/>
      <c r="B678" s="13"/>
      <c r="C678" s="14"/>
      <c r="D678" s="14"/>
      <c r="E678" s="15"/>
      <c r="F678" s="16" t="str">
        <f aca="false">IF(OR(C678="",D678="",E678=""),"",C678*D678*E678)</f>
        <v/>
      </c>
      <c r="G678" s="17" t="str">
        <f aca="false">IF(OR(D678="",E678=""),"",E678*(1+D678/30))</f>
        <v/>
      </c>
      <c r="H678" s="19" t="n">
        <f aca="false">IF(G678="",0,G678)</f>
        <v>0</v>
      </c>
      <c r="I678" s="18" t="str">
        <f aca="false">IF(H678&gt;0,IF(H678&gt;=SUMPRODUCT(MAX(($B$5:$B$2004=B678)*$H$5:$H$2004)),"Rekor",""),"")</f>
        <v/>
      </c>
      <c r="J678" s="19" t="n">
        <f aca="false">IF(A678="",0,IF(COUNTIF(A$5:A678,A678)=1,1,0))</f>
        <v>0</v>
      </c>
    </row>
    <row r="679" customFormat="false" ht="15" hidden="false" customHeight="false" outlineLevel="0" collapsed="false">
      <c r="A679" s="12"/>
      <c r="B679" s="13"/>
      <c r="C679" s="14"/>
      <c r="D679" s="14"/>
      <c r="E679" s="15"/>
      <c r="F679" s="16" t="str">
        <f aca="false">IF(OR(C679="",D679="",E679=""),"",C679*D679*E679)</f>
        <v/>
      </c>
      <c r="G679" s="17" t="str">
        <f aca="false">IF(OR(D679="",E679=""),"",E679*(1+D679/30))</f>
        <v/>
      </c>
      <c r="H679" s="19" t="n">
        <f aca="false">IF(G679="",0,G679)</f>
        <v>0</v>
      </c>
      <c r="I679" s="18" t="str">
        <f aca="false">IF(H679&gt;0,IF(H679&gt;=SUMPRODUCT(MAX(($B$5:$B$2004=B679)*$H$5:$H$2004)),"Rekor",""),"")</f>
        <v/>
      </c>
      <c r="J679" s="19" t="n">
        <f aca="false">IF(A679="",0,IF(COUNTIF(A$5:A679,A679)=1,1,0))</f>
        <v>0</v>
      </c>
    </row>
    <row r="680" customFormat="false" ht="15" hidden="false" customHeight="false" outlineLevel="0" collapsed="false">
      <c r="A680" s="12"/>
      <c r="B680" s="13"/>
      <c r="C680" s="14"/>
      <c r="D680" s="14"/>
      <c r="E680" s="15"/>
      <c r="F680" s="16" t="str">
        <f aca="false">IF(OR(C680="",D680="",E680=""),"",C680*D680*E680)</f>
        <v/>
      </c>
      <c r="G680" s="17" t="str">
        <f aca="false">IF(OR(D680="",E680=""),"",E680*(1+D680/30))</f>
        <v/>
      </c>
      <c r="H680" s="19" t="n">
        <f aca="false">IF(G680="",0,G680)</f>
        <v>0</v>
      </c>
      <c r="I680" s="18" t="str">
        <f aca="false">IF(H680&gt;0,IF(H680&gt;=SUMPRODUCT(MAX(($B$5:$B$2004=B680)*$H$5:$H$2004)),"Rekor",""),"")</f>
        <v/>
      </c>
      <c r="J680" s="19" t="n">
        <f aca="false">IF(A680="",0,IF(COUNTIF(A$5:A680,A680)=1,1,0))</f>
        <v>0</v>
      </c>
    </row>
    <row r="681" customFormat="false" ht="15" hidden="false" customHeight="false" outlineLevel="0" collapsed="false">
      <c r="A681" s="12"/>
      <c r="B681" s="13"/>
      <c r="C681" s="14"/>
      <c r="D681" s="14"/>
      <c r="E681" s="15"/>
      <c r="F681" s="16" t="str">
        <f aca="false">IF(OR(C681="",D681="",E681=""),"",C681*D681*E681)</f>
        <v/>
      </c>
      <c r="G681" s="17" t="str">
        <f aca="false">IF(OR(D681="",E681=""),"",E681*(1+D681/30))</f>
        <v/>
      </c>
      <c r="H681" s="19" t="n">
        <f aca="false">IF(G681="",0,G681)</f>
        <v>0</v>
      </c>
      <c r="I681" s="18" t="str">
        <f aca="false">IF(H681&gt;0,IF(H681&gt;=SUMPRODUCT(MAX(($B$5:$B$2004=B681)*$H$5:$H$2004)),"Rekor",""),"")</f>
        <v/>
      </c>
      <c r="J681" s="19" t="n">
        <f aca="false">IF(A681="",0,IF(COUNTIF(A$5:A681,A681)=1,1,0))</f>
        <v>0</v>
      </c>
    </row>
    <row r="682" customFormat="false" ht="15" hidden="false" customHeight="false" outlineLevel="0" collapsed="false">
      <c r="A682" s="12"/>
      <c r="B682" s="13"/>
      <c r="C682" s="14"/>
      <c r="D682" s="14"/>
      <c r="E682" s="15"/>
      <c r="F682" s="16" t="str">
        <f aca="false">IF(OR(C682="",D682="",E682=""),"",C682*D682*E682)</f>
        <v/>
      </c>
      <c r="G682" s="17" t="str">
        <f aca="false">IF(OR(D682="",E682=""),"",E682*(1+D682/30))</f>
        <v/>
      </c>
      <c r="H682" s="19" t="n">
        <f aca="false">IF(G682="",0,G682)</f>
        <v>0</v>
      </c>
      <c r="I682" s="18" t="str">
        <f aca="false">IF(H682&gt;0,IF(H682&gt;=SUMPRODUCT(MAX(($B$5:$B$2004=B682)*$H$5:$H$2004)),"Rekor",""),"")</f>
        <v/>
      </c>
      <c r="J682" s="19" t="n">
        <f aca="false">IF(A682="",0,IF(COUNTIF(A$5:A682,A682)=1,1,0))</f>
        <v>0</v>
      </c>
    </row>
    <row r="683" customFormat="false" ht="15" hidden="false" customHeight="false" outlineLevel="0" collapsed="false">
      <c r="A683" s="12"/>
      <c r="B683" s="13"/>
      <c r="C683" s="14"/>
      <c r="D683" s="14"/>
      <c r="E683" s="15"/>
      <c r="F683" s="16" t="str">
        <f aca="false">IF(OR(C683="",D683="",E683=""),"",C683*D683*E683)</f>
        <v/>
      </c>
      <c r="G683" s="17" t="str">
        <f aca="false">IF(OR(D683="",E683=""),"",E683*(1+D683/30))</f>
        <v/>
      </c>
      <c r="H683" s="19" t="n">
        <f aca="false">IF(G683="",0,G683)</f>
        <v>0</v>
      </c>
      <c r="I683" s="18" t="str">
        <f aca="false">IF(H683&gt;0,IF(H683&gt;=SUMPRODUCT(MAX(($B$5:$B$2004=B683)*$H$5:$H$2004)),"Rekor",""),"")</f>
        <v/>
      </c>
      <c r="J683" s="19" t="n">
        <f aca="false">IF(A683="",0,IF(COUNTIF(A$5:A683,A683)=1,1,0))</f>
        <v>0</v>
      </c>
    </row>
    <row r="684" customFormat="false" ht="15" hidden="false" customHeight="false" outlineLevel="0" collapsed="false">
      <c r="A684" s="12"/>
      <c r="B684" s="13"/>
      <c r="C684" s="14"/>
      <c r="D684" s="14"/>
      <c r="E684" s="15"/>
      <c r="F684" s="16" t="str">
        <f aca="false">IF(OR(C684="",D684="",E684=""),"",C684*D684*E684)</f>
        <v/>
      </c>
      <c r="G684" s="17" t="str">
        <f aca="false">IF(OR(D684="",E684=""),"",E684*(1+D684/30))</f>
        <v/>
      </c>
      <c r="H684" s="19" t="n">
        <f aca="false">IF(G684="",0,G684)</f>
        <v>0</v>
      </c>
      <c r="I684" s="18" t="str">
        <f aca="false">IF(H684&gt;0,IF(H684&gt;=SUMPRODUCT(MAX(($B$5:$B$2004=B684)*$H$5:$H$2004)),"Rekor",""),"")</f>
        <v/>
      </c>
      <c r="J684" s="19" t="n">
        <f aca="false">IF(A684="",0,IF(COUNTIF(A$5:A684,A684)=1,1,0))</f>
        <v>0</v>
      </c>
    </row>
    <row r="685" customFormat="false" ht="15" hidden="false" customHeight="false" outlineLevel="0" collapsed="false">
      <c r="A685" s="12"/>
      <c r="B685" s="13"/>
      <c r="C685" s="14"/>
      <c r="D685" s="14"/>
      <c r="E685" s="15"/>
      <c r="F685" s="16" t="str">
        <f aca="false">IF(OR(C685="",D685="",E685=""),"",C685*D685*E685)</f>
        <v/>
      </c>
      <c r="G685" s="17" t="str">
        <f aca="false">IF(OR(D685="",E685=""),"",E685*(1+D685/30))</f>
        <v/>
      </c>
      <c r="H685" s="19" t="n">
        <f aca="false">IF(G685="",0,G685)</f>
        <v>0</v>
      </c>
      <c r="I685" s="18" t="str">
        <f aca="false">IF(H685&gt;0,IF(H685&gt;=SUMPRODUCT(MAX(($B$5:$B$2004=B685)*$H$5:$H$2004)),"Rekor",""),"")</f>
        <v/>
      </c>
      <c r="J685" s="19" t="n">
        <f aca="false">IF(A685="",0,IF(COUNTIF(A$5:A685,A685)=1,1,0))</f>
        <v>0</v>
      </c>
    </row>
    <row r="686" customFormat="false" ht="15" hidden="false" customHeight="false" outlineLevel="0" collapsed="false">
      <c r="A686" s="12"/>
      <c r="B686" s="13"/>
      <c r="C686" s="14"/>
      <c r="D686" s="14"/>
      <c r="E686" s="15"/>
      <c r="F686" s="16" t="str">
        <f aca="false">IF(OR(C686="",D686="",E686=""),"",C686*D686*E686)</f>
        <v/>
      </c>
      <c r="G686" s="17" t="str">
        <f aca="false">IF(OR(D686="",E686=""),"",E686*(1+D686/30))</f>
        <v/>
      </c>
      <c r="H686" s="19" t="n">
        <f aca="false">IF(G686="",0,G686)</f>
        <v>0</v>
      </c>
      <c r="I686" s="18" t="str">
        <f aca="false">IF(H686&gt;0,IF(H686&gt;=SUMPRODUCT(MAX(($B$5:$B$2004=B686)*$H$5:$H$2004)),"Rekor",""),"")</f>
        <v/>
      </c>
      <c r="J686" s="19" t="n">
        <f aca="false">IF(A686="",0,IF(COUNTIF(A$5:A686,A686)=1,1,0))</f>
        <v>0</v>
      </c>
    </row>
    <row r="687" customFormat="false" ht="15" hidden="false" customHeight="false" outlineLevel="0" collapsed="false">
      <c r="A687" s="12"/>
      <c r="B687" s="13"/>
      <c r="C687" s="14"/>
      <c r="D687" s="14"/>
      <c r="E687" s="15"/>
      <c r="F687" s="16" t="str">
        <f aca="false">IF(OR(C687="",D687="",E687=""),"",C687*D687*E687)</f>
        <v/>
      </c>
      <c r="G687" s="17" t="str">
        <f aca="false">IF(OR(D687="",E687=""),"",E687*(1+D687/30))</f>
        <v/>
      </c>
      <c r="H687" s="19" t="n">
        <f aca="false">IF(G687="",0,G687)</f>
        <v>0</v>
      </c>
      <c r="I687" s="18" t="str">
        <f aca="false">IF(H687&gt;0,IF(H687&gt;=SUMPRODUCT(MAX(($B$5:$B$2004=B687)*$H$5:$H$2004)),"Rekor",""),"")</f>
        <v/>
      </c>
      <c r="J687" s="19" t="n">
        <f aca="false">IF(A687="",0,IF(COUNTIF(A$5:A687,A687)=1,1,0))</f>
        <v>0</v>
      </c>
    </row>
    <row r="688" customFormat="false" ht="15" hidden="false" customHeight="false" outlineLevel="0" collapsed="false">
      <c r="A688" s="12"/>
      <c r="B688" s="13"/>
      <c r="C688" s="14"/>
      <c r="D688" s="14"/>
      <c r="E688" s="15"/>
      <c r="F688" s="16" t="str">
        <f aca="false">IF(OR(C688="",D688="",E688=""),"",C688*D688*E688)</f>
        <v/>
      </c>
      <c r="G688" s="17" t="str">
        <f aca="false">IF(OR(D688="",E688=""),"",E688*(1+D688/30))</f>
        <v/>
      </c>
      <c r="H688" s="19" t="n">
        <f aca="false">IF(G688="",0,G688)</f>
        <v>0</v>
      </c>
      <c r="I688" s="18" t="str">
        <f aca="false">IF(H688&gt;0,IF(H688&gt;=SUMPRODUCT(MAX(($B$5:$B$2004=B688)*$H$5:$H$2004)),"Rekor",""),"")</f>
        <v/>
      </c>
      <c r="J688" s="19" t="n">
        <f aca="false">IF(A688="",0,IF(COUNTIF(A$5:A688,A688)=1,1,0))</f>
        <v>0</v>
      </c>
    </row>
    <row r="689" customFormat="false" ht="15" hidden="false" customHeight="false" outlineLevel="0" collapsed="false">
      <c r="A689" s="12"/>
      <c r="B689" s="13"/>
      <c r="C689" s="14"/>
      <c r="D689" s="14"/>
      <c r="E689" s="15"/>
      <c r="F689" s="16" t="str">
        <f aca="false">IF(OR(C689="",D689="",E689=""),"",C689*D689*E689)</f>
        <v/>
      </c>
      <c r="G689" s="17" t="str">
        <f aca="false">IF(OR(D689="",E689=""),"",E689*(1+D689/30))</f>
        <v/>
      </c>
      <c r="H689" s="19" t="n">
        <f aca="false">IF(G689="",0,G689)</f>
        <v>0</v>
      </c>
      <c r="I689" s="18" t="str">
        <f aca="false">IF(H689&gt;0,IF(H689&gt;=SUMPRODUCT(MAX(($B$5:$B$2004=B689)*$H$5:$H$2004)),"Rekor",""),"")</f>
        <v/>
      </c>
      <c r="J689" s="19" t="n">
        <f aca="false">IF(A689="",0,IF(COUNTIF(A$5:A689,A689)=1,1,0))</f>
        <v>0</v>
      </c>
    </row>
    <row r="690" customFormat="false" ht="15" hidden="false" customHeight="false" outlineLevel="0" collapsed="false">
      <c r="A690" s="12"/>
      <c r="B690" s="13"/>
      <c r="C690" s="14"/>
      <c r="D690" s="14"/>
      <c r="E690" s="15"/>
      <c r="F690" s="16" t="str">
        <f aca="false">IF(OR(C690="",D690="",E690=""),"",C690*D690*E690)</f>
        <v/>
      </c>
      <c r="G690" s="17" t="str">
        <f aca="false">IF(OR(D690="",E690=""),"",E690*(1+D690/30))</f>
        <v/>
      </c>
      <c r="H690" s="19" t="n">
        <f aca="false">IF(G690="",0,G690)</f>
        <v>0</v>
      </c>
      <c r="I690" s="18" t="str">
        <f aca="false">IF(H690&gt;0,IF(H690&gt;=SUMPRODUCT(MAX(($B$5:$B$2004=B690)*$H$5:$H$2004)),"Rekor",""),"")</f>
        <v/>
      </c>
      <c r="J690" s="19" t="n">
        <f aca="false">IF(A690="",0,IF(COUNTIF(A$5:A690,A690)=1,1,0))</f>
        <v>0</v>
      </c>
    </row>
    <row r="691" customFormat="false" ht="15" hidden="false" customHeight="false" outlineLevel="0" collapsed="false">
      <c r="A691" s="12"/>
      <c r="B691" s="13"/>
      <c r="C691" s="14"/>
      <c r="D691" s="14"/>
      <c r="E691" s="15"/>
      <c r="F691" s="16" t="str">
        <f aca="false">IF(OR(C691="",D691="",E691=""),"",C691*D691*E691)</f>
        <v/>
      </c>
      <c r="G691" s="17" t="str">
        <f aca="false">IF(OR(D691="",E691=""),"",E691*(1+D691/30))</f>
        <v/>
      </c>
      <c r="H691" s="19" t="n">
        <f aca="false">IF(G691="",0,G691)</f>
        <v>0</v>
      </c>
      <c r="I691" s="18" t="str">
        <f aca="false">IF(H691&gt;0,IF(H691&gt;=SUMPRODUCT(MAX(($B$5:$B$2004=B691)*$H$5:$H$2004)),"Rekor",""),"")</f>
        <v/>
      </c>
      <c r="J691" s="19" t="n">
        <f aca="false">IF(A691="",0,IF(COUNTIF(A$5:A691,A691)=1,1,0))</f>
        <v>0</v>
      </c>
    </row>
    <row r="692" customFormat="false" ht="15" hidden="false" customHeight="false" outlineLevel="0" collapsed="false">
      <c r="A692" s="12"/>
      <c r="B692" s="13"/>
      <c r="C692" s="14"/>
      <c r="D692" s="14"/>
      <c r="E692" s="15"/>
      <c r="F692" s="16" t="str">
        <f aca="false">IF(OR(C692="",D692="",E692=""),"",C692*D692*E692)</f>
        <v/>
      </c>
      <c r="G692" s="17" t="str">
        <f aca="false">IF(OR(D692="",E692=""),"",E692*(1+D692/30))</f>
        <v/>
      </c>
      <c r="H692" s="19" t="n">
        <f aca="false">IF(G692="",0,G692)</f>
        <v>0</v>
      </c>
      <c r="I692" s="18" t="str">
        <f aca="false">IF(H692&gt;0,IF(H692&gt;=SUMPRODUCT(MAX(($B$5:$B$2004=B692)*$H$5:$H$2004)),"Rekor",""),"")</f>
        <v/>
      </c>
      <c r="J692" s="19" t="n">
        <f aca="false">IF(A692="",0,IF(COUNTIF(A$5:A692,A692)=1,1,0))</f>
        <v>0</v>
      </c>
    </row>
    <row r="693" customFormat="false" ht="15" hidden="false" customHeight="false" outlineLevel="0" collapsed="false">
      <c r="A693" s="12"/>
      <c r="B693" s="13"/>
      <c r="C693" s="14"/>
      <c r="D693" s="14"/>
      <c r="E693" s="15"/>
      <c r="F693" s="16" t="str">
        <f aca="false">IF(OR(C693="",D693="",E693=""),"",C693*D693*E693)</f>
        <v/>
      </c>
      <c r="G693" s="17" t="str">
        <f aca="false">IF(OR(D693="",E693=""),"",E693*(1+D693/30))</f>
        <v/>
      </c>
      <c r="H693" s="19" t="n">
        <f aca="false">IF(G693="",0,G693)</f>
        <v>0</v>
      </c>
      <c r="I693" s="18" t="str">
        <f aca="false">IF(H693&gt;0,IF(H693&gt;=SUMPRODUCT(MAX(($B$5:$B$2004=B693)*$H$5:$H$2004)),"Rekor",""),"")</f>
        <v/>
      </c>
      <c r="J693" s="19" t="n">
        <f aca="false">IF(A693="",0,IF(COUNTIF(A$5:A693,A693)=1,1,0))</f>
        <v>0</v>
      </c>
    </row>
    <row r="694" customFormat="false" ht="15" hidden="false" customHeight="false" outlineLevel="0" collapsed="false">
      <c r="A694" s="12"/>
      <c r="B694" s="13"/>
      <c r="C694" s="14"/>
      <c r="D694" s="14"/>
      <c r="E694" s="15"/>
      <c r="F694" s="16" t="str">
        <f aca="false">IF(OR(C694="",D694="",E694=""),"",C694*D694*E694)</f>
        <v/>
      </c>
      <c r="G694" s="17" t="str">
        <f aca="false">IF(OR(D694="",E694=""),"",E694*(1+D694/30))</f>
        <v/>
      </c>
      <c r="H694" s="19" t="n">
        <f aca="false">IF(G694="",0,G694)</f>
        <v>0</v>
      </c>
      <c r="I694" s="18" t="str">
        <f aca="false">IF(H694&gt;0,IF(H694&gt;=SUMPRODUCT(MAX(($B$5:$B$2004=B694)*$H$5:$H$2004)),"Rekor",""),"")</f>
        <v/>
      </c>
      <c r="J694" s="19" t="n">
        <f aca="false">IF(A694="",0,IF(COUNTIF(A$5:A694,A694)=1,1,0))</f>
        <v>0</v>
      </c>
    </row>
    <row r="695" customFormat="false" ht="15" hidden="false" customHeight="false" outlineLevel="0" collapsed="false">
      <c r="A695" s="12"/>
      <c r="B695" s="13"/>
      <c r="C695" s="14"/>
      <c r="D695" s="14"/>
      <c r="E695" s="15"/>
      <c r="F695" s="16" t="str">
        <f aca="false">IF(OR(C695="",D695="",E695=""),"",C695*D695*E695)</f>
        <v/>
      </c>
      <c r="G695" s="17" t="str">
        <f aca="false">IF(OR(D695="",E695=""),"",E695*(1+D695/30))</f>
        <v/>
      </c>
      <c r="H695" s="19" t="n">
        <f aca="false">IF(G695="",0,G695)</f>
        <v>0</v>
      </c>
      <c r="I695" s="18" t="str">
        <f aca="false">IF(H695&gt;0,IF(H695&gt;=SUMPRODUCT(MAX(($B$5:$B$2004=B695)*$H$5:$H$2004)),"Rekor",""),"")</f>
        <v/>
      </c>
      <c r="J695" s="19" t="n">
        <f aca="false">IF(A695="",0,IF(COUNTIF(A$5:A695,A695)=1,1,0))</f>
        <v>0</v>
      </c>
    </row>
    <row r="696" customFormat="false" ht="15" hidden="false" customHeight="false" outlineLevel="0" collapsed="false">
      <c r="A696" s="12"/>
      <c r="B696" s="13"/>
      <c r="C696" s="14"/>
      <c r="D696" s="14"/>
      <c r="E696" s="15"/>
      <c r="F696" s="16" t="str">
        <f aca="false">IF(OR(C696="",D696="",E696=""),"",C696*D696*E696)</f>
        <v/>
      </c>
      <c r="G696" s="17" t="str">
        <f aca="false">IF(OR(D696="",E696=""),"",E696*(1+D696/30))</f>
        <v/>
      </c>
      <c r="H696" s="19" t="n">
        <f aca="false">IF(G696="",0,G696)</f>
        <v>0</v>
      </c>
      <c r="I696" s="18" t="str">
        <f aca="false">IF(H696&gt;0,IF(H696&gt;=SUMPRODUCT(MAX(($B$5:$B$2004=B696)*$H$5:$H$2004)),"Rekor",""),"")</f>
        <v/>
      </c>
      <c r="J696" s="19" t="n">
        <f aca="false">IF(A696="",0,IF(COUNTIF(A$5:A696,A696)=1,1,0))</f>
        <v>0</v>
      </c>
    </row>
    <row r="697" customFormat="false" ht="15" hidden="false" customHeight="false" outlineLevel="0" collapsed="false">
      <c r="A697" s="12"/>
      <c r="B697" s="13"/>
      <c r="C697" s="14"/>
      <c r="D697" s="14"/>
      <c r="E697" s="15"/>
      <c r="F697" s="16" t="str">
        <f aca="false">IF(OR(C697="",D697="",E697=""),"",C697*D697*E697)</f>
        <v/>
      </c>
      <c r="G697" s="17" t="str">
        <f aca="false">IF(OR(D697="",E697=""),"",E697*(1+D697/30))</f>
        <v/>
      </c>
      <c r="H697" s="19" t="n">
        <f aca="false">IF(G697="",0,G697)</f>
        <v>0</v>
      </c>
      <c r="I697" s="18" t="str">
        <f aca="false">IF(H697&gt;0,IF(H697&gt;=SUMPRODUCT(MAX(($B$5:$B$2004=B697)*$H$5:$H$2004)),"Rekor",""),"")</f>
        <v/>
      </c>
      <c r="J697" s="19" t="n">
        <f aca="false">IF(A697="",0,IF(COUNTIF(A$5:A697,A697)=1,1,0))</f>
        <v>0</v>
      </c>
    </row>
    <row r="698" customFormat="false" ht="15" hidden="false" customHeight="false" outlineLevel="0" collapsed="false">
      <c r="A698" s="12"/>
      <c r="B698" s="13"/>
      <c r="C698" s="14"/>
      <c r="D698" s="14"/>
      <c r="E698" s="15"/>
      <c r="F698" s="16" t="str">
        <f aca="false">IF(OR(C698="",D698="",E698=""),"",C698*D698*E698)</f>
        <v/>
      </c>
      <c r="G698" s="17" t="str">
        <f aca="false">IF(OR(D698="",E698=""),"",E698*(1+D698/30))</f>
        <v/>
      </c>
      <c r="H698" s="19" t="n">
        <f aca="false">IF(G698="",0,G698)</f>
        <v>0</v>
      </c>
      <c r="I698" s="18" t="str">
        <f aca="false">IF(H698&gt;0,IF(H698&gt;=SUMPRODUCT(MAX(($B$5:$B$2004=B698)*$H$5:$H$2004)),"Rekor",""),"")</f>
        <v/>
      </c>
      <c r="J698" s="19" t="n">
        <f aca="false">IF(A698="",0,IF(COUNTIF(A$5:A698,A698)=1,1,0))</f>
        <v>0</v>
      </c>
    </row>
    <row r="699" customFormat="false" ht="15" hidden="false" customHeight="false" outlineLevel="0" collapsed="false">
      <c r="A699" s="12"/>
      <c r="B699" s="13"/>
      <c r="C699" s="14"/>
      <c r="D699" s="14"/>
      <c r="E699" s="15"/>
      <c r="F699" s="16" t="str">
        <f aca="false">IF(OR(C699="",D699="",E699=""),"",C699*D699*E699)</f>
        <v/>
      </c>
      <c r="G699" s="17" t="str">
        <f aca="false">IF(OR(D699="",E699=""),"",E699*(1+D699/30))</f>
        <v/>
      </c>
      <c r="H699" s="19" t="n">
        <f aca="false">IF(G699="",0,G699)</f>
        <v>0</v>
      </c>
      <c r="I699" s="18" t="str">
        <f aca="false">IF(H699&gt;0,IF(H699&gt;=SUMPRODUCT(MAX(($B$5:$B$2004=B699)*$H$5:$H$2004)),"Rekor",""),"")</f>
        <v/>
      </c>
      <c r="J699" s="19" t="n">
        <f aca="false">IF(A699="",0,IF(COUNTIF(A$5:A699,A699)=1,1,0))</f>
        <v>0</v>
      </c>
    </row>
    <row r="700" customFormat="false" ht="15" hidden="false" customHeight="false" outlineLevel="0" collapsed="false">
      <c r="A700" s="12"/>
      <c r="B700" s="13"/>
      <c r="C700" s="14"/>
      <c r="D700" s="14"/>
      <c r="E700" s="15"/>
      <c r="F700" s="16" t="str">
        <f aca="false">IF(OR(C700="",D700="",E700=""),"",C700*D700*E700)</f>
        <v/>
      </c>
      <c r="G700" s="17" t="str">
        <f aca="false">IF(OR(D700="",E700=""),"",E700*(1+D700/30))</f>
        <v/>
      </c>
      <c r="H700" s="19" t="n">
        <f aca="false">IF(G700="",0,G700)</f>
        <v>0</v>
      </c>
      <c r="I700" s="18" t="str">
        <f aca="false">IF(H700&gt;0,IF(H700&gt;=SUMPRODUCT(MAX(($B$5:$B$2004=B700)*$H$5:$H$2004)),"Rekor",""),"")</f>
        <v/>
      </c>
      <c r="J700" s="19" t="n">
        <f aca="false">IF(A700="",0,IF(COUNTIF(A$5:A700,A700)=1,1,0))</f>
        <v>0</v>
      </c>
    </row>
    <row r="701" customFormat="false" ht="15" hidden="false" customHeight="false" outlineLevel="0" collapsed="false">
      <c r="A701" s="12"/>
      <c r="B701" s="13"/>
      <c r="C701" s="14"/>
      <c r="D701" s="14"/>
      <c r="E701" s="15"/>
      <c r="F701" s="16" t="str">
        <f aca="false">IF(OR(C701="",D701="",E701=""),"",C701*D701*E701)</f>
        <v/>
      </c>
      <c r="G701" s="17" t="str">
        <f aca="false">IF(OR(D701="",E701=""),"",E701*(1+D701/30))</f>
        <v/>
      </c>
      <c r="H701" s="19" t="n">
        <f aca="false">IF(G701="",0,G701)</f>
        <v>0</v>
      </c>
      <c r="I701" s="18" t="str">
        <f aca="false">IF(H701&gt;0,IF(H701&gt;=SUMPRODUCT(MAX(($B$5:$B$2004=B701)*$H$5:$H$2004)),"Rekor",""),"")</f>
        <v/>
      </c>
      <c r="J701" s="19" t="n">
        <f aca="false">IF(A701="",0,IF(COUNTIF(A$5:A701,A701)=1,1,0))</f>
        <v>0</v>
      </c>
    </row>
    <row r="702" customFormat="false" ht="15" hidden="false" customHeight="false" outlineLevel="0" collapsed="false">
      <c r="A702" s="12"/>
      <c r="B702" s="13"/>
      <c r="C702" s="14"/>
      <c r="D702" s="14"/>
      <c r="E702" s="15"/>
      <c r="F702" s="16" t="str">
        <f aca="false">IF(OR(C702="",D702="",E702=""),"",C702*D702*E702)</f>
        <v/>
      </c>
      <c r="G702" s="17" t="str">
        <f aca="false">IF(OR(D702="",E702=""),"",E702*(1+D702/30))</f>
        <v/>
      </c>
      <c r="H702" s="19" t="n">
        <f aca="false">IF(G702="",0,G702)</f>
        <v>0</v>
      </c>
      <c r="I702" s="18" t="str">
        <f aca="false">IF(H702&gt;0,IF(H702&gt;=SUMPRODUCT(MAX(($B$5:$B$2004=B702)*$H$5:$H$2004)),"Rekor",""),"")</f>
        <v/>
      </c>
      <c r="J702" s="19" t="n">
        <f aca="false">IF(A702="",0,IF(COUNTIF(A$5:A702,A702)=1,1,0))</f>
        <v>0</v>
      </c>
    </row>
    <row r="703" customFormat="false" ht="15" hidden="false" customHeight="false" outlineLevel="0" collapsed="false">
      <c r="A703" s="12"/>
      <c r="B703" s="13"/>
      <c r="C703" s="14"/>
      <c r="D703" s="14"/>
      <c r="E703" s="15"/>
      <c r="F703" s="16" t="str">
        <f aca="false">IF(OR(C703="",D703="",E703=""),"",C703*D703*E703)</f>
        <v/>
      </c>
      <c r="G703" s="17" t="str">
        <f aca="false">IF(OR(D703="",E703=""),"",E703*(1+D703/30))</f>
        <v/>
      </c>
      <c r="H703" s="19" t="n">
        <f aca="false">IF(G703="",0,G703)</f>
        <v>0</v>
      </c>
      <c r="I703" s="18" t="str">
        <f aca="false">IF(H703&gt;0,IF(H703&gt;=SUMPRODUCT(MAX(($B$5:$B$2004=B703)*$H$5:$H$2004)),"Rekor",""),"")</f>
        <v/>
      </c>
      <c r="J703" s="19" t="n">
        <f aca="false">IF(A703="",0,IF(COUNTIF(A$5:A703,A703)=1,1,0))</f>
        <v>0</v>
      </c>
    </row>
    <row r="704" customFormat="false" ht="15" hidden="false" customHeight="false" outlineLevel="0" collapsed="false">
      <c r="A704" s="12"/>
      <c r="B704" s="13"/>
      <c r="C704" s="14"/>
      <c r="D704" s="14"/>
      <c r="E704" s="15"/>
      <c r="F704" s="16" t="str">
        <f aca="false">IF(OR(C704="",D704="",E704=""),"",C704*D704*E704)</f>
        <v/>
      </c>
      <c r="G704" s="17" t="str">
        <f aca="false">IF(OR(D704="",E704=""),"",E704*(1+D704/30))</f>
        <v/>
      </c>
      <c r="H704" s="19" t="n">
        <f aca="false">IF(G704="",0,G704)</f>
        <v>0</v>
      </c>
      <c r="I704" s="18" t="str">
        <f aca="false">IF(H704&gt;0,IF(H704&gt;=SUMPRODUCT(MAX(($B$5:$B$2004=B704)*$H$5:$H$2004)),"Rekor",""),"")</f>
        <v/>
      </c>
      <c r="J704" s="19" t="n">
        <f aca="false">IF(A704="",0,IF(COUNTIF(A$5:A704,A704)=1,1,0))</f>
        <v>0</v>
      </c>
    </row>
    <row r="705" customFormat="false" ht="15" hidden="false" customHeight="false" outlineLevel="0" collapsed="false">
      <c r="A705" s="12"/>
      <c r="B705" s="13"/>
      <c r="C705" s="14"/>
      <c r="D705" s="14"/>
      <c r="E705" s="15"/>
      <c r="F705" s="16" t="str">
        <f aca="false">IF(OR(C705="",D705="",E705=""),"",C705*D705*E705)</f>
        <v/>
      </c>
      <c r="G705" s="17" t="str">
        <f aca="false">IF(OR(D705="",E705=""),"",E705*(1+D705/30))</f>
        <v/>
      </c>
      <c r="H705" s="19" t="n">
        <f aca="false">IF(G705="",0,G705)</f>
        <v>0</v>
      </c>
      <c r="I705" s="18" t="str">
        <f aca="false">IF(H705&gt;0,IF(H705&gt;=SUMPRODUCT(MAX(($B$5:$B$2004=B705)*$H$5:$H$2004)),"Rekor",""),"")</f>
        <v/>
      </c>
      <c r="J705" s="19" t="n">
        <f aca="false">IF(A705="",0,IF(COUNTIF(A$5:A705,A705)=1,1,0))</f>
        <v>0</v>
      </c>
    </row>
    <row r="706" customFormat="false" ht="15" hidden="false" customHeight="false" outlineLevel="0" collapsed="false">
      <c r="A706" s="12"/>
      <c r="B706" s="13"/>
      <c r="C706" s="14"/>
      <c r="D706" s="14"/>
      <c r="E706" s="15"/>
      <c r="F706" s="16" t="str">
        <f aca="false">IF(OR(C706="",D706="",E706=""),"",C706*D706*E706)</f>
        <v/>
      </c>
      <c r="G706" s="17" t="str">
        <f aca="false">IF(OR(D706="",E706=""),"",E706*(1+D706/30))</f>
        <v/>
      </c>
      <c r="H706" s="19" t="n">
        <f aca="false">IF(G706="",0,G706)</f>
        <v>0</v>
      </c>
      <c r="I706" s="18" t="str">
        <f aca="false">IF(H706&gt;0,IF(H706&gt;=SUMPRODUCT(MAX(($B$5:$B$2004=B706)*$H$5:$H$2004)),"Rekor",""),"")</f>
        <v/>
      </c>
      <c r="J706" s="19" t="n">
        <f aca="false">IF(A706="",0,IF(COUNTIF(A$5:A706,A706)=1,1,0))</f>
        <v>0</v>
      </c>
    </row>
    <row r="707" customFormat="false" ht="15" hidden="false" customHeight="false" outlineLevel="0" collapsed="false">
      <c r="A707" s="12"/>
      <c r="B707" s="13"/>
      <c r="C707" s="14"/>
      <c r="D707" s="14"/>
      <c r="E707" s="15"/>
      <c r="F707" s="16" t="str">
        <f aca="false">IF(OR(C707="",D707="",E707=""),"",C707*D707*E707)</f>
        <v/>
      </c>
      <c r="G707" s="17" t="str">
        <f aca="false">IF(OR(D707="",E707=""),"",E707*(1+D707/30))</f>
        <v/>
      </c>
      <c r="H707" s="19" t="n">
        <f aca="false">IF(G707="",0,G707)</f>
        <v>0</v>
      </c>
      <c r="I707" s="18" t="str">
        <f aca="false">IF(H707&gt;0,IF(H707&gt;=SUMPRODUCT(MAX(($B$5:$B$2004=B707)*$H$5:$H$2004)),"Rekor",""),"")</f>
        <v/>
      </c>
      <c r="J707" s="19" t="n">
        <f aca="false">IF(A707="",0,IF(COUNTIF(A$5:A707,A707)=1,1,0))</f>
        <v>0</v>
      </c>
    </row>
    <row r="708" customFormat="false" ht="15" hidden="false" customHeight="false" outlineLevel="0" collapsed="false">
      <c r="A708" s="12"/>
      <c r="B708" s="13"/>
      <c r="C708" s="14"/>
      <c r="D708" s="14"/>
      <c r="E708" s="15"/>
      <c r="F708" s="16" t="str">
        <f aca="false">IF(OR(C708="",D708="",E708=""),"",C708*D708*E708)</f>
        <v/>
      </c>
      <c r="G708" s="17" t="str">
        <f aca="false">IF(OR(D708="",E708=""),"",E708*(1+D708/30))</f>
        <v/>
      </c>
      <c r="H708" s="19" t="n">
        <f aca="false">IF(G708="",0,G708)</f>
        <v>0</v>
      </c>
      <c r="I708" s="18" t="str">
        <f aca="false">IF(H708&gt;0,IF(H708&gt;=SUMPRODUCT(MAX(($B$5:$B$2004=B708)*$H$5:$H$2004)),"Rekor",""),"")</f>
        <v/>
      </c>
      <c r="J708" s="19" t="n">
        <f aca="false">IF(A708="",0,IF(COUNTIF(A$5:A708,A708)=1,1,0))</f>
        <v>0</v>
      </c>
    </row>
    <row r="709" customFormat="false" ht="15" hidden="false" customHeight="false" outlineLevel="0" collapsed="false">
      <c r="A709" s="12"/>
      <c r="B709" s="13"/>
      <c r="C709" s="14"/>
      <c r="D709" s="14"/>
      <c r="E709" s="15"/>
      <c r="F709" s="16" t="str">
        <f aca="false">IF(OR(C709="",D709="",E709=""),"",C709*D709*E709)</f>
        <v/>
      </c>
      <c r="G709" s="17" t="str">
        <f aca="false">IF(OR(D709="",E709=""),"",E709*(1+D709/30))</f>
        <v/>
      </c>
      <c r="H709" s="19" t="n">
        <f aca="false">IF(G709="",0,G709)</f>
        <v>0</v>
      </c>
      <c r="I709" s="18" t="str">
        <f aca="false">IF(H709&gt;0,IF(H709&gt;=SUMPRODUCT(MAX(($B$5:$B$2004=B709)*$H$5:$H$2004)),"Rekor",""),"")</f>
        <v/>
      </c>
      <c r="J709" s="19" t="n">
        <f aca="false">IF(A709="",0,IF(COUNTIF(A$5:A709,A709)=1,1,0))</f>
        <v>0</v>
      </c>
    </row>
    <row r="710" customFormat="false" ht="15" hidden="false" customHeight="false" outlineLevel="0" collapsed="false">
      <c r="A710" s="12"/>
      <c r="B710" s="13"/>
      <c r="C710" s="14"/>
      <c r="D710" s="14"/>
      <c r="E710" s="15"/>
      <c r="F710" s="16" t="str">
        <f aca="false">IF(OR(C710="",D710="",E710=""),"",C710*D710*E710)</f>
        <v/>
      </c>
      <c r="G710" s="17" t="str">
        <f aca="false">IF(OR(D710="",E710=""),"",E710*(1+D710/30))</f>
        <v/>
      </c>
      <c r="H710" s="19" t="n">
        <f aca="false">IF(G710="",0,G710)</f>
        <v>0</v>
      </c>
      <c r="I710" s="18" t="str">
        <f aca="false">IF(H710&gt;0,IF(H710&gt;=SUMPRODUCT(MAX(($B$5:$B$2004=B710)*$H$5:$H$2004)),"Rekor",""),"")</f>
        <v/>
      </c>
      <c r="J710" s="19" t="n">
        <f aca="false">IF(A710="",0,IF(COUNTIF(A$5:A710,A710)=1,1,0))</f>
        <v>0</v>
      </c>
    </row>
    <row r="711" customFormat="false" ht="15" hidden="false" customHeight="false" outlineLevel="0" collapsed="false">
      <c r="A711" s="12"/>
      <c r="B711" s="13"/>
      <c r="C711" s="14"/>
      <c r="D711" s="14"/>
      <c r="E711" s="15"/>
      <c r="F711" s="16" t="str">
        <f aca="false">IF(OR(C711="",D711="",E711=""),"",C711*D711*E711)</f>
        <v/>
      </c>
      <c r="G711" s="17" t="str">
        <f aca="false">IF(OR(D711="",E711=""),"",E711*(1+D711/30))</f>
        <v/>
      </c>
      <c r="H711" s="19" t="n">
        <f aca="false">IF(G711="",0,G711)</f>
        <v>0</v>
      </c>
      <c r="I711" s="18" t="str">
        <f aca="false">IF(H711&gt;0,IF(H711&gt;=SUMPRODUCT(MAX(($B$5:$B$2004=B711)*$H$5:$H$2004)),"Rekor",""),"")</f>
        <v/>
      </c>
      <c r="J711" s="19" t="n">
        <f aca="false">IF(A711="",0,IF(COUNTIF(A$5:A711,A711)=1,1,0))</f>
        <v>0</v>
      </c>
    </row>
    <row r="712" customFormat="false" ht="15" hidden="false" customHeight="false" outlineLevel="0" collapsed="false">
      <c r="A712" s="12"/>
      <c r="B712" s="13"/>
      <c r="C712" s="14"/>
      <c r="D712" s="14"/>
      <c r="E712" s="15"/>
      <c r="F712" s="16" t="str">
        <f aca="false">IF(OR(C712="",D712="",E712=""),"",C712*D712*E712)</f>
        <v/>
      </c>
      <c r="G712" s="17" t="str">
        <f aca="false">IF(OR(D712="",E712=""),"",E712*(1+D712/30))</f>
        <v/>
      </c>
      <c r="H712" s="19" t="n">
        <f aca="false">IF(G712="",0,G712)</f>
        <v>0</v>
      </c>
      <c r="I712" s="18" t="str">
        <f aca="false">IF(H712&gt;0,IF(H712&gt;=SUMPRODUCT(MAX(($B$5:$B$2004=B712)*$H$5:$H$2004)),"Rekor",""),"")</f>
        <v/>
      </c>
      <c r="J712" s="19" t="n">
        <f aca="false">IF(A712="",0,IF(COUNTIF(A$5:A712,A712)=1,1,0))</f>
        <v>0</v>
      </c>
    </row>
    <row r="713" customFormat="false" ht="15" hidden="false" customHeight="false" outlineLevel="0" collapsed="false">
      <c r="A713" s="12"/>
      <c r="B713" s="13"/>
      <c r="C713" s="14"/>
      <c r="D713" s="14"/>
      <c r="E713" s="15"/>
      <c r="F713" s="16" t="str">
        <f aca="false">IF(OR(C713="",D713="",E713=""),"",C713*D713*E713)</f>
        <v/>
      </c>
      <c r="G713" s="17" t="str">
        <f aca="false">IF(OR(D713="",E713=""),"",E713*(1+D713/30))</f>
        <v/>
      </c>
      <c r="H713" s="19" t="n">
        <f aca="false">IF(G713="",0,G713)</f>
        <v>0</v>
      </c>
      <c r="I713" s="18" t="str">
        <f aca="false">IF(H713&gt;0,IF(H713&gt;=SUMPRODUCT(MAX(($B$5:$B$2004=B713)*$H$5:$H$2004)),"Rekor",""),"")</f>
        <v/>
      </c>
      <c r="J713" s="19" t="n">
        <f aca="false">IF(A713="",0,IF(COUNTIF(A$5:A713,A713)=1,1,0))</f>
        <v>0</v>
      </c>
    </row>
    <row r="714" customFormat="false" ht="15" hidden="false" customHeight="false" outlineLevel="0" collapsed="false">
      <c r="A714" s="12"/>
      <c r="B714" s="13"/>
      <c r="C714" s="14"/>
      <c r="D714" s="14"/>
      <c r="E714" s="15"/>
      <c r="F714" s="16" t="str">
        <f aca="false">IF(OR(C714="",D714="",E714=""),"",C714*D714*E714)</f>
        <v/>
      </c>
      <c r="G714" s="17" t="str">
        <f aca="false">IF(OR(D714="",E714=""),"",E714*(1+D714/30))</f>
        <v/>
      </c>
      <c r="H714" s="19" t="n">
        <f aca="false">IF(G714="",0,G714)</f>
        <v>0</v>
      </c>
      <c r="I714" s="18" t="str">
        <f aca="false">IF(H714&gt;0,IF(H714&gt;=SUMPRODUCT(MAX(($B$5:$B$2004=B714)*$H$5:$H$2004)),"Rekor",""),"")</f>
        <v/>
      </c>
      <c r="J714" s="19" t="n">
        <f aca="false">IF(A714="",0,IF(COUNTIF(A$5:A714,A714)=1,1,0))</f>
        <v>0</v>
      </c>
    </row>
    <row r="715" customFormat="false" ht="15" hidden="false" customHeight="false" outlineLevel="0" collapsed="false">
      <c r="A715" s="12"/>
      <c r="B715" s="13"/>
      <c r="C715" s="14"/>
      <c r="D715" s="14"/>
      <c r="E715" s="15"/>
      <c r="F715" s="16" t="str">
        <f aca="false">IF(OR(C715="",D715="",E715=""),"",C715*D715*E715)</f>
        <v/>
      </c>
      <c r="G715" s="17" t="str">
        <f aca="false">IF(OR(D715="",E715=""),"",E715*(1+D715/30))</f>
        <v/>
      </c>
      <c r="H715" s="19" t="n">
        <f aca="false">IF(G715="",0,G715)</f>
        <v>0</v>
      </c>
      <c r="I715" s="18" t="str">
        <f aca="false">IF(H715&gt;0,IF(H715&gt;=SUMPRODUCT(MAX(($B$5:$B$2004=B715)*$H$5:$H$2004)),"Rekor",""),"")</f>
        <v/>
      </c>
      <c r="J715" s="19" t="n">
        <f aca="false">IF(A715="",0,IF(COUNTIF(A$5:A715,A715)=1,1,0))</f>
        <v>0</v>
      </c>
    </row>
    <row r="716" customFormat="false" ht="15" hidden="false" customHeight="false" outlineLevel="0" collapsed="false">
      <c r="A716" s="12"/>
      <c r="B716" s="13"/>
      <c r="C716" s="14"/>
      <c r="D716" s="14"/>
      <c r="E716" s="15"/>
      <c r="F716" s="16" t="str">
        <f aca="false">IF(OR(C716="",D716="",E716=""),"",C716*D716*E716)</f>
        <v/>
      </c>
      <c r="G716" s="17" t="str">
        <f aca="false">IF(OR(D716="",E716=""),"",E716*(1+D716/30))</f>
        <v/>
      </c>
      <c r="H716" s="19" t="n">
        <f aca="false">IF(G716="",0,G716)</f>
        <v>0</v>
      </c>
      <c r="I716" s="18" t="str">
        <f aca="false">IF(H716&gt;0,IF(H716&gt;=SUMPRODUCT(MAX(($B$5:$B$2004=B716)*$H$5:$H$2004)),"Rekor",""),"")</f>
        <v/>
      </c>
      <c r="J716" s="19" t="n">
        <f aca="false">IF(A716="",0,IF(COUNTIF(A$5:A716,A716)=1,1,0))</f>
        <v>0</v>
      </c>
    </row>
    <row r="717" customFormat="false" ht="15" hidden="false" customHeight="false" outlineLevel="0" collapsed="false">
      <c r="A717" s="12"/>
      <c r="B717" s="13"/>
      <c r="C717" s="14"/>
      <c r="D717" s="14"/>
      <c r="E717" s="15"/>
      <c r="F717" s="16" t="str">
        <f aca="false">IF(OR(C717="",D717="",E717=""),"",C717*D717*E717)</f>
        <v/>
      </c>
      <c r="G717" s="17" t="str">
        <f aca="false">IF(OR(D717="",E717=""),"",E717*(1+D717/30))</f>
        <v/>
      </c>
      <c r="H717" s="19" t="n">
        <f aca="false">IF(G717="",0,G717)</f>
        <v>0</v>
      </c>
      <c r="I717" s="18" t="str">
        <f aca="false">IF(H717&gt;0,IF(H717&gt;=SUMPRODUCT(MAX(($B$5:$B$2004=B717)*$H$5:$H$2004)),"Rekor",""),"")</f>
        <v/>
      </c>
      <c r="J717" s="19" t="n">
        <f aca="false">IF(A717="",0,IF(COUNTIF(A$5:A717,A717)=1,1,0))</f>
        <v>0</v>
      </c>
    </row>
    <row r="718" customFormat="false" ht="15" hidden="false" customHeight="false" outlineLevel="0" collapsed="false">
      <c r="A718" s="12"/>
      <c r="B718" s="13"/>
      <c r="C718" s="14"/>
      <c r="D718" s="14"/>
      <c r="E718" s="15"/>
      <c r="F718" s="16" t="str">
        <f aca="false">IF(OR(C718="",D718="",E718=""),"",C718*D718*E718)</f>
        <v/>
      </c>
      <c r="G718" s="17" t="str">
        <f aca="false">IF(OR(D718="",E718=""),"",E718*(1+D718/30))</f>
        <v/>
      </c>
      <c r="H718" s="19" t="n">
        <f aca="false">IF(G718="",0,G718)</f>
        <v>0</v>
      </c>
      <c r="I718" s="18" t="str">
        <f aca="false">IF(H718&gt;0,IF(H718&gt;=SUMPRODUCT(MAX(($B$5:$B$2004=B718)*$H$5:$H$2004)),"Rekor",""),"")</f>
        <v/>
      </c>
      <c r="J718" s="19" t="n">
        <f aca="false">IF(A718="",0,IF(COUNTIF(A$5:A718,A718)=1,1,0))</f>
        <v>0</v>
      </c>
    </row>
    <row r="719" customFormat="false" ht="15" hidden="false" customHeight="false" outlineLevel="0" collapsed="false">
      <c r="A719" s="12"/>
      <c r="B719" s="13"/>
      <c r="C719" s="14"/>
      <c r="D719" s="14"/>
      <c r="E719" s="15"/>
      <c r="F719" s="16" t="str">
        <f aca="false">IF(OR(C719="",D719="",E719=""),"",C719*D719*E719)</f>
        <v/>
      </c>
      <c r="G719" s="17" t="str">
        <f aca="false">IF(OR(D719="",E719=""),"",E719*(1+D719/30))</f>
        <v/>
      </c>
      <c r="H719" s="19" t="n">
        <f aca="false">IF(G719="",0,G719)</f>
        <v>0</v>
      </c>
      <c r="I719" s="18" t="str">
        <f aca="false">IF(H719&gt;0,IF(H719&gt;=SUMPRODUCT(MAX(($B$5:$B$2004=B719)*$H$5:$H$2004)),"Rekor",""),"")</f>
        <v/>
      </c>
      <c r="J719" s="19" t="n">
        <f aca="false">IF(A719="",0,IF(COUNTIF(A$5:A719,A719)=1,1,0))</f>
        <v>0</v>
      </c>
    </row>
    <row r="720" customFormat="false" ht="15" hidden="false" customHeight="false" outlineLevel="0" collapsed="false">
      <c r="A720" s="12"/>
      <c r="B720" s="13"/>
      <c r="C720" s="14"/>
      <c r="D720" s="14"/>
      <c r="E720" s="15"/>
      <c r="F720" s="16" t="str">
        <f aca="false">IF(OR(C720="",D720="",E720=""),"",C720*D720*E720)</f>
        <v/>
      </c>
      <c r="G720" s="17" t="str">
        <f aca="false">IF(OR(D720="",E720=""),"",E720*(1+D720/30))</f>
        <v/>
      </c>
      <c r="H720" s="19" t="n">
        <f aca="false">IF(G720="",0,G720)</f>
        <v>0</v>
      </c>
      <c r="I720" s="18" t="str">
        <f aca="false">IF(H720&gt;0,IF(H720&gt;=SUMPRODUCT(MAX(($B$5:$B$2004=B720)*$H$5:$H$2004)),"Rekor",""),"")</f>
        <v/>
      </c>
      <c r="J720" s="19" t="n">
        <f aca="false">IF(A720="",0,IF(COUNTIF(A$5:A720,A720)=1,1,0))</f>
        <v>0</v>
      </c>
    </row>
    <row r="721" customFormat="false" ht="15" hidden="false" customHeight="false" outlineLevel="0" collapsed="false">
      <c r="A721" s="12"/>
      <c r="B721" s="13"/>
      <c r="C721" s="14"/>
      <c r="D721" s="14"/>
      <c r="E721" s="15"/>
      <c r="F721" s="16" t="str">
        <f aca="false">IF(OR(C721="",D721="",E721=""),"",C721*D721*E721)</f>
        <v/>
      </c>
      <c r="G721" s="17" t="str">
        <f aca="false">IF(OR(D721="",E721=""),"",E721*(1+D721/30))</f>
        <v/>
      </c>
      <c r="H721" s="19" t="n">
        <f aca="false">IF(G721="",0,G721)</f>
        <v>0</v>
      </c>
      <c r="I721" s="18" t="str">
        <f aca="false">IF(H721&gt;0,IF(H721&gt;=SUMPRODUCT(MAX(($B$5:$B$2004=B721)*$H$5:$H$2004)),"Rekor",""),"")</f>
        <v/>
      </c>
      <c r="J721" s="19" t="n">
        <f aca="false">IF(A721="",0,IF(COUNTIF(A$5:A721,A721)=1,1,0))</f>
        <v>0</v>
      </c>
    </row>
    <row r="722" customFormat="false" ht="15" hidden="false" customHeight="false" outlineLevel="0" collapsed="false">
      <c r="A722" s="12"/>
      <c r="B722" s="13"/>
      <c r="C722" s="14"/>
      <c r="D722" s="14"/>
      <c r="E722" s="15"/>
      <c r="F722" s="16" t="str">
        <f aca="false">IF(OR(C722="",D722="",E722=""),"",C722*D722*E722)</f>
        <v/>
      </c>
      <c r="G722" s="17" t="str">
        <f aca="false">IF(OR(D722="",E722=""),"",E722*(1+D722/30))</f>
        <v/>
      </c>
      <c r="H722" s="19" t="n">
        <f aca="false">IF(G722="",0,G722)</f>
        <v>0</v>
      </c>
      <c r="I722" s="18" t="str">
        <f aca="false">IF(H722&gt;0,IF(H722&gt;=SUMPRODUCT(MAX(($B$5:$B$2004=B722)*$H$5:$H$2004)),"Rekor",""),"")</f>
        <v/>
      </c>
      <c r="J722" s="19" t="n">
        <f aca="false">IF(A722="",0,IF(COUNTIF(A$5:A722,A722)=1,1,0))</f>
        <v>0</v>
      </c>
    </row>
    <row r="723" customFormat="false" ht="15" hidden="false" customHeight="false" outlineLevel="0" collapsed="false">
      <c r="A723" s="12"/>
      <c r="B723" s="13"/>
      <c r="C723" s="14"/>
      <c r="D723" s="14"/>
      <c r="E723" s="15"/>
      <c r="F723" s="16" t="str">
        <f aca="false">IF(OR(C723="",D723="",E723=""),"",C723*D723*E723)</f>
        <v/>
      </c>
      <c r="G723" s="17" t="str">
        <f aca="false">IF(OR(D723="",E723=""),"",E723*(1+D723/30))</f>
        <v/>
      </c>
      <c r="H723" s="19" t="n">
        <f aca="false">IF(G723="",0,G723)</f>
        <v>0</v>
      </c>
      <c r="I723" s="18" t="str">
        <f aca="false">IF(H723&gt;0,IF(H723&gt;=SUMPRODUCT(MAX(($B$5:$B$2004=B723)*$H$5:$H$2004)),"Rekor",""),"")</f>
        <v/>
      </c>
      <c r="J723" s="19" t="n">
        <f aca="false">IF(A723="",0,IF(COUNTIF(A$5:A723,A723)=1,1,0))</f>
        <v>0</v>
      </c>
    </row>
    <row r="724" customFormat="false" ht="15" hidden="false" customHeight="false" outlineLevel="0" collapsed="false">
      <c r="A724" s="12"/>
      <c r="B724" s="13"/>
      <c r="C724" s="14"/>
      <c r="D724" s="14"/>
      <c r="E724" s="15"/>
      <c r="F724" s="16" t="str">
        <f aca="false">IF(OR(C724="",D724="",E724=""),"",C724*D724*E724)</f>
        <v/>
      </c>
      <c r="G724" s="17" t="str">
        <f aca="false">IF(OR(D724="",E724=""),"",E724*(1+D724/30))</f>
        <v/>
      </c>
      <c r="H724" s="19" t="n">
        <f aca="false">IF(G724="",0,G724)</f>
        <v>0</v>
      </c>
      <c r="I724" s="18" t="str">
        <f aca="false">IF(H724&gt;0,IF(H724&gt;=SUMPRODUCT(MAX(($B$5:$B$2004=B724)*$H$5:$H$2004)),"Rekor",""),"")</f>
        <v/>
      </c>
      <c r="J724" s="19" t="n">
        <f aca="false">IF(A724="",0,IF(COUNTIF(A$5:A724,A724)=1,1,0))</f>
        <v>0</v>
      </c>
    </row>
    <row r="725" customFormat="false" ht="15" hidden="false" customHeight="false" outlineLevel="0" collapsed="false">
      <c r="A725" s="12"/>
      <c r="B725" s="13"/>
      <c r="C725" s="14"/>
      <c r="D725" s="14"/>
      <c r="E725" s="15"/>
      <c r="F725" s="16" t="str">
        <f aca="false">IF(OR(C725="",D725="",E725=""),"",C725*D725*E725)</f>
        <v/>
      </c>
      <c r="G725" s="17" t="str">
        <f aca="false">IF(OR(D725="",E725=""),"",E725*(1+D725/30))</f>
        <v/>
      </c>
      <c r="H725" s="19" t="n">
        <f aca="false">IF(G725="",0,G725)</f>
        <v>0</v>
      </c>
      <c r="I725" s="18" t="str">
        <f aca="false">IF(H725&gt;0,IF(H725&gt;=SUMPRODUCT(MAX(($B$5:$B$2004=B725)*$H$5:$H$2004)),"Rekor",""),"")</f>
        <v/>
      </c>
      <c r="J725" s="19" t="n">
        <f aca="false">IF(A725="",0,IF(COUNTIF(A$5:A725,A725)=1,1,0))</f>
        <v>0</v>
      </c>
    </row>
    <row r="726" customFormat="false" ht="15" hidden="false" customHeight="false" outlineLevel="0" collapsed="false">
      <c r="A726" s="12"/>
      <c r="B726" s="13"/>
      <c r="C726" s="14"/>
      <c r="D726" s="14"/>
      <c r="E726" s="15"/>
      <c r="F726" s="16" t="str">
        <f aca="false">IF(OR(C726="",D726="",E726=""),"",C726*D726*E726)</f>
        <v/>
      </c>
      <c r="G726" s="17" t="str">
        <f aca="false">IF(OR(D726="",E726=""),"",E726*(1+D726/30))</f>
        <v/>
      </c>
      <c r="H726" s="19" t="n">
        <f aca="false">IF(G726="",0,G726)</f>
        <v>0</v>
      </c>
      <c r="I726" s="18" t="str">
        <f aca="false">IF(H726&gt;0,IF(H726&gt;=SUMPRODUCT(MAX(($B$5:$B$2004=B726)*$H$5:$H$2004)),"Rekor",""),"")</f>
        <v/>
      </c>
      <c r="J726" s="19" t="n">
        <f aca="false">IF(A726="",0,IF(COUNTIF(A$5:A726,A726)=1,1,0))</f>
        <v>0</v>
      </c>
    </row>
    <row r="727" customFormat="false" ht="15" hidden="false" customHeight="false" outlineLevel="0" collapsed="false">
      <c r="A727" s="12"/>
      <c r="B727" s="13"/>
      <c r="C727" s="14"/>
      <c r="D727" s="14"/>
      <c r="E727" s="15"/>
      <c r="F727" s="16" t="str">
        <f aca="false">IF(OR(C727="",D727="",E727=""),"",C727*D727*E727)</f>
        <v/>
      </c>
      <c r="G727" s="17" t="str">
        <f aca="false">IF(OR(D727="",E727=""),"",E727*(1+D727/30))</f>
        <v/>
      </c>
      <c r="H727" s="19" t="n">
        <f aca="false">IF(G727="",0,G727)</f>
        <v>0</v>
      </c>
      <c r="I727" s="18" t="str">
        <f aca="false">IF(H727&gt;0,IF(H727&gt;=SUMPRODUCT(MAX(($B$5:$B$2004=B727)*$H$5:$H$2004)),"Rekor",""),"")</f>
        <v/>
      </c>
      <c r="J727" s="19" t="n">
        <f aca="false">IF(A727="",0,IF(COUNTIF(A$5:A727,A727)=1,1,0))</f>
        <v>0</v>
      </c>
    </row>
    <row r="728" customFormat="false" ht="15" hidden="false" customHeight="false" outlineLevel="0" collapsed="false">
      <c r="A728" s="12"/>
      <c r="B728" s="13"/>
      <c r="C728" s="14"/>
      <c r="D728" s="14"/>
      <c r="E728" s="15"/>
      <c r="F728" s="16" t="str">
        <f aca="false">IF(OR(C728="",D728="",E728=""),"",C728*D728*E728)</f>
        <v/>
      </c>
      <c r="G728" s="17" t="str">
        <f aca="false">IF(OR(D728="",E728=""),"",E728*(1+D728/30))</f>
        <v/>
      </c>
      <c r="H728" s="19" t="n">
        <f aca="false">IF(G728="",0,G728)</f>
        <v>0</v>
      </c>
      <c r="I728" s="18" t="str">
        <f aca="false">IF(H728&gt;0,IF(H728&gt;=SUMPRODUCT(MAX(($B$5:$B$2004=B728)*$H$5:$H$2004)),"Rekor",""),"")</f>
        <v/>
      </c>
      <c r="J728" s="19" t="n">
        <f aca="false">IF(A728="",0,IF(COUNTIF(A$5:A728,A728)=1,1,0))</f>
        <v>0</v>
      </c>
    </row>
    <row r="729" customFormat="false" ht="15" hidden="false" customHeight="false" outlineLevel="0" collapsed="false">
      <c r="A729" s="12"/>
      <c r="B729" s="13"/>
      <c r="C729" s="14"/>
      <c r="D729" s="14"/>
      <c r="E729" s="15"/>
      <c r="F729" s="16" t="str">
        <f aca="false">IF(OR(C729="",D729="",E729=""),"",C729*D729*E729)</f>
        <v/>
      </c>
      <c r="G729" s="17" t="str">
        <f aca="false">IF(OR(D729="",E729=""),"",E729*(1+D729/30))</f>
        <v/>
      </c>
      <c r="H729" s="19" t="n">
        <f aca="false">IF(G729="",0,G729)</f>
        <v>0</v>
      </c>
      <c r="I729" s="18" t="str">
        <f aca="false">IF(H729&gt;0,IF(H729&gt;=SUMPRODUCT(MAX(($B$5:$B$2004=B729)*$H$5:$H$2004)),"Rekor",""),"")</f>
        <v/>
      </c>
      <c r="J729" s="19" t="n">
        <f aca="false">IF(A729="",0,IF(COUNTIF(A$5:A729,A729)=1,1,0))</f>
        <v>0</v>
      </c>
    </row>
    <row r="730" customFormat="false" ht="15" hidden="false" customHeight="false" outlineLevel="0" collapsed="false">
      <c r="A730" s="12"/>
      <c r="B730" s="13"/>
      <c r="C730" s="14"/>
      <c r="D730" s="14"/>
      <c r="E730" s="15"/>
      <c r="F730" s="16" t="str">
        <f aca="false">IF(OR(C730="",D730="",E730=""),"",C730*D730*E730)</f>
        <v/>
      </c>
      <c r="G730" s="17" t="str">
        <f aca="false">IF(OR(D730="",E730=""),"",E730*(1+D730/30))</f>
        <v/>
      </c>
      <c r="H730" s="19" t="n">
        <f aca="false">IF(G730="",0,G730)</f>
        <v>0</v>
      </c>
      <c r="I730" s="18" t="str">
        <f aca="false">IF(H730&gt;0,IF(H730&gt;=SUMPRODUCT(MAX(($B$5:$B$2004=B730)*$H$5:$H$2004)),"Rekor",""),"")</f>
        <v/>
      </c>
      <c r="J730" s="19" t="n">
        <f aca="false">IF(A730="",0,IF(COUNTIF(A$5:A730,A730)=1,1,0))</f>
        <v>0</v>
      </c>
    </row>
    <row r="731" customFormat="false" ht="15" hidden="false" customHeight="false" outlineLevel="0" collapsed="false">
      <c r="A731" s="12"/>
      <c r="B731" s="13"/>
      <c r="C731" s="14"/>
      <c r="D731" s="14"/>
      <c r="E731" s="15"/>
      <c r="F731" s="16" t="str">
        <f aca="false">IF(OR(C731="",D731="",E731=""),"",C731*D731*E731)</f>
        <v/>
      </c>
      <c r="G731" s="17" t="str">
        <f aca="false">IF(OR(D731="",E731=""),"",E731*(1+D731/30))</f>
        <v/>
      </c>
      <c r="H731" s="19" t="n">
        <f aca="false">IF(G731="",0,G731)</f>
        <v>0</v>
      </c>
      <c r="I731" s="18" t="str">
        <f aca="false">IF(H731&gt;0,IF(H731&gt;=SUMPRODUCT(MAX(($B$5:$B$2004=B731)*$H$5:$H$2004)),"Rekor",""),"")</f>
        <v/>
      </c>
      <c r="J731" s="19" t="n">
        <f aca="false">IF(A731="",0,IF(COUNTIF(A$5:A731,A731)=1,1,0))</f>
        <v>0</v>
      </c>
    </row>
    <row r="732" customFormat="false" ht="15" hidden="false" customHeight="false" outlineLevel="0" collapsed="false">
      <c r="A732" s="12"/>
      <c r="B732" s="13"/>
      <c r="C732" s="14"/>
      <c r="D732" s="14"/>
      <c r="E732" s="15"/>
      <c r="F732" s="16" t="str">
        <f aca="false">IF(OR(C732="",D732="",E732=""),"",C732*D732*E732)</f>
        <v/>
      </c>
      <c r="G732" s="17" t="str">
        <f aca="false">IF(OR(D732="",E732=""),"",E732*(1+D732/30))</f>
        <v/>
      </c>
      <c r="H732" s="19" t="n">
        <f aca="false">IF(G732="",0,G732)</f>
        <v>0</v>
      </c>
      <c r="I732" s="18" t="str">
        <f aca="false">IF(H732&gt;0,IF(H732&gt;=SUMPRODUCT(MAX(($B$5:$B$2004=B732)*$H$5:$H$2004)),"Rekor",""),"")</f>
        <v/>
      </c>
      <c r="J732" s="19" t="n">
        <f aca="false">IF(A732="",0,IF(COUNTIF(A$5:A732,A732)=1,1,0))</f>
        <v>0</v>
      </c>
    </row>
    <row r="733" customFormat="false" ht="15" hidden="false" customHeight="false" outlineLevel="0" collapsed="false">
      <c r="A733" s="12"/>
      <c r="B733" s="13"/>
      <c r="C733" s="14"/>
      <c r="D733" s="14"/>
      <c r="E733" s="15"/>
      <c r="F733" s="16" t="str">
        <f aca="false">IF(OR(C733="",D733="",E733=""),"",C733*D733*E733)</f>
        <v/>
      </c>
      <c r="G733" s="17" t="str">
        <f aca="false">IF(OR(D733="",E733=""),"",E733*(1+D733/30))</f>
        <v/>
      </c>
      <c r="H733" s="19" t="n">
        <f aca="false">IF(G733="",0,G733)</f>
        <v>0</v>
      </c>
      <c r="I733" s="18" t="str">
        <f aca="false">IF(H733&gt;0,IF(H733&gt;=SUMPRODUCT(MAX(($B$5:$B$2004=B733)*$H$5:$H$2004)),"Rekor",""),"")</f>
        <v/>
      </c>
      <c r="J733" s="19" t="n">
        <f aca="false">IF(A733="",0,IF(COUNTIF(A$5:A733,A733)=1,1,0))</f>
        <v>0</v>
      </c>
    </row>
    <row r="734" customFormat="false" ht="15" hidden="false" customHeight="false" outlineLevel="0" collapsed="false">
      <c r="A734" s="12"/>
      <c r="B734" s="13"/>
      <c r="C734" s="14"/>
      <c r="D734" s="14"/>
      <c r="E734" s="15"/>
      <c r="F734" s="16" t="str">
        <f aca="false">IF(OR(C734="",D734="",E734=""),"",C734*D734*E734)</f>
        <v/>
      </c>
      <c r="G734" s="17" t="str">
        <f aca="false">IF(OR(D734="",E734=""),"",E734*(1+D734/30))</f>
        <v/>
      </c>
      <c r="H734" s="19" t="n">
        <f aca="false">IF(G734="",0,G734)</f>
        <v>0</v>
      </c>
      <c r="I734" s="18" t="str">
        <f aca="false">IF(H734&gt;0,IF(H734&gt;=SUMPRODUCT(MAX(($B$5:$B$2004=B734)*$H$5:$H$2004)),"Rekor",""),"")</f>
        <v/>
      </c>
      <c r="J734" s="19" t="n">
        <f aca="false">IF(A734="",0,IF(COUNTIF(A$5:A734,A734)=1,1,0))</f>
        <v>0</v>
      </c>
    </row>
    <row r="735" customFormat="false" ht="15" hidden="false" customHeight="false" outlineLevel="0" collapsed="false">
      <c r="A735" s="12"/>
      <c r="B735" s="13"/>
      <c r="C735" s="14"/>
      <c r="D735" s="14"/>
      <c r="E735" s="15"/>
      <c r="F735" s="16" t="str">
        <f aca="false">IF(OR(C735="",D735="",E735=""),"",C735*D735*E735)</f>
        <v/>
      </c>
      <c r="G735" s="17" t="str">
        <f aca="false">IF(OR(D735="",E735=""),"",E735*(1+D735/30))</f>
        <v/>
      </c>
      <c r="H735" s="19" t="n">
        <f aca="false">IF(G735="",0,G735)</f>
        <v>0</v>
      </c>
      <c r="I735" s="18" t="str">
        <f aca="false">IF(H735&gt;0,IF(H735&gt;=SUMPRODUCT(MAX(($B$5:$B$2004=B735)*$H$5:$H$2004)),"Rekor",""),"")</f>
        <v/>
      </c>
      <c r="J735" s="19" t="n">
        <f aca="false">IF(A735="",0,IF(COUNTIF(A$5:A735,A735)=1,1,0))</f>
        <v>0</v>
      </c>
    </row>
    <row r="736" customFormat="false" ht="15" hidden="false" customHeight="false" outlineLevel="0" collapsed="false">
      <c r="A736" s="12"/>
      <c r="B736" s="13"/>
      <c r="C736" s="14"/>
      <c r="D736" s="14"/>
      <c r="E736" s="15"/>
      <c r="F736" s="16" t="str">
        <f aca="false">IF(OR(C736="",D736="",E736=""),"",C736*D736*E736)</f>
        <v/>
      </c>
      <c r="G736" s="17" t="str">
        <f aca="false">IF(OR(D736="",E736=""),"",E736*(1+D736/30))</f>
        <v/>
      </c>
      <c r="H736" s="19" t="n">
        <f aca="false">IF(G736="",0,G736)</f>
        <v>0</v>
      </c>
      <c r="I736" s="18" t="str">
        <f aca="false">IF(H736&gt;0,IF(H736&gt;=SUMPRODUCT(MAX(($B$5:$B$2004=B736)*$H$5:$H$2004)),"Rekor",""),"")</f>
        <v/>
      </c>
      <c r="J736" s="19" t="n">
        <f aca="false">IF(A736="",0,IF(COUNTIF(A$5:A736,A736)=1,1,0))</f>
        <v>0</v>
      </c>
    </row>
    <row r="737" customFormat="false" ht="15" hidden="false" customHeight="false" outlineLevel="0" collapsed="false">
      <c r="A737" s="12"/>
      <c r="B737" s="13"/>
      <c r="C737" s="14"/>
      <c r="D737" s="14"/>
      <c r="E737" s="15"/>
      <c r="F737" s="16" t="str">
        <f aca="false">IF(OR(C737="",D737="",E737=""),"",C737*D737*E737)</f>
        <v/>
      </c>
      <c r="G737" s="17" t="str">
        <f aca="false">IF(OR(D737="",E737=""),"",E737*(1+D737/30))</f>
        <v/>
      </c>
      <c r="H737" s="19" t="n">
        <f aca="false">IF(G737="",0,G737)</f>
        <v>0</v>
      </c>
      <c r="I737" s="18" t="str">
        <f aca="false">IF(H737&gt;0,IF(H737&gt;=SUMPRODUCT(MAX(($B$5:$B$2004=B737)*$H$5:$H$2004)),"Rekor",""),"")</f>
        <v/>
      </c>
      <c r="J737" s="19" t="n">
        <f aca="false">IF(A737="",0,IF(COUNTIF(A$5:A737,A737)=1,1,0))</f>
        <v>0</v>
      </c>
    </row>
    <row r="738" customFormat="false" ht="15" hidden="false" customHeight="false" outlineLevel="0" collapsed="false">
      <c r="A738" s="12"/>
      <c r="B738" s="13"/>
      <c r="C738" s="14"/>
      <c r="D738" s="14"/>
      <c r="E738" s="15"/>
      <c r="F738" s="16" t="str">
        <f aca="false">IF(OR(C738="",D738="",E738=""),"",C738*D738*E738)</f>
        <v/>
      </c>
      <c r="G738" s="17" t="str">
        <f aca="false">IF(OR(D738="",E738=""),"",E738*(1+D738/30))</f>
        <v/>
      </c>
      <c r="H738" s="19" t="n">
        <f aca="false">IF(G738="",0,G738)</f>
        <v>0</v>
      </c>
      <c r="I738" s="18" t="str">
        <f aca="false">IF(H738&gt;0,IF(H738&gt;=SUMPRODUCT(MAX(($B$5:$B$2004=B738)*$H$5:$H$2004)),"Rekor",""),"")</f>
        <v/>
      </c>
      <c r="J738" s="19" t="n">
        <f aca="false">IF(A738="",0,IF(COUNTIF(A$5:A738,A738)=1,1,0))</f>
        <v>0</v>
      </c>
    </row>
    <row r="739" customFormat="false" ht="15" hidden="false" customHeight="false" outlineLevel="0" collapsed="false">
      <c r="A739" s="12"/>
      <c r="B739" s="13"/>
      <c r="C739" s="14"/>
      <c r="D739" s="14"/>
      <c r="E739" s="15"/>
      <c r="F739" s="16" t="str">
        <f aca="false">IF(OR(C739="",D739="",E739=""),"",C739*D739*E739)</f>
        <v/>
      </c>
      <c r="G739" s="17" t="str">
        <f aca="false">IF(OR(D739="",E739=""),"",E739*(1+D739/30))</f>
        <v/>
      </c>
      <c r="H739" s="19" t="n">
        <f aca="false">IF(G739="",0,G739)</f>
        <v>0</v>
      </c>
      <c r="I739" s="18" t="str">
        <f aca="false">IF(H739&gt;0,IF(H739&gt;=SUMPRODUCT(MAX(($B$5:$B$2004=B739)*$H$5:$H$2004)),"Rekor",""),"")</f>
        <v/>
      </c>
      <c r="J739" s="19" t="n">
        <f aca="false">IF(A739="",0,IF(COUNTIF(A$5:A739,A739)=1,1,0))</f>
        <v>0</v>
      </c>
    </row>
    <row r="740" customFormat="false" ht="15" hidden="false" customHeight="false" outlineLevel="0" collapsed="false">
      <c r="A740" s="12"/>
      <c r="B740" s="13"/>
      <c r="C740" s="14"/>
      <c r="D740" s="14"/>
      <c r="E740" s="15"/>
      <c r="F740" s="16" t="str">
        <f aca="false">IF(OR(C740="",D740="",E740=""),"",C740*D740*E740)</f>
        <v/>
      </c>
      <c r="G740" s="17" t="str">
        <f aca="false">IF(OR(D740="",E740=""),"",E740*(1+D740/30))</f>
        <v/>
      </c>
      <c r="H740" s="19" t="n">
        <f aca="false">IF(G740="",0,G740)</f>
        <v>0</v>
      </c>
      <c r="I740" s="18" t="str">
        <f aca="false">IF(H740&gt;0,IF(H740&gt;=SUMPRODUCT(MAX(($B$5:$B$2004=B740)*$H$5:$H$2004)),"Rekor",""),"")</f>
        <v/>
      </c>
      <c r="J740" s="19" t="n">
        <f aca="false">IF(A740="",0,IF(COUNTIF(A$5:A740,A740)=1,1,0))</f>
        <v>0</v>
      </c>
    </row>
    <row r="741" customFormat="false" ht="15" hidden="false" customHeight="false" outlineLevel="0" collapsed="false">
      <c r="A741" s="12"/>
      <c r="B741" s="13"/>
      <c r="C741" s="14"/>
      <c r="D741" s="14"/>
      <c r="E741" s="15"/>
      <c r="F741" s="16" t="str">
        <f aca="false">IF(OR(C741="",D741="",E741=""),"",C741*D741*E741)</f>
        <v/>
      </c>
      <c r="G741" s="17" t="str">
        <f aca="false">IF(OR(D741="",E741=""),"",E741*(1+D741/30))</f>
        <v/>
      </c>
      <c r="H741" s="19" t="n">
        <f aca="false">IF(G741="",0,G741)</f>
        <v>0</v>
      </c>
      <c r="I741" s="18" t="str">
        <f aca="false">IF(H741&gt;0,IF(H741&gt;=SUMPRODUCT(MAX(($B$5:$B$2004=B741)*$H$5:$H$2004)),"Rekor",""),"")</f>
        <v/>
      </c>
      <c r="J741" s="19" t="n">
        <f aca="false">IF(A741="",0,IF(COUNTIF(A$5:A741,A741)=1,1,0))</f>
        <v>0</v>
      </c>
    </row>
    <row r="742" customFormat="false" ht="15" hidden="false" customHeight="false" outlineLevel="0" collapsed="false">
      <c r="A742" s="12"/>
      <c r="B742" s="13"/>
      <c r="C742" s="14"/>
      <c r="D742" s="14"/>
      <c r="E742" s="15"/>
      <c r="F742" s="16" t="str">
        <f aca="false">IF(OR(C742="",D742="",E742=""),"",C742*D742*E742)</f>
        <v/>
      </c>
      <c r="G742" s="17" t="str">
        <f aca="false">IF(OR(D742="",E742=""),"",E742*(1+D742/30))</f>
        <v/>
      </c>
      <c r="H742" s="19" t="n">
        <f aca="false">IF(G742="",0,G742)</f>
        <v>0</v>
      </c>
      <c r="I742" s="18" t="str">
        <f aca="false">IF(H742&gt;0,IF(H742&gt;=SUMPRODUCT(MAX(($B$5:$B$2004=B742)*$H$5:$H$2004)),"Rekor",""),"")</f>
        <v/>
      </c>
      <c r="J742" s="19" t="n">
        <f aca="false">IF(A742="",0,IF(COUNTIF(A$5:A742,A742)=1,1,0))</f>
        <v>0</v>
      </c>
    </row>
    <row r="743" customFormat="false" ht="15" hidden="false" customHeight="false" outlineLevel="0" collapsed="false">
      <c r="A743" s="12"/>
      <c r="B743" s="13"/>
      <c r="C743" s="14"/>
      <c r="D743" s="14"/>
      <c r="E743" s="15"/>
      <c r="F743" s="16" t="str">
        <f aca="false">IF(OR(C743="",D743="",E743=""),"",C743*D743*E743)</f>
        <v/>
      </c>
      <c r="G743" s="17" t="str">
        <f aca="false">IF(OR(D743="",E743=""),"",E743*(1+D743/30))</f>
        <v/>
      </c>
      <c r="H743" s="19" t="n">
        <f aca="false">IF(G743="",0,G743)</f>
        <v>0</v>
      </c>
      <c r="I743" s="18" t="str">
        <f aca="false">IF(H743&gt;0,IF(H743&gt;=SUMPRODUCT(MAX(($B$5:$B$2004=B743)*$H$5:$H$2004)),"Rekor",""),"")</f>
        <v/>
      </c>
      <c r="J743" s="19" t="n">
        <f aca="false">IF(A743="",0,IF(COUNTIF(A$5:A743,A743)=1,1,0))</f>
        <v>0</v>
      </c>
    </row>
    <row r="744" customFormat="false" ht="15" hidden="false" customHeight="false" outlineLevel="0" collapsed="false">
      <c r="A744" s="12"/>
      <c r="B744" s="13"/>
      <c r="C744" s="14"/>
      <c r="D744" s="14"/>
      <c r="E744" s="15"/>
      <c r="F744" s="16" t="str">
        <f aca="false">IF(OR(C744="",D744="",E744=""),"",C744*D744*E744)</f>
        <v/>
      </c>
      <c r="G744" s="17" t="str">
        <f aca="false">IF(OR(D744="",E744=""),"",E744*(1+D744/30))</f>
        <v/>
      </c>
      <c r="H744" s="19" t="n">
        <f aca="false">IF(G744="",0,G744)</f>
        <v>0</v>
      </c>
      <c r="I744" s="18" t="str">
        <f aca="false">IF(H744&gt;0,IF(H744&gt;=SUMPRODUCT(MAX(($B$5:$B$2004=B744)*$H$5:$H$2004)),"Rekor",""),"")</f>
        <v/>
      </c>
      <c r="J744" s="19" t="n">
        <f aca="false">IF(A744="",0,IF(COUNTIF(A$5:A744,A744)=1,1,0))</f>
        <v>0</v>
      </c>
    </row>
    <row r="745" customFormat="false" ht="15" hidden="false" customHeight="false" outlineLevel="0" collapsed="false">
      <c r="A745" s="12"/>
      <c r="B745" s="13"/>
      <c r="C745" s="14"/>
      <c r="D745" s="14"/>
      <c r="E745" s="15"/>
      <c r="F745" s="16" t="str">
        <f aca="false">IF(OR(C745="",D745="",E745=""),"",C745*D745*E745)</f>
        <v/>
      </c>
      <c r="G745" s="17" t="str">
        <f aca="false">IF(OR(D745="",E745=""),"",E745*(1+D745/30))</f>
        <v/>
      </c>
      <c r="H745" s="19" t="n">
        <f aca="false">IF(G745="",0,G745)</f>
        <v>0</v>
      </c>
      <c r="I745" s="18" t="str">
        <f aca="false">IF(H745&gt;0,IF(H745&gt;=SUMPRODUCT(MAX(($B$5:$B$2004=B745)*$H$5:$H$2004)),"Rekor",""),"")</f>
        <v/>
      </c>
      <c r="J745" s="19" t="n">
        <f aca="false">IF(A745="",0,IF(COUNTIF(A$5:A745,A745)=1,1,0))</f>
        <v>0</v>
      </c>
    </row>
    <row r="746" customFormat="false" ht="15" hidden="false" customHeight="false" outlineLevel="0" collapsed="false">
      <c r="A746" s="12"/>
      <c r="B746" s="13"/>
      <c r="C746" s="14"/>
      <c r="D746" s="14"/>
      <c r="E746" s="15"/>
      <c r="F746" s="16" t="str">
        <f aca="false">IF(OR(C746="",D746="",E746=""),"",C746*D746*E746)</f>
        <v/>
      </c>
      <c r="G746" s="17" t="str">
        <f aca="false">IF(OR(D746="",E746=""),"",E746*(1+D746/30))</f>
        <v/>
      </c>
      <c r="H746" s="19" t="n">
        <f aca="false">IF(G746="",0,G746)</f>
        <v>0</v>
      </c>
      <c r="I746" s="18" t="str">
        <f aca="false">IF(H746&gt;0,IF(H746&gt;=SUMPRODUCT(MAX(($B$5:$B$2004=B746)*$H$5:$H$2004)),"Rekor",""),"")</f>
        <v/>
      </c>
      <c r="J746" s="19" t="n">
        <f aca="false">IF(A746="",0,IF(COUNTIF(A$5:A746,A746)=1,1,0))</f>
        <v>0</v>
      </c>
    </row>
    <row r="747" customFormat="false" ht="15" hidden="false" customHeight="false" outlineLevel="0" collapsed="false">
      <c r="A747" s="12"/>
      <c r="B747" s="13"/>
      <c r="C747" s="14"/>
      <c r="D747" s="14"/>
      <c r="E747" s="15"/>
      <c r="F747" s="16" t="str">
        <f aca="false">IF(OR(C747="",D747="",E747=""),"",C747*D747*E747)</f>
        <v/>
      </c>
      <c r="G747" s="17" t="str">
        <f aca="false">IF(OR(D747="",E747=""),"",E747*(1+D747/30))</f>
        <v/>
      </c>
      <c r="H747" s="19" t="n">
        <f aca="false">IF(G747="",0,G747)</f>
        <v>0</v>
      </c>
      <c r="I747" s="18" t="str">
        <f aca="false">IF(H747&gt;0,IF(H747&gt;=SUMPRODUCT(MAX(($B$5:$B$2004=B747)*$H$5:$H$2004)),"Rekor",""),"")</f>
        <v/>
      </c>
      <c r="J747" s="19" t="n">
        <f aca="false">IF(A747="",0,IF(COUNTIF(A$5:A747,A747)=1,1,0))</f>
        <v>0</v>
      </c>
    </row>
    <row r="748" customFormat="false" ht="15" hidden="false" customHeight="false" outlineLevel="0" collapsed="false">
      <c r="A748" s="12"/>
      <c r="B748" s="13"/>
      <c r="C748" s="14"/>
      <c r="D748" s="14"/>
      <c r="E748" s="15"/>
      <c r="F748" s="16" t="str">
        <f aca="false">IF(OR(C748="",D748="",E748=""),"",C748*D748*E748)</f>
        <v/>
      </c>
      <c r="G748" s="17" t="str">
        <f aca="false">IF(OR(D748="",E748=""),"",E748*(1+D748/30))</f>
        <v/>
      </c>
      <c r="H748" s="19" t="n">
        <f aca="false">IF(G748="",0,G748)</f>
        <v>0</v>
      </c>
      <c r="I748" s="18" t="str">
        <f aca="false">IF(H748&gt;0,IF(H748&gt;=SUMPRODUCT(MAX(($B$5:$B$2004=B748)*$H$5:$H$2004)),"Rekor",""),"")</f>
        <v/>
      </c>
      <c r="J748" s="19" t="n">
        <f aca="false">IF(A748="",0,IF(COUNTIF(A$5:A748,A748)=1,1,0))</f>
        <v>0</v>
      </c>
    </row>
    <row r="749" customFormat="false" ht="15" hidden="false" customHeight="false" outlineLevel="0" collapsed="false">
      <c r="A749" s="12"/>
      <c r="B749" s="13"/>
      <c r="C749" s="14"/>
      <c r="D749" s="14"/>
      <c r="E749" s="15"/>
      <c r="F749" s="16" t="str">
        <f aca="false">IF(OR(C749="",D749="",E749=""),"",C749*D749*E749)</f>
        <v/>
      </c>
      <c r="G749" s="17" t="str">
        <f aca="false">IF(OR(D749="",E749=""),"",E749*(1+D749/30))</f>
        <v/>
      </c>
      <c r="H749" s="19" t="n">
        <f aca="false">IF(G749="",0,G749)</f>
        <v>0</v>
      </c>
      <c r="I749" s="18" t="str">
        <f aca="false">IF(H749&gt;0,IF(H749&gt;=SUMPRODUCT(MAX(($B$5:$B$2004=B749)*$H$5:$H$2004)),"Rekor",""),"")</f>
        <v/>
      </c>
      <c r="J749" s="19" t="n">
        <f aca="false">IF(A749="",0,IF(COUNTIF(A$5:A749,A749)=1,1,0))</f>
        <v>0</v>
      </c>
    </row>
    <row r="750" customFormat="false" ht="15" hidden="false" customHeight="false" outlineLevel="0" collapsed="false">
      <c r="A750" s="12"/>
      <c r="B750" s="13"/>
      <c r="C750" s="14"/>
      <c r="D750" s="14"/>
      <c r="E750" s="15"/>
      <c r="F750" s="16" t="str">
        <f aca="false">IF(OR(C750="",D750="",E750=""),"",C750*D750*E750)</f>
        <v/>
      </c>
      <c r="G750" s="17" t="str">
        <f aca="false">IF(OR(D750="",E750=""),"",E750*(1+D750/30))</f>
        <v/>
      </c>
      <c r="H750" s="19" t="n">
        <f aca="false">IF(G750="",0,G750)</f>
        <v>0</v>
      </c>
      <c r="I750" s="18" t="str">
        <f aca="false">IF(H750&gt;0,IF(H750&gt;=SUMPRODUCT(MAX(($B$5:$B$2004=B750)*$H$5:$H$2004)),"Rekor",""),"")</f>
        <v/>
      </c>
      <c r="J750" s="19" t="n">
        <f aca="false">IF(A750="",0,IF(COUNTIF(A$5:A750,A750)=1,1,0))</f>
        <v>0</v>
      </c>
    </row>
    <row r="751" customFormat="false" ht="15" hidden="false" customHeight="false" outlineLevel="0" collapsed="false">
      <c r="A751" s="12"/>
      <c r="B751" s="13"/>
      <c r="C751" s="14"/>
      <c r="D751" s="14"/>
      <c r="E751" s="15"/>
      <c r="F751" s="16" t="str">
        <f aca="false">IF(OR(C751="",D751="",E751=""),"",C751*D751*E751)</f>
        <v/>
      </c>
      <c r="G751" s="17" t="str">
        <f aca="false">IF(OR(D751="",E751=""),"",E751*(1+D751/30))</f>
        <v/>
      </c>
      <c r="H751" s="19" t="n">
        <f aca="false">IF(G751="",0,G751)</f>
        <v>0</v>
      </c>
      <c r="I751" s="18" t="str">
        <f aca="false">IF(H751&gt;0,IF(H751&gt;=SUMPRODUCT(MAX(($B$5:$B$2004=B751)*$H$5:$H$2004)),"Rekor",""),"")</f>
        <v/>
      </c>
      <c r="J751" s="19" t="n">
        <f aca="false">IF(A751="",0,IF(COUNTIF(A$5:A751,A751)=1,1,0))</f>
        <v>0</v>
      </c>
    </row>
    <row r="752" customFormat="false" ht="15" hidden="false" customHeight="false" outlineLevel="0" collapsed="false">
      <c r="A752" s="12"/>
      <c r="B752" s="13"/>
      <c r="C752" s="14"/>
      <c r="D752" s="14"/>
      <c r="E752" s="15"/>
      <c r="F752" s="16" t="str">
        <f aca="false">IF(OR(C752="",D752="",E752=""),"",C752*D752*E752)</f>
        <v/>
      </c>
      <c r="G752" s="17" t="str">
        <f aca="false">IF(OR(D752="",E752=""),"",E752*(1+D752/30))</f>
        <v/>
      </c>
      <c r="H752" s="19" t="n">
        <f aca="false">IF(G752="",0,G752)</f>
        <v>0</v>
      </c>
      <c r="I752" s="18" t="str">
        <f aca="false">IF(H752&gt;0,IF(H752&gt;=SUMPRODUCT(MAX(($B$5:$B$2004=B752)*$H$5:$H$2004)),"Rekor",""),"")</f>
        <v/>
      </c>
      <c r="J752" s="19" t="n">
        <f aca="false">IF(A752="",0,IF(COUNTIF(A$5:A752,A752)=1,1,0))</f>
        <v>0</v>
      </c>
    </row>
    <row r="753" customFormat="false" ht="15" hidden="false" customHeight="false" outlineLevel="0" collapsed="false">
      <c r="A753" s="12"/>
      <c r="B753" s="13"/>
      <c r="C753" s="14"/>
      <c r="D753" s="14"/>
      <c r="E753" s="15"/>
      <c r="F753" s="16" t="str">
        <f aca="false">IF(OR(C753="",D753="",E753=""),"",C753*D753*E753)</f>
        <v/>
      </c>
      <c r="G753" s="17" t="str">
        <f aca="false">IF(OR(D753="",E753=""),"",E753*(1+D753/30))</f>
        <v/>
      </c>
      <c r="H753" s="19" t="n">
        <f aca="false">IF(G753="",0,G753)</f>
        <v>0</v>
      </c>
      <c r="I753" s="18" t="str">
        <f aca="false">IF(H753&gt;0,IF(H753&gt;=SUMPRODUCT(MAX(($B$5:$B$2004=B753)*$H$5:$H$2004)),"Rekor",""),"")</f>
        <v/>
      </c>
      <c r="J753" s="19" t="n">
        <f aca="false">IF(A753="",0,IF(COUNTIF(A$5:A753,A753)=1,1,0))</f>
        <v>0</v>
      </c>
    </row>
    <row r="754" customFormat="false" ht="15" hidden="false" customHeight="false" outlineLevel="0" collapsed="false">
      <c r="A754" s="12"/>
      <c r="B754" s="13"/>
      <c r="C754" s="14"/>
      <c r="D754" s="14"/>
      <c r="E754" s="15"/>
      <c r="F754" s="16" t="str">
        <f aca="false">IF(OR(C754="",D754="",E754=""),"",C754*D754*E754)</f>
        <v/>
      </c>
      <c r="G754" s="17" t="str">
        <f aca="false">IF(OR(D754="",E754=""),"",E754*(1+D754/30))</f>
        <v/>
      </c>
      <c r="H754" s="19" t="n">
        <f aca="false">IF(G754="",0,G754)</f>
        <v>0</v>
      </c>
      <c r="I754" s="18" t="str">
        <f aca="false">IF(H754&gt;0,IF(H754&gt;=SUMPRODUCT(MAX(($B$5:$B$2004=B754)*$H$5:$H$2004)),"Rekor",""),"")</f>
        <v/>
      </c>
      <c r="J754" s="19" t="n">
        <f aca="false">IF(A754="",0,IF(COUNTIF(A$5:A754,A754)=1,1,0))</f>
        <v>0</v>
      </c>
    </row>
    <row r="755" customFormat="false" ht="15" hidden="false" customHeight="false" outlineLevel="0" collapsed="false">
      <c r="A755" s="12"/>
      <c r="B755" s="13"/>
      <c r="C755" s="14"/>
      <c r="D755" s="14"/>
      <c r="E755" s="15"/>
      <c r="F755" s="16" t="str">
        <f aca="false">IF(OR(C755="",D755="",E755=""),"",C755*D755*E755)</f>
        <v/>
      </c>
      <c r="G755" s="17" t="str">
        <f aca="false">IF(OR(D755="",E755=""),"",E755*(1+D755/30))</f>
        <v/>
      </c>
      <c r="H755" s="19" t="n">
        <f aca="false">IF(G755="",0,G755)</f>
        <v>0</v>
      </c>
      <c r="I755" s="18" t="str">
        <f aca="false">IF(H755&gt;0,IF(H755&gt;=SUMPRODUCT(MAX(($B$5:$B$2004=B755)*$H$5:$H$2004)),"Rekor",""),"")</f>
        <v/>
      </c>
      <c r="J755" s="19" t="n">
        <f aca="false">IF(A755="",0,IF(COUNTIF(A$5:A755,A755)=1,1,0))</f>
        <v>0</v>
      </c>
    </row>
    <row r="756" customFormat="false" ht="15" hidden="false" customHeight="false" outlineLevel="0" collapsed="false">
      <c r="A756" s="12"/>
      <c r="B756" s="13"/>
      <c r="C756" s="14"/>
      <c r="D756" s="14"/>
      <c r="E756" s="15"/>
      <c r="F756" s="16" t="str">
        <f aca="false">IF(OR(C756="",D756="",E756=""),"",C756*D756*E756)</f>
        <v/>
      </c>
      <c r="G756" s="17" t="str">
        <f aca="false">IF(OR(D756="",E756=""),"",E756*(1+D756/30))</f>
        <v/>
      </c>
      <c r="H756" s="19" t="n">
        <f aca="false">IF(G756="",0,G756)</f>
        <v>0</v>
      </c>
      <c r="I756" s="18" t="str">
        <f aca="false">IF(H756&gt;0,IF(H756&gt;=SUMPRODUCT(MAX(($B$5:$B$2004=B756)*$H$5:$H$2004)),"Rekor",""),"")</f>
        <v/>
      </c>
      <c r="J756" s="19" t="n">
        <f aca="false">IF(A756="",0,IF(COUNTIF(A$5:A756,A756)=1,1,0))</f>
        <v>0</v>
      </c>
    </row>
    <row r="757" customFormat="false" ht="15" hidden="false" customHeight="false" outlineLevel="0" collapsed="false">
      <c r="A757" s="12"/>
      <c r="B757" s="13"/>
      <c r="C757" s="14"/>
      <c r="D757" s="14"/>
      <c r="E757" s="15"/>
      <c r="F757" s="16" t="str">
        <f aca="false">IF(OR(C757="",D757="",E757=""),"",C757*D757*E757)</f>
        <v/>
      </c>
      <c r="G757" s="17" t="str">
        <f aca="false">IF(OR(D757="",E757=""),"",E757*(1+D757/30))</f>
        <v/>
      </c>
      <c r="H757" s="19" t="n">
        <f aca="false">IF(G757="",0,G757)</f>
        <v>0</v>
      </c>
      <c r="I757" s="18" t="str">
        <f aca="false">IF(H757&gt;0,IF(H757&gt;=SUMPRODUCT(MAX(($B$5:$B$2004=B757)*$H$5:$H$2004)),"Rekor",""),"")</f>
        <v/>
      </c>
      <c r="J757" s="19" t="n">
        <f aca="false">IF(A757="",0,IF(COUNTIF(A$5:A757,A757)=1,1,0))</f>
        <v>0</v>
      </c>
    </row>
    <row r="758" customFormat="false" ht="15" hidden="false" customHeight="false" outlineLevel="0" collapsed="false">
      <c r="A758" s="12"/>
      <c r="B758" s="13"/>
      <c r="C758" s="14"/>
      <c r="D758" s="14"/>
      <c r="E758" s="15"/>
      <c r="F758" s="16" t="str">
        <f aca="false">IF(OR(C758="",D758="",E758=""),"",C758*D758*E758)</f>
        <v/>
      </c>
      <c r="G758" s="17" t="str">
        <f aca="false">IF(OR(D758="",E758=""),"",E758*(1+D758/30))</f>
        <v/>
      </c>
      <c r="H758" s="19" t="n">
        <f aca="false">IF(G758="",0,G758)</f>
        <v>0</v>
      </c>
      <c r="I758" s="18" t="str">
        <f aca="false">IF(H758&gt;0,IF(H758&gt;=SUMPRODUCT(MAX(($B$5:$B$2004=B758)*$H$5:$H$2004)),"Rekor",""),"")</f>
        <v/>
      </c>
      <c r="J758" s="19" t="n">
        <f aca="false">IF(A758="",0,IF(COUNTIF(A$5:A758,A758)=1,1,0))</f>
        <v>0</v>
      </c>
    </row>
    <row r="759" customFormat="false" ht="15" hidden="false" customHeight="false" outlineLevel="0" collapsed="false">
      <c r="A759" s="12"/>
      <c r="B759" s="13"/>
      <c r="C759" s="14"/>
      <c r="D759" s="14"/>
      <c r="E759" s="15"/>
      <c r="F759" s="16" t="str">
        <f aca="false">IF(OR(C759="",D759="",E759=""),"",C759*D759*E759)</f>
        <v/>
      </c>
      <c r="G759" s="17" t="str">
        <f aca="false">IF(OR(D759="",E759=""),"",E759*(1+D759/30))</f>
        <v/>
      </c>
      <c r="H759" s="19" t="n">
        <f aca="false">IF(G759="",0,G759)</f>
        <v>0</v>
      </c>
      <c r="I759" s="18" t="str">
        <f aca="false">IF(H759&gt;0,IF(H759&gt;=SUMPRODUCT(MAX(($B$5:$B$2004=B759)*$H$5:$H$2004)),"Rekor",""),"")</f>
        <v/>
      </c>
      <c r="J759" s="19" t="n">
        <f aca="false">IF(A759="",0,IF(COUNTIF(A$5:A759,A759)=1,1,0))</f>
        <v>0</v>
      </c>
    </row>
    <row r="760" customFormat="false" ht="15" hidden="false" customHeight="false" outlineLevel="0" collapsed="false">
      <c r="A760" s="12"/>
      <c r="B760" s="13"/>
      <c r="C760" s="14"/>
      <c r="D760" s="14"/>
      <c r="E760" s="15"/>
      <c r="F760" s="16" t="str">
        <f aca="false">IF(OR(C760="",D760="",E760=""),"",C760*D760*E760)</f>
        <v/>
      </c>
      <c r="G760" s="17" t="str">
        <f aca="false">IF(OR(D760="",E760=""),"",E760*(1+D760/30))</f>
        <v/>
      </c>
      <c r="H760" s="19" t="n">
        <f aca="false">IF(G760="",0,G760)</f>
        <v>0</v>
      </c>
      <c r="I760" s="18" t="str">
        <f aca="false">IF(H760&gt;0,IF(H760&gt;=SUMPRODUCT(MAX(($B$5:$B$2004=B760)*$H$5:$H$2004)),"Rekor",""),"")</f>
        <v/>
      </c>
      <c r="J760" s="19" t="n">
        <f aca="false">IF(A760="",0,IF(COUNTIF(A$5:A760,A760)=1,1,0))</f>
        <v>0</v>
      </c>
    </row>
    <row r="761" customFormat="false" ht="15" hidden="false" customHeight="false" outlineLevel="0" collapsed="false">
      <c r="A761" s="12"/>
      <c r="B761" s="13"/>
      <c r="C761" s="14"/>
      <c r="D761" s="14"/>
      <c r="E761" s="15"/>
      <c r="F761" s="16" t="str">
        <f aca="false">IF(OR(C761="",D761="",E761=""),"",C761*D761*E761)</f>
        <v/>
      </c>
      <c r="G761" s="17" t="str">
        <f aca="false">IF(OR(D761="",E761=""),"",E761*(1+D761/30))</f>
        <v/>
      </c>
      <c r="H761" s="19" t="n">
        <f aca="false">IF(G761="",0,G761)</f>
        <v>0</v>
      </c>
      <c r="I761" s="18" t="str">
        <f aca="false">IF(H761&gt;0,IF(H761&gt;=SUMPRODUCT(MAX(($B$5:$B$2004=B761)*$H$5:$H$2004)),"Rekor",""),"")</f>
        <v/>
      </c>
      <c r="J761" s="19" t="n">
        <f aca="false">IF(A761="",0,IF(COUNTIF(A$5:A761,A761)=1,1,0))</f>
        <v>0</v>
      </c>
    </row>
    <row r="762" customFormat="false" ht="15" hidden="false" customHeight="false" outlineLevel="0" collapsed="false">
      <c r="A762" s="12"/>
      <c r="B762" s="13"/>
      <c r="C762" s="14"/>
      <c r="D762" s="14"/>
      <c r="E762" s="15"/>
      <c r="F762" s="16" t="str">
        <f aca="false">IF(OR(C762="",D762="",E762=""),"",C762*D762*E762)</f>
        <v/>
      </c>
      <c r="G762" s="17" t="str">
        <f aca="false">IF(OR(D762="",E762=""),"",E762*(1+D762/30))</f>
        <v/>
      </c>
      <c r="H762" s="19" t="n">
        <f aca="false">IF(G762="",0,G762)</f>
        <v>0</v>
      </c>
      <c r="I762" s="18" t="str">
        <f aca="false">IF(H762&gt;0,IF(H762&gt;=SUMPRODUCT(MAX(($B$5:$B$2004=B762)*$H$5:$H$2004)),"Rekor",""),"")</f>
        <v/>
      </c>
      <c r="J762" s="19" t="n">
        <f aca="false">IF(A762="",0,IF(COUNTIF(A$5:A762,A762)=1,1,0))</f>
        <v>0</v>
      </c>
    </row>
    <row r="763" customFormat="false" ht="15" hidden="false" customHeight="false" outlineLevel="0" collapsed="false">
      <c r="A763" s="12"/>
      <c r="B763" s="13"/>
      <c r="C763" s="14"/>
      <c r="D763" s="14"/>
      <c r="E763" s="15"/>
      <c r="F763" s="16" t="str">
        <f aca="false">IF(OR(C763="",D763="",E763=""),"",C763*D763*E763)</f>
        <v/>
      </c>
      <c r="G763" s="17" t="str">
        <f aca="false">IF(OR(D763="",E763=""),"",E763*(1+D763/30))</f>
        <v/>
      </c>
      <c r="H763" s="19" t="n">
        <f aca="false">IF(G763="",0,G763)</f>
        <v>0</v>
      </c>
      <c r="I763" s="18" t="str">
        <f aca="false">IF(H763&gt;0,IF(H763&gt;=SUMPRODUCT(MAX(($B$5:$B$2004=B763)*$H$5:$H$2004)),"Rekor",""),"")</f>
        <v/>
      </c>
      <c r="J763" s="19" t="n">
        <f aca="false">IF(A763="",0,IF(COUNTIF(A$5:A763,A763)=1,1,0))</f>
        <v>0</v>
      </c>
    </row>
    <row r="764" customFormat="false" ht="15" hidden="false" customHeight="false" outlineLevel="0" collapsed="false">
      <c r="A764" s="12"/>
      <c r="B764" s="13"/>
      <c r="C764" s="14"/>
      <c r="D764" s="14"/>
      <c r="E764" s="15"/>
      <c r="F764" s="16" t="str">
        <f aca="false">IF(OR(C764="",D764="",E764=""),"",C764*D764*E764)</f>
        <v/>
      </c>
      <c r="G764" s="17" t="str">
        <f aca="false">IF(OR(D764="",E764=""),"",E764*(1+D764/30))</f>
        <v/>
      </c>
      <c r="H764" s="19" t="n">
        <f aca="false">IF(G764="",0,G764)</f>
        <v>0</v>
      </c>
      <c r="I764" s="18" t="str">
        <f aca="false">IF(H764&gt;0,IF(H764&gt;=SUMPRODUCT(MAX(($B$5:$B$2004=B764)*$H$5:$H$2004)),"Rekor",""),"")</f>
        <v/>
      </c>
      <c r="J764" s="19" t="n">
        <f aca="false">IF(A764="",0,IF(COUNTIF(A$5:A764,A764)=1,1,0))</f>
        <v>0</v>
      </c>
    </row>
    <row r="765" customFormat="false" ht="15" hidden="false" customHeight="false" outlineLevel="0" collapsed="false">
      <c r="A765" s="12"/>
      <c r="B765" s="13"/>
      <c r="C765" s="14"/>
      <c r="D765" s="14"/>
      <c r="E765" s="15"/>
      <c r="F765" s="16" t="str">
        <f aca="false">IF(OR(C765="",D765="",E765=""),"",C765*D765*E765)</f>
        <v/>
      </c>
      <c r="G765" s="17" t="str">
        <f aca="false">IF(OR(D765="",E765=""),"",E765*(1+D765/30))</f>
        <v/>
      </c>
      <c r="H765" s="19" t="n">
        <f aca="false">IF(G765="",0,G765)</f>
        <v>0</v>
      </c>
      <c r="I765" s="18" t="str">
        <f aca="false">IF(H765&gt;0,IF(H765&gt;=SUMPRODUCT(MAX(($B$5:$B$2004=B765)*$H$5:$H$2004)),"Rekor",""),"")</f>
        <v/>
      </c>
      <c r="J765" s="19" t="n">
        <f aca="false">IF(A765="",0,IF(COUNTIF(A$5:A765,A765)=1,1,0))</f>
        <v>0</v>
      </c>
    </row>
    <row r="766" customFormat="false" ht="15" hidden="false" customHeight="false" outlineLevel="0" collapsed="false">
      <c r="A766" s="12"/>
      <c r="B766" s="13"/>
      <c r="C766" s="14"/>
      <c r="D766" s="14"/>
      <c r="E766" s="15"/>
      <c r="F766" s="16" t="str">
        <f aca="false">IF(OR(C766="",D766="",E766=""),"",C766*D766*E766)</f>
        <v/>
      </c>
      <c r="G766" s="17" t="str">
        <f aca="false">IF(OR(D766="",E766=""),"",E766*(1+D766/30))</f>
        <v/>
      </c>
      <c r="H766" s="19" t="n">
        <f aca="false">IF(G766="",0,G766)</f>
        <v>0</v>
      </c>
      <c r="I766" s="18" t="str">
        <f aca="false">IF(H766&gt;0,IF(H766&gt;=SUMPRODUCT(MAX(($B$5:$B$2004=B766)*$H$5:$H$2004)),"Rekor",""),"")</f>
        <v/>
      </c>
      <c r="J766" s="19" t="n">
        <f aca="false">IF(A766="",0,IF(COUNTIF(A$5:A766,A766)=1,1,0))</f>
        <v>0</v>
      </c>
    </row>
    <row r="767" customFormat="false" ht="15" hidden="false" customHeight="false" outlineLevel="0" collapsed="false">
      <c r="A767" s="12"/>
      <c r="B767" s="13"/>
      <c r="C767" s="14"/>
      <c r="D767" s="14"/>
      <c r="E767" s="15"/>
      <c r="F767" s="16" t="str">
        <f aca="false">IF(OR(C767="",D767="",E767=""),"",C767*D767*E767)</f>
        <v/>
      </c>
      <c r="G767" s="17" t="str">
        <f aca="false">IF(OR(D767="",E767=""),"",E767*(1+D767/30))</f>
        <v/>
      </c>
      <c r="H767" s="19" t="n">
        <f aca="false">IF(G767="",0,G767)</f>
        <v>0</v>
      </c>
      <c r="I767" s="18" t="str">
        <f aca="false">IF(H767&gt;0,IF(H767&gt;=SUMPRODUCT(MAX(($B$5:$B$2004=B767)*$H$5:$H$2004)),"Rekor",""),"")</f>
        <v/>
      </c>
      <c r="J767" s="19" t="n">
        <f aca="false">IF(A767="",0,IF(COUNTIF(A$5:A767,A767)=1,1,0))</f>
        <v>0</v>
      </c>
    </row>
    <row r="768" customFormat="false" ht="15" hidden="false" customHeight="false" outlineLevel="0" collapsed="false">
      <c r="A768" s="12"/>
      <c r="B768" s="13"/>
      <c r="C768" s="14"/>
      <c r="D768" s="14"/>
      <c r="E768" s="15"/>
      <c r="F768" s="16" t="str">
        <f aca="false">IF(OR(C768="",D768="",E768=""),"",C768*D768*E768)</f>
        <v/>
      </c>
      <c r="G768" s="17" t="str">
        <f aca="false">IF(OR(D768="",E768=""),"",E768*(1+D768/30))</f>
        <v/>
      </c>
      <c r="H768" s="19" t="n">
        <f aca="false">IF(G768="",0,G768)</f>
        <v>0</v>
      </c>
      <c r="I768" s="18" t="str">
        <f aca="false">IF(H768&gt;0,IF(H768&gt;=SUMPRODUCT(MAX(($B$5:$B$2004=B768)*$H$5:$H$2004)),"Rekor",""),"")</f>
        <v/>
      </c>
      <c r="J768" s="19" t="n">
        <f aca="false">IF(A768="",0,IF(COUNTIF(A$5:A768,A768)=1,1,0))</f>
        <v>0</v>
      </c>
    </row>
    <row r="769" customFormat="false" ht="15" hidden="false" customHeight="false" outlineLevel="0" collapsed="false">
      <c r="A769" s="12"/>
      <c r="B769" s="13"/>
      <c r="C769" s="14"/>
      <c r="D769" s="14"/>
      <c r="E769" s="15"/>
      <c r="F769" s="16" t="str">
        <f aca="false">IF(OR(C769="",D769="",E769=""),"",C769*D769*E769)</f>
        <v/>
      </c>
      <c r="G769" s="17" t="str">
        <f aca="false">IF(OR(D769="",E769=""),"",E769*(1+D769/30))</f>
        <v/>
      </c>
      <c r="H769" s="19" t="n">
        <f aca="false">IF(G769="",0,G769)</f>
        <v>0</v>
      </c>
      <c r="I769" s="18" t="str">
        <f aca="false">IF(H769&gt;0,IF(H769&gt;=SUMPRODUCT(MAX(($B$5:$B$2004=B769)*$H$5:$H$2004)),"Rekor",""),"")</f>
        <v/>
      </c>
      <c r="J769" s="19" t="n">
        <f aca="false">IF(A769="",0,IF(COUNTIF(A$5:A769,A769)=1,1,0))</f>
        <v>0</v>
      </c>
    </row>
    <row r="770" customFormat="false" ht="15" hidden="false" customHeight="false" outlineLevel="0" collapsed="false">
      <c r="A770" s="12"/>
      <c r="B770" s="13"/>
      <c r="C770" s="14"/>
      <c r="D770" s="14"/>
      <c r="E770" s="15"/>
      <c r="F770" s="16" t="str">
        <f aca="false">IF(OR(C770="",D770="",E770=""),"",C770*D770*E770)</f>
        <v/>
      </c>
      <c r="G770" s="17" t="str">
        <f aca="false">IF(OR(D770="",E770=""),"",E770*(1+D770/30))</f>
        <v/>
      </c>
      <c r="H770" s="19" t="n">
        <f aca="false">IF(G770="",0,G770)</f>
        <v>0</v>
      </c>
      <c r="I770" s="18" t="str">
        <f aca="false">IF(H770&gt;0,IF(H770&gt;=SUMPRODUCT(MAX(($B$5:$B$2004=B770)*$H$5:$H$2004)),"Rekor",""),"")</f>
        <v/>
      </c>
      <c r="J770" s="19" t="n">
        <f aca="false">IF(A770="",0,IF(COUNTIF(A$5:A770,A770)=1,1,0))</f>
        <v>0</v>
      </c>
    </row>
    <row r="771" customFormat="false" ht="15" hidden="false" customHeight="false" outlineLevel="0" collapsed="false">
      <c r="A771" s="12"/>
      <c r="B771" s="13"/>
      <c r="C771" s="14"/>
      <c r="D771" s="14"/>
      <c r="E771" s="15"/>
      <c r="F771" s="16" t="str">
        <f aca="false">IF(OR(C771="",D771="",E771=""),"",C771*D771*E771)</f>
        <v/>
      </c>
      <c r="G771" s="17" t="str">
        <f aca="false">IF(OR(D771="",E771=""),"",E771*(1+D771/30))</f>
        <v/>
      </c>
      <c r="H771" s="19" t="n">
        <f aca="false">IF(G771="",0,G771)</f>
        <v>0</v>
      </c>
      <c r="I771" s="18" t="str">
        <f aca="false">IF(H771&gt;0,IF(H771&gt;=SUMPRODUCT(MAX(($B$5:$B$2004=B771)*$H$5:$H$2004)),"Rekor",""),"")</f>
        <v/>
      </c>
      <c r="J771" s="19" t="n">
        <f aca="false">IF(A771="",0,IF(COUNTIF(A$5:A771,A771)=1,1,0))</f>
        <v>0</v>
      </c>
    </row>
    <row r="772" customFormat="false" ht="15" hidden="false" customHeight="false" outlineLevel="0" collapsed="false">
      <c r="A772" s="12"/>
      <c r="B772" s="13"/>
      <c r="C772" s="14"/>
      <c r="D772" s="14"/>
      <c r="E772" s="15"/>
      <c r="F772" s="16" t="str">
        <f aca="false">IF(OR(C772="",D772="",E772=""),"",C772*D772*E772)</f>
        <v/>
      </c>
      <c r="G772" s="17" t="str">
        <f aca="false">IF(OR(D772="",E772=""),"",E772*(1+D772/30))</f>
        <v/>
      </c>
      <c r="H772" s="19" t="n">
        <f aca="false">IF(G772="",0,G772)</f>
        <v>0</v>
      </c>
      <c r="I772" s="18" t="str">
        <f aca="false">IF(H772&gt;0,IF(H772&gt;=SUMPRODUCT(MAX(($B$5:$B$2004=B772)*$H$5:$H$2004)),"Rekor",""),"")</f>
        <v/>
      </c>
      <c r="J772" s="19" t="n">
        <f aca="false">IF(A772="",0,IF(COUNTIF(A$5:A772,A772)=1,1,0))</f>
        <v>0</v>
      </c>
    </row>
    <row r="773" customFormat="false" ht="15" hidden="false" customHeight="false" outlineLevel="0" collapsed="false">
      <c r="A773" s="12"/>
      <c r="B773" s="13"/>
      <c r="C773" s="14"/>
      <c r="D773" s="14"/>
      <c r="E773" s="15"/>
      <c r="F773" s="16" t="str">
        <f aca="false">IF(OR(C773="",D773="",E773=""),"",C773*D773*E773)</f>
        <v/>
      </c>
      <c r="G773" s="17" t="str">
        <f aca="false">IF(OR(D773="",E773=""),"",E773*(1+D773/30))</f>
        <v/>
      </c>
      <c r="H773" s="19" t="n">
        <f aca="false">IF(G773="",0,G773)</f>
        <v>0</v>
      </c>
      <c r="I773" s="18" t="str">
        <f aca="false">IF(H773&gt;0,IF(H773&gt;=SUMPRODUCT(MAX(($B$5:$B$2004=B773)*$H$5:$H$2004)),"Rekor",""),"")</f>
        <v/>
      </c>
      <c r="J773" s="19" t="n">
        <f aca="false">IF(A773="",0,IF(COUNTIF(A$5:A773,A773)=1,1,0))</f>
        <v>0</v>
      </c>
    </row>
    <row r="774" customFormat="false" ht="15" hidden="false" customHeight="false" outlineLevel="0" collapsed="false">
      <c r="A774" s="12"/>
      <c r="B774" s="13"/>
      <c r="C774" s="14"/>
      <c r="D774" s="14"/>
      <c r="E774" s="15"/>
      <c r="F774" s="16" t="str">
        <f aca="false">IF(OR(C774="",D774="",E774=""),"",C774*D774*E774)</f>
        <v/>
      </c>
      <c r="G774" s="17" t="str">
        <f aca="false">IF(OR(D774="",E774=""),"",E774*(1+D774/30))</f>
        <v/>
      </c>
      <c r="H774" s="19" t="n">
        <f aca="false">IF(G774="",0,G774)</f>
        <v>0</v>
      </c>
      <c r="I774" s="18" t="str">
        <f aca="false">IF(H774&gt;0,IF(H774&gt;=SUMPRODUCT(MAX(($B$5:$B$2004=B774)*$H$5:$H$2004)),"Rekor",""),"")</f>
        <v/>
      </c>
      <c r="J774" s="19" t="n">
        <f aca="false">IF(A774="",0,IF(COUNTIF(A$5:A774,A774)=1,1,0))</f>
        <v>0</v>
      </c>
    </row>
    <row r="775" customFormat="false" ht="15" hidden="false" customHeight="false" outlineLevel="0" collapsed="false">
      <c r="A775" s="12"/>
      <c r="B775" s="13"/>
      <c r="C775" s="14"/>
      <c r="D775" s="14"/>
      <c r="E775" s="15"/>
      <c r="F775" s="16" t="str">
        <f aca="false">IF(OR(C775="",D775="",E775=""),"",C775*D775*E775)</f>
        <v/>
      </c>
      <c r="G775" s="17" t="str">
        <f aca="false">IF(OR(D775="",E775=""),"",E775*(1+D775/30))</f>
        <v/>
      </c>
      <c r="H775" s="19" t="n">
        <f aca="false">IF(G775="",0,G775)</f>
        <v>0</v>
      </c>
      <c r="I775" s="18" t="str">
        <f aca="false">IF(H775&gt;0,IF(H775&gt;=SUMPRODUCT(MAX(($B$5:$B$2004=B775)*$H$5:$H$2004)),"Rekor",""),"")</f>
        <v/>
      </c>
      <c r="J775" s="19" t="n">
        <f aca="false">IF(A775="",0,IF(COUNTIF(A$5:A775,A775)=1,1,0))</f>
        <v>0</v>
      </c>
    </row>
    <row r="776" customFormat="false" ht="15" hidden="false" customHeight="false" outlineLevel="0" collapsed="false">
      <c r="A776" s="12"/>
      <c r="B776" s="13"/>
      <c r="C776" s="14"/>
      <c r="D776" s="14"/>
      <c r="E776" s="15"/>
      <c r="F776" s="16" t="str">
        <f aca="false">IF(OR(C776="",D776="",E776=""),"",C776*D776*E776)</f>
        <v/>
      </c>
      <c r="G776" s="17" t="str">
        <f aca="false">IF(OR(D776="",E776=""),"",E776*(1+D776/30))</f>
        <v/>
      </c>
      <c r="H776" s="19" t="n">
        <f aca="false">IF(G776="",0,G776)</f>
        <v>0</v>
      </c>
      <c r="I776" s="18" t="str">
        <f aca="false">IF(H776&gt;0,IF(H776&gt;=SUMPRODUCT(MAX(($B$5:$B$2004=B776)*$H$5:$H$2004)),"Rekor",""),"")</f>
        <v/>
      </c>
      <c r="J776" s="19" t="n">
        <f aca="false">IF(A776="",0,IF(COUNTIF(A$5:A776,A776)=1,1,0))</f>
        <v>0</v>
      </c>
    </row>
    <row r="777" customFormat="false" ht="15" hidden="false" customHeight="false" outlineLevel="0" collapsed="false">
      <c r="A777" s="12"/>
      <c r="B777" s="13"/>
      <c r="C777" s="14"/>
      <c r="D777" s="14"/>
      <c r="E777" s="15"/>
      <c r="F777" s="16" t="str">
        <f aca="false">IF(OR(C777="",D777="",E777=""),"",C777*D777*E777)</f>
        <v/>
      </c>
      <c r="G777" s="17" t="str">
        <f aca="false">IF(OR(D777="",E777=""),"",E777*(1+D777/30))</f>
        <v/>
      </c>
      <c r="H777" s="19" t="n">
        <f aca="false">IF(G777="",0,G777)</f>
        <v>0</v>
      </c>
      <c r="I777" s="18" t="str">
        <f aca="false">IF(H777&gt;0,IF(H777&gt;=SUMPRODUCT(MAX(($B$5:$B$2004=B777)*$H$5:$H$2004)),"Rekor",""),"")</f>
        <v/>
      </c>
      <c r="J777" s="19" t="n">
        <f aca="false">IF(A777="",0,IF(COUNTIF(A$5:A777,A777)=1,1,0))</f>
        <v>0</v>
      </c>
    </row>
    <row r="778" customFormat="false" ht="15" hidden="false" customHeight="false" outlineLevel="0" collapsed="false">
      <c r="A778" s="12"/>
      <c r="B778" s="13"/>
      <c r="C778" s="14"/>
      <c r="D778" s="14"/>
      <c r="E778" s="15"/>
      <c r="F778" s="16" t="str">
        <f aca="false">IF(OR(C778="",D778="",E778=""),"",C778*D778*E778)</f>
        <v/>
      </c>
      <c r="G778" s="17" t="str">
        <f aca="false">IF(OR(D778="",E778=""),"",E778*(1+D778/30))</f>
        <v/>
      </c>
      <c r="H778" s="19" t="n">
        <f aca="false">IF(G778="",0,G778)</f>
        <v>0</v>
      </c>
      <c r="I778" s="18" t="str">
        <f aca="false">IF(H778&gt;0,IF(H778&gt;=SUMPRODUCT(MAX(($B$5:$B$2004=B778)*$H$5:$H$2004)),"Rekor",""),"")</f>
        <v/>
      </c>
      <c r="J778" s="19" t="n">
        <f aca="false">IF(A778="",0,IF(COUNTIF(A$5:A778,A778)=1,1,0))</f>
        <v>0</v>
      </c>
    </row>
    <row r="779" customFormat="false" ht="15" hidden="false" customHeight="false" outlineLevel="0" collapsed="false">
      <c r="A779" s="12"/>
      <c r="B779" s="13"/>
      <c r="C779" s="14"/>
      <c r="D779" s="14"/>
      <c r="E779" s="15"/>
      <c r="F779" s="16" t="str">
        <f aca="false">IF(OR(C779="",D779="",E779=""),"",C779*D779*E779)</f>
        <v/>
      </c>
      <c r="G779" s="17" t="str">
        <f aca="false">IF(OR(D779="",E779=""),"",E779*(1+D779/30))</f>
        <v/>
      </c>
      <c r="H779" s="19" t="n">
        <f aca="false">IF(G779="",0,G779)</f>
        <v>0</v>
      </c>
      <c r="I779" s="18" t="str">
        <f aca="false">IF(H779&gt;0,IF(H779&gt;=SUMPRODUCT(MAX(($B$5:$B$2004=B779)*$H$5:$H$2004)),"Rekor",""),"")</f>
        <v/>
      </c>
      <c r="J779" s="19" t="n">
        <f aca="false">IF(A779="",0,IF(COUNTIF(A$5:A779,A779)=1,1,0))</f>
        <v>0</v>
      </c>
    </row>
    <row r="780" customFormat="false" ht="15" hidden="false" customHeight="false" outlineLevel="0" collapsed="false">
      <c r="A780" s="12"/>
      <c r="B780" s="13"/>
      <c r="C780" s="14"/>
      <c r="D780" s="14"/>
      <c r="E780" s="15"/>
      <c r="F780" s="16" t="str">
        <f aca="false">IF(OR(C780="",D780="",E780=""),"",C780*D780*E780)</f>
        <v/>
      </c>
      <c r="G780" s="17" t="str">
        <f aca="false">IF(OR(D780="",E780=""),"",E780*(1+D780/30))</f>
        <v/>
      </c>
      <c r="H780" s="19" t="n">
        <f aca="false">IF(G780="",0,G780)</f>
        <v>0</v>
      </c>
      <c r="I780" s="18" t="str">
        <f aca="false">IF(H780&gt;0,IF(H780&gt;=SUMPRODUCT(MAX(($B$5:$B$2004=B780)*$H$5:$H$2004)),"Rekor",""),"")</f>
        <v/>
      </c>
      <c r="J780" s="19" t="n">
        <f aca="false">IF(A780="",0,IF(COUNTIF(A$5:A780,A780)=1,1,0))</f>
        <v>0</v>
      </c>
    </row>
    <row r="781" customFormat="false" ht="15" hidden="false" customHeight="false" outlineLevel="0" collapsed="false">
      <c r="A781" s="12"/>
      <c r="B781" s="13"/>
      <c r="C781" s="14"/>
      <c r="D781" s="14"/>
      <c r="E781" s="15"/>
      <c r="F781" s="16" t="str">
        <f aca="false">IF(OR(C781="",D781="",E781=""),"",C781*D781*E781)</f>
        <v/>
      </c>
      <c r="G781" s="17" t="str">
        <f aca="false">IF(OR(D781="",E781=""),"",E781*(1+D781/30))</f>
        <v/>
      </c>
      <c r="H781" s="19" t="n">
        <f aca="false">IF(G781="",0,G781)</f>
        <v>0</v>
      </c>
      <c r="I781" s="18" t="str">
        <f aca="false">IF(H781&gt;0,IF(H781&gt;=SUMPRODUCT(MAX(($B$5:$B$2004=B781)*$H$5:$H$2004)),"Rekor",""),"")</f>
        <v/>
      </c>
      <c r="J781" s="19" t="n">
        <f aca="false">IF(A781="",0,IF(COUNTIF(A$5:A781,A781)=1,1,0))</f>
        <v>0</v>
      </c>
    </row>
    <row r="782" customFormat="false" ht="15" hidden="false" customHeight="false" outlineLevel="0" collapsed="false">
      <c r="A782" s="12"/>
      <c r="B782" s="13"/>
      <c r="C782" s="14"/>
      <c r="D782" s="14"/>
      <c r="E782" s="15"/>
      <c r="F782" s="16" t="str">
        <f aca="false">IF(OR(C782="",D782="",E782=""),"",C782*D782*E782)</f>
        <v/>
      </c>
      <c r="G782" s="17" t="str">
        <f aca="false">IF(OR(D782="",E782=""),"",E782*(1+D782/30))</f>
        <v/>
      </c>
      <c r="H782" s="19" t="n">
        <f aca="false">IF(G782="",0,G782)</f>
        <v>0</v>
      </c>
      <c r="I782" s="18" t="str">
        <f aca="false">IF(H782&gt;0,IF(H782&gt;=SUMPRODUCT(MAX(($B$5:$B$2004=B782)*$H$5:$H$2004)),"Rekor",""),"")</f>
        <v/>
      </c>
      <c r="J782" s="19" t="n">
        <f aca="false">IF(A782="",0,IF(COUNTIF(A$5:A782,A782)=1,1,0))</f>
        <v>0</v>
      </c>
    </row>
    <row r="783" customFormat="false" ht="15" hidden="false" customHeight="false" outlineLevel="0" collapsed="false">
      <c r="A783" s="12"/>
      <c r="B783" s="13"/>
      <c r="C783" s="14"/>
      <c r="D783" s="14"/>
      <c r="E783" s="15"/>
      <c r="F783" s="16" t="str">
        <f aca="false">IF(OR(C783="",D783="",E783=""),"",C783*D783*E783)</f>
        <v/>
      </c>
      <c r="G783" s="17" t="str">
        <f aca="false">IF(OR(D783="",E783=""),"",E783*(1+D783/30))</f>
        <v/>
      </c>
      <c r="H783" s="19" t="n">
        <f aca="false">IF(G783="",0,G783)</f>
        <v>0</v>
      </c>
      <c r="I783" s="18" t="str">
        <f aca="false">IF(H783&gt;0,IF(H783&gt;=SUMPRODUCT(MAX(($B$5:$B$2004=B783)*$H$5:$H$2004)),"Rekor",""),"")</f>
        <v/>
      </c>
      <c r="J783" s="19" t="n">
        <f aca="false">IF(A783="",0,IF(COUNTIF(A$5:A783,A783)=1,1,0))</f>
        <v>0</v>
      </c>
    </row>
    <row r="784" customFormat="false" ht="15" hidden="false" customHeight="false" outlineLevel="0" collapsed="false">
      <c r="A784" s="12"/>
      <c r="B784" s="13"/>
      <c r="C784" s="14"/>
      <c r="D784" s="14"/>
      <c r="E784" s="15"/>
      <c r="F784" s="16" t="str">
        <f aca="false">IF(OR(C784="",D784="",E784=""),"",C784*D784*E784)</f>
        <v/>
      </c>
      <c r="G784" s="17" t="str">
        <f aca="false">IF(OR(D784="",E784=""),"",E784*(1+D784/30))</f>
        <v/>
      </c>
      <c r="H784" s="19" t="n">
        <f aca="false">IF(G784="",0,G784)</f>
        <v>0</v>
      </c>
      <c r="I784" s="18" t="str">
        <f aca="false">IF(H784&gt;0,IF(H784&gt;=SUMPRODUCT(MAX(($B$5:$B$2004=B784)*$H$5:$H$2004)),"Rekor",""),"")</f>
        <v/>
      </c>
      <c r="J784" s="19" t="n">
        <f aca="false">IF(A784="",0,IF(COUNTIF(A$5:A784,A784)=1,1,0))</f>
        <v>0</v>
      </c>
    </row>
    <row r="785" customFormat="false" ht="15" hidden="false" customHeight="false" outlineLevel="0" collapsed="false">
      <c r="A785" s="12"/>
      <c r="B785" s="13"/>
      <c r="C785" s="14"/>
      <c r="D785" s="14"/>
      <c r="E785" s="15"/>
      <c r="F785" s="16" t="str">
        <f aca="false">IF(OR(C785="",D785="",E785=""),"",C785*D785*E785)</f>
        <v/>
      </c>
      <c r="G785" s="17" t="str">
        <f aca="false">IF(OR(D785="",E785=""),"",E785*(1+D785/30))</f>
        <v/>
      </c>
      <c r="H785" s="19" t="n">
        <f aca="false">IF(G785="",0,G785)</f>
        <v>0</v>
      </c>
      <c r="I785" s="18" t="str">
        <f aca="false">IF(H785&gt;0,IF(H785&gt;=SUMPRODUCT(MAX(($B$5:$B$2004=B785)*$H$5:$H$2004)),"Rekor",""),"")</f>
        <v/>
      </c>
      <c r="J785" s="19" t="n">
        <f aca="false">IF(A785="",0,IF(COUNTIF(A$5:A785,A785)=1,1,0))</f>
        <v>0</v>
      </c>
    </row>
    <row r="786" customFormat="false" ht="15" hidden="false" customHeight="false" outlineLevel="0" collapsed="false">
      <c r="A786" s="12"/>
      <c r="B786" s="13"/>
      <c r="C786" s="14"/>
      <c r="D786" s="14"/>
      <c r="E786" s="15"/>
      <c r="F786" s="16" t="str">
        <f aca="false">IF(OR(C786="",D786="",E786=""),"",C786*D786*E786)</f>
        <v/>
      </c>
      <c r="G786" s="17" t="str">
        <f aca="false">IF(OR(D786="",E786=""),"",E786*(1+D786/30))</f>
        <v/>
      </c>
      <c r="H786" s="19" t="n">
        <f aca="false">IF(G786="",0,G786)</f>
        <v>0</v>
      </c>
      <c r="I786" s="18" t="str">
        <f aca="false">IF(H786&gt;0,IF(H786&gt;=SUMPRODUCT(MAX(($B$5:$B$2004=B786)*$H$5:$H$2004)),"Rekor",""),"")</f>
        <v/>
      </c>
      <c r="J786" s="19" t="n">
        <f aca="false">IF(A786="",0,IF(COUNTIF(A$5:A786,A786)=1,1,0))</f>
        <v>0</v>
      </c>
    </row>
    <row r="787" customFormat="false" ht="15" hidden="false" customHeight="false" outlineLevel="0" collapsed="false">
      <c r="A787" s="12"/>
      <c r="B787" s="13"/>
      <c r="C787" s="14"/>
      <c r="D787" s="14"/>
      <c r="E787" s="15"/>
      <c r="F787" s="16" t="str">
        <f aca="false">IF(OR(C787="",D787="",E787=""),"",C787*D787*E787)</f>
        <v/>
      </c>
      <c r="G787" s="17" t="str">
        <f aca="false">IF(OR(D787="",E787=""),"",E787*(1+D787/30))</f>
        <v/>
      </c>
      <c r="H787" s="19" t="n">
        <f aca="false">IF(G787="",0,G787)</f>
        <v>0</v>
      </c>
      <c r="I787" s="18" t="str">
        <f aca="false">IF(H787&gt;0,IF(H787&gt;=SUMPRODUCT(MAX(($B$5:$B$2004=B787)*$H$5:$H$2004)),"Rekor",""),"")</f>
        <v/>
      </c>
      <c r="J787" s="19" t="n">
        <f aca="false">IF(A787="",0,IF(COUNTIF(A$5:A787,A787)=1,1,0))</f>
        <v>0</v>
      </c>
    </row>
    <row r="788" customFormat="false" ht="15" hidden="false" customHeight="false" outlineLevel="0" collapsed="false">
      <c r="A788" s="12"/>
      <c r="B788" s="13"/>
      <c r="C788" s="14"/>
      <c r="D788" s="14"/>
      <c r="E788" s="15"/>
      <c r="F788" s="16" t="str">
        <f aca="false">IF(OR(C788="",D788="",E788=""),"",C788*D788*E788)</f>
        <v/>
      </c>
      <c r="G788" s="17" t="str">
        <f aca="false">IF(OR(D788="",E788=""),"",E788*(1+D788/30))</f>
        <v/>
      </c>
      <c r="H788" s="19" t="n">
        <f aca="false">IF(G788="",0,G788)</f>
        <v>0</v>
      </c>
      <c r="I788" s="18" t="str">
        <f aca="false">IF(H788&gt;0,IF(H788&gt;=SUMPRODUCT(MAX(($B$5:$B$2004=B788)*$H$5:$H$2004)),"Rekor",""),"")</f>
        <v/>
      </c>
      <c r="J788" s="19" t="n">
        <f aca="false">IF(A788="",0,IF(COUNTIF(A$5:A788,A788)=1,1,0))</f>
        <v>0</v>
      </c>
    </row>
    <row r="789" customFormat="false" ht="15" hidden="false" customHeight="false" outlineLevel="0" collapsed="false">
      <c r="A789" s="12"/>
      <c r="B789" s="13"/>
      <c r="C789" s="14"/>
      <c r="D789" s="14"/>
      <c r="E789" s="15"/>
      <c r="F789" s="16" t="str">
        <f aca="false">IF(OR(C789="",D789="",E789=""),"",C789*D789*E789)</f>
        <v/>
      </c>
      <c r="G789" s="17" t="str">
        <f aca="false">IF(OR(D789="",E789=""),"",E789*(1+D789/30))</f>
        <v/>
      </c>
      <c r="H789" s="19" t="n">
        <f aca="false">IF(G789="",0,G789)</f>
        <v>0</v>
      </c>
      <c r="I789" s="18" t="str">
        <f aca="false">IF(H789&gt;0,IF(H789&gt;=SUMPRODUCT(MAX(($B$5:$B$2004=B789)*$H$5:$H$2004)),"Rekor",""),"")</f>
        <v/>
      </c>
      <c r="J789" s="19" t="n">
        <f aca="false">IF(A789="",0,IF(COUNTIF(A$5:A789,A789)=1,1,0))</f>
        <v>0</v>
      </c>
    </row>
    <row r="790" customFormat="false" ht="15" hidden="false" customHeight="false" outlineLevel="0" collapsed="false">
      <c r="A790" s="12"/>
      <c r="B790" s="13"/>
      <c r="C790" s="14"/>
      <c r="D790" s="14"/>
      <c r="E790" s="15"/>
      <c r="F790" s="16" t="str">
        <f aca="false">IF(OR(C790="",D790="",E790=""),"",C790*D790*E790)</f>
        <v/>
      </c>
      <c r="G790" s="17" t="str">
        <f aca="false">IF(OR(D790="",E790=""),"",E790*(1+D790/30))</f>
        <v/>
      </c>
      <c r="H790" s="19" t="n">
        <f aca="false">IF(G790="",0,G790)</f>
        <v>0</v>
      </c>
      <c r="I790" s="18" t="str">
        <f aca="false">IF(H790&gt;0,IF(H790&gt;=SUMPRODUCT(MAX(($B$5:$B$2004=B790)*$H$5:$H$2004)),"Rekor",""),"")</f>
        <v/>
      </c>
      <c r="J790" s="19" t="n">
        <f aca="false">IF(A790="",0,IF(COUNTIF(A$5:A790,A790)=1,1,0))</f>
        <v>0</v>
      </c>
    </row>
    <row r="791" customFormat="false" ht="15" hidden="false" customHeight="false" outlineLevel="0" collapsed="false">
      <c r="A791" s="12"/>
      <c r="B791" s="13"/>
      <c r="C791" s="14"/>
      <c r="D791" s="14"/>
      <c r="E791" s="15"/>
      <c r="F791" s="16" t="str">
        <f aca="false">IF(OR(C791="",D791="",E791=""),"",C791*D791*E791)</f>
        <v/>
      </c>
      <c r="G791" s="17" t="str">
        <f aca="false">IF(OR(D791="",E791=""),"",E791*(1+D791/30))</f>
        <v/>
      </c>
      <c r="H791" s="19" t="n">
        <f aca="false">IF(G791="",0,G791)</f>
        <v>0</v>
      </c>
      <c r="I791" s="18" t="str">
        <f aca="false">IF(H791&gt;0,IF(H791&gt;=SUMPRODUCT(MAX(($B$5:$B$2004=B791)*$H$5:$H$2004)),"Rekor",""),"")</f>
        <v/>
      </c>
      <c r="J791" s="19" t="n">
        <f aca="false">IF(A791="",0,IF(COUNTIF(A$5:A791,A791)=1,1,0))</f>
        <v>0</v>
      </c>
    </row>
    <row r="792" customFormat="false" ht="15" hidden="false" customHeight="false" outlineLevel="0" collapsed="false">
      <c r="A792" s="12"/>
      <c r="B792" s="13"/>
      <c r="C792" s="14"/>
      <c r="D792" s="14"/>
      <c r="E792" s="15"/>
      <c r="F792" s="16" t="str">
        <f aca="false">IF(OR(C792="",D792="",E792=""),"",C792*D792*E792)</f>
        <v/>
      </c>
      <c r="G792" s="17" t="str">
        <f aca="false">IF(OR(D792="",E792=""),"",E792*(1+D792/30))</f>
        <v/>
      </c>
      <c r="H792" s="19" t="n">
        <f aca="false">IF(G792="",0,G792)</f>
        <v>0</v>
      </c>
      <c r="I792" s="18" t="str">
        <f aca="false">IF(H792&gt;0,IF(H792&gt;=SUMPRODUCT(MAX(($B$5:$B$2004=B792)*$H$5:$H$2004)),"Rekor",""),"")</f>
        <v/>
      </c>
      <c r="J792" s="19" t="n">
        <f aca="false">IF(A792="",0,IF(COUNTIF(A$5:A792,A792)=1,1,0))</f>
        <v>0</v>
      </c>
    </row>
    <row r="793" customFormat="false" ht="15" hidden="false" customHeight="false" outlineLevel="0" collapsed="false">
      <c r="A793" s="12"/>
      <c r="B793" s="13"/>
      <c r="C793" s="14"/>
      <c r="D793" s="14"/>
      <c r="E793" s="15"/>
      <c r="F793" s="16" t="str">
        <f aca="false">IF(OR(C793="",D793="",E793=""),"",C793*D793*E793)</f>
        <v/>
      </c>
      <c r="G793" s="17" t="str">
        <f aca="false">IF(OR(D793="",E793=""),"",E793*(1+D793/30))</f>
        <v/>
      </c>
      <c r="H793" s="19" t="n">
        <f aca="false">IF(G793="",0,G793)</f>
        <v>0</v>
      </c>
      <c r="I793" s="18" t="str">
        <f aca="false">IF(H793&gt;0,IF(H793&gt;=SUMPRODUCT(MAX(($B$5:$B$2004=B793)*$H$5:$H$2004)),"Rekor",""),"")</f>
        <v/>
      </c>
      <c r="J793" s="19" t="n">
        <f aca="false">IF(A793="",0,IF(COUNTIF(A$5:A793,A793)=1,1,0))</f>
        <v>0</v>
      </c>
    </row>
    <row r="794" customFormat="false" ht="15" hidden="false" customHeight="false" outlineLevel="0" collapsed="false">
      <c r="A794" s="12"/>
      <c r="B794" s="13"/>
      <c r="C794" s="14"/>
      <c r="D794" s="14"/>
      <c r="E794" s="15"/>
      <c r="F794" s="16" t="str">
        <f aca="false">IF(OR(C794="",D794="",E794=""),"",C794*D794*E794)</f>
        <v/>
      </c>
      <c r="G794" s="17" t="str">
        <f aca="false">IF(OR(D794="",E794=""),"",E794*(1+D794/30))</f>
        <v/>
      </c>
      <c r="H794" s="19" t="n">
        <f aca="false">IF(G794="",0,G794)</f>
        <v>0</v>
      </c>
      <c r="I794" s="18" t="str">
        <f aca="false">IF(H794&gt;0,IF(H794&gt;=SUMPRODUCT(MAX(($B$5:$B$2004=B794)*$H$5:$H$2004)),"Rekor",""),"")</f>
        <v/>
      </c>
      <c r="J794" s="19" t="n">
        <f aca="false">IF(A794="",0,IF(COUNTIF(A$5:A794,A794)=1,1,0))</f>
        <v>0</v>
      </c>
    </row>
    <row r="795" customFormat="false" ht="15" hidden="false" customHeight="false" outlineLevel="0" collapsed="false">
      <c r="A795" s="12"/>
      <c r="B795" s="13"/>
      <c r="C795" s="14"/>
      <c r="D795" s="14"/>
      <c r="E795" s="15"/>
      <c r="F795" s="16" t="str">
        <f aca="false">IF(OR(C795="",D795="",E795=""),"",C795*D795*E795)</f>
        <v/>
      </c>
      <c r="G795" s="17" t="str">
        <f aca="false">IF(OR(D795="",E795=""),"",E795*(1+D795/30))</f>
        <v/>
      </c>
      <c r="H795" s="19" t="n">
        <f aca="false">IF(G795="",0,G795)</f>
        <v>0</v>
      </c>
      <c r="I795" s="18" t="str">
        <f aca="false">IF(H795&gt;0,IF(H795&gt;=SUMPRODUCT(MAX(($B$5:$B$2004=B795)*$H$5:$H$2004)),"Rekor",""),"")</f>
        <v/>
      </c>
      <c r="J795" s="19" t="n">
        <f aca="false">IF(A795="",0,IF(COUNTIF(A$5:A795,A795)=1,1,0))</f>
        <v>0</v>
      </c>
    </row>
    <row r="796" customFormat="false" ht="15" hidden="false" customHeight="false" outlineLevel="0" collapsed="false">
      <c r="A796" s="12"/>
      <c r="B796" s="13"/>
      <c r="C796" s="14"/>
      <c r="D796" s="14"/>
      <c r="E796" s="15"/>
      <c r="F796" s="16" t="str">
        <f aca="false">IF(OR(C796="",D796="",E796=""),"",C796*D796*E796)</f>
        <v/>
      </c>
      <c r="G796" s="17" t="str">
        <f aca="false">IF(OR(D796="",E796=""),"",E796*(1+D796/30))</f>
        <v/>
      </c>
      <c r="H796" s="19" t="n">
        <f aca="false">IF(G796="",0,G796)</f>
        <v>0</v>
      </c>
      <c r="I796" s="18" t="str">
        <f aca="false">IF(H796&gt;0,IF(H796&gt;=SUMPRODUCT(MAX(($B$5:$B$2004=B796)*$H$5:$H$2004)),"Rekor",""),"")</f>
        <v/>
      </c>
      <c r="J796" s="19" t="n">
        <f aca="false">IF(A796="",0,IF(COUNTIF(A$5:A796,A796)=1,1,0))</f>
        <v>0</v>
      </c>
    </row>
    <row r="797" customFormat="false" ht="15" hidden="false" customHeight="false" outlineLevel="0" collapsed="false">
      <c r="A797" s="12"/>
      <c r="B797" s="13"/>
      <c r="C797" s="14"/>
      <c r="D797" s="14"/>
      <c r="E797" s="15"/>
      <c r="F797" s="16" t="str">
        <f aca="false">IF(OR(C797="",D797="",E797=""),"",C797*D797*E797)</f>
        <v/>
      </c>
      <c r="G797" s="17" t="str">
        <f aca="false">IF(OR(D797="",E797=""),"",E797*(1+D797/30))</f>
        <v/>
      </c>
      <c r="H797" s="19" t="n">
        <f aca="false">IF(G797="",0,G797)</f>
        <v>0</v>
      </c>
      <c r="I797" s="18" t="str">
        <f aca="false">IF(H797&gt;0,IF(H797&gt;=SUMPRODUCT(MAX(($B$5:$B$2004=B797)*$H$5:$H$2004)),"Rekor",""),"")</f>
        <v/>
      </c>
      <c r="J797" s="19" t="n">
        <f aca="false">IF(A797="",0,IF(COUNTIF(A$5:A797,A797)=1,1,0))</f>
        <v>0</v>
      </c>
    </row>
    <row r="798" customFormat="false" ht="15" hidden="false" customHeight="false" outlineLevel="0" collapsed="false">
      <c r="A798" s="12"/>
      <c r="B798" s="13"/>
      <c r="C798" s="14"/>
      <c r="D798" s="14"/>
      <c r="E798" s="15"/>
      <c r="F798" s="16" t="str">
        <f aca="false">IF(OR(C798="",D798="",E798=""),"",C798*D798*E798)</f>
        <v/>
      </c>
      <c r="G798" s="17" t="str">
        <f aca="false">IF(OR(D798="",E798=""),"",E798*(1+D798/30))</f>
        <v/>
      </c>
      <c r="H798" s="19" t="n">
        <f aca="false">IF(G798="",0,G798)</f>
        <v>0</v>
      </c>
      <c r="I798" s="18" t="str">
        <f aca="false">IF(H798&gt;0,IF(H798&gt;=SUMPRODUCT(MAX(($B$5:$B$2004=B798)*$H$5:$H$2004)),"Rekor",""),"")</f>
        <v/>
      </c>
      <c r="J798" s="19" t="n">
        <f aca="false">IF(A798="",0,IF(COUNTIF(A$5:A798,A798)=1,1,0))</f>
        <v>0</v>
      </c>
    </row>
    <row r="799" customFormat="false" ht="15" hidden="false" customHeight="false" outlineLevel="0" collapsed="false">
      <c r="A799" s="12"/>
      <c r="B799" s="13"/>
      <c r="C799" s="14"/>
      <c r="D799" s="14"/>
      <c r="E799" s="15"/>
      <c r="F799" s="16" t="str">
        <f aca="false">IF(OR(C799="",D799="",E799=""),"",C799*D799*E799)</f>
        <v/>
      </c>
      <c r="G799" s="17" t="str">
        <f aca="false">IF(OR(D799="",E799=""),"",E799*(1+D799/30))</f>
        <v/>
      </c>
      <c r="H799" s="19" t="n">
        <f aca="false">IF(G799="",0,G799)</f>
        <v>0</v>
      </c>
      <c r="I799" s="18" t="str">
        <f aca="false">IF(H799&gt;0,IF(H799&gt;=SUMPRODUCT(MAX(($B$5:$B$2004=B799)*$H$5:$H$2004)),"Rekor",""),"")</f>
        <v/>
      </c>
      <c r="J799" s="19" t="n">
        <f aca="false">IF(A799="",0,IF(COUNTIF(A$5:A799,A799)=1,1,0))</f>
        <v>0</v>
      </c>
    </row>
    <row r="800" customFormat="false" ht="15" hidden="false" customHeight="false" outlineLevel="0" collapsed="false">
      <c r="A800" s="12"/>
      <c r="B800" s="13"/>
      <c r="C800" s="14"/>
      <c r="D800" s="14"/>
      <c r="E800" s="15"/>
      <c r="F800" s="16" t="str">
        <f aca="false">IF(OR(C800="",D800="",E800=""),"",C800*D800*E800)</f>
        <v/>
      </c>
      <c r="G800" s="17" t="str">
        <f aca="false">IF(OR(D800="",E800=""),"",E800*(1+D800/30))</f>
        <v/>
      </c>
      <c r="H800" s="19" t="n">
        <f aca="false">IF(G800="",0,G800)</f>
        <v>0</v>
      </c>
      <c r="I800" s="18" t="str">
        <f aca="false">IF(H800&gt;0,IF(H800&gt;=SUMPRODUCT(MAX(($B$5:$B$2004=B800)*$H$5:$H$2004)),"Rekor",""),"")</f>
        <v/>
      </c>
      <c r="J800" s="19" t="n">
        <f aca="false">IF(A800="",0,IF(COUNTIF(A$5:A800,A800)=1,1,0))</f>
        <v>0</v>
      </c>
    </row>
    <row r="801" customFormat="false" ht="15" hidden="false" customHeight="false" outlineLevel="0" collapsed="false">
      <c r="A801" s="12"/>
      <c r="B801" s="13"/>
      <c r="C801" s="14"/>
      <c r="D801" s="14"/>
      <c r="E801" s="15"/>
      <c r="F801" s="16" t="str">
        <f aca="false">IF(OR(C801="",D801="",E801=""),"",C801*D801*E801)</f>
        <v/>
      </c>
      <c r="G801" s="17" t="str">
        <f aca="false">IF(OR(D801="",E801=""),"",E801*(1+D801/30))</f>
        <v/>
      </c>
      <c r="H801" s="19" t="n">
        <f aca="false">IF(G801="",0,G801)</f>
        <v>0</v>
      </c>
      <c r="I801" s="18" t="str">
        <f aca="false">IF(H801&gt;0,IF(H801&gt;=SUMPRODUCT(MAX(($B$5:$B$2004=B801)*$H$5:$H$2004)),"Rekor",""),"")</f>
        <v/>
      </c>
      <c r="J801" s="19" t="n">
        <f aca="false">IF(A801="",0,IF(COUNTIF(A$5:A801,A801)=1,1,0))</f>
        <v>0</v>
      </c>
    </row>
    <row r="802" customFormat="false" ht="15" hidden="false" customHeight="false" outlineLevel="0" collapsed="false">
      <c r="A802" s="12"/>
      <c r="B802" s="13"/>
      <c r="C802" s="14"/>
      <c r="D802" s="14"/>
      <c r="E802" s="15"/>
      <c r="F802" s="16" t="str">
        <f aca="false">IF(OR(C802="",D802="",E802=""),"",C802*D802*E802)</f>
        <v/>
      </c>
      <c r="G802" s="17" t="str">
        <f aca="false">IF(OR(D802="",E802=""),"",E802*(1+D802/30))</f>
        <v/>
      </c>
      <c r="H802" s="19" t="n">
        <f aca="false">IF(G802="",0,G802)</f>
        <v>0</v>
      </c>
      <c r="I802" s="18" t="str">
        <f aca="false">IF(H802&gt;0,IF(H802&gt;=SUMPRODUCT(MAX(($B$5:$B$2004=B802)*$H$5:$H$2004)),"Rekor",""),"")</f>
        <v/>
      </c>
      <c r="J802" s="19" t="n">
        <f aca="false">IF(A802="",0,IF(COUNTIF(A$5:A802,A802)=1,1,0))</f>
        <v>0</v>
      </c>
    </row>
    <row r="803" customFormat="false" ht="15" hidden="false" customHeight="false" outlineLevel="0" collapsed="false">
      <c r="A803" s="12"/>
      <c r="B803" s="13"/>
      <c r="C803" s="14"/>
      <c r="D803" s="14"/>
      <c r="E803" s="15"/>
      <c r="F803" s="16" t="str">
        <f aca="false">IF(OR(C803="",D803="",E803=""),"",C803*D803*E803)</f>
        <v/>
      </c>
      <c r="G803" s="17" t="str">
        <f aca="false">IF(OR(D803="",E803=""),"",E803*(1+D803/30))</f>
        <v/>
      </c>
      <c r="H803" s="19" t="n">
        <f aca="false">IF(G803="",0,G803)</f>
        <v>0</v>
      </c>
      <c r="I803" s="18" t="str">
        <f aca="false">IF(H803&gt;0,IF(H803&gt;=SUMPRODUCT(MAX(($B$5:$B$2004=B803)*$H$5:$H$2004)),"Rekor",""),"")</f>
        <v/>
      </c>
      <c r="J803" s="19" t="n">
        <f aca="false">IF(A803="",0,IF(COUNTIF(A$5:A803,A803)=1,1,0))</f>
        <v>0</v>
      </c>
    </row>
    <row r="804" customFormat="false" ht="15" hidden="false" customHeight="false" outlineLevel="0" collapsed="false">
      <c r="A804" s="12"/>
      <c r="B804" s="13"/>
      <c r="C804" s="14"/>
      <c r="D804" s="14"/>
      <c r="E804" s="15"/>
      <c r="F804" s="16" t="str">
        <f aca="false">IF(OR(C804="",D804="",E804=""),"",C804*D804*E804)</f>
        <v/>
      </c>
      <c r="G804" s="17" t="str">
        <f aca="false">IF(OR(D804="",E804=""),"",E804*(1+D804/30))</f>
        <v/>
      </c>
      <c r="H804" s="19" t="n">
        <f aca="false">IF(G804="",0,G804)</f>
        <v>0</v>
      </c>
      <c r="I804" s="18" t="str">
        <f aca="false">IF(H804&gt;0,IF(H804&gt;=SUMPRODUCT(MAX(($B$5:$B$2004=B804)*$H$5:$H$2004)),"Rekor",""),"")</f>
        <v/>
      </c>
      <c r="J804" s="19" t="n">
        <f aca="false">IF(A804="",0,IF(COUNTIF(A$5:A804,A804)=1,1,0))</f>
        <v>0</v>
      </c>
    </row>
    <row r="805" customFormat="false" ht="15" hidden="false" customHeight="false" outlineLevel="0" collapsed="false">
      <c r="A805" s="12"/>
      <c r="B805" s="13"/>
      <c r="C805" s="14"/>
      <c r="D805" s="14"/>
      <c r="E805" s="15"/>
      <c r="F805" s="16" t="str">
        <f aca="false">IF(OR(C805="",D805="",E805=""),"",C805*D805*E805)</f>
        <v/>
      </c>
      <c r="G805" s="17" t="str">
        <f aca="false">IF(OR(D805="",E805=""),"",E805*(1+D805/30))</f>
        <v/>
      </c>
      <c r="H805" s="19" t="n">
        <f aca="false">IF(G805="",0,G805)</f>
        <v>0</v>
      </c>
      <c r="I805" s="18" t="str">
        <f aca="false">IF(H805&gt;0,IF(H805&gt;=SUMPRODUCT(MAX(($B$5:$B$2004=B805)*$H$5:$H$2004)),"Rekor",""),"")</f>
        <v/>
      </c>
      <c r="J805" s="19" t="n">
        <f aca="false">IF(A805="",0,IF(COUNTIF(A$5:A805,A805)=1,1,0))</f>
        <v>0</v>
      </c>
    </row>
    <row r="806" customFormat="false" ht="15" hidden="false" customHeight="false" outlineLevel="0" collapsed="false">
      <c r="A806" s="12"/>
      <c r="B806" s="13"/>
      <c r="C806" s="14"/>
      <c r="D806" s="14"/>
      <c r="E806" s="15"/>
      <c r="F806" s="16" t="str">
        <f aca="false">IF(OR(C806="",D806="",E806=""),"",C806*D806*E806)</f>
        <v/>
      </c>
      <c r="G806" s="17" t="str">
        <f aca="false">IF(OR(D806="",E806=""),"",E806*(1+D806/30))</f>
        <v/>
      </c>
      <c r="H806" s="19" t="n">
        <f aca="false">IF(G806="",0,G806)</f>
        <v>0</v>
      </c>
      <c r="I806" s="18" t="str">
        <f aca="false">IF(H806&gt;0,IF(H806&gt;=SUMPRODUCT(MAX(($B$5:$B$2004=B806)*$H$5:$H$2004)),"Rekor",""),"")</f>
        <v/>
      </c>
      <c r="J806" s="19" t="n">
        <f aca="false">IF(A806="",0,IF(COUNTIF(A$5:A806,A806)=1,1,0))</f>
        <v>0</v>
      </c>
    </row>
    <row r="807" customFormat="false" ht="15" hidden="false" customHeight="false" outlineLevel="0" collapsed="false">
      <c r="A807" s="12"/>
      <c r="B807" s="13"/>
      <c r="C807" s="14"/>
      <c r="D807" s="14"/>
      <c r="E807" s="15"/>
      <c r="F807" s="16" t="str">
        <f aca="false">IF(OR(C807="",D807="",E807=""),"",C807*D807*E807)</f>
        <v/>
      </c>
      <c r="G807" s="17" t="str">
        <f aca="false">IF(OR(D807="",E807=""),"",E807*(1+D807/30))</f>
        <v/>
      </c>
      <c r="H807" s="19" t="n">
        <f aca="false">IF(G807="",0,G807)</f>
        <v>0</v>
      </c>
      <c r="I807" s="18" t="str">
        <f aca="false">IF(H807&gt;0,IF(H807&gt;=SUMPRODUCT(MAX(($B$5:$B$2004=B807)*$H$5:$H$2004)),"Rekor",""),"")</f>
        <v/>
      </c>
      <c r="J807" s="19" t="n">
        <f aca="false">IF(A807="",0,IF(COUNTIF(A$5:A807,A807)=1,1,0))</f>
        <v>0</v>
      </c>
    </row>
    <row r="808" customFormat="false" ht="15" hidden="false" customHeight="false" outlineLevel="0" collapsed="false">
      <c r="A808" s="12"/>
      <c r="B808" s="13"/>
      <c r="C808" s="14"/>
      <c r="D808" s="14"/>
      <c r="E808" s="15"/>
      <c r="F808" s="16" t="str">
        <f aca="false">IF(OR(C808="",D808="",E808=""),"",C808*D808*E808)</f>
        <v/>
      </c>
      <c r="G808" s="17" t="str">
        <f aca="false">IF(OR(D808="",E808=""),"",E808*(1+D808/30))</f>
        <v/>
      </c>
      <c r="H808" s="19" t="n">
        <f aca="false">IF(G808="",0,G808)</f>
        <v>0</v>
      </c>
      <c r="I808" s="18" t="str">
        <f aca="false">IF(H808&gt;0,IF(H808&gt;=SUMPRODUCT(MAX(($B$5:$B$2004=B808)*$H$5:$H$2004)),"Rekor",""),"")</f>
        <v/>
      </c>
      <c r="J808" s="19" t="n">
        <f aca="false">IF(A808="",0,IF(COUNTIF(A$5:A808,A808)=1,1,0))</f>
        <v>0</v>
      </c>
    </row>
    <row r="809" customFormat="false" ht="15" hidden="false" customHeight="false" outlineLevel="0" collapsed="false">
      <c r="A809" s="12"/>
      <c r="B809" s="13"/>
      <c r="C809" s="14"/>
      <c r="D809" s="14"/>
      <c r="E809" s="15"/>
      <c r="F809" s="16" t="str">
        <f aca="false">IF(OR(C809="",D809="",E809=""),"",C809*D809*E809)</f>
        <v/>
      </c>
      <c r="G809" s="17" t="str">
        <f aca="false">IF(OR(D809="",E809=""),"",E809*(1+D809/30))</f>
        <v/>
      </c>
      <c r="H809" s="19" t="n">
        <f aca="false">IF(G809="",0,G809)</f>
        <v>0</v>
      </c>
      <c r="I809" s="18" t="str">
        <f aca="false">IF(H809&gt;0,IF(H809&gt;=SUMPRODUCT(MAX(($B$5:$B$2004=B809)*$H$5:$H$2004)),"Rekor",""),"")</f>
        <v/>
      </c>
      <c r="J809" s="19" t="n">
        <f aca="false">IF(A809="",0,IF(COUNTIF(A$5:A809,A809)=1,1,0))</f>
        <v>0</v>
      </c>
    </row>
    <row r="810" customFormat="false" ht="15" hidden="false" customHeight="false" outlineLevel="0" collapsed="false">
      <c r="A810" s="12"/>
      <c r="B810" s="13"/>
      <c r="C810" s="14"/>
      <c r="D810" s="14"/>
      <c r="E810" s="15"/>
      <c r="F810" s="16" t="str">
        <f aca="false">IF(OR(C810="",D810="",E810=""),"",C810*D810*E810)</f>
        <v/>
      </c>
      <c r="G810" s="17" t="str">
        <f aca="false">IF(OR(D810="",E810=""),"",E810*(1+D810/30))</f>
        <v/>
      </c>
      <c r="H810" s="19" t="n">
        <f aca="false">IF(G810="",0,G810)</f>
        <v>0</v>
      </c>
      <c r="I810" s="18" t="str">
        <f aca="false">IF(H810&gt;0,IF(H810&gt;=SUMPRODUCT(MAX(($B$5:$B$2004=B810)*$H$5:$H$2004)),"Rekor",""),"")</f>
        <v/>
      </c>
      <c r="J810" s="19" t="n">
        <f aca="false">IF(A810="",0,IF(COUNTIF(A$5:A810,A810)=1,1,0))</f>
        <v>0</v>
      </c>
    </row>
    <row r="811" customFormat="false" ht="15" hidden="false" customHeight="false" outlineLevel="0" collapsed="false">
      <c r="A811" s="12"/>
      <c r="B811" s="13"/>
      <c r="C811" s="14"/>
      <c r="D811" s="14"/>
      <c r="E811" s="15"/>
      <c r="F811" s="16" t="str">
        <f aca="false">IF(OR(C811="",D811="",E811=""),"",C811*D811*E811)</f>
        <v/>
      </c>
      <c r="G811" s="17" t="str">
        <f aca="false">IF(OR(D811="",E811=""),"",E811*(1+D811/30))</f>
        <v/>
      </c>
      <c r="H811" s="19" t="n">
        <f aca="false">IF(G811="",0,G811)</f>
        <v>0</v>
      </c>
      <c r="I811" s="18" t="str">
        <f aca="false">IF(H811&gt;0,IF(H811&gt;=SUMPRODUCT(MAX(($B$5:$B$2004=B811)*$H$5:$H$2004)),"Rekor",""),"")</f>
        <v/>
      </c>
      <c r="J811" s="19" t="n">
        <f aca="false">IF(A811="",0,IF(COUNTIF(A$5:A811,A811)=1,1,0))</f>
        <v>0</v>
      </c>
    </row>
    <row r="812" customFormat="false" ht="15" hidden="false" customHeight="false" outlineLevel="0" collapsed="false">
      <c r="A812" s="12"/>
      <c r="B812" s="13"/>
      <c r="C812" s="14"/>
      <c r="D812" s="14"/>
      <c r="E812" s="15"/>
      <c r="F812" s="16" t="str">
        <f aca="false">IF(OR(C812="",D812="",E812=""),"",C812*D812*E812)</f>
        <v/>
      </c>
      <c r="G812" s="17" t="str">
        <f aca="false">IF(OR(D812="",E812=""),"",E812*(1+D812/30))</f>
        <v/>
      </c>
      <c r="H812" s="19" t="n">
        <f aca="false">IF(G812="",0,G812)</f>
        <v>0</v>
      </c>
      <c r="I812" s="18" t="str">
        <f aca="false">IF(H812&gt;0,IF(H812&gt;=SUMPRODUCT(MAX(($B$5:$B$2004=B812)*$H$5:$H$2004)),"Rekor",""),"")</f>
        <v/>
      </c>
      <c r="J812" s="19" t="n">
        <f aca="false">IF(A812="",0,IF(COUNTIF(A$5:A812,A812)=1,1,0))</f>
        <v>0</v>
      </c>
    </row>
    <row r="813" customFormat="false" ht="15" hidden="false" customHeight="false" outlineLevel="0" collapsed="false">
      <c r="A813" s="12"/>
      <c r="B813" s="13"/>
      <c r="C813" s="14"/>
      <c r="D813" s="14"/>
      <c r="E813" s="15"/>
      <c r="F813" s="16" t="str">
        <f aca="false">IF(OR(C813="",D813="",E813=""),"",C813*D813*E813)</f>
        <v/>
      </c>
      <c r="G813" s="17" t="str">
        <f aca="false">IF(OR(D813="",E813=""),"",E813*(1+D813/30))</f>
        <v/>
      </c>
      <c r="H813" s="19" t="n">
        <f aca="false">IF(G813="",0,G813)</f>
        <v>0</v>
      </c>
      <c r="I813" s="18" t="str">
        <f aca="false">IF(H813&gt;0,IF(H813&gt;=SUMPRODUCT(MAX(($B$5:$B$2004=B813)*$H$5:$H$2004)),"Rekor",""),"")</f>
        <v/>
      </c>
      <c r="J813" s="19" t="n">
        <f aca="false">IF(A813="",0,IF(COUNTIF(A$5:A813,A813)=1,1,0))</f>
        <v>0</v>
      </c>
    </row>
    <row r="814" customFormat="false" ht="15" hidden="false" customHeight="false" outlineLevel="0" collapsed="false">
      <c r="A814" s="12"/>
      <c r="B814" s="13"/>
      <c r="C814" s="14"/>
      <c r="D814" s="14"/>
      <c r="E814" s="15"/>
      <c r="F814" s="16" t="str">
        <f aca="false">IF(OR(C814="",D814="",E814=""),"",C814*D814*E814)</f>
        <v/>
      </c>
      <c r="G814" s="17" t="str">
        <f aca="false">IF(OR(D814="",E814=""),"",E814*(1+D814/30))</f>
        <v/>
      </c>
      <c r="H814" s="19" t="n">
        <f aca="false">IF(G814="",0,G814)</f>
        <v>0</v>
      </c>
      <c r="I814" s="18" t="str">
        <f aca="false">IF(H814&gt;0,IF(H814&gt;=SUMPRODUCT(MAX(($B$5:$B$2004=B814)*$H$5:$H$2004)),"Rekor",""),"")</f>
        <v/>
      </c>
      <c r="J814" s="19" t="n">
        <f aca="false">IF(A814="",0,IF(COUNTIF(A$5:A814,A814)=1,1,0))</f>
        <v>0</v>
      </c>
    </row>
    <row r="815" customFormat="false" ht="15" hidden="false" customHeight="false" outlineLevel="0" collapsed="false">
      <c r="A815" s="12"/>
      <c r="B815" s="13"/>
      <c r="C815" s="14"/>
      <c r="D815" s="14"/>
      <c r="E815" s="15"/>
      <c r="F815" s="16" t="str">
        <f aca="false">IF(OR(C815="",D815="",E815=""),"",C815*D815*E815)</f>
        <v/>
      </c>
      <c r="G815" s="17" t="str">
        <f aca="false">IF(OR(D815="",E815=""),"",E815*(1+D815/30))</f>
        <v/>
      </c>
      <c r="H815" s="19" t="n">
        <f aca="false">IF(G815="",0,G815)</f>
        <v>0</v>
      </c>
      <c r="I815" s="18" t="str">
        <f aca="false">IF(H815&gt;0,IF(H815&gt;=SUMPRODUCT(MAX(($B$5:$B$2004=B815)*$H$5:$H$2004)),"Rekor",""),"")</f>
        <v/>
      </c>
      <c r="J815" s="19" t="n">
        <f aca="false">IF(A815="",0,IF(COUNTIF(A$5:A815,A815)=1,1,0))</f>
        <v>0</v>
      </c>
    </row>
    <row r="816" customFormat="false" ht="15" hidden="false" customHeight="false" outlineLevel="0" collapsed="false">
      <c r="A816" s="12"/>
      <c r="B816" s="13"/>
      <c r="C816" s="14"/>
      <c r="D816" s="14"/>
      <c r="E816" s="15"/>
      <c r="F816" s="16" t="str">
        <f aca="false">IF(OR(C816="",D816="",E816=""),"",C816*D816*E816)</f>
        <v/>
      </c>
      <c r="G816" s="17" t="str">
        <f aca="false">IF(OR(D816="",E816=""),"",E816*(1+D816/30))</f>
        <v/>
      </c>
      <c r="H816" s="19" t="n">
        <f aca="false">IF(G816="",0,G816)</f>
        <v>0</v>
      </c>
      <c r="I816" s="18" t="str">
        <f aca="false">IF(H816&gt;0,IF(H816&gt;=SUMPRODUCT(MAX(($B$5:$B$2004=B816)*$H$5:$H$2004)),"Rekor",""),"")</f>
        <v/>
      </c>
      <c r="J816" s="19" t="n">
        <f aca="false">IF(A816="",0,IF(COUNTIF(A$5:A816,A816)=1,1,0))</f>
        <v>0</v>
      </c>
    </row>
    <row r="817" customFormat="false" ht="15" hidden="false" customHeight="false" outlineLevel="0" collapsed="false">
      <c r="A817" s="12"/>
      <c r="B817" s="13"/>
      <c r="C817" s="14"/>
      <c r="D817" s="14"/>
      <c r="E817" s="15"/>
      <c r="F817" s="16" t="str">
        <f aca="false">IF(OR(C817="",D817="",E817=""),"",C817*D817*E817)</f>
        <v/>
      </c>
      <c r="G817" s="17" t="str">
        <f aca="false">IF(OR(D817="",E817=""),"",E817*(1+D817/30))</f>
        <v/>
      </c>
      <c r="H817" s="19" t="n">
        <f aca="false">IF(G817="",0,G817)</f>
        <v>0</v>
      </c>
      <c r="I817" s="18" t="str">
        <f aca="false">IF(H817&gt;0,IF(H817&gt;=SUMPRODUCT(MAX(($B$5:$B$2004=B817)*$H$5:$H$2004)),"Rekor",""),"")</f>
        <v/>
      </c>
      <c r="J817" s="19" t="n">
        <f aca="false">IF(A817="",0,IF(COUNTIF(A$5:A817,A817)=1,1,0))</f>
        <v>0</v>
      </c>
    </row>
    <row r="818" customFormat="false" ht="15" hidden="false" customHeight="false" outlineLevel="0" collapsed="false">
      <c r="A818" s="12"/>
      <c r="B818" s="13"/>
      <c r="C818" s="14"/>
      <c r="D818" s="14"/>
      <c r="E818" s="15"/>
      <c r="F818" s="16" t="str">
        <f aca="false">IF(OR(C818="",D818="",E818=""),"",C818*D818*E818)</f>
        <v/>
      </c>
      <c r="G818" s="17" t="str">
        <f aca="false">IF(OR(D818="",E818=""),"",E818*(1+D818/30))</f>
        <v/>
      </c>
      <c r="H818" s="19" t="n">
        <f aca="false">IF(G818="",0,G818)</f>
        <v>0</v>
      </c>
      <c r="I818" s="18" t="str">
        <f aca="false">IF(H818&gt;0,IF(H818&gt;=SUMPRODUCT(MAX(($B$5:$B$2004=B818)*$H$5:$H$2004)),"Rekor",""),"")</f>
        <v/>
      </c>
      <c r="J818" s="19" t="n">
        <f aca="false">IF(A818="",0,IF(COUNTIF(A$5:A818,A818)=1,1,0))</f>
        <v>0</v>
      </c>
    </row>
    <row r="819" customFormat="false" ht="15" hidden="false" customHeight="false" outlineLevel="0" collapsed="false">
      <c r="A819" s="12"/>
      <c r="B819" s="13"/>
      <c r="C819" s="14"/>
      <c r="D819" s="14"/>
      <c r="E819" s="15"/>
      <c r="F819" s="16" t="str">
        <f aca="false">IF(OR(C819="",D819="",E819=""),"",C819*D819*E819)</f>
        <v/>
      </c>
      <c r="G819" s="17" t="str">
        <f aca="false">IF(OR(D819="",E819=""),"",E819*(1+D819/30))</f>
        <v/>
      </c>
      <c r="H819" s="19" t="n">
        <f aca="false">IF(G819="",0,G819)</f>
        <v>0</v>
      </c>
      <c r="I819" s="18" t="str">
        <f aca="false">IF(H819&gt;0,IF(H819&gt;=SUMPRODUCT(MAX(($B$5:$B$2004=B819)*$H$5:$H$2004)),"Rekor",""),"")</f>
        <v/>
      </c>
      <c r="J819" s="19" t="n">
        <f aca="false">IF(A819="",0,IF(COUNTIF(A$5:A819,A819)=1,1,0))</f>
        <v>0</v>
      </c>
    </row>
    <row r="820" customFormat="false" ht="15" hidden="false" customHeight="false" outlineLevel="0" collapsed="false">
      <c r="A820" s="12"/>
      <c r="B820" s="13"/>
      <c r="C820" s="14"/>
      <c r="D820" s="14"/>
      <c r="E820" s="15"/>
      <c r="F820" s="16" t="str">
        <f aca="false">IF(OR(C820="",D820="",E820=""),"",C820*D820*E820)</f>
        <v/>
      </c>
      <c r="G820" s="17" t="str">
        <f aca="false">IF(OR(D820="",E820=""),"",E820*(1+D820/30))</f>
        <v/>
      </c>
      <c r="H820" s="19" t="n">
        <f aca="false">IF(G820="",0,G820)</f>
        <v>0</v>
      </c>
      <c r="I820" s="18" t="str">
        <f aca="false">IF(H820&gt;0,IF(H820&gt;=SUMPRODUCT(MAX(($B$5:$B$2004=B820)*$H$5:$H$2004)),"Rekor",""),"")</f>
        <v/>
      </c>
      <c r="J820" s="19" t="n">
        <f aca="false">IF(A820="",0,IF(COUNTIF(A$5:A820,A820)=1,1,0))</f>
        <v>0</v>
      </c>
    </row>
    <row r="821" customFormat="false" ht="15" hidden="false" customHeight="false" outlineLevel="0" collapsed="false">
      <c r="A821" s="12"/>
      <c r="B821" s="13"/>
      <c r="C821" s="14"/>
      <c r="D821" s="14"/>
      <c r="E821" s="15"/>
      <c r="F821" s="16" t="str">
        <f aca="false">IF(OR(C821="",D821="",E821=""),"",C821*D821*E821)</f>
        <v/>
      </c>
      <c r="G821" s="17" t="str">
        <f aca="false">IF(OR(D821="",E821=""),"",E821*(1+D821/30))</f>
        <v/>
      </c>
      <c r="H821" s="19" t="n">
        <f aca="false">IF(G821="",0,G821)</f>
        <v>0</v>
      </c>
      <c r="I821" s="18" t="str">
        <f aca="false">IF(H821&gt;0,IF(H821&gt;=SUMPRODUCT(MAX(($B$5:$B$2004=B821)*$H$5:$H$2004)),"Rekor",""),"")</f>
        <v/>
      </c>
      <c r="J821" s="19" t="n">
        <f aca="false">IF(A821="",0,IF(COUNTIF(A$5:A821,A821)=1,1,0))</f>
        <v>0</v>
      </c>
    </row>
    <row r="822" customFormat="false" ht="15" hidden="false" customHeight="false" outlineLevel="0" collapsed="false">
      <c r="A822" s="12"/>
      <c r="B822" s="13"/>
      <c r="C822" s="14"/>
      <c r="D822" s="14"/>
      <c r="E822" s="15"/>
      <c r="F822" s="16" t="str">
        <f aca="false">IF(OR(C822="",D822="",E822=""),"",C822*D822*E822)</f>
        <v/>
      </c>
      <c r="G822" s="17" t="str">
        <f aca="false">IF(OR(D822="",E822=""),"",E822*(1+D822/30))</f>
        <v/>
      </c>
      <c r="H822" s="19" t="n">
        <f aca="false">IF(G822="",0,G822)</f>
        <v>0</v>
      </c>
      <c r="I822" s="18" t="str">
        <f aca="false">IF(H822&gt;0,IF(H822&gt;=SUMPRODUCT(MAX(($B$5:$B$2004=B822)*$H$5:$H$2004)),"Rekor",""),"")</f>
        <v/>
      </c>
      <c r="J822" s="19" t="n">
        <f aca="false">IF(A822="",0,IF(COUNTIF(A$5:A822,A822)=1,1,0))</f>
        <v>0</v>
      </c>
    </row>
    <row r="823" customFormat="false" ht="15" hidden="false" customHeight="false" outlineLevel="0" collapsed="false">
      <c r="A823" s="12"/>
      <c r="B823" s="13"/>
      <c r="C823" s="14"/>
      <c r="D823" s="14"/>
      <c r="E823" s="15"/>
      <c r="F823" s="16" t="str">
        <f aca="false">IF(OR(C823="",D823="",E823=""),"",C823*D823*E823)</f>
        <v/>
      </c>
      <c r="G823" s="17" t="str">
        <f aca="false">IF(OR(D823="",E823=""),"",E823*(1+D823/30))</f>
        <v/>
      </c>
      <c r="H823" s="19" t="n">
        <f aca="false">IF(G823="",0,G823)</f>
        <v>0</v>
      </c>
      <c r="I823" s="18" t="str">
        <f aca="false">IF(H823&gt;0,IF(H823&gt;=SUMPRODUCT(MAX(($B$5:$B$2004=B823)*$H$5:$H$2004)),"Rekor",""),"")</f>
        <v/>
      </c>
      <c r="J823" s="19" t="n">
        <f aca="false">IF(A823="",0,IF(COUNTIF(A$5:A823,A823)=1,1,0))</f>
        <v>0</v>
      </c>
    </row>
    <row r="824" customFormat="false" ht="15" hidden="false" customHeight="false" outlineLevel="0" collapsed="false">
      <c r="A824" s="12"/>
      <c r="B824" s="13"/>
      <c r="C824" s="14"/>
      <c r="D824" s="14"/>
      <c r="E824" s="15"/>
      <c r="F824" s="16" t="str">
        <f aca="false">IF(OR(C824="",D824="",E824=""),"",C824*D824*E824)</f>
        <v/>
      </c>
      <c r="G824" s="17" t="str">
        <f aca="false">IF(OR(D824="",E824=""),"",E824*(1+D824/30))</f>
        <v/>
      </c>
      <c r="H824" s="19" t="n">
        <f aca="false">IF(G824="",0,G824)</f>
        <v>0</v>
      </c>
      <c r="I824" s="18" t="str">
        <f aca="false">IF(H824&gt;0,IF(H824&gt;=SUMPRODUCT(MAX(($B$5:$B$2004=B824)*$H$5:$H$2004)),"Rekor",""),"")</f>
        <v/>
      </c>
      <c r="J824" s="19" t="n">
        <f aca="false">IF(A824="",0,IF(COUNTIF(A$5:A824,A824)=1,1,0))</f>
        <v>0</v>
      </c>
    </row>
    <row r="825" customFormat="false" ht="15" hidden="false" customHeight="false" outlineLevel="0" collapsed="false">
      <c r="A825" s="12"/>
      <c r="B825" s="13"/>
      <c r="C825" s="14"/>
      <c r="D825" s="14"/>
      <c r="E825" s="15"/>
      <c r="F825" s="16" t="str">
        <f aca="false">IF(OR(C825="",D825="",E825=""),"",C825*D825*E825)</f>
        <v/>
      </c>
      <c r="G825" s="17" t="str">
        <f aca="false">IF(OR(D825="",E825=""),"",E825*(1+D825/30))</f>
        <v/>
      </c>
      <c r="H825" s="19" t="n">
        <f aca="false">IF(G825="",0,G825)</f>
        <v>0</v>
      </c>
      <c r="I825" s="18" t="str">
        <f aca="false">IF(H825&gt;0,IF(H825&gt;=SUMPRODUCT(MAX(($B$5:$B$2004=B825)*$H$5:$H$2004)),"Rekor",""),"")</f>
        <v/>
      </c>
      <c r="J825" s="19" t="n">
        <f aca="false">IF(A825="",0,IF(COUNTIF(A$5:A825,A825)=1,1,0))</f>
        <v>0</v>
      </c>
    </row>
    <row r="826" customFormat="false" ht="15" hidden="false" customHeight="false" outlineLevel="0" collapsed="false">
      <c r="A826" s="12"/>
      <c r="B826" s="13"/>
      <c r="C826" s="14"/>
      <c r="D826" s="14"/>
      <c r="E826" s="15"/>
      <c r="F826" s="16" t="str">
        <f aca="false">IF(OR(C826="",D826="",E826=""),"",C826*D826*E826)</f>
        <v/>
      </c>
      <c r="G826" s="17" t="str">
        <f aca="false">IF(OR(D826="",E826=""),"",E826*(1+D826/30))</f>
        <v/>
      </c>
      <c r="H826" s="19" t="n">
        <f aca="false">IF(G826="",0,G826)</f>
        <v>0</v>
      </c>
      <c r="I826" s="18" t="str">
        <f aca="false">IF(H826&gt;0,IF(H826&gt;=SUMPRODUCT(MAX(($B$5:$B$2004=B826)*$H$5:$H$2004)),"Rekor",""),"")</f>
        <v/>
      </c>
      <c r="J826" s="19" t="n">
        <f aca="false">IF(A826="",0,IF(COUNTIF(A$5:A826,A826)=1,1,0))</f>
        <v>0</v>
      </c>
    </row>
    <row r="827" customFormat="false" ht="15" hidden="false" customHeight="false" outlineLevel="0" collapsed="false">
      <c r="A827" s="12"/>
      <c r="B827" s="13"/>
      <c r="C827" s="14"/>
      <c r="D827" s="14"/>
      <c r="E827" s="15"/>
      <c r="F827" s="16" t="str">
        <f aca="false">IF(OR(C827="",D827="",E827=""),"",C827*D827*E827)</f>
        <v/>
      </c>
      <c r="G827" s="17" t="str">
        <f aca="false">IF(OR(D827="",E827=""),"",E827*(1+D827/30))</f>
        <v/>
      </c>
      <c r="H827" s="19" t="n">
        <f aca="false">IF(G827="",0,G827)</f>
        <v>0</v>
      </c>
      <c r="I827" s="18" t="str">
        <f aca="false">IF(H827&gt;0,IF(H827&gt;=SUMPRODUCT(MAX(($B$5:$B$2004=B827)*$H$5:$H$2004)),"Rekor",""),"")</f>
        <v/>
      </c>
      <c r="J827" s="19" t="n">
        <f aca="false">IF(A827="",0,IF(COUNTIF(A$5:A827,A827)=1,1,0))</f>
        <v>0</v>
      </c>
    </row>
    <row r="828" customFormat="false" ht="15" hidden="false" customHeight="false" outlineLevel="0" collapsed="false">
      <c r="A828" s="12"/>
      <c r="B828" s="13"/>
      <c r="C828" s="14"/>
      <c r="D828" s="14"/>
      <c r="E828" s="15"/>
      <c r="F828" s="16" t="str">
        <f aca="false">IF(OR(C828="",D828="",E828=""),"",C828*D828*E828)</f>
        <v/>
      </c>
      <c r="G828" s="17" t="str">
        <f aca="false">IF(OR(D828="",E828=""),"",E828*(1+D828/30))</f>
        <v/>
      </c>
      <c r="H828" s="19" t="n">
        <f aca="false">IF(G828="",0,G828)</f>
        <v>0</v>
      </c>
      <c r="I828" s="18" t="str">
        <f aca="false">IF(H828&gt;0,IF(H828&gt;=SUMPRODUCT(MAX(($B$5:$B$2004=B828)*$H$5:$H$2004)),"Rekor",""),"")</f>
        <v/>
      </c>
      <c r="J828" s="19" t="n">
        <f aca="false">IF(A828="",0,IF(COUNTIF(A$5:A828,A828)=1,1,0))</f>
        <v>0</v>
      </c>
    </row>
    <row r="829" customFormat="false" ht="15" hidden="false" customHeight="false" outlineLevel="0" collapsed="false">
      <c r="A829" s="12"/>
      <c r="B829" s="13"/>
      <c r="C829" s="14"/>
      <c r="D829" s="14"/>
      <c r="E829" s="15"/>
      <c r="F829" s="16" t="str">
        <f aca="false">IF(OR(C829="",D829="",E829=""),"",C829*D829*E829)</f>
        <v/>
      </c>
      <c r="G829" s="17" t="str">
        <f aca="false">IF(OR(D829="",E829=""),"",E829*(1+D829/30))</f>
        <v/>
      </c>
      <c r="H829" s="19" t="n">
        <f aca="false">IF(G829="",0,G829)</f>
        <v>0</v>
      </c>
      <c r="I829" s="18" t="str">
        <f aca="false">IF(H829&gt;0,IF(H829&gt;=SUMPRODUCT(MAX(($B$5:$B$2004=B829)*$H$5:$H$2004)),"Rekor",""),"")</f>
        <v/>
      </c>
      <c r="J829" s="19" t="n">
        <f aca="false">IF(A829="",0,IF(COUNTIF(A$5:A829,A829)=1,1,0))</f>
        <v>0</v>
      </c>
    </row>
    <row r="830" customFormat="false" ht="15" hidden="false" customHeight="false" outlineLevel="0" collapsed="false">
      <c r="A830" s="12"/>
      <c r="B830" s="13"/>
      <c r="C830" s="14"/>
      <c r="D830" s="14"/>
      <c r="E830" s="15"/>
      <c r="F830" s="16" t="str">
        <f aca="false">IF(OR(C830="",D830="",E830=""),"",C830*D830*E830)</f>
        <v/>
      </c>
      <c r="G830" s="17" t="str">
        <f aca="false">IF(OR(D830="",E830=""),"",E830*(1+D830/30))</f>
        <v/>
      </c>
      <c r="H830" s="19" t="n">
        <f aca="false">IF(G830="",0,G830)</f>
        <v>0</v>
      </c>
      <c r="I830" s="18" t="str">
        <f aca="false">IF(H830&gt;0,IF(H830&gt;=SUMPRODUCT(MAX(($B$5:$B$2004=B830)*$H$5:$H$2004)),"Rekor",""),"")</f>
        <v/>
      </c>
      <c r="J830" s="19" t="n">
        <f aca="false">IF(A830="",0,IF(COUNTIF(A$5:A830,A830)=1,1,0))</f>
        <v>0</v>
      </c>
    </row>
    <row r="831" customFormat="false" ht="15" hidden="false" customHeight="false" outlineLevel="0" collapsed="false">
      <c r="A831" s="12"/>
      <c r="B831" s="13"/>
      <c r="C831" s="14"/>
      <c r="D831" s="14"/>
      <c r="E831" s="15"/>
      <c r="F831" s="16" t="str">
        <f aca="false">IF(OR(C831="",D831="",E831=""),"",C831*D831*E831)</f>
        <v/>
      </c>
      <c r="G831" s="17" t="str">
        <f aca="false">IF(OR(D831="",E831=""),"",E831*(1+D831/30))</f>
        <v/>
      </c>
      <c r="H831" s="19" t="n">
        <f aca="false">IF(G831="",0,G831)</f>
        <v>0</v>
      </c>
      <c r="I831" s="18" t="str">
        <f aca="false">IF(H831&gt;0,IF(H831&gt;=SUMPRODUCT(MAX(($B$5:$B$2004=B831)*$H$5:$H$2004)),"Rekor",""),"")</f>
        <v/>
      </c>
      <c r="J831" s="19" t="n">
        <f aca="false">IF(A831="",0,IF(COUNTIF(A$5:A831,A831)=1,1,0))</f>
        <v>0</v>
      </c>
    </row>
    <row r="832" customFormat="false" ht="15" hidden="false" customHeight="false" outlineLevel="0" collapsed="false">
      <c r="A832" s="12"/>
      <c r="B832" s="13"/>
      <c r="C832" s="14"/>
      <c r="D832" s="14"/>
      <c r="E832" s="15"/>
      <c r="F832" s="16" t="str">
        <f aca="false">IF(OR(C832="",D832="",E832=""),"",C832*D832*E832)</f>
        <v/>
      </c>
      <c r="G832" s="17" t="str">
        <f aca="false">IF(OR(D832="",E832=""),"",E832*(1+D832/30))</f>
        <v/>
      </c>
      <c r="H832" s="19" t="n">
        <f aca="false">IF(G832="",0,G832)</f>
        <v>0</v>
      </c>
      <c r="I832" s="18" t="str">
        <f aca="false">IF(H832&gt;0,IF(H832&gt;=SUMPRODUCT(MAX(($B$5:$B$2004=B832)*$H$5:$H$2004)),"Rekor",""),"")</f>
        <v/>
      </c>
      <c r="J832" s="19" t="n">
        <f aca="false">IF(A832="",0,IF(COUNTIF(A$5:A832,A832)=1,1,0))</f>
        <v>0</v>
      </c>
    </row>
    <row r="833" customFormat="false" ht="15" hidden="false" customHeight="false" outlineLevel="0" collapsed="false">
      <c r="A833" s="12"/>
      <c r="B833" s="13"/>
      <c r="C833" s="14"/>
      <c r="D833" s="14"/>
      <c r="E833" s="15"/>
      <c r="F833" s="16" t="str">
        <f aca="false">IF(OR(C833="",D833="",E833=""),"",C833*D833*E833)</f>
        <v/>
      </c>
      <c r="G833" s="17" t="str">
        <f aca="false">IF(OR(D833="",E833=""),"",E833*(1+D833/30))</f>
        <v/>
      </c>
      <c r="H833" s="19" t="n">
        <f aca="false">IF(G833="",0,G833)</f>
        <v>0</v>
      </c>
      <c r="I833" s="18" t="str">
        <f aca="false">IF(H833&gt;0,IF(H833&gt;=SUMPRODUCT(MAX(($B$5:$B$2004=B833)*$H$5:$H$2004)),"Rekor",""),"")</f>
        <v/>
      </c>
      <c r="J833" s="19" t="n">
        <f aca="false">IF(A833="",0,IF(COUNTIF(A$5:A833,A833)=1,1,0))</f>
        <v>0</v>
      </c>
    </row>
    <row r="834" customFormat="false" ht="15" hidden="false" customHeight="false" outlineLevel="0" collapsed="false">
      <c r="A834" s="12"/>
      <c r="B834" s="13"/>
      <c r="C834" s="14"/>
      <c r="D834" s="14"/>
      <c r="E834" s="15"/>
      <c r="F834" s="16" t="str">
        <f aca="false">IF(OR(C834="",D834="",E834=""),"",C834*D834*E834)</f>
        <v/>
      </c>
      <c r="G834" s="17" t="str">
        <f aca="false">IF(OR(D834="",E834=""),"",E834*(1+D834/30))</f>
        <v/>
      </c>
      <c r="H834" s="19" t="n">
        <f aca="false">IF(G834="",0,G834)</f>
        <v>0</v>
      </c>
      <c r="I834" s="18" t="str">
        <f aca="false">IF(H834&gt;0,IF(H834&gt;=SUMPRODUCT(MAX(($B$5:$B$2004=B834)*$H$5:$H$2004)),"Rekor",""),"")</f>
        <v/>
      </c>
      <c r="J834" s="19" t="n">
        <f aca="false">IF(A834="",0,IF(COUNTIF(A$5:A834,A834)=1,1,0))</f>
        <v>0</v>
      </c>
    </row>
    <row r="835" customFormat="false" ht="15" hidden="false" customHeight="false" outlineLevel="0" collapsed="false">
      <c r="A835" s="12"/>
      <c r="B835" s="13"/>
      <c r="C835" s="14"/>
      <c r="D835" s="14"/>
      <c r="E835" s="15"/>
      <c r="F835" s="16" t="str">
        <f aca="false">IF(OR(C835="",D835="",E835=""),"",C835*D835*E835)</f>
        <v/>
      </c>
      <c r="G835" s="17" t="str">
        <f aca="false">IF(OR(D835="",E835=""),"",E835*(1+D835/30))</f>
        <v/>
      </c>
      <c r="H835" s="19" t="n">
        <f aca="false">IF(G835="",0,G835)</f>
        <v>0</v>
      </c>
      <c r="I835" s="18" t="str">
        <f aca="false">IF(H835&gt;0,IF(H835&gt;=SUMPRODUCT(MAX(($B$5:$B$2004=B835)*$H$5:$H$2004)),"Rekor",""),"")</f>
        <v/>
      </c>
      <c r="J835" s="19" t="n">
        <f aca="false">IF(A835="",0,IF(COUNTIF(A$5:A835,A835)=1,1,0))</f>
        <v>0</v>
      </c>
    </row>
    <row r="836" customFormat="false" ht="15" hidden="false" customHeight="false" outlineLevel="0" collapsed="false">
      <c r="A836" s="12"/>
      <c r="B836" s="13"/>
      <c r="C836" s="14"/>
      <c r="D836" s="14"/>
      <c r="E836" s="15"/>
      <c r="F836" s="16" t="str">
        <f aca="false">IF(OR(C836="",D836="",E836=""),"",C836*D836*E836)</f>
        <v/>
      </c>
      <c r="G836" s="17" t="str">
        <f aca="false">IF(OR(D836="",E836=""),"",E836*(1+D836/30))</f>
        <v/>
      </c>
      <c r="H836" s="19" t="n">
        <f aca="false">IF(G836="",0,G836)</f>
        <v>0</v>
      </c>
      <c r="I836" s="18" t="str">
        <f aca="false">IF(H836&gt;0,IF(H836&gt;=SUMPRODUCT(MAX(($B$5:$B$2004=B836)*$H$5:$H$2004)),"Rekor",""),"")</f>
        <v/>
      </c>
      <c r="J836" s="19" t="n">
        <f aca="false">IF(A836="",0,IF(COUNTIF(A$5:A836,A836)=1,1,0))</f>
        <v>0</v>
      </c>
    </row>
    <row r="837" customFormat="false" ht="15" hidden="false" customHeight="false" outlineLevel="0" collapsed="false">
      <c r="A837" s="12"/>
      <c r="B837" s="13"/>
      <c r="C837" s="14"/>
      <c r="D837" s="14"/>
      <c r="E837" s="15"/>
      <c r="F837" s="16" t="str">
        <f aca="false">IF(OR(C837="",D837="",E837=""),"",C837*D837*E837)</f>
        <v/>
      </c>
      <c r="G837" s="17" t="str">
        <f aca="false">IF(OR(D837="",E837=""),"",E837*(1+D837/30))</f>
        <v/>
      </c>
      <c r="H837" s="19" t="n">
        <f aca="false">IF(G837="",0,G837)</f>
        <v>0</v>
      </c>
      <c r="I837" s="18" t="str">
        <f aca="false">IF(H837&gt;0,IF(H837&gt;=SUMPRODUCT(MAX(($B$5:$B$2004=B837)*$H$5:$H$2004)),"Rekor",""),"")</f>
        <v/>
      </c>
      <c r="J837" s="19" t="n">
        <f aca="false">IF(A837="",0,IF(COUNTIF(A$5:A837,A837)=1,1,0))</f>
        <v>0</v>
      </c>
    </row>
    <row r="838" customFormat="false" ht="15" hidden="false" customHeight="false" outlineLevel="0" collapsed="false">
      <c r="A838" s="12"/>
      <c r="B838" s="13"/>
      <c r="C838" s="14"/>
      <c r="D838" s="14"/>
      <c r="E838" s="15"/>
      <c r="F838" s="16" t="str">
        <f aca="false">IF(OR(C838="",D838="",E838=""),"",C838*D838*E838)</f>
        <v/>
      </c>
      <c r="G838" s="17" t="str">
        <f aca="false">IF(OR(D838="",E838=""),"",E838*(1+D838/30))</f>
        <v/>
      </c>
      <c r="H838" s="19" t="n">
        <f aca="false">IF(G838="",0,G838)</f>
        <v>0</v>
      </c>
      <c r="I838" s="18" t="str">
        <f aca="false">IF(H838&gt;0,IF(H838&gt;=SUMPRODUCT(MAX(($B$5:$B$2004=B838)*$H$5:$H$2004)),"Rekor",""),"")</f>
        <v/>
      </c>
      <c r="J838" s="19" t="n">
        <f aca="false">IF(A838="",0,IF(COUNTIF(A$5:A838,A838)=1,1,0))</f>
        <v>0</v>
      </c>
    </row>
    <row r="839" customFormat="false" ht="15" hidden="false" customHeight="false" outlineLevel="0" collapsed="false">
      <c r="A839" s="12"/>
      <c r="B839" s="13"/>
      <c r="C839" s="14"/>
      <c r="D839" s="14"/>
      <c r="E839" s="15"/>
      <c r="F839" s="16" t="str">
        <f aca="false">IF(OR(C839="",D839="",E839=""),"",C839*D839*E839)</f>
        <v/>
      </c>
      <c r="G839" s="17" t="str">
        <f aca="false">IF(OR(D839="",E839=""),"",E839*(1+D839/30))</f>
        <v/>
      </c>
      <c r="H839" s="19" t="n">
        <f aca="false">IF(G839="",0,G839)</f>
        <v>0</v>
      </c>
      <c r="I839" s="18" t="str">
        <f aca="false">IF(H839&gt;0,IF(H839&gt;=SUMPRODUCT(MAX(($B$5:$B$2004=B839)*$H$5:$H$2004)),"Rekor",""),"")</f>
        <v/>
      </c>
      <c r="J839" s="19" t="n">
        <f aca="false">IF(A839="",0,IF(COUNTIF(A$5:A839,A839)=1,1,0))</f>
        <v>0</v>
      </c>
    </row>
    <row r="840" customFormat="false" ht="15" hidden="false" customHeight="false" outlineLevel="0" collapsed="false">
      <c r="A840" s="12"/>
      <c r="B840" s="13"/>
      <c r="C840" s="14"/>
      <c r="D840" s="14"/>
      <c r="E840" s="15"/>
      <c r="F840" s="16" t="str">
        <f aca="false">IF(OR(C840="",D840="",E840=""),"",C840*D840*E840)</f>
        <v/>
      </c>
      <c r="G840" s="17" t="str">
        <f aca="false">IF(OR(D840="",E840=""),"",E840*(1+D840/30))</f>
        <v/>
      </c>
      <c r="H840" s="19" t="n">
        <f aca="false">IF(G840="",0,G840)</f>
        <v>0</v>
      </c>
      <c r="I840" s="18" t="str">
        <f aca="false">IF(H840&gt;0,IF(H840&gt;=SUMPRODUCT(MAX(($B$5:$B$2004=B840)*$H$5:$H$2004)),"Rekor",""),"")</f>
        <v/>
      </c>
      <c r="J840" s="19" t="n">
        <f aca="false">IF(A840="",0,IF(COUNTIF(A$5:A840,A840)=1,1,0))</f>
        <v>0</v>
      </c>
    </row>
    <row r="841" customFormat="false" ht="15" hidden="false" customHeight="false" outlineLevel="0" collapsed="false">
      <c r="A841" s="12"/>
      <c r="B841" s="13"/>
      <c r="C841" s="14"/>
      <c r="D841" s="14"/>
      <c r="E841" s="15"/>
      <c r="F841" s="16" t="str">
        <f aca="false">IF(OR(C841="",D841="",E841=""),"",C841*D841*E841)</f>
        <v/>
      </c>
      <c r="G841" s="17" t="str">
        <f aca="false">IF(OR(D841="",E841=""),"",E841*(1+D841/30))</f>
        <v/>
      </c>
      <c r="H841" s="19" t="n">
        <f aca="false">IF(G841="",0,G841)</f>
        <v>0</v>
      </c>
      <c r="I841" s="18" t="str">
        <f aca="false">IF(H841&gt;0,IF(H841&gt;=SUMPRODUCT(MAX(($B$5:$B$2004=B841)*$H$5:$H$2004)),"Rekor",""),"")</f>
        <v/>
      </c>
      <c r="J841" s="19" t="n">
        <f aca="false">IF(A841="",0,IF(COUNTIF(A$5:A841,A841)=1,1,0))</f>
        <v>0</v>
      </c>
    </row>
    <row r="842" customFormat="false" ht="15" hidden="false" customHeight="false" outlineLevel="0" collapsed="false">
      <c r="A842" s="12"/>
      <c r="B842" s="13"/>
      <c r="C842" s="14"/>
      <c r="D842" s="14"/>
      <c r="E842" s="15"/>
      <c r="F842" s="16" t="str">
        <f aca="false">IF(OR(C842="",D842="",E842=""),"",C842*D842*E842)</f>
        <v/>
      </c>
      <c r="G842" s="17" t="str">
        <f aca="false">IF(OR(D842="",E842=""),"",E842*(1+D842/30))</f>
        <v/>
      </c>
      <c r="H842" s="19" t="n">
        <f aca="false">IF(G842="",0,G842)</f>
        <v>0</v>
      </c>
      <c r="I842" s="18" t="str">
        <f aca="false">IF(H842&gt;0,IF(H842&gt;=SUMPRODUCT(MAX(($B$5:$B$2004=B842)*$H$5:$H$2004)),"Rekor",""),"")</f>
        <v/>
      </c>
      <c r="J842" s="19" t="n">
        <f aca="false">IF(A842="",0,IF(COUNTIF(A$5:A842,A842)=1,1,0))</f>
        <v>0</v>
      </c>
    </row>
    <row r="843" customFormat="false" ht="15" hidden="false" customHeight="false" outlineLevel="0" collapsed="false">
      <c r="A843" s="12"/>
      <c r="B843" s="13"/>
      <c r="C843" s="14"/>
      <c r="D843" s="14"/>
      <c r="E843" s="15"/>
      <c r="F843" s="16" t="str">
        <f aca="false">IF(OR(C843="",D843="",E843=""),"",C843*D843*E843)</f>
        <v/>
      </c>
      <c r="G843" s="17" t="str">
        <f aca="false">IF(OR(D843="",E843=""),"",E843*(1+D843/30))</f>
        <v/>
      </c>
      <c r="H843" s="19" t="n">
        <f aca="false">IF(G843="",0,G843)</f>
        <v>0</v>
      </c>
      <c r="I843" s="18" t="str">
        <f aca="false">IF(H843&gt;0,IF(H843&gt;=SUMPRODUCT(MAX(($B$5:$B$2004=B843)*$H$5:$H$2004)),"Rekor",""),"")</f>
        <v/>
      </c>
      <c r="J843" s="19" t="n">
        <f aca="false">IF(A843="",0,IF(COUNTIF(A$5:A843,A843)=1,1,0))</f>
        <v>0</v>
      </c>
    </row>
    <row r="844" customFormat="false" ht="15" hidden="false" customHeight="false" outlineLevel="0" collapsed="false">
      <c r="A844" s="12"/>
      <c r="B844" s="13"/>
      <c r="C844" s="14"/>
      <c r="D844" s="14"/>
      <c r="E844" s="15"/>
      <c r="F844" s="16" t="str">
        <f aca="false">IF(OR(C844="",D844="",E844=""),"",C844*D844*E844)</f>
        <v/>
      </c>
      <c r="G844" s="17" t="str">
        <f aca="false">IF(OR(D844="",E844=""),"",E844*(1+D844/30))</f>
        <v/>
      </c>
      <c r="H844" s="19" t="n">
        <f aca="false">IF(G844="",0,G844)</f>
        <v>0</v>
      </c>
      <c r="I844" s="18" t="str">
        <f aca="false">IF(H844&gt;0,IF(H844&gt;=SUMPRODUCT(MAX(($B$5:$B$2004=B844)*$H$5:$H$2004)),"Rekor",""),"")</f>
        <v/>
      </c>
      <c r="J844" s="19" t="n">
        <f aca="false">IF(A844="",0,IF(COUNTIF(A$5:A844,A844)=1,1,0))</f>
        <v>0</v>
      </c>
    </row>
    <row r="845" customFormat="false" ht="15" hidden="false" customHeight="false" outlineLevel="0" collapsed="false">
      <c r="A845" s="12"/>
      <c r="B845" s="13"/>
      <c r="C845" s="14"/>
      <c r="D845" s="14"/>
      <c r="E845" s="15"/>
      <c r="F845" s="16" t="str">
        <f aca="false">IF(OR(C845="",D845="",E845=""),"",C845*D845*E845)</f>
        <v/>
      </c>
      <c r="G845" s="17" t="str">
        <f aca="false">IF(OR(D845="",E845=""),"",E845*(1+D845/30))</f>
        <v/>
      </c>
      <c r="H845" s="19" t="n">
        <f aca="false">IF(G845="",0,G845)</f>
        <v>0</v>
      </c>
      <c r="I845" s="18" t="str">
        <f aca="false">IF(H845&gt;0,IF(H845&gt;=SUMPRODUCT(MAX(($B$5:$B$2004=B845)*$H$5:$H$2004)),"Rekor",""),"")</f>
        <v/>
      </c>
      <c r="J845" s="19" t="n">
        <f aca="false">IF(A845="",0,IF(COUNTIF(A$5:A845,A845)=1,1,0))</f>
        <v>0</v>
      </c>
    </row>
    <row r="846" customFormat="false" ht="15" hidden="false" customHeight="false" outlineLevel="0" collapsed="false">
      <c r="A846" s="12"/>
      <c r="B846" s="13"/>
      <c r="C846" s="14"/>
      <c r="D846" s="14"/>
      <c r="E846" s="15"/>
      <c r="F846" s="16" t="str">
        <f aca="false">IF(OR(C846="",D846="",E846=""),"",C846*D846*E846)</f>
        <v/>
      </c>
      <c r="G846" s="17" t="str">
        <f aca="false">IF(OR(D846="",E846=""),"",E846*(1+D846/30))</f>
        <v/>
      </c>
      <c r="H846" s="19" t="n">
        <f aca="false">IF(G846="",0,G846)</f>
        <v>0</v>
      </c>
      <c r="I846" s="18" t="str">
        <f aca="false">IF(H846&gt;0,IF(H846&gt;=SUMPRODUCT(MAX(($B$5:$B$2004=B846)*$H$5:$H$2004)),"Rekor",""),"")</f>
        <v/>
      </c>
      <c r="J846" s="19" t="n">
        <f aca="false">IF(A846="",0,IF(COUNTIF(A$5:A846,A846)=1,1,0))</f>
        <v>0</v>
      </c>
    </row>
    <row r="847" customFormat="false" ht="15" hidden="false" customHeight="false" outlineLevel="0" collapsed="false">
      <c r="A847" s="12"/>
      <c r="B847" s="13"/>
      <c r="C847" s="14"/>
      <c r="D847" s="14"/>
      <c r="E847" s="15"/>
      <c r="F847" s="16" t="str">
        <f aca="false">IF(OR(C847="",D847="",E847=""),"",C847*D847*E847)</f>
        <v/>
      </c>
      <c r="G847" s="17" t="str">
        <f aca="false">IF(OR(D847="",E847=""),"",E847*(1+D847/30))</f>
        <v/>
      </c>
      <c r="H847" s="19" t="n">
        <f aca="false">IF(G847="",0,G847)</f>
        <v>0</v>
      </c>
      <c r="I847" s="18" t="str">
        <f aca="false">IF(H847&gt;0,IF(H847&gt;=SUMPRODUCT(MAX(($B$5:$B$2004=B847)*$H$5:$H$2004)),"Rekor",""),"")</f>
        <v/>
      </c>
      <c r="J847" s="19" t="n">
        <f aca="false">IF(A847="",0,IF(COUNTIF(A$5:A847,A847)=1,1,0))</f>
        <v>0</v>
      </c>
    </row>
    <row r="848" customFormat="false" ht="15" hidden="false" customHeight="false" outlineLevel="0" collapsed="false">
      <c r="A848" s="12"/>
      <c r="B848" s="13"/>
      <c r="C848" s="14"/>
      <c r="D848" s="14"/>
      <c r="E848" s="15"/>
      <c r="F848" s="16" t="str">
        <f aca="false">IF(OR(C848="",D848="",E848=""),"",C848*D848*E848)</f>
        <v/>
      </c>
      <c r="G848" s="17" t="str">
        <f aca="false">IF(OR(D848="",E848=""),"",E848*(1+D848/30))</f>
        <v/>
      </c>
      <c r="H848" s="19" t="n">
        <f aca="false">IF(G848="",0,G848)</f>
        <v>0</v>
      </c>
      <c r="I848" s="18" t="str">
        <f aca="false">IF(H848&gt;0,IF(H848&gt;=SUMPRODUCT(MAX(($B$5:$B$2004=B848)*$H$5:$H$2004)),"Rekor",""),"")</f>
        <v/>
      </c>
      <c r="J848" s="19" t="n">
        <f aca="false">IF(A848="",0,IF(COUNTIF(A$5:A848,A848)=1,1,0))</f>
        <v>0</v>
      </c>
    </row>
    <row r="849" customFormat="false" ht="15" hidden="false" customHeight="false" outlineLevel="0" collapsed="false">
      <c r="A849" s="12"/>
      <c r="B849" s="13"/>
      <c r="C849" s="14"/>
      <c r="D849" s="14"/>
      <c r="E849" s="15"/>
      <c r="F849" s="16" t="str">
        <f aca="false">IF(OR(C849="",D849="",E849=""),"",C849*D849*E849)</f>
        <v/>
      </c>
      <c r="G849" s="17" t="str">
        <f aca="false">IF(OR(D849="",E849=""),"",E849*(1+D849/30))</f>
        <v/>
      </c>
      <c r="H849" s="19" t="n">
        <f aca="false">IF(G849="",0,G849)</f>
        <v>0</v>
      </c>
      <c r="I849" s="18" t="str">
        <f aca="false">IF(H849&gt;0,IF(H849&gt;=SUMPRODUCT(MAX(($B$5:$B$2004=B849)*$H$5:$H$2004)),"Rekor",""),"")</f>
        <v/>
      </c>
      <c r="J849" s="19" t="n">
        <f aca="false">IF(A849="",0,IF(COUNTIF(A$5:A849,A849)=1,1,0))</f>
        <v>0</v>
      </c>
    </row>
    <row r="850" customFormat="false" ht="15" hidden="false" customHeight="false" outlineLevel="0" collapsed="false">
      <c r="A850" s="12"/>
      <c r="B850" s="13"/>
      <c r="C850" s="14"/>
      <c r="D850" s="14"/>
      <c r="E850" s="15"/>
      <c r="F850" s="16" t="str">
        <f aca="false">IF(OR(C850="",D850="",E850=""),"",C850*D850*E850)</f>
        <v/>
      </c>
      <c r="G850" s="17" t="str">
        <f aca="false">IF(OR(D850="",E850=""),"",E850*(1+D850/30))</f>
        <v/>
      </c>
      <c r="H850" s="19" t="n">
        <f aca="false">IF(G850="",0,G850)</f>
        <v>0</v>
      </c>
      <c r="I850" s="18" t="str">
        <f aca="false">IF(H850&gt;0,IF(H850&gt;=SUMPRODUCT(MAX(($B$5:$B$2004=B850)*$H$5:$H$2004)),"Rekor",""),"")</f>
        <v/>
      </c>
      <c r="J850" s="19" t="n">
        <f aca="false">IF(A850="",0,IF(COUNTIF(A$5:A850,A850)=1,1,0))</f>
        <v>0</v>
      </c>
    </row>
    <row r="851" customFormat="false" ht="15" hidden="false" customHeight="false" outlineLevel="0" collapsed="false">
      <c r="A851" s="12"/>
      <c r="B851" s="13"/>
      <c r="C851" s="14"/>
      <c r="D851" s="14"/>
      <c r="E851" s="15"/>
      <c r="F851" s="16" t="str">
        <f aca="false">IF(OR(C851="",D851="",E851=""),"",C851*D851*E851)</f>
        <v/>
      </c>
      <c r="G851" s="17" t="str">
        <f aca="false">IF(OR(D851="",E851=""),"",E851*(1+D851/30))</f>
        <v/>
      </c>
      <c r="H851" s="19" t="n">
        <f aca="false">IF(G851="",0,G851)</f>
        <v>0</v>
      </c>
      <c r="I851" s="18" t="str">
        <f aca="false">IF(H851&gt;0,IF(H851&gt;=SUMPRODUCT(MAX(($B$5:$B$2004=B851)*$H$5:$H$2004)),"Rekor",""),"")</f>
        <v/>
      </c>
      <c r="J851" s="19" t="n">
        <f aca="false">IF(A851="",0,IF(COUNTIF(A$5:A851,A851)=1,1,0))</f>
        <v>0</v>
      </c>
    </row>
    <row r="852" customFormat="false" ht="15" hidden="false" customHeight="false" outlineLevel="0" collapsed="false">
      <c r="A852" s="12"/>
      <c r="B852" s="13"/>
      <c r="C852" s="14"/>
      <c r="D852" s="14"/>
      <c r="E852" s="15"/>
      <c r="F852" s="16" t="str">
        <f aca="false">IF(OR(C852="",D852="",E852=""),"",C852*D852*E852)</f>
        <v/>
      </c>
      <c r="G852" s="17" t="str">
        <f aca="false">IF(OR(D852="",E852=""),"",E852*(1+D852/30))</f>
        <v/>
      </c>
      <c r="H852" s="19" t="n">
        <f aca="false">IF(G852="",0,G852)</f>
        <v>0</v>
      </c>
      <c r="I852" s="18" t="str">
        <f aca="false">IF(H852&gt;0,IF(H852&gt;=SUMPRODUCT(MAX(($B$5:$B$2004=B852)*$H$5:$H$2004)),"Rekor",""),"")</f>
        <v/>
      </c>
      <c r="J852" s="19" t="n">
        <f aca="false">IF(A852="",0,IF(COUNTIF(A$5:A852,A852)=1,1,0))</f>
        <v>0</v>
      </c>
    </row>
    <row r="853" customFormat="false" ht="15" hidden="false" customHeight="false" outlineLevel="0" collapsed="false">
      <c r="A853" s="12"/>
      <c r="B853" s="13"/>
      <c r="C853" s="14"/>
      <c r="D853" s="14"/>
      <c r="E853" s="15"/>
      <c r="F853" s="16" t="str">
        <f aca="false">IF(OR(C853="",D853="",E853=""),"",C853*D853*E853)</f>
        <v/>
      </c>
      <c r="G853" s="17" t="str">
        <f aca="false">IF(OR(D853="",E853=""),"",E853*(1+D853/30))</f>
        <v/>
      </c>
      <c r="H853" s="19" t="n">
        <f aca="false">IF(G853="",0,G853)</f>
        <v>0</v>
      </c>
      <c r="I853" s="18" t="str">
        <f aca="false">IF(H853&gt;0,IF(H853&gt;=SUMPRODUCT(MAX(($B$5:$B$2004=B853)*$H$5:$H$2004)),"Rekor",""),"")</f>
        <v/>
      </c>
      <c r="J853" s="19" t="n">
        <f aca="false">IF(A853="",0,IF(COUNTIF(A$5:A853,A853)=1,1,0))</f>
        <v>0</v>
      </c>
    </row>
    <row r="854" customFormat="false" ht="15" hidden="false" customHeight="false" outlineLevel="0" collapsed="false">
      <c r="A854" s="12"/>
      <c r="B854" s="13"/>
      <c r="C854" s="14"/>
      <c r="D854" s="14"/>
      <c r="E854" s="15"/>
      <c r="F854" s="16" t="str">
        <f aca="false">IF(OR(C854="",D854="",E854=""),"",C854*D854*E854)</f>
        <v/>
      </c>
      <c r="G854" s="17" t="str">
        <f aca="false">IF(OR(D854="",E854=""),"",E854*(1+D854/30))</f>
        <v/>
      </c>
      <c r="H854" s="19" t="n">
        <f aca="false">IF(G854="",0,G854)</f>
        <v>0</v>
      </c>
      <c r="I854" s="18" t="str">
        <f aca="false">IF(H854&gt;0,IF(H854&gt;=SUMPRODUCT(MAX(($B$5:$B$2004=B854)*$H$5:$H$2004)),"Rekor",""),"")</f>
        <v/>
      </c>
      <c r="J854" s="19" t="n">
        <f aca="false">IF(A854="",0,IF(COUNTIF(A$5:A854,A854)=1,1,0))</f>
        <v>0</v>
      </c>
    </row>
    <row r="855" customFormat="false" ht="15" hidden="false" customHeight="false" outlineLevel="0" collapsed="false">
      <c r="A855" s="12"/>
      <c r="B855" s="13"/>
      <c r="C855" s="14"/>
      <c r="D855" s="14"/>
      <c r="E855" s="15"/>
      <c r="F855" s="16" t="str">
        <f aca="false">IF(OR(C855="",D855="",E855=""),"",C855*D855*E855)</f>
        <v/>
      </c>
      <c r="G855" s="17" t="str">
        <f aca="false">IF(OR(D855="",E855=""),"",E855*(1+D855/30))</f>
        <v/>
      </c>
      <c r="H855" s="19" t="n">
        <f aca="false">IF(G855="",0,G855)</f>
        <v>0</v>
      </c>
      <c r="I855" s="18" t="str">
        <f aca="false">IF(H855&gt;0,IF(H855&gt;=SUMPRODUCT(MAX(($B$5:$B$2004=B855)*$H$5:$H$2004)),"Rekor",""),"")</f>
        <v/>
      </c>
      <c r="J855" s="19" t="n">
        <f aca="false">IF(A855="",0,IF(COUNTIF(A$5:A855,A855)=1,1,0))</f>
        <v>0</v>
      </c>
    </row>
    <row r="856" customFormat="false" ht="15" hidden="false" customHeight="false" outlineLevel="0" collapsed="false">
      <c r="A856" s="12"/>
      <c r="B856" s="13"/>
      <c r="C856" s="14"/>
      <c r="D856" s="14"/>
      <c r="E856" s="15"/>
      <c r="F856" s="16" t="str">
        <f aca="false">IF(OR(C856="",D856="",E856=""),"",C856*D856*E856)</f>
        <v/>
      </c>
      <c r="G856" s="17" t="str">
        <f aca="false">IF(OR(D856="",E856=""),"",E856*(1+D856/30))</f>
        <v/>
      </c>
      <c r="H856" s="19" t="n">
        <f aca="false">IF(G856="",0,G856)</f>
        <v>0</v>
      </c>
      <c r="I856" s="18" t="str">
        <f aca="false">IF(H856&gt;0,IF(H856&gt;=SUMPRODUCT(MAX(($B$5:$B$2004=B856)*$H$5:$H$2004)),"Rekor",""),"")</f>
        <v/>
      </c>
      <c r="J856" s="19" t="n">
        <f aca="false">IF(A856="",0,IF(COUNTIF(A$5:A856,A856)=1,1,0))</f>
        <v>0</v>
      </c>
    </row>
    <row r="857" customFormat="false" ht="15" hidden="false" customHeight="false" outlineLevel="0" collapsed="false">
      <c r="A857" s="12"/>
      <c r="B857" s="13"/>
      <c r="C857" s="14"/>
      <c r="D857" s="14"/>
      <c r="E857" s="15"/>
      <c r="F857" s="16" t="str">
        <f aca="false">IF(OR(C857="",D857="",E857=""),"",C857*D857*E857)</f>
        <v/>
      </c>
      <c r="G857" s="17" t="str">
        <f aca="false">IF(OR(D857="",E857=""),"",E857*(1+D857/30))</f>
        <v/>
      </c>
      <c r="H857" s="19" t="n">
        <f aca="false">IF(G857="",0,G857)</f>
        <v>0</v>
      </c>
      <c r="I857" s="18" t="str">
        <f aca="false">IF(H857&gt;0,IF(H857&gt;=SUMPRODUCT(MAX(($B$5:$B$2004=B857)*$H$5:$H$2004)),"Rekor",""),"")</f>
        <v/>
      </c>
      <c r="J857" s="19" t="n">
        <f aca="false">IF(A857="",0,IF(COUNTIF(A$5:A857,A857)=1,1,0))</f>
        <v>0</v>
      </c>
    </row>
    <row r="858" customFormat="false" ht="15" hidden="false" customHeight="false" outlineLevel="0" collapsed="false">
      <c r="A858" s="12"/>
      <c r="B858" s="13"/>
      <c r="C858" s="14"/>
      <c r="D858" s="14"/>
      <c r="E858" s="15"/>
      <c r="F858" s="16" t="str">
        <f aca="false">IF(OR(C858="",D858="",E858=""),"",C858*D858*E858)</f>
        <v/>
      </c>
      <c r="G858" s="17" t="str">
        <f aca="false">IF(OR(D858="",E858=""),"",E858*(1+D858/30))</f>
        <v/>
      </c>
      <c r="H858" s="19" t="n">
        <f aca="false">IF(G858="",0,G858)</f>
        <v>0</v>
      </c>
      <c r="I858" s="18" t="str">
        <f aca="false">IF(H858&gt;0,IF(H858&gt;=SUMPRODUCT(MAX(($B$5:$B$2004=B858)*$H$5:$H$2004)),"Rekor",""),"")</f>
        <v/>
      </c>
      <c r="J858" s="19" t="n">
        <f aca="false">IF(A858="",0,IF(COUNTIF(A$5:A858,A858)=1,1,0))</f>
        <v>0</v>
      </c>
    </row>
    <row r="859" customFormat="false" ht="15" hidden="false" customHeight="false" outlineLevel="0" collapsed="false">
      <c r="A859" s="12"/>
      <c r="B859" s="13"/>
      <c r="C859" s="14"/>
      <c r="D859" s="14"/>
      <c r="E859" s="15"/>
      <c r="F859" s="16" t="str">
        <f aca="false">IF(OR(C859="",D859="",E859=""),"",C859*D859*E859)</f>
        <v/>
      </c>
      <c r="G859" s="17" t="str">
        <f aca="false">IF(OR(D859="",E859=""),"",E859*(1+D859/30))</f>
        <v/>
      </c>
      <c r="H859" s="19" t="n">
        <f aca="false">IF(G859="",0,G859)</f>
        <v>0</v>
      </c>
      <c r="I859" s="18" t="str">
        <f aca="false">IF(H859&gt;0,IF(H859&gt;=SUMPRODUCT(MAX(($B$5:$B$2004=B859)*$H$5:$H$2004)),"Rekor",""),"")</f>
        <v/>
      </c>
      <c r="J859" s="19" t="n">
        <f aca="false">IF(A859="",0,IF(COUNTIF(A$5:A859,A859)=1,1,0))</f>
        <v>0</v>
      </c>
    </row>
    <row r="860" customFormat="false" ht="15" hidden="false" customHeight="false" outlineLevel="0" collapsed="false">
      <c r="A860" s="12"/>
      <c r="B860" s="13"/>
      <c r="C860" s="14"/>
      <c r="D860" s="14"/>
      <c r="E860" s="15"/>
      <c r="F860" s="16" t="str">
        <f aca="false">IF(OR(C860="",D860="",E860=""),"",C860*D860*E860)</f>
        <v/>
      </c>
      <c r="G860" s="17" t="str">
        <f aca="false">IF(OR(D860="",E860=""),"",E860*(1+D860/30))</f>
        <v/>
      </c>
      <c r="H860" s="19" t="n">
        <f aca="false">IF(G860="",0,G860)</f>
        <v>0</v>
      </c>
      <c r="I860" s="18" t="str">
        <f aca="false">IF(H860&gt;0,IF(H860&gt;=SUMPRODUCT(MAX(($B$5:$B$2004=B860)*$H$5:$H$2004)),"Rekor",""),"")</f>
        <v/>
      </c>
      <c r="J860" s="19" t="n">
        <f aca="false">IF(A860="",0,IF(COUNTIF(A$5:A860,A860)=1,1,0))</f>
        <v>0</v>
      </c>
    </row>
    <row r="861" customFormat="false" ht="15" hidden="false" customHeight="false" outlineLevel="0" collapsed="false">
      <c r="A861" s="12"/>
      <c r="B861" s="13"/>
      <c r="C861" s="14"/>
      <c r="D861" s="14"/>
      <c r="E861" s="15"/>
      <c r="F861" s="16" t="str">
        <f aca="false">IF(OR(C861="",D861="",E861=""),"",C861*D861*E861)</f>
        <v/>
      </c>
      <c r="G861" s="17" t="str">
        <f aca="false">IF(OR(D861="",E861=""),"",E861*(1+D861/30))</f>
        <v/>
      </c>
      <c r="H861" s="19" t="n">
        <f aca="false">IF(G861="",0,G861)</f>
        <v>0</v>
      </c>
      <c r="I861" s="18" t="str">
        <f aca="false">IF(H861&gt;0,IF(H861&gt;=SUMPRODUCT(MAX(($B$5:$B$2004=B861)*$H$5:$H$2004)),"Rekor",""),"")</f>
        <v/>
      </c>
      <c r="J861" s="19" t="n">
        <f aca="false">IF(A861="",0,IF(COUNTIF(A$5:A861,A861)=1,1,0))</f>
        <v>0</v>
      </c>
    </row>
    <row r="862" customFormat="false" ht="15" hidden="false" customHeight="false" outlineLevel="0" collapsed="false">
      <c r="A862" s="12"/>
      <c r="B862" s="13"/>
      <c r="C862" s="14"/>
      <c r="D862" s="14"/>
      <c r="E862" s="15"/>
      <c r="F862" s="16" t="str">
        <f aca="false">IF(OR(C862="",D862="",E862=""),"",C862*D862*E862)</f>
        <v/>
      </c>
      <c r="G862" s="17" t="str">
        <f aca="false">IF(OR(D862="",E862=""),"",E862*(1+D862/30))</f>
        <v/>
      </c>
      <c r="H862" s="19" t="n">
        <f aca="false">IF(G862="",0,G862)</f>
        <v>0</v>
      </c>
      <c r="I862" s="18" t="str">
        <f aca="false">IF(H862&gt;0,IF(H862&gt;=SUMPRODUCT(MAX(($B$5:$B$2004=B862)*$H$5:$H$2004)),"Rekor",""),"")</f>
        <v/>
      </c>
      <c r="J862" s="19" t="n">
        <f aca="false">IF(A862="",0,IF(COUNTIF(A$5:A862,A862)=1,1,0))</f>
        <v>0</v>
      </c>
    </row>
    <row r="863" customFormat="false" ht="15" hidden="false" customHeight="false" outlineLevel="0" collapsed="false">
      <c r="A863" s="12"/>
      <c r="B863" s="13"/>
      <c r="C863" s="14"/>
      <c r="D863" s="14"/>
      <c r="E863" s="15"/>
      <c r="F863" s="16" t="str">
        <f aca="false">IF(OR(C863="",D863="",E863=""),"",C863*D863*E863)</f>
        <v/>
      </c>
      <c r="G863" s="17" t="str">
        <f aca="false">IF(OR(D863="",E863=""),"",E863*(1+D863/30))</f>
        <v/>
      </c>
      <c r="H863" s="19" t="n">
        <f aca="false">IF(G863="",0,G863)</f>
        <v>0</v>
      </c>
      <c r="I863" s="18" t="str">
        <f aca="false">IF(H863&gt;0,IF(H863&gt;=SUMPRODUCT(MAX(($B$5:$B$2004=B863)*$H$5:$H$2004)),"Rekor",""),"")</f>
        <v/>
      </c>
      <c r="J863" s="19" t="n">
        <f aca="false">IF(A863="",0,IF(COUNTIF(A$5:A863,A863)=1,1,0))</f>
        <v>0</v>
      </c>
    </row>
    <row r="864" customFormat="false" ht="15" hidden="false" customHeight="false" outlineLevel="0" collapsed="false">
      <c r="A864" s="12"/>
      <c r="B864" s="13"/>
      <c r="C864" s="14"/>
      <c r="D864" s="14"/>
      <c r="E864" s="15"/>
      <c r="F864" s="16" t="str">
        <f aca="false">IF(OR(C864="",D864="",E864=""),"",C864*D864*E864)</f>
        <v/>
      </c>
      <c r="G864" s="17" t="str">
        <f aca="false">IF(OR(D864="",E864=""),"",E864*(1+D864/30))</f>
        <v/>
      </c>
      <c r="H864" s="19" t="n">
        <f aca="false">IF(G864="",0,G864)</f>
        <v>0</v>
      </c>
      <c r="I864" s="18" t="str">
        <f aca="false">IF(H864&gt;0,IF(H864&gt;=SUMPRODUCT(MAX(($B$5:$B$2004=B864)*$H$5:$H$2004)),"Rekor",""),"")</f>
        <v/>
      </c>
      <c r="J864" s="19" t="n">
        <f aca="false">IF(A864="",0,IF(COUNTIF(A$5:A864,A864)=1,1,0))</f>
        <v>0</v>
      </c>
    </row>
    <row r="865" customFormat="false" ht="15" hidden="false" customHeight="false" outlineLevel="0" collapsed="false">
      <c r="A865" s="12"/>
      <c r="B865" s="13"/>
      <c r="C865" s="14"/>
      <c r="D865" s="14"/>
      <c r="E865" s="15"/>
      <c r="F865" s="16" t="str">
        <f aca="false">IF(OR(C865="",D865="",E865=""),"",C865*D865*E865)</f>
        <v/>
      </c>
      <c r="G865" s="17" t="str">
        <f aca="false">IF(OR(D865="",E865=""),"",E865*(1+D865/30))</f>
        <v/>
      </c>
      <c r="H865" s="19" t="n">
        <f aca="false">IF(G865="",0,G865)</f>
        <v>0</v>
      </c>
      <c r="I865" s="18" t="str">
        <f aca="false">IF(H865&gt;0,IF(H865&gt;=SUMPRODUCT(MAX(($B$5:$B$2004=B865)*$H$5:$H$2004)),"Rekor",""),"")</f>
        <v/>
      </c>
      <c r="J865" s="19" t="n">
        <f aca="false">IF(A865="",0,IF(COUNTIF(A$5:A865,A865)=1,1,0))</f>
        <v>0</v>
      </c>
    </row>
    <row r="866" customFormat="false" ht="15" hidden="false" customHeight="false" outlineLevel="0" collapsed="false">
      <c r="A866" s="12"/>
      <c r="B866" s="13"/>
      <c r="C866" s="14"/>
      <c r="D866" s="14"/>
      <c r="E866" s="15"/>
      <c r="F866" s="16" t="str">
        <f aca="false">IF(OR(C866="",D866="",E866=""),"",C866*D866*E866)</f>
        <v/>
      </c>
      <c r="G866" s="17" t="str">
        <f aca="false">IF(OR(D866="",E866=""),"",E866*(1+D866/30))</f>
        <v/>
      </c>
      <c r="H866" s="19" t="n">
        <f aca="false">IF(G866="",0,G866)</f>
        <v>0</v>
      </c>
      <c r="I866" s="18" t="str">
        <f aca="false">IF(H866&gt;0,IF(H866&gt;=SUMPRODUCT(MAX(($B$5:$B$2004=B866)*$H$5:$H$2004)),"Rekor",""),"")</f>
        <v/>
      </c>
      <c r="J866" s="19" t="n">
        <f aca="false">IF(A866="",0,IF(COUNTIF(A$5:A866,A866)=1,1,0))</f>
        <v>0</v>
      </c>
    </row>
    <row r="867" customFormat="false" ht="15" hidden="false" customHeight="false" outlineLevel="0" collapsed="false">
      <c r="A867" s="12"/>
      <c r="B867" s="13"/>
      <c r="C867" s="14"/>
      <c r="D867" s="14"/>
      <c r="E867" s="15"/>
      <c r="F867" s="16" t="str">
        <f aca="false">IF(OR(C867="",D867="",E867=""),"",C867*D867*E867)</f>
        <v/>
      </c>
      <c r="G867" s="17" t="str">
        <f aca="false">IF(OR(D867="",E867=""),"",E867*(1+D867/30))</f>
        <v/>
      </c>
      <c r="H867" s="19" t="n">
        <f aca="false">IF(G867="",0,G867)</f>
        <v>0</v>
      </c>
      <c r="I867" s="18" t="str">
        <f aca="false">IF(H867&gt;0,IF(H867&gt;=SUMPRODUCT(MAX(($B$5:$B$2004=B867)*$H$5:$H$2004)),"Rekor",""),"")</f>
        <v/>
      </c>
      <c r="J867" s="19" t="n">
        <f aca="false">IF(A867="",0,IF(COUNTIF(A$5:A867,A867)=1,1,0))</f>
        <v>0</v>
      </c>
    </row>
    <row r="868" customFormat="false" ht="15" hidden="false" customHeight="false" outlineLevel="0" collapsed="false">
      <c r="A868" s="12"/>
      <c r="B868" s="13"/>
      <c r="C868" s="14"/>
      <c r="D868" s="14"/>
      <c r="E868" s="15"/>
      <c r="F868" s="16" t="str">
        <f aca="false">IF(OR(C868="",D868="",E868=""),"",C868*D868*E868)</f>
        <v/>
      </c>
      <c r="G868" s="17" t="str">
        <f aca="false">IF(OR(D868="",E868=""),"",E868*(1+D868/30))</f>
        <v/>
      </c>
      <c r="H868" s="19" t="n">
        <f aca="false">IF(G868="",0,G868)</f>
        <v>0</v>
      </c>
      <c r="I868" s="18" t="str">
        <f aca="false">IF(H868&gt;0,IF(H868&gt;=SUMPRODUCT(MAX(($B$5:$B$2004=B868)*$H$5:$H$2004)),"Rekor",""),"")</f>
        <v/>
      </c>
      <c r="J868" s="19" t="n">
        <f aca="false">IF(A868="",0,IF(COUNTIF(A$5:A868,A868)=1,1,0))</f>
        <v>0</v>
      </c>
    </row>
    <row r="869" customFormat="false" ht="15" hidden="false" customHeight="false" outlineLevel="0" collapsed="false">
      <c r="A869" s="12"/>
      <c r="B869" s="13"/>
      <c r="C869" s="14"/>
      <c r="D869" s="14"/>
      <c r="E869" s="15"/>
      <c r="F869" s="16" t="str">
        <f aca="false">IF(OR(C869="",D869="",E869=""),"",C869*D869*E869)</f>
        <v/>
      </c>
      <c r="G869" s="17" t="str">
        <f aca="false">IF(OR(D869="",E869=""),"",E869*(1+D869/30))</f>
        <v/>
      </c>
      <c r="H869" s="19" t="n">
        <f aca="false">IF(G869="",0,G869)</f>
        <v>0</v>
      </c>
      <c r="I869" s="18" t="str">
        <f aca="false">IF(H869&gt;0,IF(H869&gt;=SUMPRODUCT(MAX(($B$5:$B$2004=B869)*$H$5:$H$2004)),"Rekor",""),"")</f>
        <v/>
      </c>
      <c r="J869" s="19" t="n">
        <f aca="false">IF(A869="",0,IF(COUNTIF(A$5:A869,A869)=1,1,0))</f>
        <v>0</v>
      </c>
    </row>
    <row r="870" customFormat="false" ht="15" hidden="false" customHeight="false" outlineLevel="0" collapsed="false">
      <c r="A870" s="12"/>
      <c r="B870" s="13"/>
      <c r="C870" s="14"/>
      <c r="D870" s="14"/>
      <c r="E870" s="15"/>
      <c r="F870" s="16" t="str">
        <f aca="false">IF(OR(C870="",D870="",E870=""),"",C870*D870*E870)</f>
        <v/>
      </c>
      <c r="G870" s="17" t="str">
        <f aca="false">IF(OR(D870="",E870=""),"",E870*(1+D870/30))</f>
        <v/>
      </c>
      <c r="H870" s="19" t="n">
        <f aca="false">IF(G870="",0,G870)</f>
        <v>0</v>
      </c>
      <c r="I870" s="18" t="str">
        <f aca="false">IF(H870&gt;0,IF(H870&gt;=SUMPRODUCT(MAX(($B$5:$B$2004=B870)*$H$5:$H$2004)),"Rekor",""),"")</f>
        <v/>
      </c>
      <c r="J870" s="19" t="n">
        <f aca="false">IF(A870="",0,IF(COUNTIF(A$5:A870,A870)=1,1,0))</f>
        <v>0</v>
      </c>
    </row>
    <row r="871" customFormat="false" ht="15" hidden="false" customHeight="false" outlineLevel="0" collapsed="false">
      <c r="A871" s="12"/>
      <c r="B871" s="13"/>
      <c r="C871" s="14"/>
      <c r="D871" s="14"/>
      <c r="E871" s="15"/>
      <c r="F871" s="16" t="str">
        <f aca="false">IF(OR(C871="",D871="",E871=""),"",C871*D871*E871)</f>
        <v/>
      </c>
      <c r="G871" s="17" t="str">
        <f aca="false">IF(OR(D871="",E871=""),"",E871*(1+D871/30))</f>
        <v/>
      </c>
      <c r="H871" s="19" t="n">
        <f aca="false">IF(G871="",0,G871)</f>
        <v>0</v>
      </c>
      <c r="I871" s="18" t="str">
        <f aca="false">IF(H871&gt;0,IF(H871&gt;=SUMPRODUCT(MAX(($B$5:$B$2004=B871)*$H$5:$H$2004)),"Rekor",""),"")</f>
        <v/>
      </c>
      <c r="J871" s="19" t="n">
        <f aca="false">IF(A871="",0,IF(COUNTIF(A$5:A871,A871)=1,1,0))</f>
        <v>0</v>
      </c>
    </row>
    <row r="872" customFormat="false" ht="15" hidden="false" customHeight="false" outlineLevel="0" collapsed="false">
      <c r="A872" s="12"/>
      <c r="B872" s="13"/>
      <c r="C872" s="14"/>
      <c r="D872" s="14"/>
      <c r="E872" s="15"/>
      <c r="F872" s="16" t="str">
        <f aca="false">IF(OR(C872="",D872="",E872=""),"",C872*D872*E872)</f>
        <v/>
      </c>
      <c r="G872" s="17" t="str">
        <f aca="false">IF(OR(D872="",E872=""),"",E872*(1+D872/30))</f>
        <v/>
      </c>
      <c r="H872" s="19" t="n">
        <f aca="false">IF(G872="",0,G872)</f>
        <v>0</v>
      </c>
      <c r="I872" s="18" t="str">
        <f aca="false">IF(H872&gt;0,IF(H872&gt;=SUMPRODUCT(MAX(($B$5:$B$2004=B872)*$H$5:$H$2004)),"Rekor",""),"")</f>
        <v/>
      </c>
      <c r="J872" s="19" t="n">
        <f aca="false">IF(A872="",0,IF(COUNTIF(A$5:A872,A872)=1,1,0))</f>
        <v>0</v>
      </c>
    </row>
    <row r="873" customFormat="false" ht="15" hidden="false" customHeight="false" outlineLevel="0" collapsed="false">
      <c r="A873" s="12"/>
      <c r="B873" s="13"/>
      <c r="C873" s="14"/>
      <c r="D873" s="14"/>
      <c r="E873" s="15"/>
      <c r="F873" s="16" t="str">
        <f aca="false">IF(OR(C873="",D873="",E873=""),"",C873*D873*E873)</f>
        <v/>
      </c>
      <c r="G873" s="17" t="str">
        <f aca="false">IF(OR(D873="",E873=""),"",E873*(1+D873/30))</f>
        <v/>
      </c>
      <c r="H873" s="19" t="n">
        <f aca="false">IF(G873="",0,G873)</f>
        <v>0</v>
      </c>
      <c r="I873" s="18" t="str">
        <f aca="false">IF(H873&gt;0,IF(H873&gt;=SUMPRODUCT(MAX(($B$5:$B$2004=B873)*$H$5:$H$2004)),"Rekor",""),"")</f>
        <v/>
      </c>
      <c r="J873" s="19" t="n">
        <f aca="false">IF(A873="",0,IF(COUNTIF(A$5:A873,A873)=1,1,0))</f>
        <v>0</v>
      </c>
    </row>
    <row r="874" customFormat="false" ht="15" hidden="false" customHeight="false" outlineLevel="0" collapsed="false">
      <c r="A874" s="12"/>
      <c r="B874" s="13"/>
      <c r="C874" s="14"/>
      <c r="D874" s="14"/>
      <c r="E874" s="15"/>
      <c r="F874" s="16" t="str">
        <f aca="false">IF(OR(C874="",D874="",E874=""),"",C874*D874*E874)</f>
        <v/>
      </c>
      <c r="G874" s="17" t="str">
        <f aca="false">IF(OR(D874="",E874=""),"",E874*(1+D874/30))</f>
        <v/>
      </c>
      <c r="H874" s="19" t="n">
        <f aca="false">IF(G874="",0,G874)</f>
        <v>0</v>
      </c>
      <c r="I874" s="18" t="str">
        <f aca="false">IF(H874&gt;0,IF(H874&gt;=SUMPRODUCT(MAX(($B$5:$B$2004=B874)*$H$5:$H$2004)),"Rekor",""),"")</f>
        <v/>
      </c>
      <c r="J874" s="19" t="n">
        <f aca="false">IF(A874="",0,IF(COUNTIF(A$5:A874,A874)=1,1,0))</f>
        <v>0</v>
      </c>
    </row>
    <row r="875" customFormat="false" ht="15" hidden="false" customHeight="false" outlineLevel="0" collapsed="false">
      <c r="A875" s="12"/>
      <c r="B875" s="13"/>
      <c r="C875" s="14"/>
      <c r="D875" s="14"/>
      <c r="E875" s="15"/>
      <c r="F875" s="16" t="str">
        <f aca="false">IF(OR(C875="",D875="",E875=""),"",C875*D875*E875)</f>
        <v/>
      </c>
      <c r="G875" s="17" t="str">
        <f aca="false">IF(OR(D875="",E875=""),"",E875*(1+D875/30))</f>
        <v/>
      </c>
      <c r="H875" s="19" t="n">
        <f aca="false">IF(G875="",0,G875)</f>
        <v>0</v>
      </c>
      <c r="I875" s="18" t="str">
        <f aca="false">IF(H875&gt;0,IF(H875&gt;=SUMPRODUCT(MAX(($B$5:$B$2004=B875)*$H$5:$H$2004)),"Rekor",""),"")</f>
        <v/>
      </c>
      <c r="J875" s="19" t="n">
        <f aca="false">IF(A875="",0,IF(COUNTIF(A$5:A875,A875)=1,1,0))</f>
        <v>0</v>
      </c>
    </row>
    <row r="876" customFormat="false" ht="15" hidden="false" customHeight="false" outlineLevel="0" collapsed="false">
      <c r="A876" s="12"/>
      <c r="B876" s="13"/>
      <c r="C876" s="14"/>
      <c r="D876" s="14"/>
      <c r="E876" s="15"/>
      <c r="F876" s="16" t="str">
        <f aca="false">IF(OR(C876="",D876="",E876=""),"",C876*D876*E876)</f>
        <v/>
      </c>
      <c r="G876" s="17" t="str">
        <f aca="false">IF(OR(D876="",E876=""),"",E876*(1+D876/30))</f>
        <v/>
      </c>
      <c r="H876" s="19" t="n">
        <f aca="false">IF(G876="",0,G876)</f>
        <v>0</v>
      </c>
      <c r="I876" s="18" t="str">
        <f aca="false">IF(H876&gt;0,IF(H876&gt;=SUMPRODUCT(MAX(($B$5:$B$2004=B876)*$H$5:$H$2004)),"Rekor",""),"")</f>
        <v/>
      </c>
      <c r="J876" s="19" t="n">
        <f aca="false">IF(A876="",0,IF(COUNTIF(A$5:A876,A876)=1,1,0))</f>
        <v>0</v>
      </c>
    </row>
    <row r="877" customFormat="false" ht="15" hidden="false" customHeight="false" outlineLevel="0" collapsed="false">
      <c r="A877" s="12"/>
      <c r="B877" s="13"/>
      <c r="C877" s="14"/>
      <c r="D877" s="14"/>
      <c r="E877" s="15"/>
      <c r="F877" s="16" t="str">
        <f aca="false">IF(OR(C877="",D877="",E877=""),"",C877*D877*E877)</f>
        <v/>
      </c>
      <c r="G877" s="17" t="str">
        <f aca="false">IF(OR(D877="",E877=""),"",E877*(1+D877/30))</f>
        <v/>
      </c>
      <c r="H877" s="19" t="n">
        <f aca="false">IF(G877="",0,G877)</f>
        <v>0</v>
      </c>
      <c r="I877" s="18" t="str">
        <f aca="false">IF(H877&gt;0,IF(H877&gt;=SUMPRODUCT(MAX(($B$5:$B$2004=B877)*$H$5:$H$2004)),"Rekor",""),"")</f>
        <v/>
      </c>
      <c r="J877" s="19" t="n">
        <f aca="false">IF(A877="",0,IF(COUNTIF(A$5:A877,A877)=1,1,0))</f>
        <v>0</v>
      </c>
    </row>
    <row r="878" customFormat="false" ht="15" hidden="false" customHeight="false" outlineLevel="0" collapsed="false">
      <c r="A878" s="12"/>
      <c r="B878" s="13"/>
      <c r="C878" s="14"/>
      <c r="D878" s="14"/>
      <c r="E878" s="15"/>
      <c r="F878" s="16" t="str">
        <f aca="false">IF(OR(C878="",D878="",E878=""),"",C878*D878*E878)</f>
        <v/>
      </c>
      <c r="G878" s="17" t="str">
        <f aca="false">IF(OR(D878="",E878=""),"",E878*(1+D878/30))</f>
        <v/>
      </c>
      <c r="H878" s="19" t="n">
        <f aca="false">IF(G878="",0,G878)</f>
        <v>0</v>
      </c>
      <c r="I878" s="18" t="str">
        <f aca="false">IF(H878&gt;0,IF(H878&gt;=SUMPRODUCT(MAX(($B$5:$B$2004=B878)*$H$5:$H$2004)),"Rekor",""),"")</f>
        <v/>
      </c>
      <c r="J878" s="19" t="n">
        <f aca="false">IF(A878="",0,IF(COUNTIF(A$5:A878,A878)=1,1,0))</f>
        <v>0</v>
      </c>
    </row>
    <row r="879" customFormat="false" ht="15" hidden="false" customHeight="false" outlineLevel="0" collapsed="false">
      <c r="A879" s="12"/>
      <c r="B879" s="13"/>
      <c r="C879" s="14"/>
      <c r="D879" s="14"/>
      <c r="E879" s="15"/>
      <c r="F879" s="16" t="str">
        <f aca="false">IF(OR(C879="",D879="",E879=""),"",C879*D879*E879)</f>
        <v/>
      </c>
      <c r="G879" s="17" t="str">
        <f aca="false">IF(OR(D879="",E879=""),"",E879*(1+D879/30))</f>
        <v/>
      </c>
      <c r="H879" s="19" t="n">
        <f aca="false">IF(G879="",0,G879)</f>
        <v>0</v>
      </c>
      <c r="I879" s="18" t="str">
        <f aca="false">IF(H879&gt;0,IF(H879&gt;=SUMPRODUCT(MAX(($B$5:$B$2004=B879)*$H$5:$H$2004)),"Rekor",""),"")</f>
        <v/>
      </c>
      <c r="J879" s="19" t="n">
        <f aca="false">IF(A879="",0,IF(COUNTIF(A$5:A879,A879)=1,1,0))</f>
        <v>0</v>
      </c>
    </row>
    <row r="880" customFormat="false" ht="15" hidden="false" customHeight="false" outlineLevel="0" collapsed="false">
      <c r="A880" s="12"/>
      <c r="B880" s="13"/>
      <c r="C880" s="14"/>
      <c r="D880" s="14"/>
      <c r="E880" s="15"/>
      <c r="F880" s="16" t="str">
        <f aca="false">IF(OR(C880="",D880="",E880=""),"",C880*D880*E880)</f>
        <v/>
      </c>
      <c r="G880" s="17" t="str">
        <f aca="false">IF(OR(D880="",E880=""),"",E880*(1+D880/30))</f>
        <v/>
      </c>
      <c r="H880" s="19" t="n">
        <f aca="false">IF(G880="",0,G880)</f>
        <v>0</v>
      </c>
      <c r="I880" s="18" t="str">
        <f aca="false">IF(H880&gt;0,IF(H880&gt;=SUMPRODUCT(MAX(($B$5:$B$2004=B880)*$H$5:$H$2004)),"Rekor",""),"")</f>
        <v/>
      </c>
      <c r="J880" s="19" t="n">
        <f aca="false">IF(A880="",0,IF(COUNTIF(A$5:A880,A880)=1,1,0))</f>
        <v>0</v>
      </c>
    </row>
    <row r="881" customFormat="false" ht="15" hidden="false" customHeight="false" outlineLevel="0" collapsed="false">
      <c r="A881" s="12"/>
      <c r="B881" s="13"/>
      <c r="C881" s="14"/>
      <c r="D881" s="14"/>
      <c r="E881" s="15"/>
      <c r="F881" s="16" t="str">
        <f aca="false">IF(OR(C881="",D881="",E881=""),"",C881*D881*E881)</f>
        <v/>
      </c>
      <c r="G881" s="17" t="str">
        <f aca="false">IF(OR(D881="",E881=""),"",E881*(1+D881/30))</f>
        <v/>
      </c>
      <c r="H881" s="19" t="n">
        <f aca="false">IF(G881="",0,G881)</f>
        <v>0</v>
      </c>
      <c r="I881" s="18" t="str">
        <f aca="false">IF(H881&gt;0,IF(H881&gt;=SUMPRODUCT(MAX(($B$5:$B$2004=B881)*$H$5:$H$2004)),"Rekor",""),"")</f>
        <v/>
      </c>
      <c r="J881" s="19" t="n">
        <f aca="false">IF(A881="",0,IF(COUNTIF(A$5:A881,A881)=1,1,0))</f>
        <v>0</v>
      </c>
    </row>
    <row r="882" customFormat="false" ht="15" hidden="false" customHeight="false" outlineLevel="0" collapsed="false">
      <c r="A882" s="12"/>
      <c r="B882" s="13"/>
      <c r="C882" s="14"/>
      <c r="D882" s="14"/>
      <c r="E882" s="15"/>
      <c r="F882" s="16" t="str">
        <f aca="false">IF(OR(C882="",D882="",E882=""),"",C882*D882*E882)</f>
        <v/>
      </c>
      <c r="G882" s="17" t="str">
        <f aca="false">IF(OR(D882="",E882=""),"",E882*(1+D882/30))</f>
        <v/>
      </c>
      <c r="H882" s="19" t="n">
        <f aca="false">IF(G882="",0,G882)</f>
        <v>0</v>
      </c>
      <c r="I882" s="18" t="str">
        <f aca="false">IF(H882&gt;0,IF(H882&gt;=SUMPRODUCT(MAX(($B$5:$B$2004=B882)*$H$5:$H$2004)),"Rekor",""),"")</f>
        <v/>
      </c>
      <c r="J882" s="19" t="n">
        <f aca="false">IF(A882="",0,IF(COUNTIF(A$5:A882,A882)=1,1,0))</f>
        <v>0</v>
      </c>
    </row>
    <row r="883" customFormat="false" ht="15" hidden="false" customHeight="false" outlineLevel="0" collapsed="false">
      <c r="A883" s="12"/>
      <c r="B883" s="13"/>
      <c r="C883" s="14"/>
      <c r="D883" s="14"/>
      <c r="E883" s="15"/>
      <c r="F883" s="16" t="str">
        <f aca="false">IF(OR(C883="",D883="",E883=""),"",C883*D883*E883)</f>
        <v/>
      </c>
      <c r="G883" s="17" t="str">
        <f aca="false">IF(OR(D883="",E883=""),"",E883*(1+D883/30))</f>
        <v/>
      </c>
      <c r="H883" s="19" t="n">
        <f aca="false">IF(G883="",0,G883)</f>
        <v>0</v>
      </c>
      <c r="I883" s="18" t="str">
        <f aca="false">IF(H883&gt;0,IF(H883&gt;=SUMPRODUCT(MAX(($B$5:$B$2004=B883)*$H$5:$H$2004)),"Rekor",""),"")</f>
        <v/>
      </c>
      <c r="J883" s="19" t="n">
        <f aca="false">IF(A883="",0,IF(COUNTIF(A$5:A883,A883)=1,1,0))</f>
        <v>0</v>
      </c>
    </row>
    <row r="884" customFormat="false" ht="15" hidden="false" customHeight="false" outlineLevel="0" collapsed="false">
      <c r="A884" s="12"/>
      <c r="B884" s="13"/>
      <c r="C884" s="14"/>
      <c r="D884" s="14"/>
      <c r="E884" s="15"/>
      <c r="F884" s="16" t="str">
        <f aca="false">IF(OR(C884="",D884="",E884=""),"",C884*D884*E884)</f>
        <v/>
      </c>
      <c r="G884" s="17" t="str">
        <f aca="false">IF(OR(D884="",E884=""),"",E884*(1+D884/30))</f>
        <v/>
      </c>
      <c r="H884" s="19" t="n">
        <f aca="false">IF(G884="",0,G884)</f>
        <v>0</v>
      </c>
      <c r="I884" s="18" t="str">
        <f aca="false">IF(H884&gt;0,IF(H884&gt;=SUMPRODUCT(MAX(($B$5:$B$2004=B884)*$H$5:$H$2004)),"Rekor",""),"")</f>
        <v/>
      </c>
      <c r="J884" s="19" t="n">
        <f aca="false">IF(A884="",0,IF(COUNTIF(A$5:A884,A884)=1,1,0))</f>
        <v>0</v>
      </c>
    </row>
    <row r="885" customFormat="false" ht="15" hidden="false" customHeight="false" outlineLevel="0" collapsed="false">
      <c r="A885" s="12"/>
      <c r="B885" s="13"/>
      <c r="C885" s="14"/>
      <c r="D885" s="14"/>
      <c r="E885" s="15"/>
      <c r="F885" s="16" t="str">
        <f aca="false">IF(OR(C885="",D885="",E885=""),"",C885*D885*E885)</f>
        <v/>
      </c>
      <c r="G885" s="17" t="str">
        <f aca="false">IF(OR(D885="",E885=""),"",E885*(1+D885/30))</f>
        <v/>
      </c>
      <c r="H885" s="19" t="n">
        <f aca="false">IF(G885="",0,G885)</f>
        <v>0</v>
      </c>
      <c r="I885" s="18" t="str">
        <f aca="false">IF(H885&gt;0,IF(H885&gt;=SUMPRODUCT(MAX(($B$5:$B$2004=B885)*$H$5:$H$2004)),"Rekor",""),"")</f>
        <v/>
      </c>
      <c r="J885" s="19" t="n">
        <f aca="false">IF(A885="",0,IF(COUNTIF(A$5:A885,A885)=1,1,0))</f>
        <v>0</v>
      </c>
    </row>
    <row r="886" customFormat="false" ht="15" hidden="false" customHeight="false" outlineLevel="0" collapsed="false">
      <c r="A886" s="12"/>
      <c r="B886" s="13"/>
      <c r="C886" s="14"/>
      <c r="D886" s="14"/>
      <c r="E886" s="15"/>
      <c r="F886" s="16" t="str">
        <f aca="false">IF(OR(C886="",D886="",E886=""),"",C886*D886*E886)</f>
        <v/>
      </c>
      <c r="G886" s="17" t="str">
        <f aca="false">IF(OR(D886="",E886=""),"",E886*(1+D886/30))</f>
        <v/>
      </c>
      <c r="H886" s="19" t="n">
        <f aca="false">IF(G886="",0,G886)</f>
        <v>0</v>
      </c>
      <c r="I886" s="18" t="str">
        <f aca="false">IF(H886&gt;0,IF(H886&gt;=SUMPRODUCT(MAX(($B$5:$B$2004=B886)*$H$5:$H$2004)),"Rekor",""),"")</f>
        <v/>
      </c>
      <c r="J886" s="19" t="n">
        <f aca="false">IF(A886="",0,IF(COUNTIF(A$5:A886,A886)=1,1,0))</f>
        <v>0</v>
      </c>
    </row>
    <row r="887" customFormat="false" ht="15" hidden="false" customHeight="false" outlineLevel="0" collapsed="false">
      <c r="A887" s="12"/>
      <c r="B887" s="13"/>
      <c r="C887" s="14"/>
      <c r="D887" s="14"/>
      <c r="E887" s="15"/>
      <c r="F887" s="16" t="str">
        <f aca="false">IF(OR(C887="",D887="",E887=""),"",C887*D887*E887)</f>
        <v/>
      </c>
      <c r="G887" s="17" t="str">
        <f aca="false">IF(OR(D887="",E887=""),"",E887*(1+D887/30))</f>
        <v/>
      </c>
      <c r="H887" s="19" t="n">
        <f aca="false">IF(G887="",0,G887)</f>
        <v>0</v>
      </c>
      <c r="I887" s="18" t="str">
        <f aca="false">IF(H887&gt;0,IF(H887&gt;=SUMPRODUCT(MAX(($B$5:$B$2004=B887)*$H$5:$H$2004)),"Rekor",""),"")</f>
        <v/>
      </c>
      <c r="J887" s="19" t="n">
        <f aca="false">IF(A887="",0,IF(COUNTIF(A$5:A887,A887)=1,1,0))</f>
        <v>0</v>
      </c>
    </row>
    <row r="888" customFormat="false" ht="15" hidden="false" customHeight="false" outlineLevel="0" collapsed="false">
      <c r="A888" s="12"/>
      <c r="B888" s="13"/>
      <c r="C888" s="14"/>
      <c r="D888" s="14"/>
      <c r="E888" s="15"/>
      <c r="F888" s="16" t="str">
        <f aca="false">IF(OR(C888="",D888="",E888=""),"",C888*D888*E888)</f>
        <v/>
      </c>
      <c r="G888" s="17" t="str">
        <f aca="false">IF(OR(D888="",E888=""),"",E888*(1+D888/30))</f>
        <v/>
      </c>
      <c r="H888" s="19" t="n">
        <f aca="false">IF(G888="",0,G888)</f>
        <v>0</v>
      </c>
      <c r="I888" s="18" t="str">
        <f aca="false">IF(H888&gt;0,IF(H888&gt;=SUMPRODUCT(MAX(($B$5:$B$2004=B888)*$H$5:$H$2004)),"Rekor",""),"")</f>
        <v/>
      </c>
      <c r="J888" s="19" t="n">
        <f aca="false">IF(A888="",0,IF(COUNTIF(A$5:A888,A888)=1,1,0))</f>
        <v>0</v>
      </c>
    </row>
    <row r="889" customFormat="false" ht="15" hidden="false" customHeight="false" outlineLevel="0" collapsed="false">
      <c r="A889" s="12"/>
      <c r="B889" s="13"/>
      <c r="C889" s="14"/>
      <c r="D889" s="14"/>
      <c r="E889" s="15"/>
      <c r="F889" s="16" t="str">
        <f aca="false">IF(OR(C889="",D889="",E889=""),"",C889*D889*E889)</f>
        <v/>
      </c>
      <c r="G889" s="17" t="str">
        <f aca="false">IF(OR(D889="",E889=""),"",E889*(1+D889/30))</f>
        <v/>
      </c>
      <c r="H889" s="19" t="n">
        <f aca="false">IF(G889="",0,G889)</f>
        <v>0</v>
      </c>
      <c r="I889" s="18" t="str">
        <f aca="false">IF(H889&gt;0,IF(H889&gt;=SUMPRODUCT(MAX(($B$5:$B$2004=B889)*$H$5:$H$2004)),"Rekor",""),"")</f>
        <v/>
      </c>
      <c r="J889" s="19" t="n">
        <f aca="false">IF(A889="",0,IF(COUNTIF(A$5:A889,A889)=1,1,0))</f>
        <v>0</v>
      </c>
    </row>
    <row r="890" customFormat="false" ht="15" hidden="false" customHeight="false" outlineLevel="0" collapsed="false">
      <c r="A890" s="12"/>
      <c r="B890" s="13"/>
      <c r="C890" s="14"/>
      <c r="D890" s="14"/>
      <c r="E890" s="15"/>
      <c r="F890" s="16" t="str">
        <f aca="false">IF(OR(C890="",D890="",E890=""),"",C890*D890*E890)</f>
        <v/>
      </c>
      <c r="G890" s="17" t="str">
        <f aca="false">IF(OR(D890="",E890=""),"",E890*(1+D890/30))</f>
        <v/>
      </c>
      <c r="H890" s="19" t="n">
        <f aca="false">IF(G890="",0,G890)</f>
        <v>0</v>
      </c>
      <c r="I890" s="18" t="str">
        <f aca="false">IF(H890&gt;0,IF(H890&gt;=SUMPRODUCT(MAX(($B$5:$B$2004=B890)*$H$5:$H$2004)),"Rekor",""),"")</f>
        <v/>
      </c>
      <c r="J890" s="19" t="n">
        <f aca="false">IF(A890="",0,IF(COUNTIF(A$5:A890,A890)=1,1,0))</f>
        <v>0</v>
      </c>
    </row>
    <row r="891" customFormat="false" ht="15" hidden="false" customHeight="false" outlineLevel="0" collapsed="false">
      <c r="A891" s="12"/>
      <c r="B891" s="13"/>
      <c r="C891" s="14"/>
      <c r="D891" s="14"/>
      <c r="E891" s="15"/>
      <c r="F891" s="16" t="str">
        <f aca="false">IF(OR(C891="",D891="",E891=""),"",C891*D891*E891)</f>
        <v/>
      </c>
      <c r="G891" s="17" t="str">
        <f aca="false">IF(OR(D891="",E891=""),"",E891*(1+D891/30))</f>
        <v/>
      </c>
      <c r="H891" s="19" t="n">
        <f aca="false">IF(G891="",0,G891)</f>
        <v>0</v>
      </c>
      <c r="I891" s="18" t="str">
        <f aca="false">IF(H891&gt;0,IF(H891&gt;=SUMPRODUCT(MAX(($B$5:$B$2004=B891)*$H$5:$H$2004)),"Rekor",""),"")</f>
        <v/>
      </c>
      <c r="J891" s="19" t="n">
        <f aca="false">IF(A891="",0,IF(COUNTIF(A$5:A891,A891)=1,1,0))</f>
        <v>0</v>
      </c>
    </row>
    <row r="892" customFormat="false" ht="15" hidden="false" customHeight="false" outlineLevel="0" collapsed="false">
      <c r="A892" s="12"/>
      <c r="B892" s="13"/>
      <c r="C892" s="14"/>
      <c r="D892" s="14"/>
      <c r="E892" s="15"/>
      <c r="F892" s="16" t="str">
        <f aca="false">IF(OR(C892="",D892="",E892=""),"",C892*D892*E892)</f>
        <v/>
      </c>
      <c r="G892" s="17" t="str">
        <f aca="false">IF(OR(D892="",E892=""),"",E892*(1+D892/30))</f>
        <v/>
      </c>
      <c r="H892" s="19" t="n">
        <f aca="false">IF(G892="",0,G892)</f>
        <v>0</v>
      </c>
      <c r="I892" s="18" t="str">
        <f aca="false">IF(H892&gt;0,IF(H892&gt;=SUMPRODUCT(MAX(($B$5:$B$2004=B892)*$H$5:$H$2004)),"Rekor",""),"")</f>
        <v/>
      </c>
      <c r="J892" s="19" t="n">
        <f aca="false">IF(A892="",0,IF(COUNTIF(A$5:A892,A892)=1,1,0))</f>
        <v>0</v>
      </c>
    </row>
    <row r="893" customFormat="false" ht="15" hidden="false" customHeight="false" outlineLevel="0" collapsed="false">
      <c r="A893" s="12"/>
      <c r="B893" s="13"/>
      <c r="C893" s="14"/>
      <c r="D893" s="14"/>
      <c r="E893" s="15"/>
      <c r="F893" s="16" t="str">
        <f aca="false">IF(OR(C893="",D893="",E893=""),"",C893*D893*E893)</f>
        <v/>
      </c>
      <c r="G893" s="17" t="str">
        <f aca="false">IF(OR(D893="",E893=""),"",E893*(1+D893/30))</f>
        <v/>
      </c>
      <c r="H893" s="19" t="n">
        <f aca="false">IF(G893="",0,G893)</f>
        <v>0</v>
      </c>
      <c r="I893" s="18" t="str">
        <f aca="false">IF(H893&gt;0,IF(H893&gt;=SUMPRODUCT(MAX(($B$5:$B$2004=B893)*$H$5:$H$2004)),"Rekor",""),"")</f>
        <v/>
      </c>
      <c r="J893" s="19" t="n">
        <f aca="false">IF(A893="",0,IF(COUNTIF(A$5:A893,A893)=1,1,0))</f>
        <v>0</v>
      </c>
    </row>
    <row r="894" customFormat="false" ht="15" hidden="false" customHeight="false" outlineLevel="0" collapsed="false">
      <c r="A894" s="12"/>
      <c r="B894" s="13"/>
      <c r="C894" s="14"/>
      <c r="D894" s="14"/>
      <c r="E894" s="15"/>
      <c r="F894" s="16" t="str">
        <f aca="false">IF(OR(C894="",D894="",E894=""),"",C894*D894*E894)</f>
        <v/>
      </c>
      <c r="G894" s="17" t="str">
        <f aca="false">IF(OR(D894="",E894=""),"",E894*(1+D894/30))</f>
        <v/>
      </c>
      <c r="H894" s="19" t="n">
        <f aca="false">IF(G894="",0,G894)</f>
        <v>0</v>
      </c>
      <c r="I894" s="18" t="str">
        <f aca="false">IF(H894&gt;0,IF(H894&gt;=SUMPRODUCT(MAX(($B$5:$B$2004=B894)*$H$5:$H$2004)),"Rekor",""),"")</f>
        <v/>
      </c>
      <c r="J894" s="19" t="n">
        <f aca="false">IF(A894="",0,IF(COUNTIF(A$5:A894,A894)=1,1,0))</f>
        <v>0</v>
      </c>
    </row>
    <row r="895" customFormat="false" ht="15" hidden="false" customHeight="false" outlineLevel="0" collapsed="false">
      <c r="A895" s="12"/>
      <c r="B895" s="13"/>
      <c r="C895" s="14"/>
      <c r="D895" s="14"/>
      <c r="E895" s="15"/>
      <c r="F895" s="16" t="str">
        <f aca="false">IF(OR(C895="",D895="",E895=""),"",C895*D895*E895)</f>
        <v/>
      </c>
      <c r="G895" s="17" t="str">
        <f aca="false">IF(OR(D895="",E895=""),"",E895*(1+D895/30))</f>
        <v/>
      </c>
      <c r="H895" s="19" t="n">
        <f aca="false">IF(G895="",0,G895)</f>
        <v>0</v>
      </c>
      <c r="I895" s="18" t="str">
        <f aca="false">IF(H895&gt;0,IF(H895&gt;=SUMPRODUCT(MAX(($B$5:$B$2004=B895)*$H$5:$H$2004)),"Rekor",""),"")</f>
        <v/>
      </c>
      <c r="J895" s="19" t="n">
        <f aca="false">IF(A895="",0,IF(COUNTIF(A$5:A895,A895)=1,1,0))</f>
        <v>0</v>
      </c>
    </row>
    <row r="896" customFormat="false" ht="15" hidden="false" customHeight="false" outlineLevel="0" collapsed="false">
      <c r="A896" s="12"/>
      <c r="B896" s="13"/>
      <c r="C896" s="14"/>
      <c r="D896" s="14"/>
      <c r="E896" s="15"/>
      <c r="F896" s="16" t="str">
        <f aca="false">IF(OR(C896="",D896="",E896=""),"",C896*D896*E896)</f>
        <v/>
      </c>
      <c r="G896" s="17" t="str">
        <f aca="false">IF(OR(D896="",E896=""),"",E896*(1+D896/30))</f>
        <v/>
      </c>
      <c r="H896" s="19" t="n">
        <f aca="false">IF(G896="",0,G896)</f>
        <v>0</v>
      </c>
      <c r="I896" s="18" t="str">
        <f aca="false">IF(H896&gt;0,IF(H896&gt;=SUMPRODUCT(MAX(($B$5:$B$2004=B896)*$H$5:$H$2004)),"Rekor",""),"")</f>
        <v/>
      </c>
      <c r="J896" s="19" t="n">
        <f aca="false">IF(A896="",0,IF(COUNTIF(A$5:A896,A896)=1,1,0))</f>
        <v>0</v>
      </c>
    </row>
    <row r="897" customFormat="false" ht="15" hidden="false" customHeight="false" outlineLevel="0" collapsed="false">
      <c r="A897" s="12"/>
      <c r="B897" s="13"/>
      <c r="C897" s="14"/>
      <c r="D897" s="14"/>
      <c r="E897" s="15"/>
      <c r="F897" s="16" t="str">
        <f aca="false">IF(OR(C897="",D897="",E897=""),"",C897*D897*E897)</f>
        <v/>
      </c>
      <c r="G897" s="17" t="str">
        <f aca="false">IF(OR(D897="",E897=""),"",E897*(1+D897/30))</f>
        <v/>
      </c>
      <c r="H897" s="19" t="n">
        <f aca="false">IF(G897="",0,G897)</f>
        <v>0</v>
      </c>
      <c r="I897" s="18" t="str">
        <f aca="false">IF(H897&gt;0,IF(H897&gt;=SUMPRODUCT(MAX(($B$5:$B$2004=B897)*$H$5:$H$2004)),"Rekor",""),"")</f>
        <v/>
      </c>
      <c r="J897" s="19" t="n">
        <f aca="false">IF(A897="",0,IF(COUNTIF(A$5:A897,A897)=1,1,0))</f>
        <v>0</v>
      </c>
    </row>
    <row r="898" customFormat="false" ht="15" hidden="false" customHeight="false" outlineLevel="0" collapsed="false">
      <c r="A898" s="12"/>
      <c r="B898" s="13"/>
      <c r="C898" s="14"/>
      <c r="D898" s="14"/>
      <c r="E898" s="15"/>
      <c r="F898" s="16" t="str">
        <f aca="false">IF(OR(C898="",D898="",E898=""),"",C898*D898*E898)</f>
        <v/>
      </c>
      <c r="G898" s="17" t="str">
        <f aca="false">IF(OR(D898="",E898=""),"",E898*(1+D898/30))</f>
        <v/>
      </c>
      <c r="H898" s="19" t="n">
        <f aca="false">IF(G898="",0,G898)</f>
        <v>0</v>
      </c>
      <c r="I898" s="18" t="str">
        <f aca="false">IF(H898&gt;0,IF(H898&gt;=SUMPRODUCT(MAX(($B$5:$B$2004=B898)*$H$5:$H$2004)),"Rekor",""),"")</f>
        <v/>
      </c>
      <c r="J898" s="19" t="n">
        <f aca="false">IF(A898="",0,IF(COUNTIF(A$5:A898,A898)=1,1,0))</f>
        <v>0</v>
      </c>
    </row>
    <row r="899" customFormat="false" ht="15" hidden="false" customHeight="false" outlineLevel="0" collapsed="false">
      <c r="A899" s="12"/>
      <c r="B899" s="13"/>
      <c r="C899" s="14"/>
      <c r="D899" s="14"/>
      <c r="E899" s="15"/>
      <c r="F899" s="16" t="str">
        <f aca="false">IF(OR(C899="",D899="",E899=""),"",C899*D899*E899)</f>
        <v/>
      </c>
      <c r="G899" s="17" t="str">
        <f aca="false">IF(OR(D899="",E899=""),"",E899*(1+D899/30))</f>
        <v/>
      </c>
      <c r="H899" s="19" t="n">
        <f aca="false">IF(G899="",0,G899)</f>
        <v>0</v>
      </c>
      <c r="I899" s="18" t="str">
        <f aca="false">IF(H899&gt;0,IF(H899&gt;=SUMPRODUCT(MAX(($B$5:$B$2004=B899)*$H$5:$H$2004)),"Rekor",""),"")</f>
        <v/>
      </c>
      <c r="J899" s="19" t="n">
        <f aca="false">IF(A899="",0,IF(COUNTIF(A$5:A899,A899)=1,1,0))</f>
        <v>0</v>
      </c>
    </row>
    <row r="900" customFormat="false" ht="15" hidden="false" customHeight="false" outlineLevel="0" collapsed="false">
      <c r="A900" s="12"/>
      <c r="B900" s="13"/>
      <c r="C900" s="14"/>
      <c r="D900" s="14"/>
      <c r="E900" s="15"/>
      <c r="F900" s="16" t="str">
        <f aca="false">IF(OR(C900="",D900="",E900=""),"",C900*D900*E900)</f>
        <v/>
      </c>
      <c r="G900" s="17" t="str">
        <f aca="false">IF(OR(D900="",E900=""),"",E900*(1+D900/30))</f>
        <v/>
      </c>
      <c r="H900" s="19" t="n">
        <f aca="false">IF(G900="",0,G900)</f>
        <v>0</v>
      </c>
      <c r="I900" s="18" t="str">
        <f aca="false">IF(H900&gt;0,IF(H900&gt;=SUMPRODUCT(MAX(($B$5:$B$2004=B900)*$H$5:$H$2004)),"Rekor",""),"")</f>
        <v/>
      </c>
      <c r="J900" s="19" t="n">
        <f aca="false">IF(A900="",0,IF(COUNTIF(A$5:A900,A900)=1,1,0))</f>
        <v>0</v>
      </c>
    </row>
    <row r="901" customFormat="false" ht="15" hidden="false" customHeight="false" outlineLevel="0" collapsed="false">
      <c r="A901" s="12"/>
      <c r="B901" s="13"/>
      <c r="C901" s="14"/>
      <c r="D901" s="14"/>
      <c r="E901" s="15"/>
      <c r="F901" s="16" t="str">
        <f aca="false">IF(OR(C901="",D901="",E901=""),"",C901*D901*E901)</f>
        <v/>
      </c>
      <c r="G901" s="17" t="str">
        <f aca="false">IF(OR(D901="",E901=""),"",E901*(1+D901/30))</f>
        <v/>
      </c>
      <c r="H901" s="19" t="n">
        <f aca="false">IF(G901="",0,G901)</f>
        <v>0</v>
      </c>
      <c r="I901" s="18" t="str">
        <f aca="false">IF(H901&gt;0,IF(H901&gt;=SUMPRODUCT(MAX(($B$5:$B$2004=B901)*$H$5:$H$2004)),"Rekor",""),"")</f>
        <v/>
      </c>
      <c r="J901" s="19" t="n">
        <f aca="false">IF(A901="",0,IF(COUNTIF(A$5:A901,A901)=1,1,0))</f>
        <v>0</v>
      </c>
    </row>
    <row r="902" customFormat="false" ht="15" hidden="false" customHeight="false" outlineLevel="0" collapsed="false">
      <c r="A902" s="12"/>
      <c r="B902" s="13"/>
      <c r="C902" s="14"/>
      <c r="D902" s="14"/>
      <c r="E902" s="15"/>
      <c r="F902" s="16" t="str">
        <f aca="false">IF(OR(C902="",D902="",E902=""),"",C902*D902*E902)</f>
        <v/>
      </c>
      <c r="G902" s="17" t="str">
        <f aca="false">IF(OR(D902="",E902=""),"",E902*(1+D902/30))</f>
        <v/>
      </c>
      <c r="H902" s="19" t="n">
        <f aca="false">IF(G902="",0,G902)</f>
        <v>0</v>
      </c>
      <c r="I902" s="18" t="str">
        <f aca="false">IF(H902&gt;0,IF(H902&gt;=SUMPRODUCT(MAX(($B$5:$B$2004=B902)*$H$5:$H$2004)),"Rekor",""),"")</f>
        <v/>
      </c>
      <c r="J902" s="19" t="n">
        <f aca="false">IF(A902="",0,IF(COUNTIF(A$5:A902,A902)=1,1,0))</f>
        <v>0</v>
      </c>
    </row>
    <row r="903" customFormat="false" ht="15" hidden="false" customHeight="false" outlineLevel="0" collapsed="false">
      <c r="A903" s="12"/>
      <c r="B903" s="13"/>
      <c r="C903" s="14"/>
      <c r="D903" s="14"/>
      <c r="E903" s="15"/>
      <c r="F903" s="16" t="str">
        <f aca="false">IF(OR(C903="",D903="",E903=""),"",C903*D903*E903)</f>
        <v/>
      </c>
      <c r="G903" s="17" t="str">
        <f aca="false">IF(OR(D903="",E903=""),"",E903*(1+D903/30))</f>
        <v/>
      </c>
      <c r="H903" s="19" t="n">
        <f aca="false">IF(G903="",0,G903)</f>
        <v>0</v>
      </c>
      <c r="I903" s="18" t="str">
        <f aca="false">IF(H903&gt;0,IF(H903&gt;=SUMPRODUCT(MAX(($B$5:$B$2004=B903)*$H$5:$H$2004)),"Rekor",""),"")</f>
        <v/>
      </c>
      <c r="J903" s="19" t="n">
        <f aca="false">IF(A903="",0,IF(COUNTIF(A$5:A903,A903)=1,1,0))</f>
        <v>0</v>
      </c>
    </row>
    <row r="904" customFormat="false" ht="15" hidden="false" customHeight="false" outlineLevel="0" collapsed="false">
      <c r="A904" s="12"/>
      <c r="B904" s="13"/>
      <c r="C904" s="14"/>
      <c r="D904" s="14"/>
      <c r="E904" s="15"/>
      <c r="F904" s="16" t="str">
        <f aca="false">IF(OR(C904="",D904="",E904=""),"",C904*D904*E904)</f>
        <v/>
      </c>
      <c r="G904" s="17" t="str">
        <f aca="false">IF(OR(D904="",E904=""),"",E904*(1+D904/30))</f>
        <v/>
      </c>
      <c r="H904" s="19" t="n">
        <f aca="false">IF(G904="",0,G904)</f>
        <v>0</v>
      </c>
      <c r="I904" s="18" t="str">
        <f aca="false">IF(H904&gt;0,IF(H904&gt;=SUMPRODUCT(MAX(($B$5:$B$2004=B904)*$H$5:$H$2004)),"Rekor",""),"")</f>
        <v/>
      </c>
      <c r="J904" s="19" t="n">
        <f aca="false">IF(A904="",0,IF(COUNTIF(A$5:A904,A904)=1,1,0))</f>
        <v>0</v>
      </c>
    </row>
    <row r="905" customFormat="false" ht="15" hidden="false" customHeight="false" outlineLevel="0" collapsed="false">
      <c r="A905" s="12"/>
      <c r="B905" s="13"/>
      <c r="C905" s="14"/>
      <c r="D905" s="14"/>
      <c r="E905" s="15"/>
      <c r="F905" s="16" t="str">
        <f aca="false">IF(OR(C905="",D905="",E905=""),"",C905*D905*E905)</f>
        <v/>
      </c>
      <c r="G905" s="17" t="str">
        <f aca="false">IF(OR(D905="",E905=""),"",E905*(1+D905/30))</f>
        <v/>
      </c>
      <c r="H905" s="19" t="n">
        <f aca="false">IF(G905="",0,G905)</f>
        <v>0</v>
      </c>
      <c r="I905" s="18" t="str">
        <f aca="false">IF(H905&gt;0,IF(H905&gt;=SUMPRODUCT(MAX(($B$5:$B$2004=B905)*$H$5:$H$2004)),"Rekor",""),"")</f>
        <v/>
      </c>
      <c r="J905" s="19" t="n">
        <f aca="false">IF(A905="",0,IF(COUNTIF(A$5:A905,A905)=1,1,0))</f>
        <v>0</v>
      </c>
    </row>
    <row r="906" customFormat="false" ht="15" hidden="false" customHeight="false" outlineLevel="0" collapsed="false">
      <c r="A906" s="12"/>
      <c r="B906" s="13"/>
      <c r="C906" s="14"/>
      <c r="D906" s="14"/>
      <c r="E906" s="15"/>
      <c r="F906" s="16" t="str">
        <f aca="false">IF(OR(C906="",D906="",E906=""),"",C906*D906*E906)</f>
        <v/>
      </c>
      <c r="G906" s="17" t="str">
        <f aca="false">IF(OR(D906="",E906=""),"",E906*(1+D906/30))</f>
        <v/>
      </c>
      <c r="H906" s="19" t="n">
        <f aca="false">IF(G906="",0,G906)</f>
        <v>0</v>
      </c>
      <c r="I906" s="18" t="str">
        <f aca="false">IF(H906&gt;0,IF(H906&gt;=SUMPRODUCT(MAX(($B$5:$B$2004=B906)*$H$5:$H$2004)),"Rekor",""),"")</f>
        <v/>
      </c>
      <c r="J906" s="19" t="n">
        <f aca="false">IF(A906="",0,IF(COUNTIF(A$5:A906,A906)=1,1,0))</f>
        <v>0</v>
      </c>
    </row>
    <row r="907" customFormat="false" ht="15" hidden="false" customHeight="false" outlineLevel="0" collapsed="false">
      <c r="A907" s="12"/>
      <c r="B907" s="13"/>
      <c r="C907" s="14"/>
      <c r="D907" s="14"/>
      <c r="E907" s="15"/>
      <c r="F907" s="16" t="str">
        <f aca="false">IF(OR(C907="",D907="",E907=""),"",C907*D907*E907)</f>
        <v/>
      </c>
      <c r="G907" s="17" t="str">
        <f aca="false">IF(OR(D907="",E907=""),"",E907*(1+D907/30))</f>
        <v/>
      </c>
      <c r="H907" s="19" t="n">
        <f aca="false">IF(G907="",0,G907)</f>
        <v>0</v>
      </c>
      <c r="I907" s="18" t="str">
        <f aca="false">IF(H907&gt;0,IF(H907&gt;=SUMPRODUCT(MAX(($B$5:$B$2004=B907)*$H$5:$H$2004)),"Rekor",""),"")</f>
        <v/>
      </c>
      <c r="J907" s="19" t="n">
        <f aca="false">IF(A907="",0,IF(COUNTIF(A$5:A907,A907)=1,1,0))</f>
        <v>0</v>
      </c>
    </row>
    <row r="908" customFormat="false" ht="15" hidden="false" customHeight="false" outlineLevel="0" collapsed="false">
      <c r="A908" s="12"/>
      <c r="B908" s="13"/>
      <c r="C908" s="14"/>
      <c r="D908" s="14"/>
      <c r="E908" s="15"/>
      <c r="F908" s="16" t="str">
        <f aca="false">IF(OR(C908="",D908="",E908=""),"",C908*D908*E908)</f>
        <v/>
      </c>
      <c r="G908" s="17" t="str">
        <f aca="false">IF(OR(D908="",E908=""),"",E908*(1+D908/30))</f>
        <v/>
      </c>
      <c r="H908" s="19" t="n">
        <f aca="false">IF(G908="",0,G908)</f>
        <v>0</v>
      </c>
      <c r="I908" s="18" t="str">
        <f aca="false">IF(H908&gt;0,IF(H908&gt;=SUMPRODUCT(MAX(($B$5:$B$2004=B908)*$H$5:$H$2004)),"Rekor",""),"")</f>
        <v/>
      </c>
      <c r="J908" s="19" t="n">
        <f aca="false">IF(A908="",0,IF(COUNTIF(A$5:A908,A908)=1,1,0))</f>
        <v>0</v>
      </c>
    </row>
    <row r="909" customFormat="false" ht="15" hidden="false" customHeight="false" outlineLevel="0" collapsed="false">
      <c r="A909" s="12"/>
      <c r="B909" s="13"/>
      <c r="C909" s="14"/>
      <c r="D909" s="14"/>
      <c r="E909" s="15"/>
      <c r="F909" s="16" t="str">
        <f aca="false">IF(OR(C909="",D909="",E909=""),"",C909*D909*E909)</f>
        <v/>
      </c>
      <c r="G909" s="17" t="str">
        <f aca="false">IF(OR(D909="",E909=""),"",E909*(1+D909/30))</f>
        <v/>
      </c>
      <c r="H909" s="19" t="n">
        <f aca="false">IF(G909="",0,G909)</f>
        <v>0</v>
      </c>
      <c r="I909" s="18" t="str">
        <f aca="false">IF(H909&gt;0,IF(H909&gt;=SUMPRODUCT(MAX(($B$5:$B$2004=B909)*$H$5:$H$2004)),"Rekor",""),"")</f>
        <v/>
      </c>
      <c r="J909" s="19" t="n">
        <f aca="false">IF(A909="",0,IF(COUNTIF(A$5:A909,A909)=1,1,0))</f>
        <v>0</v>
      </c>
    </row>
    <row r="910" customFormat="false" ht="15" hidden="false" customHeight="false" outlineLevel="0" collapsed="false">
      <c r="A910" s="12"/>
      <c r="B910" s="13"/>
      <c r="C910" s="14"/>
      <c r="D910" s="14"/>
      <c r="E910" s="15"/>
      <c r="F910" s="16" t="str">
        <f aca="false">IF(OR(C910="",D910="",E910=""),"",C910*D910*E910)</f>
        <v/>
      </c>
      <c r="G910" s="17" t="str">
        <f aca="false">IF(OR(D910="",E910=""),"",E910*(1+D910/30))</f>
        <v/>
      </c>
      <c r="H910" s="19" t="n">
        <f aca="false">IF(G910="",0,G910)</f>
        <v>0</v>
      </c>
      <c r="I910" s="18" t="str">
        <f aca="false">IF(H910&gt;0,IF(H910&gt;=SUMPRODUCT(MAX(($B$5:$B$2004=B910)*$H$5:$H$2004)),"Rekor",""),"")</f>
        <v/>
      </c>
      <c r="J910" s="19" t="n">
        <f aca="false">IF(A910="",0,IF(COUNTIF(A$5:A910,A910)=1,1,0))</f>
        <v>0</v>
      </c>
    </row>
    <row r="911" customFormat="false" ht="15" hidden="false" customHeight="false" outlineLevel="0" collapsed="false">
      <c r="A911" s="12"/>
      <c r="B911" s="13"/>
      <c r="C911" s="14"/>
      <c r="D911" s="14"/>
      <c r="E911" s="15"/>
      <c r="F911" s="16" t="str">
        <f aca="false">IF(OR(C911="",D911="",E911=""),"",C911*D911*E911)</f>
        <v/>
      </c>
      <c r="G911" s="17" t="str">
        <f aca="false">IF(OR(D911="",E911=""),"",E911*(1+D911/30))</f>
        <v/>
      </c>
      <c r="H911" s="19" t="n">
        <f aca="false">IF(G911="",0,G911)</f>
        <v>0</v>
      </c>
      <c r="I911" s="18" t="str">
        <f aca="false">IF(H911&gt;0,IF(H911&gt;=SUMPRODUCT(MAX(($B$5:$B$2004=B911)*$H$5:$H$2004)),"Rekor",""),"")</f>
        <v/>
      </c>
      <c r="J911" s="19" t="n">
        <f aca="false">IF(A911="",0,IF(COUNTIF(A$5:A911,A911)=1,1,0))</f>
        <v>0</v>
      </c>
    </row>
    <row r="912" customFormat="false" ht="15" hidden="false" customHeight="false" outlineLevel="0" collapsed="false">
      <c r="A912" s="12"/>
      <c r="B912" s="13"/>
      <c r="C912" s="14"/>
      <c r="D912" s="14"/>
      <c r="E912" s="15"/>
      <c r="F912" s="16" t="str">
        <f aca="false">IF(OR(C912="",D912="",E912=""),"",C912*D912*E912)</f>
        <v/>
      </c>
      <c r="G912" s="17" t="str">
        <f aca="false">IF(OR(D912="",E912=""),"",E912*(1+D912/30))</f>
        <v/>
      </c>
      <c r="H912" s="19" t="n">
        <f aca="false">IF(G912="",0,G912)</f>
        <v>0</v>
      </c>
      <c r="I912" s="18" t="str">
        <f aca="false">IF(H912&gt;0,IF(H912&gt;=SUMPRODUCT(MAX(($B$5:$B$2004=B912)*$H$5:$H$2004)),"Rekor",""),"")</f>
        <v/>
      </c>
      <c r="J912" s="19" t="n">
        <f aca="false">IF(A912="",0,IF(COUNTIF(A$5:A912,A912)=1,1,0))</f>
        <v>0</v>
      </c>
    </row>
    <row r="913" customFormat="false" ht="15" hidden="false" customHeight="false" outlineLevel="0" collapsed="false">
      <c r="A913" s="12"/>
      <c r="B913" s="13"/>
      <c r="C913" s="14"/>
      <c r="D913" s="14"/>
      <c r="E913" s="15"/>
      <c r="F913" s="16" t="str">
        <f aca="false">IF(OR(C913="",D913="",E913=""),"",C913*D913*E913)</f>
        <v/>
      </c>
      <c r="G913" s="17" t="str">
        <f aca="false">IF(OR(D913="",E913=""),"",E913*(1+D913/30))</f>
        <v/>
      </c>
      <c r="H913" s="19" t="n">
        <f aca="false">IF(G913="",0,G913)</f>
        <v>0</v>
      </c>
      <c r="I913" s="18" t="str">
        <f aca="false">IF(H913&gt;0,IF(H913&gt;=SUMPRODUCT(MAX(($B$5:$B$2004=B913)*$H$5:$H$2004)),"Rekor",""),"")</f>
        <v/>
      </c>
      <c r="J913" s="19" t="n">
        <f aca="false">IF(A913="",0,IF(COUNTIF(A$5:A913,A913)=1,1,0))</f>
        <v>0</v>
      </c>
    </row>
    <row r="914" customFormat="false" ht="15" hidden="false" customHeight="false" outlineLevel="0" collapsed="false">
      <c r="A914" s="12"/>
      <c r="B914" s="13"/>
      <c r="C914" s="14"/>
      <c r="D914" s="14"/>
      <c r="E914" s="15"/>
      <c r="F914" s="16" t="str">
        <f aca="false">IF(OR(C914="",D914="",E914=""),"",C914*D914*E914)</f>
        <v/>
      </c>
      <c r="G914" s="17" t="str">
        <f aca="false">IF(OR(D914="",E914=""),"",E914*(1+D914/30))</f>
        <v/>
      </c>
      <c r="H914" s="19" t="n">
        <f aca="false">IF(G914="",0,G914)</f>
        <v>0</v>
      </c>
      <c r="I914" s="18" t="str">
        <f aca="false">IF(H914&gt;0,IF(H914&gt;=SUMPRODUCT(MAX(($B$5:$B$2004=B914)*$H$5:$H$2004)),"Rekor",""),"")</f>
        <v/>
      </c>
      <c r="J914" s="19" t="n">
        <f aca="false">IF(A914="",0,IF(COUNTIF(A$5:A914,A914)=1,1,0))</f>
        <v>0</v>
      </c>
    </row>
    <row r="915" customFormat="false" ht="15" hidden="false" customHeight="false" outlineLevel="0" collapsed="false">
      <c r="A915" s="12"/>
      <c r="B915" s="13"/>
      <c r="C915" s="14"/>
      <c r="D915" s="14"/>
      <c r="E915" s="15"/>
      <c r="F915" s="16" t="str">
        <f aca="false">IF(OR(C915="",D915="",E915=""),"",C915*D915*E915)</f>
        <v/>
      </c>
      <c r="G915" s="17" t="str">
        <f aca="false">IF(OR(D915="",E915=""),"",E915*(1+D915/30))</f>
        <v/>
      </c>
      <c r="H915" s="19" t="n">
        <f aca="false">IF(G915="",0,G915)</f>
        <v>0</v>
      </c>
      <c r="I915" s="18" t="str">
        <f aca="false">IF(H915&gt;0,IF(H915&gt;=SUMPRODUCT(MAX(($B$5:$B$2004=B915)*$H$5:$H$2004)),"Rekor",""),"")</f>
        <v/>
      </c>
      <c r="J915" s="19" t="n">
        <f aca="false">IF(A915="",0,IF(COUNTIF(A$5:A915,A915)=1,1,0))</f>
        <v>0</v>
      </c>
    </row>
    <row r="916" customFormat="false" ht="15" hidden="false" customHeight="false" outlineLevel="0" collapsed="false">
      <c r="A916" s="12"/>
      <c r="B916" s="13"/>
      <c r="C916" s="14"/>
      <c r="D916" s="14"/>
      <c r="E916" s="15"/>
      <c r="F916" s="16" t="str">
        <f aca="false">IF(OR(C916="",D916="",E916=""),"",C916*D916*E916)</f>
        <v/>
      </c>
      <c r="G916" s="17" t="str">
        <f aca="false">IF(OR(D916="",E916=""),"",E916*(1+D916/30))</f>
        <v/>
      </c>
      <c r="H916" s="19" t="n">
        <f aca="false">IF(G916="",0,G916)</f>
        <v>0</v>
      </c>
      <c r="I916" s="18" t="str">
        <f aca="false">IF(H916&gt;0,IF(H916&gt;=SUMPRODUCT(MAX(($B$5:$B$2004=B916)*$H$5:$H$2004)),"Rekor",""),"")</f>
        <v/>
      </c>
      <c r="J916" s="19" t="n">
        <f aca="false">IF(A916="",0,IF(COUNTIF(A$5:A916,A916)=1,1,0))</f>
        <v>0</v>
      </c>
    </row>
    <row r="917" customFormat="false" ht="15" hidden="false" customHeight="false" outlineLevel="0" collapsed="false">
      <c r="A917" s="12"/>
      <c r="B917" s="13"/>
      <c r="C917" s="14"/>
      <c r="D917" s="14"/>
      <c r="E917" s="15"/>
      <c r="F917" s="16" t="str">
        <f aca="false">IF(OR(C917="",D917="",E917=""),"",C917*D917*E917)</f>
        <v/>
      </c>
      <c r="G917" s="17" t="str">
        <f aca="false">IF(OR(D917="",E917=""),"",E917*(1+D917/30))</f>
        <v/>
      </c>
      <c r="H917" s="19" t="n">
        <f aca="false">IF(G917="",0,G917)</f>
        <v>0</v>
      </c>
      <c r="I917" s="18" t="str">
        <f aca="false">IF(H917&gt;0,IF(H917&gt;=SUMPRODUCT(MAX(($B$5:$B$2004=B917)*$H$5:$H$2004)),"Rekor",""),"")</f>
        <v/>
      </c>
      <c r="J917" s="19" t="n">
        <f aca="false">IF(A917="",0,IF(COUNTIF(A$5:A917,A917)=1,1,0))</f>
        <v>0</v>
      </c>
    </row>
    <row r="918" customFormat="false" ht="15" hidden="false" customHeight="false" outlineLevel="0" collapsed="false">
      <c r="A918" s="12"/>
      <c r="B918" s="13"/>
      <c r="C918" s="14"/>
      <c r="D918" s="14"/>
      <c r="E918" s="15"/>
      <c r="F918" s="16" t="str">
        <f aca="false">IF(OR(C918="",D918="",E918=""),"",C918*D918*E918)</f>
        <v/>
      </c>
      <c r="G918" s="17" t="str">
        <f aca="false">IF(OR(D918="",E918=""),"",E918*(1+D918/30))</f>
        <v/>
      </c>
      <c r="H918" s="19" t="n">
        <f aca="false">IF(G918="",0,G918)</f>
        <v>0</v>
      </c>
      <c r="I918" s="18" t="str">
        <f aca="false">IF(H918&gt;0,IF(H918&gt;=SUMPRODUCT(MAX(($B$5:$B$2004=B918)*$H$5:$H$2004)),"Rekor",""),"")</f>
        <v/>
      </c>
      <c r="J918" s="19" t="n">
        <f aca="false">IF(A918="",0,IF(COUNTIF(A$5:A918,A918)=1,1,0))</f>
        <v>0</v>
      </c>
    </row>
    <row r="919" customFormat="false" ht="15" hidden="false" customHeight="false" outlineLevel="0" collapsed="false">
      <c r="A919" s="12"/>
      <c r="B919" s="13"/>
      <c r="C919" s="14"/>
      <c r="D919" s="14"/>
      <c r="E919" s="15"/>
      <c r="F919" s="16" t="str">
        <f aca="false">IF(OR(C919="",D919="",E919=""),"",C919*D919*E919)</f>
        <v/>
      </c>
      <c r="G919" s="17" t="str">
        <f aca="false">IF(OR(D919="",E919=""),"",E919*(1+D919/30))</f>
        <v/>
      </c>
      <c r="H919" s="19" t="n">
        <f aca="false">IF(G919="",0,G919)</f>
        <v>0</v>
      </c>
      <c r="I919" s="18" t="str">
        <f aca="false">IF(H919&gt;0,IF(H919&gt;=SUMPRODUCT(MAX(($B$5:$B$2004=B919)*$H$5:$H$2004)),"Rekor",""),"")</f>
        <v/>
      </c>
      <c r="J919" s="19" t="n">
        <f aca="false">IF(A919="",0,IF(COUNTIF(A$5:A919,A919)=1,1,0))</f>
        <v>0</v>
      </c>
    </row>
    <row r="920" customFormat="false" ht="15" hidden="false" customHeight="false" outlineLevel="0" collapsed="false">
      <c r="A920" s="12"/>
      <c r="B920" s="13"/>
      <c r="C920" s="14"/>
      <c r="D920" s="14"/>
      <c r="E920" s="15"/>
      <c r="F920" s="16" t="str">
        <f aca="false">IF(OR(C920="",D920="",E920=""),"",C920*D920*E920)</f>
        <v/>
      </c>
      <c r="G920" s="17" t="str">
        <f aca="false">IF(OR(D920="",E920=""),"",E920*(1+D920/30))</f>
        <v/>
      </c>
      <c r="H920" s="19" t="n">
        <f aca="false">IF(G920="",0,G920)</f>
        <v>0</v>
      </c>
      <c r="I920" s="18" t="str">
        <f aca="false">IF(H920&gt;0,IF(H920&gt;=SUMPRODUCT(MAX(($B$5:$B$2004=B920)*$H$5:$H$2004)),"Rekor",""),"")</f>
        <v/>
      </c>
      <c r="J920" s="19" t="n">
        <f aca="false">IF(A920="",0,IF(COUNTIF(A$5:A920,A920)=1,1,0))</f>
        <v>0</v>
      </c>
    </row>
    <row r="921" customFormat="false" ht="15" hidden="false" customHeight="false" outlineLevel="0" collapsed="false">
      <c r="A921" s="12"/>
      <c r="B921" s="13"/>
      <c r="C921" s="14"/>
      <c r="D921" s="14"/>
      <c r="E921" s="15"/>
      <c r="F921" s="16" t="str">
        <f aca="false">IF(OR(C921="",D921="",E921=""),"",C921*D921*E921)</f>
        <v/>
      </c>
      <c r="G921" s="17" t="str">
        <f aca="false">IF(OR(D921="",E921=""),"",E921*(1+D921/30))</f>
        <v/>
      </c>
      <c r="H921" s="19" t="n">
        <f aca="false">IF(G921="",0,G921)</f>
        <v>0</v>
      </c>
      <c r="I921" s="18" t="str">
        <f aca="false">IF(H921&gt;0,IF(H921&gt;=SUMPRODUCT(MAX(($B$5:$B$2004=B921)*$H$5:$H$2004)),"Rekor",""),"")</f>
        <v/>
      </c>
      <c r="J921" s="19" t="n">
        <f aca="false">IF(A921="",0,IF(COUNTIF(A$5:A921,A921)=1,1,0))</f>
        <v>0</v>
      </c>
    </row>
    <row r="922" customFormat="false" ht="15" hidden="false" customHeight="false" outlineLevel="0" collapsed="false">
      <c r="A922" s="12"/>
      <c r="B922" s="13"/>
      <c r="C922" s="14"/>
      <c r="D922" s="14"/>
      <c r="E922" s="15"/>
      <c r="F922" s="16" t="str">
        <f aca="false">IF(OR(C922="",D922="",E922=""),"",C922*D922*E922)</f>
        <v/>
      </c>
      <c r="G922" s="17" t="str">
        <f aca="false">IF(OR(D922="",E922=""),"",E922*(1+D922/30))</f>
        <v/>
      </c>
      <c r="H922" s="19" t="n">
        <f aca="false">IF(G922="",0,G922)</f>
        <v>0</v>
      </c>
      <c r="I922" s="18" t="str">
        <f aca="false">IF(H922&gt;0,IF(H922&gt;=SUMPRODUCT(MAX(($B$5:$B$2004=B922)*$H$5:$H$2004)),"Rekor",""),"")</f>
        <v/>
      </c>
      <c r="J922" s="19" t="n">
        <f aca="false">IF(A922="",0,IF(COUNTIF(A$5:A922,A922)=1,1,0))</f>
        <v>0</v>
      </c>
    </row>
    <row r="923" customFormat="false" ht="15" hidden="false" customHeight="false" outlineLevel="0" collapsed="false">
      <c r="A923" s="12"/>
      <c r="B923" s="13"/>
      <c r="C923" s="14"/>
      <c r="D923" s="14"/>
      <c r="E923" s="15"/>
      <c r="F923" s="16" t="str">
        <f aca="false">IF(OR(C923="",D923="",E923=""),"",C923*D923*E923)</f>
        <v/>
      </c>
      <c r="G923" s="17" t="str">
        <f aca="false">IF(OR(D923="",E923=""),"",E923*(1+D923/30))</f>
        <v/>
      </c>
      <c r="H923" s="19" t="n">
        <f aca="false">IF(G923="",0,G923)</f>
        <v>0</v>
      </c>
      <c r="I923" s="18" t="str">
        <f aca="false">IF(H923&gt;0,IF(H923&gt;=SUMPRODUCT(MAX(($B$5:$B$2004=B923)*$H$5:$H$2004)),"Rekor",""),"")</f>
        <v/>
      </c>
      <c r="J923" s="19" t="n">
        <f aca="false">IF(A923="",0,IF(COUNTIF(A$5:A923,A923)=1,1,0))</f>
        <v>0</v>
      </c>
    </row>
    <row r="924" customFormat="false" ht="15" hidden="false" customHeight="false" outlineLevel="0" collapsed="false">
      <c r="A924" s="12"/>
      <c r="B924" s="13"/>
      <c r="C924" s="14"/>
      <c r="D924" s="14"/>
      <c r="E924" s="15"/>
      <c r="F924" s="16" t="str">
        <f aca="false">IF(OR(C924="",D924="",E924=""),"",C924*D924*E924)</f>
        <v/>
      </c>
      <c r="G924" s="17" t="str">
        <f aca="false">IF(OR(D924="",E924=""),"",E924*(1+D924/30))</f>
        <v/>
      </c>
      <c r="H924" s="19" t="n">
        <f aca="false">IF(G924="",0,G924)</f>
        <v>0</v>
      </c>
      <c r="I924" s="18" t="str">
        <f aca="false">IF(H924&gt;0,IF(H924&gt;=SUMPRODUCT(MAX(($B$5:$B$2004=B924)*$H$5:$H$2004)),"Rekor",""),"")</f>
        <v/>
      </c>
      <c r="J924" s="19" t="n">
        <f aca="false">IF(A924="",0,IF(COUNTIF(A$5:A924,A924)=1,1,0))</f>
        <v>0</v>
      </c>
    </row>
    <row r="925" customFormat="false" ht="15" hidden="false" customHeight="false" outlineLevel="0" collapsed="false">
      <c r="A925" s="12"/>
      <c r="B925" s="13"/>
      <c r="C925" s="14"/>
      <c r="D925" s="14"/>
      <c r="E925" s="15"/>
      <c r="F925" s="16" t="str">
        <f aca="false">IF(OR(C925="",D925="",E925=""),"",C925*D925*E925)</f>
        <v/>
      </c>
      <c r="G925" s="17" t="str">
        <f aca="false">IF(OR(D925="",E925=""),"",E925*(1+D925/30))</f>
        <v/>
      </c>
      <c r="H925" s="19" t="n">
        <f aca="false">IF(G925="",0,G925)</f>
        <v>0</v>
      </c>
      <c r="I925" s="18" t="str">
        <f aca="false">IF(H925&gt;0,IF(H925&gt;=SUMPRODUCT(MAX(($B$5:$B$2004=B925)*$H$5:$H$2004)),"Rekor",""),"")</f>
        <v/>
      </c>
      <c r="J925" s="19" t="n">
        <f aca="false">IF(A925="",0,IF(COUNTIF(A$5:A925,A925)=1,1,0))</f>
        <v>0</v>
      </c>
    </row>
    <row r="926" customFormat="false" ht="15" hidden="false" customHeight="false" outlineLevel="0" collapsed="false">
      <c r="A926" s="12"/>
      <c r="B926" s="13"/>
      <c r="C926" s="14"/>
      <c r="D926" s="14"/>
      <c r="E926" s="15"/>
      <c r="F926" s="16" t="str">
        <f aca="false">IF(OR(C926="",D926="",E926=""),"",C926*D926*E926)</f>
        <v/>
      </c>
      <c r="G926" s="17" t="str">
        <f aca="false">IF(OR(D926="",E926=""),"",E926*(1+D926/30))</f>
        <v/>
      </c>
      <c r="H926" s="19" t="n">
        <f aca="false">IF(G926="",0,G926)</f>
        <v>0</v>
      </c>
      <c r="I926" s="18" t="str">
        <f aca="false">IF(H926&gt;0,IF(H926&gt;=SUMPRODUCT(MAX(($B$5:$B$2004=B926)*$H$5:$H$2004)),"Rekor",""),"")</f>
        <v/>
      </c>
      <c r="J926" s="19" t="n">
        <f aca="false">IF(A926="",0,IF(COUNTIF(A$5:A926,A926)=1,1,0))</f>
        <v>0</v>
      </c>
    </row>
    <row r="927" customFormat="false" ht="15" hidden="false" customHeight="false" outlineLevel="0" collapsed="false">
      <c r="A927" s="12"/>
      <c r="B927" s="13"/>
      <c r="C927" s="14"/>
      <c r="D927" s="14"/>
      <c r="E927" s="15"/>
      <c r="F927" s="16" t="str">
        <f aca="false">IF(OR(C927="",D927="",E927=""),"",C927*D927*E927)</f>
        <v/>
      </c>
      <c r="G927" s="17" t="str">
        <f aca="false">IF(OR(D927="",E927=""),"",E927*(1+D927/30))</f>
        <v/>
      </c>
      <c r="H927" s="19" t="n">
        <f aca="false">IF(G927="",0,G927)</f>
        <v>0</v>
      </c>
      <c r="I927" s="18" t="str">
        <f aca="false">IF(H927&gt;0,IF(H927&gt;=SUMPRODUCT(MAX(($B$5:$B$2004=B927)*$H$5:$H$2004)),"Rekor",""),"")</f>
        <v/>
      </c>
      <c r="J927" s="19" t="n">
        <f aca="false">IF(A927="",0,IF(COUNTIF(A$5:A927,A927)=1,1,0))</f>
        <v>0</v>
      </c>
    </row>
    <row r="928" customFormat="false" ht="15" hidden="false" customHeight="false" outlineLevel="0" collapsed="false">
      <c r="A928" s="12"/>
      <c r="B928" s="13"/>
      <c r="C928" s="14"/>
      <c r="D928" s="14"/>
      <c r="E928" s="15"/>
      <c r="F928" s="16" t="str">
        <f aca="false">IF(OR(C928="",D928="",E928=""),"",C928*D928*E928)</f>
        <v/>
      </c>
      <c r="G928" s="17" t="str">
        <f aca="false">IF(OR(D928="",E928=""),"",E928*(1+D928/30))</f>
        <v/>
      </c>
      <c r="H928" s="19" t="n">
        <f aca="false">IF(G928="",0,G928)</f>
        <v>0</v>
      </c>
      <c r="I928" s="18" t="str">
        <f aca="false">IF(H928&gt;0,IF(H928&gt;=SUMPRODUCT(MAX(($B$5:$B$2004=B928)*$H$5:$H$2004)),"Rekor",""),"")</f>
        <v/>
      </c>
      <c r="J928" s="19" t="n">
        <f aca="false">IF(A928="",0,IF(COUNTIF(A$5:A928,A928)=1,1,0))</f>
        <v>0</v>
      </c>
    </row>
    <row r="929" customFormat="false" ht="15" hidden="false" customHeight="false" outlineLevel="0" collapsed="false">
      <c r="A929" s="12"/>
      <c r="B929" s="13"/>
      <c r="C929" s="14"/>
      <c r="D929" s="14"/>
      <c r="E929" s="15"/>
      <c r="F929" s="16" t="str">
        <f aca="false">IF(OR(C929="",D929="",E929=""),"",C929*D929*E929)</f>
        <v/>
      </c>
      <c r="G929" s="17" t="str">
        <f aca="false">IF(OR(D929="",E929=""),"",E929*(1+D929/30))</f>
        <v/>
      </c>
      <c r="H929" s="19" t="n">
        <f aca="false">IF(G929="",0,G929)</f>
        <v>0</v>
      </c>
      <c r="I929" s="18" t="str">
        <f aca="false">IF(H929&gt;0,IF(H929&gt;=SUMPRODUCT(MAX(($B$5:$B$2004=B929)*$H$5:$H$2004)),"Rekor",""),"")</f>
        <v/>
      </c>
      <c r="J929" s="19" t="n">
        <f aca="false">IF(A929="",0,IF(COUNTIF(A$5:A929,A929)=1,1,0))</f>
        <v>0</v>
      </c>
    </row>
    <row r="930" customFormat="false" ht="15" hidden="false" customHeight="false" outlineLevel="0" collapsed="false">
      <c r="A930" s="12"/>
      <c r="B930" s="13"/>
      <c r="C930" s="14"/>
      <c r="D930" s="14"/>
      <c r="E930" s="15"/>
      <c r="F930" s="16" t="str">
        <f aca="false">IF(OR(C930="",D930="",E930=""),"",C930*D930*E930)</f>
        <v/>
      </c>
      <c r="G930" s="17" t="str">
        <f aca="false">IF(OR(D930="",E930=""),"",E930*(1+D930/30))</f>
        <v/>
      </c>
      <c r="H930" s="19" t="n">
        <f aca="false">IF(G930="",0,G930)</f>
        <v>0</v>
      </c>
      <c r="I930" s="18" t="str">
        <f aca="false">IF(H930&gt;0,IF(H930&gt;=SUMPRODUCT(MAX(($B$5:$B$2004=B930)*$H$5:$H$2004)),"Rekor",""),"")</f>
        <v/>
      </c>
      <c r="J930" s="19" t="n">
        <f aca="false">IF(A930="",0,IF(COUNTIF(A$5:A930,A930)=1,1,0))</f>
        <v>0</v>
      </c>
    </row>
    <row r="931" customFormat="false" ht="15" hidden="false" customHeight="false" outlineLevel="0" collapsed="false">
      <c r="A931" s="12"/>
      <c r="B931" s="13"/>
      <c r="C931" s="14"/>
      <c r="D931" s="14"/>
      <c r="E931" s="15"/>
      <c r="F931" s="16" t="str">
        <f aca="false">IF(OR(C931="",D931="",E931=""),"",C931*D931*E931)</f>
        <v/>
      </c>
      <c r="G931" s="17" t="str">
        <f aca="false">IF(OR(D931="",E931=""),"",E931*(1+D931/30))</f>
        <v/>
      </c>
      <c r="H931" s="19" t="n">
        <f aca="false">IF(G931="",0,G931)</f>
        <v>0</v>
      </c>
      <c r="I931" s="18" t="str">
        <f aca="false">IF(H931&gt;0,IF(H931&gt;=SUMPRODUCT(MAX(($B$5:$B$2004=B931)*$H$5:$H$2004)),"Rekor",""),"")</f>
        <v/>
      </c>
      <c r="J931" s="19" t="n">
        <f aca="false">IF(A931="",0,IF(COUNTIF(A$5:A931,A931)=1,1,0))</f>
        <v>0</v>
      </c>
    </row>
    <row r="932" customFormat="false" ht="15" hidden="false" customHeight="false" outlineLevel="0" collapsed="false">
      <c r="A932" s="12"/>
      <c r="B932" s="13"/>
      <c r="C932" s="14"/>
      <c r="D932" s="14"/>
      <c r="E932" s="15"/>
      <c r="F932" s="16" t="str">
        <f aca="false">IF(OR(C932="",D932="",E932=""),"",C932*D932*E932)</f>
        <v/>
      </c>
      <c r="G932" s="17" t="str">
        <f aca="false">IF(OR(D932="",E932=""),"",E932*(1+D932/30))</f>
        <v/>
      </c>
      <c r="H932" s="19" t="n">
        <f aca="false">IF(G932="",0,G932)</f>
        <v>0</v>
      </c>
      <c r="I932" s="18" t="str">
        <f aca="false">IF(H932&gt;0,IF(H932&gt;=SUMPRODUCT(MAX(($B$5:$B$2004=B932)*$H$5:$H$2004)),"Rekor",""),"")</f>
        <v/>
      </c>
      <c r="J932" s="19" t="n">
        <f aca="false">IF(A932="",0,IF(COUNTIF(A$5:A932,A932)=1,1,0))</f>
        <v>0</v>
      </c>
    </row>
    <row r="933" customFormat="false" ht="15" hidden="false" customHeight="false" outlineLevel="0" collapsed="false">
      <c r="A933" s="12"/>
      <c r="B933" s="13"/>
      <c r="C933" s="14"/>
      <c r="D933" s="14"/>
      <c r="E933" s="15"/>
      <c r="F933" s="16" t="str">
        <f aca="false">IF(OR(C933="",D933="",E933=""),"",C933*D933*E933)</f>
        <v/>
      </c>
      <c r="G933" s="17" t="str">
        <f aca="false">IF(OR(D933="",E933=""),"",E933*(1+D933/30))</f>
        <v/>
      </c>
      <c r="H933" s="19" t="n">
        <f aca="false">IF(G933="",0,G933)</f>
        <v>0</v>
      </c>
      <c r="I933" s="18" t="str">
        <f aca="false">IF(H933&gt;0,IF(H933&gt;=SUMPRODUCT(MAX(($B$5:$B$2004=B933)*$H$5:$H$2004)),"Rekor",""),"")</f>
        <v/>
      </c>
      <c r="J933" s="19" t="n">
        <f aca="false">IF(A933="",0,IF(COUNTIF(A$5:A933,A933)=1,1,0))</f>
        <v>0</v>
      </c>
    </row>
    <row r="934" customFormat="false" ht="15" hidden="false" customHeight="false" outlineLevel="0" collapsed="false">
      <c r="A934" s="12"/>
      <c r="B934" s="13"/>
      <c r="C934" s="14"/>
      <c r="D934" s="14"/>
      <c r="E934" s="15"/>
      <c r="F934" s="16" t="str">
        <f aca="false">IF(OR(C934="",D934="",E934=""),"",C934*D934*E934)</f>
        <v/>
      </c>
      <c r="G934" s="17" t="str">
        <f aca="false">IF(OR(D934="",E934=""),"",E934*(1+D934/30))</f>
        <v/>
      </c>
      <c r="H934" s="19" t="n">
        <f aca="false">IF(G934="",0,G934)</f>
        <v>0</v>
      </c>
      <c r="I934" s="18" t="str">
        <f aca="false">IF(H934&gt;0,IF(H934&gt;=SUMPRODUCT(MAX(($B$5:$B$2004=B934)*$H$5:$H$2004)),"Rekor",""),"")</f>
        <v/>
      </c>
      <c r="J934" s="19" t="n">
        <f aca="false">IF(A934="",0,IF(COUNTIF(A$5:A934,A934)=1,1,0))</f>
        <v>0</v>
      </c>
    </row>
    <row r="935" customFormat="false" ht="15" hidden="false" customHeight="false" outlineLevel="0" collapsed="false">
      <c r="A935" s="12"/>
      <c r="B935" s="13"/>
      <c r="C935" s="14"/>
      <c r="D935" s="14"/>
      <c r="E935" s="15"/>
      <c r="F935" s="16" t="str">
        <f aca="false">IF(OR(C935="",D935="",E935=""),"",C935*D935*E935)</f>
        <v/>
      </c>
      <c r="G935" s="17" t="str">
        <f aca="false">IF(OR(D935="",E935=""),"",E935*(1+D935/30))</f>
        <v/>
      </c>
      <c r="H935" s="19" t="n">
        <f aca="false">IF(G935="",0,G935)</f>
        <v>0</v>
      </c>
      <c r="I935" s="18" t="str">
        <f aca="false">IF(H935&gt;0,IF(H935&gt;=SUMPRODUCT(MAX(($B$5:$B$2004=B935)*$H$5:$H$2004)),"Rekor",""),"")</f>
        <v/>
      </c>
      <c r="J935" s="19" t="n">
        <f aca="false">IF(A935="",0,IF(COUNTIF(A$5:A935,A935)=1,1,0))</f>
        <v>0</v>
      </c>
    </row>
    <row r="936" customFormat="false" ht="15" hidden="false" customHeight="false" outlineLevel="0" collapsed="false">
      <c r="A936" s="12"/>
      <c r="B936" s="13"/>
      <c r="C936" s="14"/>
      <c r="D936" s="14"/>
      <c r="E936" s="15"/>
      <c r="F936" s="16" t="str">
        <f aca="false">IF(OR(C936="",D936="",E936=""),"",C936*D936*E936)</f>
        <v/>
      </c>
      <c r="G936" s="17" t="str">
        <f aca="false">IF(OR(D936="",E936=""),"",E936*(1+D936/30))</f>
        <v/>
      </c>
      <c r="H936" s="19" t="n">
        <f aca="false">IF(G936="",0,G936)</f>
        <v>0</v>
      </c>
      <c r="I936" s="18" t="str">
        <f aca="false">IF(H936&gt;0,IF(H936&gt;=SUMPRODUCT(MAX(($B$5:$B$2004=B936)*$H$5:$H$2004)),"Rekor",""),"")</f>
        <v/>
      </c>
      <c r="J936" s="19" t="n">
        <f aca="false">IF(A936="",0,IF(COUNTIF(A$5:A936,A936)=1,1,0))</f>
        <v>0</v>
      </c>
    </row>
    <row r="937" customFormat="false" ht="15" hidden="false" customHeight="false" outlineLevel="0" collapsed="false">
      <c r="A937" s="12"/>
      <c r="B937" s="13"/>
      <c r="C937" s="14"/>
      <c r="D937" s="14"/>
      <c r="E937" s="15"/>
      <c r="F937" s="16" t="str">
        <f aca="false">IF(OR(C937="",D937="",E937=""),"",C937*D937*E937)</f>
        <v/>
      </c>
      <c r="G937" s="17" t="str">
        <f aca="false">IF(OR(D937="",E937=""),"",E937*(1+D937/30))</f>
        <v/>
      </c>
      <c r="H937" s="19" t="n">
        <f aca="false">IF(G937="",0,G937)</f>
        <v>0</v>
      </c>
      <c r="I937" s="18" t="str">
        <f aca="false">IF(H937&gt;0,IF(H937&gt;=SUMPRODUCT(MAX(($B$5:$B$2004=B937)*$H$5:$H$2004)),"Rekor",""),"")</f>
        <v/>
      </c>
      <c r="J937" s="19" t="n">
        <f aca="false">IF(A937="",0,IF(COUNTIF(A$5:A937,A937)=1,1,0))</f>
        <v>0</v>
      </c>
    </row>
    <row r="938" customFormat="false" ht="15" hidden="false" customHeight="false" outlineLevel="0" collapsed="false">
      <c r="A938" s="12"/>
      <c r="B938" s="13"/>
      <c r="C938" s="14"/>
      <c r="D938" s="14"/>
      <c r="E938" s="15"/>
      <c r="F938" s="16" t="str">
        <f aca="false">IF(OR(C938="",D938="",E938=""),"",C938*D938*E938)</f>
        <v/>
      </c>
      <c r="G938" s="17" t="str">
        <f aca="false">IF(OR(D938="",E938=""),"",E938*(1+D938/30))</f>
        <v/>
      </c>
      <c r="H938" s="19" t="n">
        <f aca="false">IF(G938="",0,G938)</f>
        <v>0</v>
      </c>
      <c r="I938" s="18" t="str">
        <f aca="false">IF(H938&gt;0,IF(H938&gt;=SUMPRODUCT(MAX(($B$5:$B$2004=B938)*$H$5:$H$2004)),"Rekor",""),"")</f>
        <v/>
      </c>
      <c r="J938" s="19" t="n">
        <f aca="false">IF(A938="",0,IF(COUNTIF(A$5:A938,A938)=1,1,0))</f>
        <v>0</v>
      </c>
    </row>
    <row r="939" customFormat="false" ht="15" hidden="false" customHeight="false" outlineLevel="0" collapsed="false">
      <c r="A939" s="12"/>
      <c r="B939" s="13"/>
      <c r="C939" s="14"/>
      <c r="D939" s="14"/>
      <c r="E939" s="15"/>
      <c r="F939" s="16" t="str">
        <f aca="false">IF(OR(C939="",D939="",E939=""),"",C939*D939*E939)</f>
        <v/>
      </c>
      <c r="G939" s="17" t="str">
        <f aca="false">IF(OR(D939="",E939=""),"",E939*(1+D939/30))</f>
        <v/>
      </c>
      <c r="H939" s="19" t="n">
        <f aca="false">IF(G939="",0,G939)</f>
        <v>0</v>
      </c>
      <c r="I939" s="18" t="str">
        <f aca="false">IF(H939&gt;0,IF(H939&gt;=SUMPRODUCT(MAX(($B$5:$B$2004=B939)*$H$5:$H$2004)),"Rekor",""),"")</f>
        <v/>
      </c>
      <c r="J939" s="19" t="n">
        <f aca="false">IF(A939="",0,IF(COUNTIF(A$5:A939,A939)=1,1,0))</f>
        <v>0</v>
      </c>
    </row>
    <row r="940" customFormat="false" ht="15" hidden="false" customHeight="false" outlineLevel="0" collapsed="false">
      <c r="A940" s="12"/>
      <c r="B940" s="13"/>
      <c r="C940" s="14"/>
      <c r="D940" s="14"/>
      <c r="E940" s="15"/>
      <c r="F940" s="16" t="str">
        <f aca="false">IF(OR(C940="",D940="",E940=""),"",C940*D940*E940)</f>
        <v/>
      </c>
      <c r="G940" s="17" t="str">
        <f aca="false">IF(OR(D940="",E940=""),"",E940*(1+D940/30))</f>
        <v/>
      </c>
      <c r="H940" s="19" t="n">
        <f aca="false">IF(G940="",0,G940)</f>
        <v>0</v>
      </c>
      <c r="I940" s="18" t="str">
        <f aca="false">IF(H940&gt;0,IF(H940&gt;=SUMPRODUCT(MAX(($B$5:$B$2004=B940)*$H$5:$H$2004)),"Rekor",""),"")</f>
        <v/>
      </c>
      <c r="J940" s="19" t="n">
        <f aca="false">IF(A940="",0,IF(COUNTIF(A$5:A940,A940)=1,1,0))</f>
        <v>0</v>
      </c>
    </row>
    <row r="941" customFormat="false" ht="15" hidden="false" customHeight="false" outlineLevel="0" collapsed="false">
      <c r="A941" s="12"/>
      <c r="B941" s="13"/>
      <c r="C941" s="14"/>
      <c r="D941" s="14"/>
      <c r="E941" s="15"/>
      <c r="F941" s="16" t="str">
        <f aca="false">IF(OR(C941="",D941="",E941=""),"",C941*D941*E941)</f>
        <v/>
      </c>
      <c r="G941" s="17" t="str">
        <f aca="false">IF(OR(D941="",E941=""),"",E941*(1+D941/30))</f>
        <v/>
      </c>
      <c r="H941" s="19" t="n">
        <f aca="false">IF(G941="",0,G941)</f>
        <v>0</v>
      </c>
      <c r="I941" s="18" t="str">
        <f aca="false">IF(H941&gt;0,IF(H941&gt;=SUMPRODUCT(MAX(($B$5:$B$2004=B941)*$H$5:$H$2004)),"Rekor",""),"")</f>
        <v/>
      </c>
      <c r="J941" s="19" t="n">
        <f aca="false">IF(A941="",0,IF(COUNTIF(A$5:A941,A941)=1,1,0))</f>
        <v>0</v>
      </c>
    </row>
    <row r="942" customFormat="false" ht="15" hidden="false" customHeight="false" outlineLevel="0" collapsed="false">
      <c r="A942" s="12"/>
      <c r="B942" s="13"/>
      <c r="C942" s="14"/>
      <c r="D942" s="14"/>
      <c r="E942" s="15"/>
      <c r="F942" s="16" t="str">
        <f aca="false">IF(OR(C942="",D942="",E942=""),"",C942*D942*E942)</f>
        <v/>
      </c>
      <c r="G942" s="17" t="str">
        <f aca="false">IF(OR(D942="",E942=""),"",E942*(1+D942/30))</f>
        <v/>
      </c>
      <c r="H942" s="19" t="n">
        <f aca="false">IF(G942="",0,G942)</f>
        <v>0</v>
      </c>
      <c r="I942" s="18" t="str">
        <f aca="false">IF(H942&gt;0,IF(H942&gt;=SUMPRODUCT(MAX(($B$5:$B$2004=B942)*$H$5:$H$2004)),"Rekor",""),"")</f>
        <v/>
      </c>
      <c r="J942" s="19" t="n">
        <f aca="false">IF(A942="",0,IF(COUNTIF(A$5:A942,A942)=1,1,0))</f>
        <v>0</v>
      </c>
    </row>
    <row r="943" customFormat="false" ht="15" hidden="false" customHeight="false" outlineLevel="0" collapsed="false">
      <c r="A943" s="12"/>
      <c r="B943" s="13"/>
      <c r="C943" s="14"/>
      <c r="D943" s="14"/>
      <c r="E943" s="15"/>
      <c r="F943" s="16" t="str">
        <f aca="false">IF(OR(C943="",D943="",E943=""),"",C943*D943*E943)</f>
        <v/>
      </c>
      <c r="G943" s="17" t="str">
        <f aca="false">IF(OR(D943="",E943=""),"",E943*(1+D943/30))</f>
        <v/>
      </c>
      <c r="H943" s="19" t="n">
        <f aca="false">IF(G943="",0,G943)</f>
        <v>0</v>
      </c>
      <c r="I943" s="18" t="str">
        <f aca="false">IF(H943&gt;0,IF(H943&gt;=SUMPRODUCT(MAX(($B$5:$B$2004=B943)*$H$5:$H$2004)),"Rekor",""),"")</f>
        <v/>
      </c>
      <c r="J943" s="19" t="n">
        <f aca="false">IF(A943="",0,IF(COUNTIF(A$5:A943,A943)=1,1,0))</f>
        <v>0</v>
      </c>
    </row>
    <row r="944" customFormat="false" ht="15" hidden="false" customHeight="false" outlineLevel="0" collapsed="false">
      <c r="A944" s="12"/>
      <c r="B944" s="13"/>
      <c r="C944" s="14"/>
      <c r="D944" s="14"/>
      <c r="E944" s="15"/>
      <c r="F944" s="16" t="str">
        <f aca="false">IF(OR(C944="",D944="",E944=""),"",C944*D944*E944)</f>
        <v/>
      </c>
      <c r="G944" s="17" t="str">
        <f aca="false">IF(OR(D944="",E944=""),"",E944*(1+D944/30))</f>
        <v/>
      </c>
      <c r="H944" s="19" t="n">
        <f aca="false">IF(G944="",0,G944)</f>
        <v>0</v>
      </c>
      <c r="I944" s="18" t="str">
        <f aca="false">IF(H944&gt;0,IF(H944&gt;=SUMPRODUCT(MAX(($B$5:$B$2004=B944)*$H$5:$H$2004)),"Rekor",""),"")</f>
        <v/>
      </c>
      <c r="J944" s="19" t="n">
        <f aca="false">IF(A944="",0,IF(COUNTIF(A$5:A944,A944)=1,1,0))</f>
        <v>0</v>
      </c>
    </row>
    <row r="945" customFormat="false" ht="15" hidden="false" customHeight="false" outlineLevel="0" collapsed="false">
      <c r="A945" s="12"/>
      <c r="B945" s="13"/>
      <c r="C945" s="14"/>
      <c r="D945" s="14"/>
      <c r="E945" s="15"/>
      <c r="F945" s="16" t="str">
        <f aca="false">IF(OR(C945="",D945="",E945=""),"",C945*D945*E945)</f>
        <v/>
      </c>
      <c r="G945" s="17" t="str">
        <f aca="false">IF(OR(D945="",E945=""),"",E945*(1+D945/30))</f>
        <v/>
      </c>
      <c r="H945" s="19" t="n">
        <f aca="false">IF(G945="",0,G945)</f>
        <v>0</v>
      </c>
      <c r="I945" s="18" t="str">
        <f aca="false">IF(H945&gt;0,IF(H945&gt;=SUMPRODUCT(MAX(($B$5:$B$2004=B945)*$H$5:$H$2004)),"Rekor",""),"")</f>
        <v/>
      </c>
      <c r="J945" s="19" t="n">
        <f aca="false">IF(A945="",0,IF(COUNTIF(A$5:A945,A945)=1,1,0))</f>
        <v>0</v>
      </c>
    </row>
    <row r="946" customFormat="false" ht="15" hidden="false" customHeight="false" outlineLevel="0" collapsed="false">
      <c r="A946" s="12"/>
      <c r="B946" s="13"/>
      <c r="C946" s="14"/>
      <c r="D946" s="14"/>
      <c r="E946" s="15"/>
      <c r="F946" s="16" t="str">
        <f aca="false">IF(OR(C946="",D946="",E946=""),"",C946*D946*E946)</f>
        <v/>
      </c>
      <c r="G946" s="17" t="str">
        <f aca="false">IF(OR(D946="",E946=""),"",E946*(1+D946/30))</f>
        <v/>
      </c>
      <c r="H946" s="19" t="n">
        <f aca="false">IF(G946="",0,G946)</f>
        <v>0</v>
      </c>
      <c r="I946" s="18" t="str">
        <f aca="false">IF(H946&gt;0,IF(H946&gt;=SUMPRODUCT(MAX(($B$5:$B$2004=B946)*$H$5:$H$2004)),"Rekor",""),"")</f>
        <v/>
      </c>
      <c r="J946" s="19" t="n">
        <f aca="false">IF(A946="",0,IF(COUNTIF(A$5:A946,A946)=1,1,0))</f>
        <v>0</v>
      </c>
    </row>
    <row r="947" customFormat="false" ht="15" hidden="false" customHeight="false" outlineLevel="0" collapsed="false">
      <c r="A947" s="12"/>
      <c r="B947" s="13"/>
      <c r="C947" s="14"/>
      <c r="D947" s="14"/>
      <c r="E947" s="15"/>
      <c r="F947" s="16" t="str">
        <f aca="false">IF(OR(C947="",D947="",E947=""),"",C947*D947*E947)</f>
        <v/>
      </c>
      <c r="G947" s="17" t="str">
        <f aca="false">IF(OR(D947="",E947=""),"",E947*(1+D947/30))</f>
        <v/>
      </c>
      <c r="H947" s="19" t="n">
        <f aca="false">IF(G947="",0,G947)</f>
        <v>0</v>
      </c>
      <c r="I947" s="18" t="str">
        <f aca="false">IF(H947&gt;0,IF(H947&gt;=SUMPRODUCT(MAX(($B$5:$B$2004=B947)*$H$5:$H$2004)),"Rekor",""),"")</f>
        <v/>
      </c>
      <c r="J947" s="19" t="n">
        <f aca="false">IF(A947="",0,IF(COUNTIF(A$5:A947,A947)=1,1,0))</f>
        <v>0</v>
      </c>
    </row>
    <row r="948" customFormat="false" ht="15" hidden="false" customHeight="false" outlineLevel="0" collapsed="false">
      <c r="A948" s="12"/>
      <c r="B948" s="13"/>
      <c r="C948" s="14"/>
      <c r="D948" s="14"/>
      <c r="E948" s="15"/>
      <c r="F948" s="16" t="str">
        <f aca="false">IF(OR(C948="",D948="",E948=""),"",C948*D948*E948)</f>
        <v/>
      </c>
      <c r="G948" s="17" t="str">
        <f aca="false">IF(OR(D948="",E948=""),"",E948*(1+D948/30))</f>
        <v/>
      </c>
      <c r="H948" s="19" t="n">
        <f aca="false">IF(G948="",0,G948)</f>
        <v>0</v>
      </c>
      <c r="I948" s="18" t="str">
        <f aca="false">IF(H948&gt;0,IF(H948&gt;=SUMPRODUCT(MAX(($B$5:$B$2004=B948)*$H$5:$H$2004)),"Rekor",""),"")</f>
        <v/>
      </c>
      <c r="J948" s="19" t="n">
        <f aca="false">IF(A948="",0,IF(COUNTIF(A$5:A948,A948)=1,1,0))</f>
        <v>0</v>
      </c>
    </row>
    <row r="949" customFormat="false" ht="15" hidden="false" customHeight="false" outlineLevel="0" collapsed="false">
      <c r="A949" s="12"/>
      <c r="B949" s="13"/>
      <c r="C949" s="14"/>
      <c r="D949" s="14"/>
      <c r="E949" s="15"/>
      <c r="F949" s="16" t="str">
        <f aca="false">IF(OR(C949="",D949="",E949=""),"",C949*D949*E949)</f>
        <v/>
      </c>
      <c r="G949" s="17" t="str">
        <f aca="false">IF(OR(D949="",E949=""),"",E949*(1+D949/30))</f>
        <v/>
      </c>
      <c r="H949" s="19" t="n">
        <f aca="false">IF(G949="",0,G949)</f>
        <v>0</v>
      </c>
      <c r="I949" s="18" t="str">
        <f aca="false">IF(H949&gt;0,IF(H949&gt;=SUMPRODUCT(MAX(($B$5:$B$2004=B949)*$H$5:$H$2004)),"Rekor",""),"")</f>
        <v/>
      </c>
      <c r="J949" s="19" t="n">
        <f aca="false">IF(A949="",0,IF(COUNTIF(A$5:A949,A949)=1,1,0))</f>
        <v>0</v>
      </c>
    </row>
    <row r="950" customFormat="false" ht="15" hidden="false" customHeight="false" outlineLevel="0" collapsed="false">
      <c r="A950" s="12"/>
      <c r="B950" s="13"/>
      <c r="C950" s="14"/>
      <c r="D950" s="14"/>
      <c r="E950" s="15"/>
      <c r="F950" s="16" t="str">
        <f aca="false">IF(OR(C950="",D950="",E950=""),"",C950*D950*E950)</f>
        <v/>
      </c>
      <c r="G950" s="17" t="str">
        <f aca="false">IF(OR(D950="",E950=""),"",E950*(1+D950/30))</f>
        <v/>
      </c>
      <c r="H950" s="19" t="n">
        <f aca="false">IF(G950="",0,G950)</f>
        <v>0</v>
      </c>
      <c r="I950" s="18" t="str">
        <f aca="false">IF(H950&gt;0,IF(H950&gt;=SUMPRODUCT(MAX(($B$5:$B$2004=B950)*$H$5:$H$2004)),"Rekor",""),"")</f>
        <v/>
      </c>
      <c r="J950" s="19" t="n">
        <f aca="false">IF(A950="",0,IF(COUNTIF(A$5:A950,A950)=1,1,0))</f>
        <v>0</v>
      </c>
    </row>
    <row r="951" customFormat="false" ht="15" hidden="false" customHeight="false" outlineLevel="0" collapsed="false">
      <c r="A951" s="12"/>
      <c r="B951" s="13"/>
      <c r="C951" s="14"/>
      <c r="D951" s="14"/>
      <c r="E951" s="15"/>
      <c r="F951" s="16" t="str">
        <f aca="false">IF(OR(C951="",D951="",E951=""),"",C951*D951*E951)</f>
        <v/>
      </c>
      <c r="G951" s="17" t="str">
        <f aca="false">IF(OR(D951="",E951=""),"",E951*(1+D951/30))</f>
        <v/>
      </c>
      <c r="H951" s="19" t="n">
        <f aca="false">IF(G951="",0,G951)</f>
        <v>0</v>
      </c>
      <c r="I951" s="18" t="str">
        <f aca="false">IF(H951&gt;0,IF(H951&gt;=SUMPRODUCT(MAX(($B$5:$B$2004=B951)*$H$5:$H$2004)),"Rekor",""),"")</f>
        <v/>
      </c>
      <c r="J951" s="19" t="n">
        <f aca="false">IF(A951="",0,IF(COUNTIF(A$5:A951,A951)=1,1,0))</f>
        <v>0</v>
      </c>
    </row>
    <row r="952" customFormat="false" ht="15" hidden="false" customHeight="false" outlineLevel="0" collapsed="false">
      <c r="A952" s="12"/>
      <c r="B952" s="13"/>
      <c r="C952" s="14"/>
      <c r="D952" s="14"/>
      <c r="E952" s="15"/>
      <c r="F952" s="16" t="str">
        <f aca="false">IF(OR(C952="",D952="",E952=""),"",C952*D952*E952)</f>
        <v/>
      </c>
      <c r="G952" s="17" t="str">
        <f aca="false">IF(OR(D952="",E952=""),"",E952*(1+D952/30))</f>
        <v/>
      </c>
      <c r="H952" s="19" t="n">
        <f aca="false">IF(G952="",0,G952)</f>
        <v>0</v>
      </c>
      <c r="I952" s="18" t="str">
        <f aca="false">IF(H952&gt;0,IF(H952&gt;=SUMPRODUCT(MAX(($B$5:$B$2004=B952)*$H$5:$H$2004)),"Rekor",""),"")</f>
        <v/>
      </c>
      <c r="J952" s="19" t="n">
        <f aca="false">IF(A952="",0,IF(COUNTIF(A$5:A952,A952)=1,1,0))</f>
        <v>0</v>
      </c>
    </row>
    <row r="953" customFormat="false" ht="15" hidden="false" customHeight="false" outlineLevel="0" collapsed="false">
      <c r="A953" s="12"/>
      <c r="B953" s="13"/>
      <c r="C953" s="14"/>
      <c r="D953" s="14"/>
      <c r="E953" s="15"/>
      <c r="F953" s="16" t="str">
        <f aca="false">IF(OR(C953="",D953="",E953=""),"",C953*D953*E953)</f>
        <v/>
      </c>
      <c r="G953" s="17" t="str">
        <f aca="false">IF(OR(D953="",E953=""),"",E953*(1+D953/30))</f>
        <v/>
      </c>
      <c r="H953" s="19" t="n">
        <f aca="false">IF(G953="",0,G953)</f>
        <v>0</v>
      </c>
      <c r="I953" s="18" t="str">
        <f aca="false">IF(H953&gt;0,IF(H953&gt;=SUMPRODUCT(MAX(($B$5:$B$2004=B953)*$H$5:$H$2004)),"Rekor",""),"")</f>
        <v/>
      </c>
      <c r="J953" s="19" t="n">
        <f aca="false">IF(A953="",0,IF(COUNTIF(A$5:A953,A953)=1,1,0))</f>
        <v>0</v>
      </c>
    </row>
    <row r="954" customFormat="false" ht="15" hidden="false" customHeight="false" outlineLevel="0" collapsed="false">
      <c r="A954" s="12"/>
      <c r="B954" s="13"/>
      <c r="C954" s="14"/>
      <c r="D954" s="14"/>
      <c r="E954" s="15"/>
      <c r="F954" s="16" t="str">
        <f aca="false">IF(OR(C954="",D954="",E954=""),"",C954*D954*E954)</f>
        <v/>
      </c>
      <c r="G954" s="17" t="str">
        <f aca="false">IF(OR(D954="",E954=""),"",E954*(1+D954/30))</f>
        <v/>
      </c>
      <c r="H954" s="19" t="n">
        <f aca="false">IF(G954="",0,G954)</f>
        <v>0</v>
      </c>
      <c r="I954" s="18" t="str">
        <f aca="false">IF(H954&gt;0,IF(H954&gt;=SUMPRODUCT(MAX(($B$5:$B$2004=B954)*$H$5:$H$2004)),"Rekor",""),"")</f>
        <v/>
      </c>
      <c r="J954" s="19" t="n">
        <f aca="false">IF(A954="",0,IF(COUNTIF(A$5:A954,A954)=1,1,0))</f>
        <v>0</v>
      </c>
    </row>
    <row r="955" customFormat="false" ht="15" hidden="false" customHeight="false" outlineLevel="0" collapsed="false">
      <c r="A955" s="12"/>
      <c r="B955" s="13"/>
      <c r="C955" s="14"/>
      <c r="D955" s="14"/>
      <c r="E955" s="15"/>
      <c r="F955" s="16" t="str">
        <f aca="false">IF(OR(C955="",D955="",E955=""),"",C955*D955*E955)</f>
        <v/>
      </c>
      <c r="G955" s="17" t="str">
        <f aca="false">IF(OR(D955="",E955=""),"",E955*(1+D955/30))</f>
        <v/>
      </c>
      <c r="H955" s="19" t="n">
        <f aca="false">IF(G955="",0,G955)</f>
        <v>0</v>
      </c>
      <c r="I955" s="18" t="str">
        <f aca="false">IF(H955&gt;0,IF(H955&gt;=SUMPRODUCT(MAX(($B$5:$B$2004=B955)*$H$5:$H$2004)),"Rekor",""),"")</f>
        <v/>
      </c>
      <c r="J955" s="19" t="n">
        <f aca="false">IF(A955="",0,IF(COUNTIF(A$5:A955,A955)=1,1,0))</f>
        <v>0</v>
      </c>
    </row>
    <row r="956" customFormat="false" ht="15" hidden="false" customHeight="false" outlineLevel="0" collapsed="false">
      <c r="A956" s="12"/>
      <c r="B956" s="13"/>
      <c r="C956" s="14"/>
      <c r="D956" s="14"/>
      <c r="E956" s="15"/>
      <c r="F956" s="16" t="str">
        <f aca="false">IF(OR(C956="",D956="",E956=""),"",C956*D956*E956)</f>
        <v/>
      </c>
      <c r="G956" s="17" t="str">
        <f aca="false">IF(OR(D956="",E956=""),"",E956*(1+D956/30))</f>
        <v/>
      </c>
      <c r="H956" s="19" t="n">
        <f aca="false">IF(G956="",0,G956)</f>
        <v>0</v>
      </c>
      <c r="I956" s="18" t="str">
        <f aca="false">IF(H956&gt;0,IF(H956&gt;=SUMPRODUCT(MAX(($B$5:$B$2004=B956)*$H$5:$H$2004)),"Rekor",""),"")</f>
        <v/>
      </c>
      <c r="J956" s="19" t="n">
        <f aca="false">IF(A956="",0,IF(COUNTIF(A$5:A956,A956)=1,1,0))</f>
        <v>0</v>
      </c>
    </row>
    <row r="957" customFormat="false" ht="15" hidden="false" customHeight="false" outlineLevel="0" collapsed="false">
      <c r="A957" s="12"/>
      <c r="B957" s="13"/>
      <c r="C957" s="14"/>
      <c r="D957" s="14"/>
      <c r="E957" s="15"/>
      <c r="F957" s="16" t="str">
        <f aca="false">IF(OR(C957="",D957="",E957=""),"",C957*D957*E957)</f>
        <v/>
      </c>
      <c r="G957" s="17" t="str">
        <f aca="false">IF(OR(D957="",E957=""),"",E957*(1+D957/30))</f>
        <v/>
      </c>
      <c r="H957" s="19" t="n">
        <f aca="false">IF(G957="",0,G957)</f>
        <v>0</v>
      </c>
      <c r="I957" s="18" t="str">
        <f aca="false">IF(H957&gt;0,IF(H957&gt;=SUMPRODUCT(MAX(($B$5:$B$2004=B957)*$H$5:$H$2004)),"Rekor",""),"")</f>
        <v/>
      </c>
      <c r="J957" s="19" t="n">
        <f aca="false">IF(A957="",0,IF(COUNTIF(A$5:A957,A957)=1,1,0))</f>
        <v>0</v>
      </c>
    </row>
    <row r="958" customFormat="false" ht="15" hidden="false" customHeight="false" outlineLevel="0" collapsed="false">
      <c r="A958" s="12"/>
      <c r="B958" s="13"/>
      <c r="C958" s="14"/>
      <c r="D958" s="14"/>
      <c r="E958" s="15"/>
      <c r="F958" s="16" t="str">
        <f aca="false">IF(OR(C958="",D958="",E958=""),"",C958*D958*E958)</f>
        <v/>
      </c>
      <c r="G958" s="17" t="str">
        <f aca="false">IF(OR(D958="",E958=""),"",E958*(1+D958/30))</f>
        <v/>
      </c>
      <c r="H958" s="19" t="n">
        <f aca="false">IF(G958="",0,G958)</f>
        <v>0</v>
      </c>
      <c r="I958" s="18" t="str">
        <f aca="false">IF(H958&gt;0,IF(H958&gt;=SUMPRODUCT(MAX(($B$5:$B$2004=B958)*$H$5:$H$2004)),"Rekor",""),"")</f>
        <v/>
      </c>
      <c r="J958" s="19" t="n">
        <f aca="false">IF(A958="",0,IF(COUNTIF(A$5:A958,A958)=1,1,0))</f>
        <v>0</v>
      </c>
    </row>
    <row r="959" customFormat="false" ht="15" hidden="false" customHeight="false" outlineLevel="0" collapsed="false">
      <c r="A959" s="12"/>
      <c r="B959" s="13"/>
      <c r="C959" s="14"/>
      <c r="D959" s="14"/>
      <c r="E959" s="15"/>
      <c r="F959" s="16" t="str">
        <f aca="false">IF(OR(C959="",D959="",E959=""),"",C959*D959*E959)</f>
        <v/>
      </c>
      <c r="G959" s="17" t="str">
        <f aca="false">IF(OR(D959="",E959=""),"",E959*(1+D959/30))</f>
        <v/>
      </c>
      <c r="H959" s="19" t="n">
        <f aca="false">IF(G959="",0,G959)</f>
        <v>0</v>
      </c>
      <c r="I959" s="18" t="str">
        <f aca="false">IF(H959&gt;0,IF(H959&gt;=SUMPRODUCT(MAX(($B$5:$B$2004=B959)*$H$5:$H$2004)),"Rekor",""),"")</f>
        <v/>
      </c>
      <c r="J959" s="19" t="n">
        <f aca="false">IF(A959="",0,IF(COUNTIF(A$5:A959,A959)=1,1,0))</f>
        <v>0</v>
      </c>
    </row>
    <row r="960" customFormat="false" ht="15" hidden="false" customHeight="false" outlineLevel="0" collapsed="false">
      <c r="A960" s="12"/>
      <c r="B960" s="13"/>
      <c r="C960" s="14"/>
      <c r="D960" s="14"/>
      <c r="E960" s="15"/>
      <c r="F960" s="16" t="str">
        <f aca="false">IF(OR(C960="",D960="",E960=""),"",C960*D960*E960)</f>
        <v/>
      </c>
      <c r="G960" s="17" t="str">
        <f aca="false">IF(OR(D960="",E960=""),"",E960*(1+D960/30))</f>
        <v/>
      </c>
      <c r="H960" s="19" t="n">
        <f aca="false">IF(G960="",0,G960)</f>
        <v>0</v>
      </c>
      <c r="I960" s="18" t="str">
        <f aca="false">IF(H960&gt;0,IF(H960&gt;=SUMPRODUCT(MAX(($B$5:$B$2004=B960)*$H$5:$H$2004)),"Rekor",""),"")</f>
        <v/>
      </c>
      <c r="J960" s="19" t="n">
        <f aca="false">IF(A960="",0,IF(COUNTIF(A$5:A960,A960)=1,1,0))</f>
        <v>0</v>
      </c>
    </row>
    <row r="961" customFormat="false" ht="15" hidden="false" customHeight="false" outlineLevel="0" collapsed="false">
      <c r="A961" s="12"/>
      <c r="B961" s="13"/>
      <c r="C961" s="14"/>
      <c r="D961" s="14"/>
      <c r="E961" s="15"/>
      <c r="F961" s="16" t="str">
        <f aca="false">IF(OR(C961="",D961="",E961=""),"",C961*D961*E961)</f>
        <v/>
      </c>
      <c r="G961" s="17" t="str">
        <f aca="false">IF(OR(D961="",E961=""),"",E961*(1+D961/30))</f>
        <v/>
      </c>
      <c r="H961" s="19" t="n">
        <f aca="false">IF(G961="",0,G961)</f>
        <v>0</v>
      </c>
      <c r="I961" s="18" t="str">
        <f aca="false">IF(H961&gt;0,IF(H961&gt;=SUMPRODUCT(MAX(($B$5:$B$2004=B961)*$H$5:$H$2004)),"Rekor",""),"")</f>
        <v/>
      </c>
      <c r="J961" s="19" t="n">
        <f aca="false">IF(A961="",0,IF(COUNTIF(A$5:A961,A961)=1,1,0))</f>
        <v>0</v>
      </c>
    </row>
    <row r="962" customFormat="false" ht="15" hidden="false" customHeight="false" outlineLevel="0" collapsed="false">
      <c r="A962" s="12"/>
      <c r="B962" s="13"/>
      <c r="C962" s="14"/>
      <c r="D962" s="14"/>
      <c r="E962" s="15"/>
      <c r="F962" s="16" t="str">
        <f aca="false">IF(OR(C962="",D962="",E962=""),"",C962*D962*E962)</f>
        <v/>
      </c>
      <c r="G962" s="17" t="str">
        <f aca="false">IF(OR(D962="",E962=""),"",E962*(1+D962/30))</f>
        <v/>
      </c>
      <c r="H962" s="19" t="n">
        <f aca="false">IF(G962="",0,G962)</f>
        <v>0</v>
      </c>
      <c r="I962" s="18" t="str">
        <f aca="false">IF(H962&gt;0,IF(H962&gt;=SUMPRODUCT(MAX(($B$5:$B$2004=B962)*$H$5:$H$2004)),"Rekor",""),"")</f>
        <v/>
      </c>
      <c r="J962" s="19" t="n">
        <f aca="false">IF(A962="",0,IF(COUNTIF(A$5:A962,A962)=1,1,0))</f>
        <v>0</v>
      </c>
    </row>
    <row r="963" customFormat="false" ht="15" hidden="false" customHeight="false" outlineLevel="0" collapsed="false">
      <c r="A963" s="12"/>
      <c r="B963" s="13"/>
      <c r="C963" s="14"/>
      <c r="D963" s="14"/>
      <c r="E963" s="15"/>
      <c r="F963" s="16" t="str">
        <f aca="false">IF(OR(C963="",D963="",E963=""),"",C963*D963*E963)</f>
        <v/>
      </c>
      <c r="G963" s="17" t="str">
        <f aca="false">IF(OR(D963="",E963=""),"",E963*(1+D963/30))</f>
        <v/>
      </c>
      <c r="H963" s="19" t="n">
        <f aca="false">IF(G963="",0,G963)</f>
        <v>0</v>
      </c>
      <c r="I963" s="18" t="str">
        <f aca="false">IF(H963&gt;0,IF(H963&gt;=SUMPRODUCT(MAX(($B$5:$B$2004=B963)*$H$5:$H$2004)),"Rekor",""),"")</f>
        <v/>
      </c>
      <c r="J963" s="19" t="n">
        <f aca="false">IF(A963="",0,IF(COUNTIF(A$5:A963,A963)=1,1,0))</f>
        <v>0</v>
      </c>
    </row>
    <row r="964" customFormat="false" ht="15" hidden="false" customHeight="false" outlineLevel="0" collapsed="false">
      <c r="A964" s="12"/>
      <c r="B964" s="13"/>
      <c r="C964" s="14"/>
      <c r="D964" s="14"/>
      <c r="E964" s="15"/>
      <c r="F964" s="16" t="str">
        <f aca="false">IF(OR(C964="",D964="",E964=""),"",C964*D964*E964)</f>
        <v/>
      </c>
      <c r="G964" s="17" t="str">
        <f aca="false">IF(OR(D964="",E964=""),"",E964*(1+D964/30))</f>
        <v/>
      </c>
      <c r="H964" s="19" t="n">
        <f aca="false">IF(G964="",0,G964)</f>
        <v>0</v>
      </c>
      <c r="I964" s="18" t="str">
        <f aca="false">IF(H964&gt;0,IF(H964&gt;=SUMPRODUCT(MAX(($B$5:$B$2004=B964)*$H$5:$H$2004)),"Rekor",""),"")</f>
        <v/>
      </c>
      <c r="J964" s="19" t="n">
        <f aca="false">IF(A964="",0,IF(COUNTIF(A$5:A964,A964)=1,1,0))</f>
        <v>0</v>
      </c>
    </row>
    <row r="965" customFormat="false" ht="15" hidden="false" customHeight="false" outlineLevel="0" collapsed="false">
      <c r="A965" s="12"/>
      <c r="B965" s="13"/>
      <c r="C965" s="14"/>
      <c r="D965" s="14"/>
      <c r="E965" s="15"/>
      <c r="F965" s="16" t="str">
        <f aca="false">IF(OR(C965="",D965="",E965=""),"",C965*D965*E965)</f>
        <v/>
      </c>
      <c r="G965" s="17" t="str">
        <f aca="false">IF(OR(D965="",E965=""),"",E965*(1+D965/30))</f>
        <v/>
      </c>
      <c r="H965" s="19" t="n">
        <f aca="false">IF(G965="",0,G965)</f>
        <v>0</v>
      </c>
      <c r="I965" s="18" t="str">
        <f aca="false">IF(H965&gt;0,IF(H965&gt;=SUMPRODUCT(MAX(($B$5:$B$2004=B965)*$H$5:$H$2004)),"Rekor",""),"")</f>
        <v/>
      </c>
      <c r="J965" s="19" t="n">
        <f aca="false">IF(A965="",0,IF(COUNTIF(A$5:A965,A965)=1,1,0))</f>
        <v>0</v>
      </c>
    </row>
    <row r="966" customFormat="false" ht="15" hidden="false" customHeight="false" outlineLevel="0" collapsed="false">
      <c r="A966" s="12"/>
      <c r="B966" s="13"/>
      <c r="C966" s="14"/>
      <c r="D966" s="14"/>
      <c r="E966" s="15"/>
      <c r="F966" s="16" t="str">
        <f aca="false">IF(OR(C966="",D966="",E966=""),"",C966*D966*E966)</f>
        <v/>
      </c>
      <c r="G966" s="17" t="str">
        <f aca="false">IF(OR(D966="",E966=""),"",E966*(1+D966/30))</f>
        <v/>
      </c>
      <c r="H966" s="19" t="n">
        <f aca="false">IF(G966="",0,G966)</f>
        <v>0</v>
      </c>
      <c r="I966" s="18" t="str">
        <f aca="false">IF(H966&gt;0,IF(H966&gt;=SUMPRODUCT(MAX(($B$5:$B$2004=B966)*$H$5:$H$2004)),"Rekor",""),"")</f>
        <v/>
      </c>
      <c r="J966" s="19" t="n">
        <f aca="false">IF(A966="",0,IF(COUNTIF(A$5:A966,A966)=1,1,0))</f>
        <v>0</v>
      </c>
    </row>
    <row r="967" customFormat="false" ht="15" hidden="false" customHeight="false" outlineLevel="0" collapsed="false">
      <c r="A967" s="12"/>
      <c r="B967" s="13"/>
      <c r="C967" s="14"/>
      <c r="D967" s="14"/>
      <c r="E967" s="15"/>
      <c r="F967" s="16" t="str">
        <f aca="false">IF(OR(C967="",D967="",E967=""),"",C967*D967*E967)</f>
        <v/>
      </c>
      <c r="G967" s="17" t="str">
        <f aca="false">IF(OR(D967="",E967=""),"",E967*(1+D967/30))</f>
        <v/>
      </c>
      <c r="H967" s="19" t="n">
        <f aca="false">IF(G967="",0,G967)</f>
        <v>0</v>
      </c>
      <c r="I967" s="18" t="str">
        <f aca="false">IF(H967&gt;0,IF(H967&gt;=SUMPRODUCT(MAX(($B$5:$B$2004=B967)*$H$5:$H$2004)),"Rekor",""),"")</f>
        <v/>
      </c>
      <c r="J967" s="19" t="n">
        <f aca="false">IF(A967="",0,IF(COUNTIF(A$5:A967,A967)=1,1,0))</f>
        <v>0</v>
      </c>
    </row>
    <row r="968" customFormat="false" ht="15" hidden="false" customHeight="false" outlineLevel="0" collapsed="false">
      <c r="A968" s="12"/>
      <c r="B968" s="13"/>
      <c r="C968" s="14"/>
      <c r="D968" s="14"/>
      <c r="E968" s="15"/>
      <c r="F968" s="16" t="str">
        <f aca="false">IF(OR(C968="",D968="",E968=""),"",C968*D968*E968)</f>
        <v/>
      </c>
      <c r="G968" s="17" t="str">
        <f aca="false">IF(OR(D968="",E968=""),"",E968*(1+D968/30))</f>
        <v/>
      </c>
      <c r="H968" s="19" t="n">
        <f aca="false">IF(G968="",0,G968)</f>
        <v>0</v>
      </c>
      <c r="I968" s="18" t="str">
        <f aca="false">IF(H968&gt;0,IF(H968&gt;=SUMPRODUCT(MAX(($B$5:$B$2004=B968)*$H$5:$H$2004)),"Rekor",""),"")</f>
        <v/>
      </c>
      <c r="J968" s="19" t="n">
        <f aca="false">IF(A968="",0,IF(COUNTIF(A$5:A968,A968)=1,1,0))</f>
        <v>0</v>
      </c>
    </row>
    <row r="969" customFormat="false" ht="15" hidden="false" customHeight="false" outlineLevel="0" collapsed="false">
      <c r="A969" s="12"/>
      <c r="B969" s="13"/>
      <c r="C969" s="14"/>
      <c r="D969" s="14"/>
      <c r="E969" s="15"/>
      <c r="F969" s="16" t="str">
        <f aca="false">IF(OR(C969="",D969="",E969=""),"",C969*D969*E969)</f>
        <v/>
      </c>
      <c r="G969" s="17" t="str">
        <f aca="false">IF(OR(D969="",E969=""),"",E969*(1+D969/30))</f>
        <v/>
      </c>
      <c r="H969" s="19" t="n">
        <f aca="false">IF(G969="",0,G969)</f>
        <v>0</v>
      </c>
      <c r="I969" s="18" t="str">
        <f aca="false">IF(H969&gt;0,IF(H969&gt;=SUMPRODUCT(MAX(($B$5:$B$2004=B969)*$H$5:$H$2004)),"Rekor",""),"")</f>
        <v/>
      </c>
      <c r="J969" s="19" t="n">
        <f aca="false">IF(A969="",0,IF(COUNTIF(A$5:A969,A969)=1,1,0))</f>
        <v>0</v>
      </c>
    </row>
    <row r="970" customFormat="false" ht="15" hidden="false" customHeight="false" outlineLevel="0" collapsed="false">
      <c r="A970" s="12"/>
      <c r="B970" s="13"/>
      <c r="C970" s="14"/>
      <c r="D970" s="14"/>
      <c r="E970" s="15"/>
      <c r="F970" s="16" t="str">
        <f aca="false">IF(OR(C970="",D970="",E970=""),"",C970*D970*E970)</f>
        <v/>
      </c>
      <c r="G970" s="17" t="str">
        <f aca="false">IF(OR(D970="",E970=""),"",E970*(1+D970/30))</f>
        <v/>
      </c>
      <c r="H970" s="19" t="n">
        <f aca="false">IF(G970="",0,G970)</f>
        <v>0</v>
      </c>
      <c r="I970" s="18" t="str">
        <f aca="false">IF(H970&gt;0,IF(H970&gt;=SUMPRODUCT(MAX(($B$5:$B$2004=B970)*$H$5:$H$2004)),"Rekor",""),"")</f>
        <v/>
      </c>
      <c r="J970" s="19" t="n">
        <f aca="false">IF(A970="",0,IF(COUNTIF(A$5:A970,A970)=1,1,0))</f>
        <v>0</v>
      </c>
    </row>
    <row r="971" customFormat="false" ht="15" hidden="false" customHeight="false" outlineLevel="0" collapsed="false">
      <c r="A971" s="12"/>
      <c r="B971" s="13"/>
      <c r="C971" s="14"/>
      <c r="D971" s="14"/>
      <c r="E971" s="15"/>
      <c r="F971" s="16" t="str">
        <f aca="false">IF(OR(C971="",D971="",E971=""),"",C971*D971*E971)</f>
        <v/>
      </c>
      <c r="G971" s="17" t="str">
        <f aca="false">IF(OR(D971="",E971=""),"",E971*(1+D971/30))</f>
        <v/>
      </c>
      <c r="H971" s="19" t="n">
        <f aca="false">IF(G971="",0,G971)</f>
        <v>0</v>
      </c>
      <c r="I971" s="18" t="str">
        <f aca="false">IF(H971&gt;0,IF(H971&gt;=SUMPRODUCT(MAX(($B$5:$B$2004=B971)*$H$5:$H$2004)),"Rekor",""),"")</f>
        <v/>
      </c>
      <c r="J971" s="19" t="n">
        <f aca="false">IF(A971="",0,IF(COUNTIF(A$5:A971,A971)=1,1,0))</f>
        <v>0</v>
      </c>
    </row>
    <row r="972" customFormat="false" ht="15" hidden="false" customHeight="false" outlineLevel="0" collapsed="false">
      <c r="A972" s="12"/>
      <c r="B972" s="13"/>
      <c r="C972" s="14"/>
      <c r="D972" s="14"/>
      <c r="E972" s="15"/>
      <c r="F972" s="16" t="str">
        <f aca="false">IF(OR(C972="",D972="",E972=""),"",C972*D972*E972)</f>
        <v/>
      </c>
      <c r="G972" s="17" t="str">
        <f aca="false">IF(OR(D972="",E972=""),"",E972*(1+D972/30))</f>
        <v/>
      </c>
      <c r="H972" s="19" t="n">
        <f aca="false">IF(G972="",0,G972)</f>
        <v>0</v>
      </c>
      <c r="I972" s="18" t="str">
        <f aca="false">IF(H972&gt;0,IF(H972&gt;=SUMPRODUCT(MAX(($B$5:$B$2004=B972)*$H$5:$H$2004)),"Rekor",""),"")</f>
        <v/>
      </c>
      <c r="J972" s="19" t="n">
        <f aca="false">IF(A972="",0,IF(COUNTIF(A$5:A972,A972)=1,1,0))</f>
        <v>0</v>
      </c>
    </row>
    <row r="973" customFormat="false" ht="15" hidden="false" customHeight="false" outlineLevel="0" collapsed="false">
      <c r="A973" s="12"/>
      <c r="B973" s="13"/>
      <c r="C973" s="14"/>
      <c r="D973" s="14"/>
      <c r="E973" s="15"/>
      <c r="F973" s="16" t="str">
        <f aca="false">IF(OR(C973="",D973="",E973=""),"",C973*D973*E973)</f>
        <v/>
      </c>
      <c r="G973" s="17" t="str">
        <f aca="false">IF(OR(D973="",E973=""),"",E973*(1+D973/30))</f>
        <v/>
      </c>
      <c r="H973" s="19" t="n">
        <f aca="false">IF(G973="",0,G973)</f>
        <v>0</v>
      </c>
      <c r="I973" s="18" t="str">
        <f aca="false">IF(H973&gt;0,IF(H973&gt;=SUMPRODUCT(MAX(($B$5:$B$2004=B973)*$H$5:$H$2004)),"Rekor",""),"")</f>
        <v/>
      </c>
      <c r="J973" s="19" t="n">
        <f aca="false">IF(A973="",0,IF(COUNTIF(A$5:A973,A973)=1,1,0))</f>
        <v>0</v>
      </c>
    </row>
    <row r="974" customFormat="false" ht="15" hidden="false" customHeight="false" outlineLevel="0" collapsed="false">
      <c r="A974" s="12"/>
      <c r="B974" s="13"/>
      <c r="C974" s="14"/>
      <c r="D974" s="14"/>
      <c r="E974" s="15"/>
      <c r="F974" s="16" t="str">
        <f aca="false">IF(OR(C974="",D974="",E974=""),"",C974*D974*E974)</f>
        <v/>
      </c>
      <c r="G974" s="17" t="str">
        <f aca="false">IF(OR(D974="",E974=""),"",E974*(1+D974/30))</f>
        <v/>
      </c>
      <c r="H974" s="19" t="n">
        <f aca="false">IF(G974="",0,G974)</f>
        <v>0</v>
      </c>
      <c r="I974" s="18" t="str">
        <f aca="false">IF(H974&gt;0,IF(H974&gt;=SUMPRODUCT(MAX(($B$5:$B$2004=B974)*$H$5:$H$2004)),"Rekor",""),"")</f>
        <v/>
      </c>
      <c r="J974" s="19" t="n">
        <f aca="false">IF(A974="",0,IF(COUNTIF(A$5:A974,A974)=1,1,0))</f>
        <v>0</v>
      </c>
    </row>
    <row r="975" customFormat="false" ht="15" hidden="false" customHeight="false" outlineLevel="0" collapsed="false">
      <c r="A975" s="12"/>
      <c r="B975" s="13"/>
      <c r="C975" s="14"/>
      <c r="D975" s="14"/>
      <c r="E975" s="15"/>
      <c r="F975" s="16" t="str">
        <f aca="false">IF(OR(C975="",D975="",E975=""),"",C975*D975*E975)</f>
        <v/>
      </c>
      <c r="G975" s="17" t="str">
        <f aca="false">IF(OR(D975="",E975=""),"",E975*(1+D975/30))</f>
        <v/>
      </c>
      <c r="H975" s="19" t="n">
        <f aca="false">IF(G975="",0,G975)</f>
        <v>0</v>
      </c>
      <c r="I975" s="18" t="str">
        <f aca="false">IF(H975&gt;0,IF(H975&gt;=SUMPRODUCT(MAX(($B$5:$B$2004=B975)*$H$5:$H$2004)),"Rekor",""),"")</f>
        <v/>
      </c>
      <c r="J975" s="19" t="n">
        <f aca="false">IF(A975="",0,IF(COUNTIF(A$5:A975,A975)=1,1,0))</f>
        <v>0</v>
      </c>
    </row>
    <row r="976" customFormat="false" ht="15" hidden="false" customHeight="false" outlineLevel="0" collapsed="false">
      <c r="A976" s="12"/>
      <c r="B976" s="13"/>
      <c r="C976" s="14"/>
      <c r="D976" s="14"/>
      <c r="E976" s="15"/>
      <c r="F976" s="16" t="str">
        <f aca="false">IF(OR(C976="",D976="",E976=""),"",C976*D976*E976)</f>
        <v/>
      </c>
      <c r="G976" s="17" t="str">
        <f aca="false">IF(OR(D976="",E976=""),"",E976*(1+D976/30))</f>
        <v/>
      </c>
      <c r="H976" s="19" t="n">
        <f aca="false">IF(G976="",0,G976)</f>
        <v>0</v>
      </c>
      <c r="I976" s="18" t="str">
        <f aca="false">IF(H976&gt;0,IF(H976&gt;=SUMPRODUCT(MAX(($B$5:$B$2004=B976)*$H$5:$H$2004)),"Rekor",""),"")</f>
        <v/>
      </c>
      <c r="J976" s="19" t="n">
        <f aca="false">IF(A976="",0,IF(COUNTIF(A$5:A976,A976)=1,1,0))</f>
        <v>0</v>
      </c>
    </row>
    <row r="977" customFormat="false" ht="15" hidden="false" customHeight="false" outlineLevel="0" collapsed="false">
      <c r="A977" s="12"/>
      <c r="B977" s="13"/>
      <c r="C977" s="14"/>
      <c r="D977" s="14"/>
      <c r="E977" s="15"/>
      <c r="F977" s="16" t="str">
        <f aca="false">IF(OR(C977="",D977="",E977=""),"",C977*D977*E977)</f>
        <v/>
      </c>
      <c r="G977" s="17" t="str">
        <f aca="false">IF(OR(D977="",E977=""),"",E977*(1+D977/30))</f>
        <v/>
      </c>
      <c r="H977" s="19" t="n">
        <f aca="false">IF(G977="",0,G977)</f>
        <v>0</v>
      </c>
      <c r="I977" s="18" t="str">
        <f aca="false">IF(H977&gt;0,IF(H977&gt;=SUMPRODUCT(MAX(($B$5:$B$2004=B977)*$H$5:$H$2004)),"Rekor",""),"")</f>
        <v/>
      </c>
      <c r="J977" s="19" t="n">
        <f aca="false">IF(A977="",0,IF(COUNTIF(A$5:A977,A977)=1,1,0))</f>
        <v>0</v>
      </c>
    </row>
    <row r="978" customFormat="false" ht="15" hidden="false" customHeight="false" outlineLevel="0" collapsed="false">
      <c r="A978" s="12"/>
      <c r="B978" s="13"/>
      <c r="C978" s="14"/>
      <c r="D978" s="14"/>
      <c r="E978" s="15"/>
      <c r="F978" s="16" t="str">
        <f aca="false">IF(OR(C978="",D978="",E978=""),"",C978*D978*E978)</f>
        <v/>
      </c>
      <c r="G978" s="17" t="str">
        <f aca="false">IF(OR(D978="",E978=""),"",E978*(1+D978/30))</f>
        <v/>
      </c>
      <c r="H978" s="19" t="n">
        <f aca="false">IF(G978="",0,G978)</f>
        <v>0</v>
      </c>
      <c r="I978" s="18" t="str">
        <f aca="false">IF(H978&gt;0,IF(H978&gt;=SUMPRODUCT(MAX(($B$5:$B$2004=B978)*$H$5:$H$2004)),"Rekor",""),"")</f>
        <v/>
      </c>
      <c r="J978" s="19" t="n">
        <f aca="false">IF(A978="",0,IF(COUNTIF(A$5:A978,A978)=1,1,0))</f>
        <v>0</v>
      </c>
    </row>
    <row r="979" customFormat="false" ht="15" hidden="false" customHeight="false" outlineLevel="0" collapsed="false">
      <c r="A979" s="12"/>
      <c r="B979" s="13"/>
      <c r="C979" s="14"/>
      <c r="D979" s="14"/>
      <c r="E979" s="15"/>
      <c r="F979" s="16" t="str">
        <f aca="false">IF(OR(C979="",D979="",E979=""),"",C979*D979*E979)</f>
        <v/>
      </c>
      <c r="G979" s="17" t="str">
        <f aca="false">IF(OR(D979="",E979=""),"",E979*(1+D979/30))</f>
        <v/>
      </c>
      <c r="H979" s="19" t="n">
        <f aca="false">IF(G979="",0,G979)</f>
        <v>0</v>
      </c>
      <c r="I979" s="18" t="str">
        <f aca="false">IF(H979&gt;0,IF(H979&gt;=SUMPRODUCT(MAX(($B$5:$B$2004=B979)*$H$5:$H$2004)),"Rekor",""),"")</f>
        <v/>
      </c>
      <c r="J979" s="19" t="n">
        <f aca="false">IF(A979="",0,IF(COUNTIF(A$5:A979,A979)=1,1,0))</f>
        <v>0</v>
      </c>
    </row>
    <row r="980" customFormat="false" ht="15" hidden="false" customHeight="false" outlineLevel="0" collapsed="false">
      <c r="A980" s="12"/>
      <c r="B980" s="13"/>
      <c r="C980" s="14"/>
      <c r="D980" s="14"/>
      <c r="E980" s="15"/>
      <c r="F980" s="16" t="str">
        <f aca="false">IF(OR(C980="",D980="",E980=""),"",C980*D980*E980)</f>
        <v/>
      </c>
      <c r="G980" s="17" t="str">
        <f aca="false">IF(OR(D980="",E980=""),"",E980*(1+D980/30))</f>
        <v/>
      </c>
      <c r="H980" s="19" t="n">
        <f aca="false">IF(G980="",0,G980)</f>
        <v>0</v>
      </c>
      <c r="I980" s="18" t="str">
        <f aca="false">IF(H980&gt;0,IF(H980&gt;=SUMPRODUCT(MAX(($B$5:$B$2004=B980)*$H$5:$H$2004)),"Rekor",""),"")</f>
        <v/>
      </c>
      <c r="J980" s="19" t="n">
        <f aca="false">IF(A980="",0,IF(COUNTIF(A$5:A980,A980)=1,1,0))</f>
        <v>0</v>
      </c>
    </row>
    <row r="981" customFormat="false" ht="15" hidden="false" customHeight="false" outlineLevel="0" collapsed="false">
      <c r="A981" s="12"/>
      <c r="B981" s="13"/>
      <c r="C981" s="14"/>
      <c r="D981" s="14"/>
      <c r="E981" s="15"/>
      <c r="F981" s="16" t="str">
        <f aca="false">IF(OR(C981="",D981="",E981=""),"",C981*D981*E981)</f>
        <v/>
      </c>
      <c r="G981" s="17" t="str">
        <f aca="false">IF(OR(D981="",E981=""),"",E981*(1+D981/30))</f>
        <v/>
      </c>
      <c r="H981" s="19" t="n">
        <f aca="false">IF(G981="",0,G981)</f>
        <v>0</v>
      </c>
      <c r="I981" s="18" t="str">
        <f aca="false">IF(H981&gt;0,IF(H981&gt;=SUMPRODUCT(MAX(($B$5:$B$2004=B981)*$H$5:$H$2004)),"Rekor",""),"")</f>
        <v/>
      </c>
      <c r="J981" s="19" t="n">
        <f aca="false">IF(A981="",0,IF(COUNTIF(A$5:A981,A981)=1,1,0))</f>
        <v>0</v>
      </c>
    </row>
    <row r="982" customFormat="false" ht="15" hidden="false" customHeight="false" outlineLevel="0" collapsed="false">
      <c r="A982" s="12"/>
      <c r="B982" s="13"/>
      <c r="C982" s="14"/>
      <c r="D982" s="14"/>
      <c r="E982" s="15"/>
      <c r="F982" s="16" t="str">
        <f aca="false">IF(OR(C982="",D982="",E982=""),"",C982*D982*E982)</f>
        <v/>
      </c>
      <c r="G982" s="17" t="str">
        <f aca="false">IF(OR(D982="",E982=""),"",E982*(1+D982/30))</f>
        <v/>
      </c>
      <c r="H982" s="19" t="n">
        <f aca="false">IF(G982="",0,G982)</f>
        <v>0</v>
      </c>
      <c r="I982" s="18" t="str">
        <f aca="false">IF(H982&gt;0,IF(H982&gt;=SUMPRODUCT(MAX(($B$5:$B$2004=B982)*$H$5:$H$2004)),"Rekor",""),"")</f>
        <v/>
      </c>
      <c r="J982" s="19" t="n">
        <f aca="false">IF(A982="",0,IF(COUNTIF(A$5:A982,A982)=1,1,0))</f>
        <v>0</v>
      </c>
    </row>
    <row r="983" customFormat="false" ht="15" hidden="false" customHeight="false" outlineLevel="0" collapsed="false">
      <c r="A983" s="12"/>
      <c r="B983" s="13"/>
      <c r="C983" s="14"/>
      <c r="D983" s="14"/>
      <c r="E983" s="15"/>
      <c r="F983" s="16" t="str">
        <f aca="false">IF(OR(C983="",D983="",E983=""),"",C983*D983*E983)</f>
        <v/>
      </c>
      <c r="G983" s="17" t="str">
        <f aca="false">IF(OR(D983="",E983=""),"",E983*(1+D983/30))</f>
        <v/>
      </c>
      <c r="H983" s="19" t="n">
        <f aca="false">IF(G983="",0,G983)</f>
        <v>0</v>
      </c>
      <c r="I983" s="18" t="str">
        <f aca="false">IF(H983&gt;0,IF(H983&gt;=SUMPRODUCT(MAX(($B$5:$B$2004=B983)*$H$5:$H$2004)),"Rekor",""),"")</f>
        <v/>
      </c>
      <c r="J983" s="19" t="n">
        <f aca="false">IF(A983="",0,IF(COUNTIF(A$5:A983,A983)=1,1,0))</f>
        <v>0</v>
      </c>
    </row>
    <row r="984" customFormat="false" ht="15" hidden="false" customHeight="false" outlineLevel="0" collapsed="false">
      <c r="A984" s="12"/>
      <c r="B984" s="13"/>
      <c r="C984" s="14"/>
      <c r="D984" s="14"/>
      <c r="E984" s="15"/>
      <c r="F984" s="16" t="str">
        <f aca="false">IF(OR(C984="",D984="",E984=""),"",C984*D984*E984)</f>
        <v/>
      </c>
      <c r="G984" s="17" t="str">
        <f aca="false">IF(OR(D984="",E984=""),"",E984*(1+D984/30))</f>
        <v/>
      </c>
      <c r="H984" s="19" t="n">
        <f aca="false">IF(G984="",0,G984)</f>
        <v>0</v>
      </c>
      <c r="I984" s="18" t="str">
        <f aca="false">IF(H984&gt;0,IF(H984&gt;=SUMPRODUCT(MAX(($B$5:$B$2004=B984)*$H$5:$H$2004)),"Rekor",""),"")</f>
        <v/>
      </c>
      <c r="J984" s="19" t="n">
        <f aca="false">IF(A984="",0,IF(COUNTIF(A$5:A984,A984)=1,1,0))</f>
        <v>0</v>
      </c>
    </row>
    <row r="985" customFormat="false" ht="15" hidden="false" customHeight="false" outlineLevel="0" collapsed="false">
      <c r="A985" s="12"/>
      <c r="B985" s="13"/>
      <c r="C985" s="14"/>
      <c r="D985" s="14"/>
      <c r="E985" s="15"/>
      <c r="F985" s="16" t="str">
        <f aca="false">IF(OR(C985="",D985="",E985=""),"",C985*D985*E985)</f>
        <v/>
      </c>
      <c r="G985" s="17" t="str">
        <f aca="false">IF(OR(D985="",E985=""),"",E985*(1+D985/30))</f>
        <v/>
      </c>
      <c r="H985" s="19" t="n">
        <f aca="false">IF(G985="",0,G985)</f>
        <v>0</v>
      </c>
      <c r="I985" s="18" t="str">
        <f aca="false">IF(H985&gt;0,IF(H985&gt;=SUMPRODUCT(MAX(($B$5:$B$2004=B985)*$H$5:$H$2004)),"Rekor",""),"")</f>
        <v/>
      </c>
      <c r="J985" s="19" t="n">
        <f aca="false">IF(A985="",0,IF(COUNTIF(A$5:A985,A985)=1,1,0))</f>
        <v>0</v>
      </c>
    </row>
    <row r="986" customFormat="false" ht="15" hidden="false" customHeight="false" outlineLevel="0" collapsed="false">
      <c r="A986" s="12"/>
      <c r="B986" s="13"/>
      <c r="C986" s="14"/>
      <c r="D986" s="14"/>
      <c r="E986" s="15"/>
      <c r="F986" s="16" t="str">
        <f aca="false">IF(OR(C986="",D986="",E986=""),"",C986*D986*E986)</f>
        <v/>
      </c>
      <c r="G986" s="17" t="str">
        <f aca="false">IF(OR(D986="",E986=""),"",E986*(1+D986/30))</f>
        <v/>
      </c>
      <c r="H986" s="19" t="n">
        <f aca="false">IF(G986="",0,G986)</f>
        <v>0</v>
      </c>
      <c r="I986" s="18" t="str">
        <f aca="false">IF(H986&gt;0,IF(H986&gt;=SUMPRODUCT(MAX(($B$5:$B$2004=B986)*$H$5:$H$2004)),"Rekor",""),"")</f>
        <v/>
      </c>
      <c r="J986" s="19" t="n">
        <f aca="false">IF(A986="",0,IF(COUNTIF(A$5:A986,A986)=1,1,0))</f>
        <v>0</v>
      </c>
    </row>
    <row r="987" customFormat="false" ht="15" hidden="false" customHeight="false" outlineLevel="0" collapsed="false">
      <c r="A987" s="12"/>
      <c r="B987" s="13"/>
      <c r="C987" s="14"/>
      <c r="D987" s="14"/>
      <c r="E987" s="15"/>
      <c r="F987" s="16" t="str">
        <f aca="false">IF(OR(C987="",D987="",E987=""),"",C987*D987*E987)</f>
        <v/>
      </c>
      <c r="G987" s="17" t="str">
        <f aca="false">IF(OR(D987="",E987=""),"",E987*(1+D987/30))</f>
        <v/>
      </c>
      <c r="H987" s="19" t="n">
        <f aca="false">IF(G987="",0,G987)</f>
        <v>0</v>
      </c>
      <c r="I987" s="18" t="str">
        <f aca="false">IF(H987&gt;0,IF(H987&gt;=SUMPRODUCT(MAX(($B$5:$B$2004=B987)*$H$5:$H$2004)),"Rekor",""),"")</f>
        <v/>
      </c>
      <c r="J987" s="19" t="n">
        <f aca="false">IF(A987="",0,IF(COUNTIF(A$5:A987,A987)=1,1,0))</f>
        <v>0</v>
      </c>
    </row>
    <row r="988" customFormat="false" ht="15" hidden="false" customHeight="false" outlineLevel="0" collapsed="false">
      <c r="A988" s="12"/>
      <c r="B988" s="13"/>
      <c r="C988" s="14"/>
      <c r="D988" s="14"/>
      <c r="E988" s="15"/>
      <c r="F988" s="16" t="str">
        <f aca="false">IF(OR(C988="",D988="",E988=""),"",C988*D988*E988)</f>
        <v/>
      </c>
      <c r="G988" s="17" t="str">
        <f aca="false">IF(OR(D988="",E988=""),"",E988*(1+D988/30))</f>
        <v/>
      </c>
      <c r="H988" s="19" t="n">
        <f aca="false">IF(G988="",0,G988)</f>
        <v>0</v>
      </c>
      <c r="I988" s="18" t="str">
        <f aca="false">IF(H988&gt;0,IF(H988&gt;=SUMPRODUCT(MAX(($B$5:$B$2004=B988)*$H$5:$H$2004)),"Rekor",""),"")</f>
        <v/>
      </c>
      <c r="J988" s="19" t="n">
        <f aca="false">IF(A988="",0,IF(COUNTIF(A$5:A988,A988)=1,1,0))</f>
        <v>0</v>
      </c>
    </row>
    <row r="989" customFormat="false" ht="15" hidden="false" customHeight="false" outlineLevel="0" collapsed="false">
      <c r="A989" s="12"/>
      <c r="B989" s="13"/>
      <c r="C989" s="14"/>
      <c r="D989" s="14"/>
      <c r="E989" s="15"/>
      <c r="F989" s="16" t="str">
        <f aca="false">IF(OR(C989="",D989="",E989=""),"",C989*D989*E989)</f>
        <v/>
      </c>
      <c r="G989" s="17" t="str">
        <f aca="false">IF(OR(D989="",E989=""),"",E989*(1+D989/30))</f>
        <v/>
      </c>
      <c r="H989" s="19" t="n">
        <f aca="false">IF(G989="",0,G989)</f>
        <v>0</v>
      </c>
      <c r="I989" s="18" t="str">
        <f aca="false">IF(H989&gt;0,IF(H989&gt;=SUMPRODUCT(MAX(($B$5:$B$2004=B989)*$H$5:$H$2004)),"Rekor",""),"")</f>
        <v/>
      </c>
      <c r="J989" s="19" t="n">
        <f aca="false">IF(A989="",0,IF(COUNTIF(A$5:A989,A989)=1,1,0))</f>
        <v>0</v>
      </c>
    </row>
    <row r="990" customFormat="false" ht="15" hidden="false" customHeight="false" outlineLevel="0" collapsed="false">
      <c r="A990" s="12"/>
      <c r="B990" s="13"/>
      <c r="C990" s="14"/>
      <c r="D990" s="14"/>
      <c r="E990" s="15"/>
      <c r="F990" s="16" t="str">
        <f aca="false">IF(OR(C990="",D990="",E990=""),"",C990*D990*E990)</f>
        <v/>
      </c>
      <c r="G990" s="17" t="str">
        <f aca="false">IF(OR(D990="",E990=""),"",E990*(1+D990/30))</f>
        <v/>
      </c>
      <c r="H990" s="19" t="n">
        <f aca="false">IF(G990="",0,G990)</f>
        <v>0</v>
      </c>
      <c r="I990" s="18" t="str">
        <f aca="false">IF(H990&gt;0,IF(H990&gt;=SUMPRODUCT(MAX(($B$5:$B$2004=B990)*$H$5:$H$2004)),"Rekor",""),"")</f>
        <v/>
      </c>
      <c r="J990" s="19" t="n">
        <f aca="false">IF(A990="",0,IF(COUNTIF(A$5:A990,A990)=1,1,0))</f>
        <v>0</v>
      </c>
    </row>
    <row r="991" customFormat="false" ht="15" hidden="false" customHeight="false" outlineLevel="0" collapsed="false">
      <c r="A991" s="12"/>
      <c r="B991" s="13"/>
      <c r="C991" s="14"/>
      <c r="D991" s="14"/>
      <c r="E991" s="15"/>
      <c r="F991" s="16" t="str">
        <f aca="false">IF(OR(C991="",D991="",E991=""),"",C991*D991*E991)</f>
        <v/>
      </c>
      <c r="G991" s="17" t="str">
        <f aca="false">IF(OR(D991="",E991=""),"",E991*(1+D991/30))</f>
        <v/>
      </c>
      <c r="H991" s="19" t="n">
        <f aca="false">IF(G991="",0,G991)</f>
        <v>0</v>
      </c>
      <c r="I991" s="18" t="str">
        <f aca="false">IF(H991&gt;0,IF(H991&gt;=SUMPRODUCT(MAX(($B$5:$B$2004=B991)*$H$5:$H$2004)),"Rekor",""),"")</f>
        <v/>
      </c>
      <c r="J991" s="19" t="n">
        <f aca="false">IF(A991="",0,IF(COUNTIF(A$5:A991,A991)=1,1,0))</f>
        <v>0</v>
      </c>
    </row>
    <row r="992" customFormat="false" ht="15" hidden="false" customHeight="false" outlineLevel="0" collapsed="false">
      <c r="A992" s="12"/>
      <c r="B992" s="13"/>
      <c r="C992" s="14"/>
      <c r="D992" s="14"/>
      <c r="E992" s="15"/>
      <c r="F992" s="16" t="str">
        <f aca="false">IF(OR(C992="",D992="",E992=""),"",C992*D992*E992)</f>
        <v/>
      </c>
      <c r="G992" s="17" t="str">
        <f aca="false">IF(OR(D992="",E992=""),"",E992*(1+D992/30))</f>
        <v/>
      </c>
      <c r="H992" s="19" t="n">
        <f aca="false">IF(G992="",0,G992)</f>
        <v>0</v>
      </c>
      <c r="I992" s="18" t="str">
        <f aca="false">IF(H992&gt;0,IF(H992&gt;=SUMPRODUCT(MAX(($B$5:$B$2004=B992)*$H$5:$H$2004)),"Rekor",""),"")</f>
        <v/>
      </c>
      <c r="J992" s="19" t="n">
        <f aca="false">IF(A992="",0,IF(COUNTIF(A$5:A992,A992)=1,1,0))</f>
        <v>0</v>
      </c>
    </row>
    <row r="993" customFormat="false" ht="15" hidden="false" customHeight="false" outlineLevel="0" collapsed="false">
      <c r="A993" s="12"/>
      <c r="B993" s="13"/>
      <c r="C993" s="14"/>
      <c r="D993" s="14"/>
      <c r="E993" s="15"/>
      <c r="F993" s="16" t="str">
        <f aca="false">IF(OR(C993="",D993="",E993=""),"",C993*D993*E993)</f>
        <v/>
      </c>
      <c r="G993" s="17" t="str">
        <f aca="false">IF(OR(D993="",E993=""),"",E993*(1+D993/30))</f>
        <v/>
      </c>
      <c r="H993" s="19" t="n">
        <f aca="false">IF(G993="",0,G993)</f>
        <v>0</v>
      </c>
      <c r="I993" s="18" t="str">
        <f aca="false">IF(H993&gt;0,IF(H993&gt;=SUMPRODUCT(MAX(($B$5:$B$2004=B993)*$H$5:$H$2004)),"Rekor",""),"")</f>
        <v/>
      </c>
      <c r="J993" s="19" t="n">
        <f aca="false">IF(A993="",0,IF(COUNTIF(A$5:A993,A993)=1,1,0))</f>
        <v>0</v>
      </c>
    </row>
    <row r="994" customFormat="false" ht="15" hidden="false" customHeight="false" outlineLevel="0" collapsed="false">
      <c r="A994" s="12"/>
      <c r="B994" s="13"/>
      <c r="C994" s="14"/>
      <c r="D994" s="14"/>
      <c r="E994" s="15"/>
      <c r="F994" s="16" t="str">
        <f aca="false">IF(OR(C994="",D994="",E994=""),"",C994*D994*E994)</f>
        <v/>
      </c>
      <c r="G994" s="17" t="str">
        <f aca="false">IF(OR(D994="",E994=""),"",E994*(1+D994/30))</f>
        <v/>
      </c>
      <c r="H994" s="19" t="n">
        <f aca="false">IF(G994="",0,G994)</f>
        <v>0</v>
      </c>
      <c r="I994" s="18" t="str">
        <f aca="false">IF(H994&gt;0,IF(H994&gt;=SUMPRODUCT(MAX(($B$5:$B$2004=B994)*$H$5:$H$2004)),"Rekor",""),"")</f>
        <v/>
      </c>
      <c r="J994" s="19" t="n">
        <f aca="false">IF(A994="",0,IF(COUNTIF(A$5:A994,A994)=1,1,0))</f>
        <v>0</v>
      </c>
    </row>
    <row r="995" customFormat="false" ht="15" hidden="false" customHeight="false" outlineLevel="0" collapsed="false">
      <c r="A995" s="12"/>
      <c r="B995" s="13"/>
      <c r="C995" s="14"/>
      <c r="D995" s="14"/>
      <c r="E995" s="15"/>
      <c r="F995" s="16" t="str">
        <f aca="false">IF(OR(C995="",D995="",E995=""),"",C995*D995*E995)</f>
        <v/>
      </c>
      <c r="G995" s="17" t="str">
        <f aca="false">IF(OR(D995="",E995=""),"",E995*(1+D995/30))</f>
        <v/>
      </c>
      <c r="H995" s="19" t="n">
        <f aca="false">IF(G995="",0,G995)</f>
        <v>0</v>
      </c>
      <c r="I995" s="18" t="str">
        <f aca="false">IF(H995&gt;0,IF(H995&gt;=SUMPRODUCT(MAX(($B$5:$B$2004=B995)*$H$5:$H$2004)),"Rekor",""),"")</f>
        <v/>
      </c>
      <c r="J995" s="19" t="n">
        <f aca="false">IF(A995="",0,IF(COUNTIF(A$5:A995,A995)=1,1,0))</f>
        <v>0</v>
      </c>
    </row>
    <row r="996" customFormat="false" ht="15" hidden="false" customHeight="false" outlineLevel="0" collapsed="false">
      <c r="A996" s="12"/>
      <c r="B996" s="13"/>
      <c r="C996" s="14"/>
      <c r="D996" s="14"/>
      <c r="E996" s="15"/>
      <c r="F996" s="16" t="str">
        <f aca="false">IF(OR(C996="",D996="",E996=""),"",C996*D996*E996)</f>
        <v/>
      </c>
      <c r="G996" s="17" t="str">
        <f aca="false">IF(OR(D996="",E996=""),"",E996*(1+D996/30))</f>
        <v/>
      </c>
      <c r="H996" s="19" t="n">
        <f aca="false">IF(G996="",0,G996)</f>
        <v>0</v>
      </c>
      <c r="I996" s="18" t="str">
        <f aca="false">IF(H996&gt;0,IF(H996&gt;=SUMPRODUCT(MAX(($B$5:$B$2004=B996)*$H$5:$H$2004)),"Rekor",""),"")</f>
        <v/>
      </c>
      <c r="J996" s="19" t="n">
        <f aca="false">IF(A996="",0,IF(COUNTIF(A$5:A996,A996)=1,1,0))</f>
        <v>0</v>
      </c>
    </row>
    <row r="997" customFormat="false" ht="15" hidden="false" customHeight="false" outlineLevel="0" collapsed="false">
      <c r="A997" s="12"/>
      <c r="B997" s="13"/>
      <c r="C997" s="14"/>
      <c r="D997" s="14"/>
      <c r="E997" s="15"/>
      <c r="F997" s="16" t="str">
        <f aca="false">IF(OR(C997="",D997="",E997=""),"",C997*D997*E997)</f>
        <v/>
      </c>
      <c r="G997" s="17" t="str">
        <f aca="false">IF(OR(D997="",E997=""),"",E997*(1+D997/30))</f>
        <v/>
      </c>
      <c r="H997" s="19" t="n">
        <f aca="false">IF(G997="",0,G997)</f>
        <v>0</v>
      </c>
      <c r="I997" s="18" t="str">
        <f aca="false">IF(H997&gt;0,IF(H997&gt;=SUMPRODUCT(MAX(($B$5:$B$2004=B997)*$H$5:$H$2004)),"Rekor",""),"")</f>
        <v/>
      </c>
      <c r="J997" s="19" t="n">
        <f aca="false">IF(A997="",0,IF(COUNTIF(A$5:A997,A997)=1,1,0))</f>
        <v>0</v>
      </c>
    </row>
    <row r="998" customFormat="false" ht="15" hidden="false" customHeight="false" outlineLevel="0" collapsed="false">
      <c r="A998" s="12"/>
      <c r="B998" s="13"/>
      <c r="C998" s="14"/>
      <c r="D998" s="14"/>
      <c r="E998" s="15"/>
      <c r="F998" s="16" t="str">
        <f aca="false">IF(OR(C998="",D998="",E998=""),"",C998*D998*E998)</f>
        <v/>
      </c>
      <c r="G998" s="17" t="str">
        <f aca="false">IF(OR(D998="",E998=""),"",E998*(1+D998/30))</f>
        <v/>
      </c>
      <c r="H998" s="19" t="n">
        <f aca="false">IF(G998="",0,G998)</f>
        <v>0</v>
      </c>
      <c r="I998" s="18" t="str">
        <f aca="false">IF(H998&gt;0,IF(H998&gt;=SUMPRODUCT(MAX(($B$5:$B$2004=B998)*$H$5:$H$2004)),"Rekor",""),"")</f>
        <v/>
      </c>
      <c r="J998" s="19" t="n">
        <f aca="false">IF(A998="",0,IF(COUNTIF(A$5:A998,A998)=1,1,0))</f>
        <v>0</v>
      </c>
    </row>
    <row r="999" customFormat="false" ht="15" hidden="false" customHeight="false" outlineLevel="0" collapsed="false">
      <c r="A999" s="12"/>
      <c r="B999" s="13"/>
      <c r="C999" s="14"/>
      <c r="D999" s="14"/>
      <c r="E999" s="15"/>
      <c r="F999" s="16" t="str">
        <f aca="false">IF(OR(C999="",D999="",E999=""),"",C999*D999*E999)</f>
        <v/>
      </c>
      <c r="G999" s="17" t="str">
        <f aca="false">IF(OR(D999="",E999=""),"",E999*(1+D999/30))</f>
        <v/>
      </c>
      <c r="H999" s="19" t="n">
        <f aca="false">IF(G999="",0,G999)</f>
        <v>0</v>
      </c>
      <c r="I999" s="18" t="str">
        <f aca="false">IF(H999&gt;0,IF(H999&gt;=SUMPRODUCT(MAX(($B$5:$B$2004=B999)*$H$5:$H$2004)),"Rekor",""),"")</f>
        <v/>
      </c>
      <c r="J999" s="19" t="n">
        <f aca="false">IF(A999="",0,IF(COUNTIF(A$5:A999,A999)=1,1,0))</f>
        <v>0</v>
      </c>
    </row>
    <row r="1000" customFormat="false" ht="15" hidden="false" customHeight="false" outlineLevel="0" collapsed="false">
      <c r="A1000" s="12"/>
      <c r="B1000" s="13"/>
      <c r="C1000" s="14"/>
      <c r="D1000" s="14"/>
      <c r="E1000" s="15"/>
      <c r="F1000" s="16" t="str">
        <f aca="false">IF(OR(C1000="",D1000="",E1000=""),"",C1000*D1000*E1000)</f>
        <v/>
      </c>
      <c r="G1000" s="17" t="str">
        <f aca="false">IF(OR(D1000="",E1000=""),"",E1000*(1+D1000/30))</f>
        <v/>
      </c>
      <c r="H1000" s="19" t="n">
        <f aca="false">IF(G1000="",0,G1000)</f>
        <v>0</v>
      </c>
      <c r="I1000" s="18" t="str">
        <f aca="false">IF(H1000&gt;0,IF(H1000&gt;=SUMPRODUCT(MAX(($B$5:$B$2004=B1000)*$H$5:$H$2004)),"Rekor",""),"")</f>
        <v/>
      </c>
      <c r="J1000" s="19" t="n">
        <f aca="false">IF(A1000="",0,IF(COUNTIF(A$5:A1000,A1000)=1,1,0))</f>
        <v>0</v>
      </c>
    </row>
    <row r="1001" customFormat="false" ht="15" hidden="false" customHeight="false" outlineLevel="0" collapsed="false">
      <c r="A1001" s="12"/>
      <c r="B1001" s="13"/>
      <c r="C1001" s="14"/>
      <c r="D1001" s="14"/>
      <c r="E1001" s="15"/>
      <c r="F1001" s="16" t="str">
        <f aca="false">IF(OR(C1001="",D1001="",E1001=""),"",C1001*D1001*E1001)</f>
        <v/>
      </c>
      <c r="G1001" s="17" t="str">
        <f aca="false">IF(OR(D1001="",E1001=""),"",E1001*(1+D1001/30))</f>
        <v/>
      </c>
      <c r="H1001" s="19" t="n">
        <f aca="false">IF(G1001="",0,G1001)</f>
        <v>0</v>
      </c>
      <c r="I1001" s="18" t="str">
        <f aca="false">IF(H1001&gt;0,IF(H1001&gt;=SUMPRODUCT(MAX(($B$5:$B$2004=B1001)*$H$5:$H$2004)),"Rekor",""),"")</f>
        <v/>
      </c>
      <c r="J1001" s="19" t="n">
        <f aca="false">IF(A1001="",0,IF(COUNTIF(A$5:A1001,A1001)=1,1,0))</f>
        <v>0</v>
      </c>
    </row>
    <row r="1002" customFormat="false" ht="15" hidden="false" customHeight="false" outlineLevel="0" collapsed="false">
      <c r="A1002" s="12"/>
      <c r="B1002" s="13"/>
      <c r="C1002" s="14"/>
      <c r="D1002" s="14"/>
      <c r="E1002" s="15"/>
      <c r="F1002" s="16" t="str">
        <f aca="false">IF(OR(C1002="",D1002="",E1002=""),"",C1002*D1002*E1002)</f>
        <v/>
      </c>
      <c r="G1002" s="17" t="str">
        <f aca="false">IF(OR(D1002="",E1002=""),"",E1002*(1+D1002/30))</f>
        <v/>
      </c>
      <c r="H1002" s="19" t="n">
        <f aca="false">IF(G1002="",0,G1002)</f>
        <v>0</v>
      </c>
      <c r="I1002" s="18" t="str">
        <f aca="false">IF(H1002&gt;0,IF(H1002&gt;=SUMPRODUCT(MAX(($B$5:$B$2004=B1002)*$H$5:$H$2004)),"Rekor",""),"")</f>
        <v/>
      </c>
      <c r="J1002" s="19" t="n">
        <f aca="false">IF(A1002="",0,IF(COUNTIF(A$5:A1002,A1002)=1,1,0))</f>
        <v>0</v>
      </c>
    </row>
    <row r="1003" customFormat="false" ht="15" hidden="false" customHeight="false" outlineLevel="0" collapsed="false">
      <c r="A1003" s="12"/>
      <c r="B1003" s="13"/>
      <c r="C1003" s="14"/>
      <c r="D1003" s="14"/>
      <c r="E1003" s="15"/>
      <c r="F1003" s="16" t="str">
        <f aca="false">IF(OR(C1003="",D1003="",E1003=""),"",C1003*D1003*E1003)</f>
        <v/>
      </c>
      <c r="G1003" s="17" t="str">
        <f aca="false">IF(OR(D1003="",E1003=""),"",E1003*(1+D1003/30))</f>
        <v/>
      </c>
      <c r="H1003" s="19" t="n">
        <f aca="false">IF(G1003="",0,G1003)</f>
        <v>0</v>
      </c>
      <c r="I1003" s="18" t="str">
        <f aca="false">IF(H1003&gt;0,IF(H1003&gt;=SUMPRODUCT(MAX(($B$5:$B$2004=B1003)*$H$5:$H$2004)),"Rekor",""),"")</f>
        <v/>
      </c>
      <c r="J1003" s="19" t="n">
        <f aca="false">IF(A1003="",0,IF(COUNTIF(A$5:A1003,A1003)=1,1,0))</f>
        <v>0</v>
      </c>
    </row>
    <row r="1004" customFormat="false" ht="15" hidden="false" customHeight="false" outlineLevel="0" collapsed="false">
      <c r="A1004" s="12"/>
      <c r="B1004" s="13"/>
      <c r="C1004" s="14"/>
      <c r="D1004" s="14"/>
      <c r="E1004" s="15"/>
      <c r="F1004" s="16" t="str">
        <f aca="false">IF(OR(C1004="",D1004="",E1004=""),"",C1004*D1004*E1004)</f>
        <v/>
      </c>
      <c r="G1004" s="17" t="str">
        <f aca="false">IF(OR(D1004="",E1004=""),"",E1004*(1+D1004/30))</f>
        <v/>
      </c>
      <c r="H1004" s="19" t="n">
        <f aca="false">IF(G1004="",0,G1004)</f>
        <v>0</v>
      </c>
      <c r="I1004" s="18" t="str">
        <f aca="false">IF(H1004&gt;0,IF(H1004&gt;=SUMPRODUCT(MAX(($B$5:$B$2004=B1004)*$H$5:$H$2004)),"Rekor",""),"")</f>
        <v/>
      </c>
      <c r="J1004" s="19" t="n">
        <f aca="false">IF(A1004="",0,IF(COUNTIF(A$5:A1004,A1004)=1,1,0))</f>
        <v>0</v>
      </c>
    </row>
    <row r="1005" customFormat="false" ht="15" hidden="false" customHeight="false" outlineLevel="0" collapsed="false">
      <c r="A1005" s="12"/>
      <c r="B1005" s="13"/>
      <c r="C1005" s="14"/>
      <c r="D1005" s="14"/>
      <c r="E1005" s="15"/>
      <c r="F1005" s="16" t="str">
        <f aca="false">IF(OR(C1005="",D1005="",E1005=""),"",C1005*D1005*E1005)</f>
        <v/>
      </c>
      <c r="G1005" s="17" t="str">
        <f aca="false">IF(OR(D1005="",E1005=""),"",E1005*(1+D1005/30))</f>
        <v/>
      </c>
      <c r="H1005" s="19" t="n">
        <f aca="false">IF(G1005="",0,G1005)</f>
        <v>0</v>
      </c>
      <c r="I1005" s="18" t="str">
        <f aca="false">IF(H1005&gt;0,IF(H1005&gt;=SUMPRODUCT(MAX(($B$5:$B$2004=B1005)*$H$5:$H$2004)),"Rekor",""),"")</f>
        <v/>
      </c>
      <c r="J1005" s="19" t="n">
        <f aca="false">IF(A1005="",0,IF(COUNTIF(A$5:A1005,A1005)=1,1,0))</f>
        <v>0</v>
      </c>
    </row>
    <row r="1006" customFormat="false" ht="15" hidden="false" customHeight="false" outlineLevel="0" collapsed="false">
      <c r="A1006" s="12"/>
      <c r="B1006" s="13"/>
      <c r="C1006" s="14"/>
      <c r="D1006" s="14"/>
      <c r="E1006" s="15"/>
      <c r="F1006" s="16" t="str">
        <f aca="false">IF(OR(C1006="",D1006="",E1006=""),"",C1006*D1006*E1006)</f>
        <v/>
      </c>
      <c r="G1006" s="17" t="str">
        <f aca="false">IF(OR(D1006="",E1006=""),"",E1006*(1+D1006/30))</f>
        <v/>
      </c>
      <c r="H1006" s="19" t="n">
        <f aca="false">IF(G1006="",0,G1006)</f>
        <v>0</v>
      </c>
      <c r="I1006" s="18" t="str">
        <f aca="false">IF(H1006&gt;0,IF(H1006&gt;=SUMPRODUCT(MAX(($B$5:$B$2004=B1006)*$H$5:$H$2004)),"Rekor",""),"")</f>
        <v/>
      </c>
      <c r="J1006" s="19" t="n">
        <f aca="false">IF(A1006="",0,IF(COUNTIF(A$5:A1006,A1006)=1,1,0))</f>
        <v>0</v>
      </c>
    </row>
    <row r="1007" customFormat="false" ht="15" hidden="false" customHeight="false" outlineLevel="0" collapsed="false">
      <c r="A1007" s="12"/>
      <c r="B1007" s="13"/>
      <c r="C1007" s="14"/>
      <c r="D1007" s="14"/>
      <c r="E1007" s="15"/>
      <c r="F1007" s="16" t="str">
        <f aca="false">IF(OR(C1007="",D1007="",E1007=""),"",C1007*D1007*E1007)</f>
        <v/>
      </c>
      <c r="G1007" s="17" t="str">
        <f aca="false">IF(OR(D1007="",E1007=""),"",E1007*(1+D1007/30))</f>
        <v/>
      </c>
      <c r="H1007" s="19" t="n">
        <f aca="false">IF(G1007="",0,G1007)</f>
        <v>0</v>
      </c>
      <c r="I1007" s="18" t="str">
        <f aca="false">IF(H1007&gt;0,IF(H1007&gt;=SUMPRODUCT(MAX(($B$5:$B$2004=B1007)*$H$5:$H$2004)),"Rekor",""),"")</f>
        <v/>
      </c>
      <c r="J1007" s="19" t="n">
        <f aca="false">IF(A1007="",0,IF(COUNTIF(A$5:A1007,A1007)=1,1,0))</f>
        <v>0</v>
      </c>
    </row>
    <row r="1008" customFormat="false" ht="15" hidden="false" customHeight="false" outlineLevel="0" collapsed="false">
      <c r="A1008" s="12"/>
      <c r="B1008" s="13"/>
      <c r="C1008" s="14"/>
      <c r="D1008" s="14"/>
      <c r="E1008" s="15"/>
      <c r="F1008" s="16" t="str">
        <f aca="false">IF(OR(C1008="",D1008="",E1008=""),"",C1008*D1008*E1008)</f>
        <v/>
      </c>
      <c r="G1008" s="17" t="str">
        <f aca="false">IF(OR(D1008="",E1008=""),"",E1008*(1+D1008/30))</f>
        <v/>
      </c>
      <c r="H1008" s="19" t="n">
        <f aca="false">IF(G1008="",0,G1008)</f>
        <v>0</v>
      </c>
      <c r="I1008" s="18" t="str">
        <f aca="false">IF(H1008&gt;0,IF(H1008&gt;=SUMPRODUCT(MAX(($B$5:$B$2004=B1008)*$H$5:$H$2004)),"Rekor",""),"")</f>
        <v/>
      </c>
      <c r="J1008" s="19" t="n">
        <f aca="false">IF(A1008="",0,IF(COUNTIF(A$5:A1008,A1008)=1,1,0))</f>
        <v>0</v>
      </c>
    </row>
    <row r="1009" customFormat="false" ht="15" hidden="false" customHeight="false" outlineLevel="0" collapsed="false">
      <c r="A1009" s="12"/>
      <c r="B1009" s="13"/>
      <c r="C1009" s="14"/>
      <c r="D1009" s="14"/>
      <c r="E1009" s="15"/>
      <c r="F1009" s="16" t="str">
        <f aca="false">IF(OR(C1009="",D1009="",E1009=""),"",C1009*D1009*E1009)</f>
        <v/>
      </c>
      <c r="G1009" s="17" t="str">
        <f aca="false">IF(OR(D1009="",E1009=""),"",E1009*(1+D1009/30))</f>
        <v/>
      </c>
      <c r="H1009" s="19" t="n">
        <f aca="false">IF(G1009="",0,G1009)</f>
        <v>0</v>
      </c>
      <c r="I1009" s="18" t="str">
        <f aca="false">IF(H1009&gt;0,IF(H1009&gt;=SUMPRODUCT(MAX(($B$5:$B$2004=B1009)*$H$5:$H$2004)),"Rekor",""),"")</f>
        <v/>
      </c>
      <c r="J1009" s="19" t="n">
        <f aca="false">IF(A1009="",0,IF(COUNTIF(A$5:A1009,A1009)=1,1,0))</f>
        <v>0</v>
      </c>
    </row>
    <row r="1010" customFormat="false" ht="15" hidden="false" customHeight="false" outlineLevel="0" collapsed="false">
      <c r="A1010" s="12"/>
      <c r="B1010" s="13"/>
      <c r="C1010" s="14"/>
      <c r="D1010" s="14"/>
      <c r="E1010" s="15"/>
      <c r="F1010" s="16" t="str">
        <f aca="false">IF(OR(C1010="",D1010="",E1010=""),"",C1010*D1010*E1010)</f>
        <v/>
      </c>
      <c r="G1010" s="17" t="str">
        <f aca="false">IF(OR(D1010="",E1010=""),"",E1010*(1+D1010/30))</f>
        <v/>
      </c>
      <c r="H1010" s="19" t="n">
        <f aca="false">IF(G1010="",0,G1010)</f>
        <v>0</v>
      </c>
      <c r="I1010" s="18" t="str">
        <f aca="false">IF(H1010&gt;0,IF(H1010&gt;=SUMPRODUCT(MAX(($B$5:$B$2004=B1010)*$H$5:$H$2004)),"Rekor",""),"")</f>
        <v/>
      </c>
      <c r="J1010" s="19" t="n">
        <f aca="false">IF(A1010="",0,IF(COUNTIF(A$5:A1010,A1010)=1,1,0))</f>
        <v>0</v>
      </c>
    </row>
    <row r="1011" customFormat="false" ht="15" hidden="false" customHeight="false" outlineLevel="0" collapsed="false">
      <c r="A1011" s="12"/>
      <c r="B1011" s="13"/>
      <c r="C1011" s="14"/>
      <c r="D1011" s="14"/>
      <c r="E1011" s="15"/>
      <c r="F1011" s="16" t="str">
        <f aca="false">IF(OR(C1011="",D1011="",E1011=""),"",C1011*D1011*E1011)</f>
        <v/>
      </c>
      <c r="G1011" s="17" t="str">
        <f aca="false">IF(OR(D1011="",E1011=""),"",E1011*(1+D1011/30))</f>
        <v/>
      </c>
      <c r="H1011" s="19" t="n">
        <f aca="false">IF(G1011="",0,G1011)</f>
        <v>0</v>
      </c>
      <c r="I1011" s="18" t="str">
        <f aca="false">IF(H1011&gt;0,IF(H1011&gt;=SUMPRODUCT(MAX(($B$5:$B$2004=B1011)*$H$5:$H$2004)),"Rekor",""),"")</f>
        <v/>
      </c>
      <c r="J1011" s="19" t="n">
        <f aca="false">IF(A1011="",0,IF(COUNTIF(A$5:A1011,A1011)=1,1,0))</f>
        <v>0</v>
      </c>
    </row>
    <row r="1012" customFormat="false" ht="15" hidden="false" customHeight="false" outlineLevel="0" collapsed="false">
      <c r="A1012" s="12"/>
      <c r="B1012" s="13"/>
      <c r="C1012" s="14"/>
      <c r="D1012" s="14"/>
      <c r="E1012" s="15"/>
      <c r="F1012" s="16" t="str">
        <f aca="false">IF(OR(C1012="",D1012="",E1012=""),"",C1012*D1012*E1012)</f>
        <v/>
      </c>
      <c r="G1012" s="17" t="str">
        <f aca="false">IF(OR(D1012="",E1012=""),"",E1012*(1+D1012/30))</f>
        <v/>
      </c>
      <c r="H1012" s="19" t="n">
        <f aca="false">IF(G1012="",0,G1012)</f>
        <v>0</v>
      </c>
      <c r="I1012" s="18" t="str">
        <f aca="false">IF(H1012&gt;0,IF(H1012&gt;=SUMPRODUCT(MAX(($B$5:$B$2004=B1012)*$H$5:$H$2004)),"Rekor",""),"")</f>
        <v/>
      </c>
      <c r="J1012" s="19" t="n">
        <f aca="false">IF(A1012="",0,IF(COUNTIF(A$5:A1012,A1012)=1,1,0))</f>
        <v>0</v>
      </c>
    </row>
    <row r="1013" customFormat="false" ht="15" hidden="false" customHeight="false" outlineLevel="0" collapsed="false">
      <c r="A1013" s="12"/>
      <c r="B1013" s="13"/>
      <c r="C1013" s="14"/>
      <c r="D1013" s="14"/>
      <c r="E1013" s="15"/>
      <c r="F1013" s="16" t="str">
        <f aca="false">IF(OR(C1013="",D1013="",E1013=""),"",C1013*D1013*E1013)</f>
        <v/>
      </c>
      <c r="G1013" s="17" t="str">
        <f aca="false">IF(OR(D1013="",E1013=""),"",E1013*(1+D1013/30))</f>
        <v/>
      </c>
      <c r="H1013" s="19" t="n">
        <f aca="false">IF(G1013="",0,G1013)</f>
        <v>0</v>
      </c>
      <c r="I1013" s="18" t="str">
        <f aca="false">IF(H1013&gt;0,IF(H1013&gt;=SUMPRODUCT(MAX(($B$5:$B$2004=B1013)*$H$5:$H$2004)),"Rekor",""),"")</f>
        <v/>
      </c>
      <c r="J1013" s="19" t="n">
        <f aca="false">IF(A1013="",0,IF(COUNTIF(A$5:A1013,A1013)=1,1,0))</f>
        <v>0</v>
      </c>
    </row>
    <row r="1014" customFormat="false" ht="15" hidden="false" customHeight="false" outlineLevel="0" collapsed="false">
      <c r="A1014" s="12"/>
      <c r="B1014" s="13"/>
      <c r="C1014" s="14"/>
      <c r="D1014" s="14"/>
      <c r="E1014" s="15"/>
      <c r="F1014" s="16" t="str">
        <f aca="false">IF(OR(C1014="",D1014="",E1014=""),"",C1014*D1014*E1014)</f>
        <v/>
      </c>
      <c r="G1014" s="17" t="str">
        <f aca="false">IF(OR(D1014="",E1014=""),"",E1014*(1+D1014/30))</f>
        <v/>
      </c>
      <c r="H1014" s="19" t="n">
        <f aca="false">IF(G1014="",0,G1014)</f>
        <v>0</v>
      </c>
      <c r="I1014" s="18" t="str">
        <f aca="false">IF(H1014&gt;0,IF(H1014&gt;=SUMPRODUCT(MAX(($B$5:$B$2004=B1014)*$H$5:$H$2004)),"Rekor",""),"")</f>
        <v/>
      </c>
      <c r="J1014" s="19" t="n">
        <f aca="false">IF(A1014="",0,IF(COUNTIF(A$5:A1014,A1014)=1,1,0))</f>
        <v>0</v>
      </c>
    </row>
    <row r="1015" customFormat="false" ht="15" hidden="false" customHeight="false" outlineLevel="0" collapsed="false">
      <c r="A1015" s="12"/>
      <c r="B1015" s="13"/>
      <c r="C1015" s="14"/>
      <c r="D1015" s="14"/>
      <c r="E1015" s="15"/>
      <c r="F1015" s="16" t="str">
        <f aca="false">IF(OR(C1015="",D1015="",E1015=""),"",C1015*D1015*E1015)</f>
        <v/>
      </c>
      <c r="G1015" s="17" t="str">
        <f aca="false">IF(OR(D1015="",E1015=""),"",E1015*(1+D1015/30))</f>
        <v/>
      </c>
      <c r="H1015" s="19" t="n">
        <f aca="false">IF(G1015="",0,G1015)</f>
        <v>0</v>
      </c>
      <c r="I1015" s="18" t="str">
        <f aca="false">IF(H1015&gt;0,IF(H1015&gt;=SUMPRODUCT(MAX(($B$5:$B$2004=B1015)*$H$5:$H$2004)),"Rekor",""),"")</f>
        <v/>
      </c>
      <c r="J1015" s="19" t="n">
        <f aca="false">IF(A1015="",0,IF(COUNTIF(A$5:A1015,A1015)=1,1,0))</f>
        <v>0</v>
      </c>
    </row>
    <row r="1016" customFormat="false" ht="15" hidden="false" customHeight="false" outlineLevel="0" collapsed="false">
      <c r="A1016" s="12"/>
      <c r="B1016" s="13"/>
      <c r="C1016" s="14"/>
      <c r="D1016" s="14"/>
      <c r="E1016" s="15"/>
      <c r="F1016" s="16" t="str">
        <f aca="false">IF(OR(C1016="",D1016="",E1016=""),"",C1016*D1016*E1016)</f>
        <v/>
      </c>
      <c r="G1016" s="17" t="str">
        <f aca="false">IF(OR(D1016="",E1016=""),"",E1016*(1+D1016/30))</f>
        <v/>
      </c>
      <c r="H1016" s="19" t="n">
        <f aca="false">IF(G1016="",0,G1016)</f>
        <v>0</v>
      </c>
      <c r="I1016" s="18" t="str">
        <f aca="false">IF(H1016&gt;0,IF(H1016&gt;=SUMPRODUCT(MAX(($B$5:$B$2004=B1016)*$H$5:$H$2004)),"Rekor",""),"")</f>
        <v/>
      </c>
      <c r="J1016" s="19" t="n">
        <f aca="false">IF(A1016="",0,IF(COUNTIF(A$5:A1016,A1016)=1,1,0))</f>
        <v>0</v>
      </c>
    </row>
    <row r="1017" customFormat="false" ht="15" hidden="false" customHeight="false" outlineLevel="0" collapsed="false">
      <c r="A1017" s="12"/>
      <c r="B1017" s="13"/>
      <c r="C1017" s="14"/>
      <c r="D1017" s="14"/>
      <c r="E1017" s="15"/>
      <c r="F1017" s="16" t="str">
        <f aca="false">IF(OR(C1017="",D1017="",E1017=""),"",C1017*D1017*E1017)</f>
        <v/>
      </c>
      <c r="G1017" s="17" t="str">
        <f aca="false">IF(OR(D1017="",E1017=""),"",E1017*(1+D1017/30))</f>
        <v/>
      </c>
      <c r="H1017" s="19" t="n">
        <f aca="false">IF(G1017="",0,G1017)</f>
        <v>0</v>
      </c>
      <c r="I1017" s="18" t="str">
        <f aca="false">IF(H1017&gt;0,IF(H1017&gt;=SUMPRODUCT(MAX(($B$5:$B$2004=B1017)*$H$5:$H$2004)),"Rekor",""),"")</f>
        <v/>
      </c>
      <c r="J1017" s="19" t="n">
        <f aca="false">IF(A1017="",0,IF(COUNTIF(A$5:A1017,A1017)=1,1,0))</f>
        <v>0</v>
      </c>
    </row>
    <row r="1018" customFormat="false" ht="15" hidden="false" customHeight="false" outlineLevel="0" collapsed="false">
      <c r="A1018" s="12"/>
      <c r="B1018" s="13"/>
      <c r="C1018" s="14"/>
      <c r="D1018" s="14"/>
      <c r="E1018" s="15"/>
      <c r="F1018" s="16" t="str">
        <f aca="false">IF(OR(C1018="",D1018="",E1018=""),"",C1018*D1018*E1018)</f>
        <v/>
      </c>
      <c r="G1018" s="17" t="str">
        <f aca="false">IF(OR(D1018="",E1018=""),"",E1018*(1+D1018/30))</f>
        <v/>
      </c>
      <c r="H1018" s="19" t="n">
        <f aca="false">IF(G1018="",0,G1018)</f>
        <v>0</v>
      </c>
      <c r="I1018" s="18" t="str">
        <f aca="false">IF(H1018&gt;0,IF(H1018&gt;=SUMPRODUCT(MAX(($B$5:$B$2004=B1018)*$H$5:$H$2004)),"Rekor",""),"")</f>
        <v/>
      </c>
      <c r="J1018" s="19" t="n">
        <f aca="false">IF(A1018="",0,IF(COUNTIF(A$5:A1018,A1018)=1,1,0))</f>
        <v>0</v>
      </c>
    </row>
    <row r="1019" customFormat="false" ht="15" hidden="false" customHeight="false" outlineLevel="0" collapsed="false">
      <c r="A1019" s="12"/>
      <c r="B1019" s="13"/>
      <c r="C1019" s="14"/>
      <c r="D1019" s="14"/>
      <c r="E1019" s="15"/>
      <c r="F1019" s="16" t="str">
        <f aca="false">IF(OR(C1019="",D1019="",E1019=""),"",C1019*D1019*E1019)</f>
        <v/>
      </c>
      <c r="G1019" s="17" t="str">
        <f aca="false">IF(OR(D1019="",E1019=""),"",E1019*(1+D1019/30))</f>
        <v/>
      </c>
      <c r="H1019" s="19" t="n">
        <f aca="false">IF(G1019="",0,G1019)</f>
        <v>0</v>
      </c>
      <c r="I1019" s="18" t="str">
        <f aca="false">IF(H1019&gt;0,IF(H1019&gt;=SUMPRODUCT(MAX(($B$5:$B$2004=B1019)*$H$5:$H$2004)),"Rekor",""),"")</f>
        <v/>
      </c>
      <c r="J1019" s="19" t="n">
        <f aca="false">IF(A1019="",0,IF(COUNTIF(A$5:A1019,A1019)=1,1,0))</f>
        <v>0</v>
      </c>
    </row>
    <row r="1020" customFormat="false" ht="15" hidden="false" customHeight="false" outlineLevel="0" collapsed="false">
      <c r="A1020" s="12"/>
      <c r="B1020" s="13"/>
      <c r="C1020" s="14"/>
      <c r="D1020" s="14"/>
      <c r="E1020" s="15"/>
      <c r="F1020" s="16" t="str">
        <f aca="false">IF(OR(C1020="",D1020="",E1020=""),"",C1020*D1020*E1020)</f>
        <v/>
      </c>
      <c r="G1020" s="17" t="str">
        <f aca="false">IF(OR(D1020="",E1020=""),"",E1020*(1+D1020/30))</f>
        <v/>
      </c>
      <c r="H1020" s="19" t="n">
        <f aca="false">IF(G1020="",0,G1020)</f>
        <v>0</v>
      </c>
      <c r="I1020" s="18" t="str">
        <f aca="false">IF(H1020&gt;0,IF(H1020&gt;=SUMPRODUCT(MAX(($B$5:$B$2004=B1020)*$H$5:$H$2004)),"Rekor",""),"")</f>
        <v/>
      </c>
      <c r="J1020" s="19" t="n">
        <f aca="false">IF(A1020="",0,IF(COUNTIF(A$5:A1020,A1020)=1,1,0))</f>
        <v>0</v>
      </c>
    </row>
    <row r="1021" customFormat="false" ht="15" hidden="false" customHeight="false" outlineLevel="0" collapsed="false">
      <c r="A1021" s="12"/>
      <c r="B1021" s="13"/>
      <c r="C1021" s="14"/>
      <c r="D1021" s="14"/>
      <c r="E1021" s="15"/>
      <c r="F1021" s="16" t="str">
        <f aca="false">IF(OR(C1021="",D1021="",E1021=""),"",C1021*D1021*E1021)</f>
        <v/>
      </c>
      <c r="G1021" s="17" t="str">
        <f aca="false">IF(OR(D1021="",E1021=""),"",E1021*(1+D1021/30))</f>
        <v/>
      </c>
      <c r="H1021" s="19" t="n">
        <f aca="false">IF(G1021="",0,G1021)</f>
        <v>0</v>
      </c>
      <c r="I1021" s="18" t="str">
        <f aca="false">IF(H1021&gt;0,IF(H1021&gt;=SUMPRODUCT(MAX(($B$5:$B$2004=B1021)*$H$5:$H$2004)),"Rekor",""),"")</f>
        <v/>
      </c>
      <c r="J1021" s="19" t="n">
        <f aca="false">IF(A1021="",0,IF(COUNTIF(A$5:A1021,A1021)=1,1,0))</f>
        <v>0</v>
      </c>
    </row>
    <row r="1022" customFormat="false" ht="15" hidden="false" customHeight="false" outlineLevel="0" collapsed="false">
      <c r="A1022" s="12"/>
      <c r="B1022" s="13"/>
      <c r="C1022" s="14"/>
      <c r="D1022" s="14"/>
      <c r="E1022" s="15"/>
      <c r="F1022" s="16" t="str">
        <f aca="false">IF(OR(C1022="",D1022="",E1022=""),"",C1022*D1022*E1022)</f>
        <v/>
      </c>
      <c r="G1022" s="17" t="str">
        <f aca="false">IF(OR(D1022="",E1022=""),"",E1022*(1+D1022/30))</f>
        <v/>
      </c>
      <c r="H1022" s="19" t="n">
        <f aca="false">IF(G1022="",0,G1022)</f>
        <v>0</v>
      </c>
      <c r="I1022" s="18" t="str">
        <f aca="false">IF(H1022&gt;0,IF(H1022&gt;=SUMPRODUCT(MAX(($B$5:$B$2004=B1022)*$H$5:$H$2004)),"Rekor",""),"")</f>
        <v/>
      </c>
      <c r="J1022" s="19" t="n">
        <f aca="false">IF(A1022="",0,IF(COUNTIF(A$5:A1022,A1022)=1,1,0))</f>
        <v>0</v>
      </c>
    </row>
    <row r="1023" customFormat="false" ht="15" hidden="false" customHeight="false" outlineLevel="0" collapsed="false">
      <c r="A1023" s="12"/>
      <c r="B1023" s="13"/>
      <c r="C1023" s="14"/>
      <c r="D1023" s="14"/>
      <c r="E1023" s="15"/>
      <c r="F1023" s="16" t="str">
        <f aca="false">IF(OR(C1023="",D1023="",E1023=""),"",C1023*D1023*E1023)</f>
        <v/>
      </c>
      <c r="G1023" s="17" t="str">
        <f aca="false">IF(OR(D1023="",E1023=""),"",E1023*(1+D1023/30))</f>
        <v/>
      </c>
      <c r="H1023" s="19" t="n">
        <f aca="false">IF(G1023="",0,G1023)</f>
        <v>0</v>
      </c>
      <c r="I1023" s="18" t="str">
        <f aca="false">IF(H1023&gt;0,IF(H1023&gt;=SUMPRODUCT(MAX(($B$5:$B$2004=B1023)*$H$5:$H$2004)),"Rekor",""),"")</f>
        <v/>
      </c>
      <c r="J1023" s="19" t="n">
        <f aca="false">IF(A1023="",0,IF(COUNTIF(A$5:A1023,A1023)=1,1,0))</f>
        <v>0</v>
      </c>
    </row>
    <row r="1024" customFormat="false" ht="15" hidden="false" customHeight="false" outlineLevel="0" collapsed="false">
      <c r="A1024" s="12"/>
      <c r="B1024" s="13"/>
      <c r="C1024" s="14"/>
      <c r="D1024" s="14"/>
      <c r="E1024" s="15"/>
      <c r="F1024" s="16" t="str">
        <f aca="false">IF(OR(C1024="",D1024="",E1024=""),"",C1024*D1024*E1024)</f>
        <v/>
      </c>
      <c r="G1024" s="17" t="str">
        <f aca="false">IF(OR(D1024="",E1024=""),"",E1024*(1+D1024/30))</f>
        <v/>
      </c>
      <c r="H1024" s="19" t="n">
        <f aca="false">IF(G1024="",0,G1024)</f>
        <v>0</v>
      </c>
      <c r="I1024" s="18" t="str">
        <f aca="false">IF(H1024&gt;0,IF(H1024&gt;=SUMPRODUCT(MAX(($B$5:$B$2004=B1024)*$H$5:$H$2004)),"Rekor",""),"")</f>
        <v/>
      </c>
      <c r="J1024" s="19" t="n">
        <f aca="false">IF(A1024="",0,IF(COUNTIF(A$5:A1024,A1024)=1,1,0))</f>
        <v>0</v>
      </c>
    </row>
    <row r="1025" customFormat="false" ht="15" hidden="false" customHeight="false" outlineLevel="0" collapsed="false">
      <c r="A1025" s="12"/>
      <c r="B1025" s="13"/>
      <c r="C1025" s="14"/>
      <c r="D1025" s="14"/>
      <c r="E1025" s="15"/>
      <c r="F1025" s="16" t="str">
        <f aca="false">IF(OR(C1025="",D1025="",E1025=""),"",C1025*D1025*E1025)</f>
        <v/>
      </c>
      <c r="G1025" s="17" t="str">
        <f aca="false">IF(OR(D1025="",E1025=""),"",E1025*(1+D1025/30))</f>
        <v/>
      </c>
      <c r="H1025" s="19" t="n">
        <f aca="false">IF(G1025="",0,G1025)</f>
        <v>0</v>
      </c>
      <c r="I1025" s="18" t="str">
        <f aca="false">IF(H1025&gt;0,IF(H1025&gt;=SUMPRODUCT(MAX(($B$5:$B$2004=B1025)*$H$5:$H$2004)),"Rekor",""),"")</f>
        <v/>
      </c>
      <c r="J1025" s="19" t="n">
        <f aca="false">IF(A1025="",0,IF(COUNTIF(A$5:A1025,A1025)=1,1,0))</f>
        <v>0</v>
      </c>
    </row>
    <row r="1026" customFormat="false" ht="15" hidden="false" customHeight="false" outlineLevel="0" collapsed="false">
      <c r="A1026" s="12"/>
      <c r="B1026" s="13"/>
      <c r="C1026" s="14"/>
      <c r="D1026" s="14"/>
      <c r="E1026" s="15"/>
      <c r="F1026" s="16" t="str">
        <f aca="false">IF(OR(C1026="",D1026="",E1026=""),"",C1026*D1026*E1026)</f>
        <v/>
      </c>
      <c r="G1026" s="17" t="str">
        <f aca="false">IF(OR(D1026="",E1026=""),"",E1026*(1+D1026/30))</f>
        <v/>
      </c>
      <c r="H1026" s="19" t="n">
        <f aca="false">IF(G1026="",0,G1026)</f>
        <v>0</v>
      </c>
      <c r="I1026" s="18" t="str">
        <f aca="false">IF(H1026&gt;0,IF(H1026&gt;=SUMPRODUCT(MAX(($B$5:$B$2004=B1026)*$H$5:$H$2004)),"Rekor",""),"")</f>
        <v/>
      </c>
      <c r="J1026" s="19" t="n">
        <f aca="false">IF(A1026="",0,IF(COUNTIF(A$5:A1026,A1026)=1,1,0))</f>
        <v>0</v>
      </c>
    </row>
    <row r="1027" customFormat="false" ht="15" hidden="false" customHeight="false" outlineLevel="0" collapsed="false">
      <c r="A1027" s="12"/>
      <c r="B1027" s="13"/>
      <c r="C1027" s="14"/>
      <c r="D1027" s="14"/>
      <c r="E1027" s="15"/>
      <c r="F1027" s="16" t="str">
        <f aca="false">IF(OR(C1027="",D1027="",E1027=""),"",C1027*D1027*E1027)</f>
        <v/>
      </c>
      <c r="G1027" s="17" t="str">
        <f aca="false">IF(OR(D1027="",E1027=""),"",E1027*(1+D1027/30))</f>
        <v/>
      </c>
      <c r="H1027" s="19" t="n">
        <f aca="false">IF(G1027="",0,G1027)</f>
        <v>0</v>
      </c>
      <c r="I1027" s="18" t="str">
        <f aca="false">IF(H1027&gt;0,IF(H1027&gt;=SUMPRODUCT(MAX(($B$5:$B$2004=B1027)*$H$5:$H$2004)),"Rekor",""),"")</f>
        <v/>
      </c>
      <c r="J1027" s="19" t="n">
        <f aca="false">IF(A1027="",0,IF(COUNTIF(A$5:A1027,A1027)=1,1,0))</f>
        <v>0</v>
      </c>
    </row>
    <row r="1028" customFormat="false" ht="15" hidden="false" customHeight="false" outlineLevel="0" collapsed="false">
      <c r="A1028" s="12"/>
      <c r="B1028" s="13"/>
      <c r="C1028" s="14"/>
      <c r="D1028" s="14"/>
      <c r="E1028" s="15"/>
      <c r="F1028" s="16" t="str">
        <f aca="false">IF(OR(C1028="",D1028="",E1028=""),"",C1028*D1028*E1028)</f>
        <v/>
      </c>
      <c r="G1028" s="17" t="str">
        <f aca="false">IF(OR(D1028="",E1028=""),"",E1028*(1+D1028/30))</f>
        <v/>
      </c>
      <c r="H1028" s="19" t="n">
        <f aca="false">IF(G1028="",0,G1028)</f>
        <v>0</v>
      </c>
      <c r="I1028" s="18" t="str">
        <f aca="false">IF(H1028&gt;0,IF(H1028&gt;=SUMPRODUCT(MAX(($B$5:$B$2004=B1028)*$H$5:$H$2004)),"Rekor",""),"")</f>
        <v/>
      </c>
      <c r="J1028" s="19" t="n">
        <f aca="false">IF(A1028="",0,IF(COUNTIF(A$5:A1028,A1028)=1,1,0))</f>
        <v>0</v>
      </c>
    </row>
    <row r="1029" customFormat="false" ht="15" hidden="false" customHeight="false" outlineLevel="0" collapsed="false">
      <c r="A1029" s="12"/>
      <c r="B1029" s="13"/>
      <c r="C1029" s="14"/>
      <c r="D1029" s="14"/>
      <c r="E1029" s="15"/>
      <c r="F1029" s="16" t="str">
        <f aca="false">IF(OR(C1029="",D1029="",E1029=""),"",C1029*D1029*E1029)</f>
        <v/>
      </c>
      <c r="G1029" s="17" t="str">
        <f aca="false">IF(OR(D1029="",E1029=""),"",E1029*(1+D1029/30))</f>
        <v/>
      </c>
      <c r="H1029" s="19" t="n">
        <f aca="false">IF(G1029="",0,G1029)</f>
        <v>0</v>
      </c>
      <c r="I1029" s="18" t="str">
        <f aca="false">IF(H1029&gt;0,IF(H1029&gt;=SUMPRODUCT(MAX(($B$5:$B$2004=B1029)*$H$5:$H$2004)),"Rekor",""),"")</f>
        <v/>
      </c>
      <c r="J1029" s="19" t="n">
        <f aca="false">IF(A1029="",0,IF(COUNTIF(A$5:A1029,A1029)=1,1,0))</f>
        <v>0</v>
      </c>
    </row>
    <row r="1030" customFormat="false" ht="15" hidden="false" customHeight="false" outlineLevel="0" collapsed="false">
      <c r="A1030" s="12"/>
      <c r="B1030" s="13"/>
      <c r="C1030" s="14"/>
      <c r="D1030" s="14"/>
      <c r="E1030" s="15"/>
      <c r="F1030" s="16" t="str">
        <f aca="false">IF(OR(C1030="",D1030="",E1030=""),"",C1030*D1030*E1030)</f>
        <v/>
      </c>
      <c r="G1030" s="17" t="str">
        <f aca="false">IF(OR(D1030="",E1030=""),"",E1030*(1+D1030/30))</f>
        <v/>
      </c>
      <c r="H1030" s="19" t="n">
        <f aca="false">IF(G1030="",0,G1030)</f>
        <v>0</v>
      </c>
      <c r="I1030" s="18" t="str">
        <f aca="false">IF(H1030&gt;0,IF(H1030&gt;=SUMPRODUCT(MAX(($B$5:$B$2004=B1030)*$H$5:$H$2004)),"Rekor",""),"")</f>
        <v/>
      </c>
      <c r="J1030" s="19" t="n">
        <f aca="false">IF(A1030="",0,IF(COUNTIF(A$5:A1030,A1030)=1,1,0))</f>
        <v>0</v>
      </c>
    </row>
    <row r="1031" customFormat="false" ht="15" hidden="false" customHeight="false" outlineLevel="0" collapsed="false">
      <c r="A1031" s="12"/>
      <c r="B1031" s="13"/>
      <c r="C1031" s="14"/>
      <c r="D1031" s="14"/>
      <c r="E1031" s="15"/>
      <c r="F1031" s="16" t="str">
        <f aca="false">IF(OR(C1031="",D1031="",E1031=""),"",C1031*D1031*E1031)</f>
        <v/>
      </c>
      <c r="G1031" s="17" t="str">
        <f aca="false">IF(OR(D1031="",E1031=""),"",E1031*(1+D1031/30))</f>
        <v/>
      </c>
      <c r="H1031" s="19" t="n">
        <f aca="false">IF(G1031="",0,G1031)</f>
        <v>0</v>
      </c>
      <c r="I1031" s="18" t="str">
        <f aca="false">IF(H1031&gt;0,IF(H1031&gt;=SUMPRODUCT(MAX(($B$5:$B$2004=B1031)*$H$5:$H$2004)),"Rekor",""),"")</f>
        <v/>
      </c>
      <c r="J1031" s="19" t="n">
        <f aca="false">IF(A1031="",0,IF(COUNTIF(A$5:A1031,A1031)=1,1,0))</f>
        <v>0</v>
      </c>
    </row>
    <row r="1032" customFormat="false" ht="15" hidden="false" customHeight="false" outlineLevel="0" collapsed="false">
      <c r="A1032" s="12"/>
      <c r="B1032" s="13"/>
      <c r="C1032" s="14"/>
      <c r="D1032" s="14"/>
      <c r="E1032" s="15"/>
      <c r="F1032" s="16" t="str">
        <f aca="false">IF(OR(C1032="",D1032="",E1032=""),"",C1032*D1032*E1032)</f>
        <v/>
      </c>
      <c r="G1032" s="17" t="str">
        <f aca="false">IF(OR(D1032="",E1032=""),"",E1032*(1+D1032/30))</f>
        <v/>
      </c>
      <c r="H1032" s="19" t="n">
        <f aca="false">IF(G1032="",0,G1032)</f>
        <v>0</v>
      </c>
      <c r="I1032" s="18" t="str">
        <f aca="false">IF(H1032&gt;0,IF(H1032&gt;=SUMPRODUCT(MAX(($B$5:$B$2004=B1032)*$H$5:$H$2004)),"Rekor",""),"")</f>
        <v/>
      </c>
      <c r="J1032" s="19" t="n">
        <f aca="false">IF(A1032="",0,IF(COUNTIF(A$5:A1032,A1032)=1,1,0))</f>
        <v>0</v>
      </c>
    </row>
    <row r="1033" customFormat="false" ht="15" hidden="false" customHeight="false" outlineLevel="0" collapsed="false">
      <c r="A1033" s="12"/>
      <c r="B1033" s="13"/>
      <c r="C1033" s="14"/>
      <c r="D1033" s="14"/>
      <c r="E1033" s="15"/>
      <c r="F1033" s="16" t="str">
        <f aca="false">IF(OR(C1033="",D1033="",E1033=""),"",C1033*D1033*E1033)</f>
        <v/>
      </c>
      <c r="G1033" s="17" t="str">
        <f aca="false">IF(OR(D1033="",E1033=""),"",E1033*(1+D1033/30))</f>
        <v/>
      </c>
      <c r="H1033" s="19" t="n">
        <f aca="false">IF(G1033="",0,G1033)</f>
        <v>0</v>
      </c>
      <c r="I1033" s="18" t="str">
        <f aca="false">IF(H1033&gt;0,IF(H1033&gt;=SUMPRODUCT(MAX(($B$5:$B$2004=B1033)*$H$5:$H$2004)),"Rekor",""),"")</f>
        <v/>
      </c>
      <c r="J1033" s="19" t="n">
        <f aca="false">IF(A1033="",0,IF(COUNTIF(A$5:A1033,A1033)=1,1,0))</f>
        <v>0</v>
      </c>
    </row>
    <row r="1034" customFormat="false" ht="15" hidden="false" customHeight="false" outlineLevel="0" collapsed="false">
      <c r="A1034" s="12"/>
      <c r="B1034" s="13"/>
      <c r="C1034" s="14"/>
      <c r="D1034" s="14"/>
      <c r="E1034" s="15"/>
      <c r="F1034" s="16" t="str">
        <f aca="false">IF(OR(C1034="",D1034="",E1034=""),"",C1034*D1034*E1034)</f>
        <v/>
      </c>
      <c r="G1034" s="17" t="str">
        <f aca="false">IF(OR(D1034="",E1034=""),"",E1034*(1+D1034/30))</f>
        <v/>
      </c>
      <c r="H1034" s="19" t="n">
        <f aca="false">IF(G1034="",0,G1034)</f>
        <v>0</v>
      </c>
      <c r="I1034" s="18" t="str">
        <f aca="false">IF(H1034&gt;0,IF(H1034&gt;=SUMPRODUCT(MAX(($B$5:$B$2004=B1034)*$H$5:$H$2004)),"Rekor",""),"")</f>
        <v/>
      </c>
      <c r="J1034" s="19" t="n">
        <f aca="false">IF(A1034="",0,IF(COUNTIF(A$5:A1034,A1034)=1,1,0))</f>
        <v>0</v>
      </c>
    </row>
    <row r="1035" customFormat="false" ht="15" hidden="false" customHeight="false" outlineLevel="0" collapsed="false">
      <c r="A1035" s="12"/>
      <c r="B1035" s="13"/>
      <c r="C1035" s="14"/>
      <c r="D1035" s="14"/>
      <c r="E1035" s="15"/>
      <c r="F1035" s="16" t="str">
        <f aca="false">IF(OR(C1035="",D1035="",E1035=""),"",C1035*D1035*E1035)</f>
        <v/>
      </c>
      <c r="G1035" s="17" t="str">
        <f aca="false">IF(OR(D1035="",E1035=""),"",E1035*(1+D1035/30))</f>
        <v/>
      </c>
      <c r="H1035" s="19" t="n">
        <f aca="false">IF(G1035="",0,G1035)</f>
        <v>0</v>
      </c>
      <c r="I1035" s="18" t="str">
        <f aca="false">IF(H1035&gt;0,IF(H1035&gt;=SUMPRODUCT(MAX(($B$5:$B$2004=B1035)*$H$5:$H$2004)),"Rekor",""),"")</f>
        <v/>
      </c>
      <c r="J1035" s="19" t="n">
        <f aca="false">IF(A1035="",0,IF(COUNTIF(A$5:A1035,A1035)=1,1,0))</f>
        <v>0</v>
      </c>
    </row>
    <row r="1036" customFormat="false" ht="15" hidden="false" customHeight="false" outlineLevel="0" collapsed="false">
      <c r="A1036" s="12"/>
      <c r="B1036" s="13"/>
      <c r="C1036" s="14"/>
      <c r="D1036" s="14"/>
      <c r="E1036" s="15"/>
      <c r="F1036" s="16" t="str">
        <f aca="false">IF(OR(C1036="",D1036="",E1036=""),"",C1036*D1036*E1036)</f>
        <v/>
      </c>
      <c r="G1036" s="17" t="str">
        <f aca="false">IF(OR(D1036="",E1036=""),"",E1036*(1+D1036/30))</f>
        <v/>
      </c>
      <c r="H1036" s="19" t="n">
        <f aca="false">IF(G1036="",0,G1036)</f>
        <v>0</v>
      </c>
      <c r="I1036" s="18" t="str">
        <f aca="false">IF(H1036&gt;0,IF(H1036&gt;=SUMPRODUCT(MAX(($B$5:$B$2004=B1036)*$H$5:$H$2004)),"Rekor",""),"")</f>
        <v/>
      </c>
      <c r="J1036" s="19" t="n">
        <f aca="false">IF(A1036="",0,IF(COUNTIF(A$5:A1036,A1036)=1,1,0))</f>
        <v>0</v>
      </c>
    </row>
    <row r="1037" customFormat="false" ht="15" hidden="false" customHeight="false" outlineLevel="0" collapsed="false">
      <c r="A1037" s="12"/>
      <c r="B1037" s="13"/>
      <c r="C1037" s="14"/>
      <c r="D1037" s="14"/>
      <c r="E1037" s="15"/>
      <c r="F1037" s="16" t="str">
        <f aca="false">IF(OR(C1037="",D1037="",E1037=""),"",C1037*D1037*E1037)</f>
        <v/>
      </c>
      <c r="G1037" s="17" t="str">
        <f aca="false">IF(OR(D1037="",E1037=""),"",E1037*(1+D1037/30))</f>
        <v/>
      </c>
      <c r="H1037" s="19" t="n">
        <f aca="false">IF(G1037="",0,G1037)</f>
        <v>0</v>
      </c>
      <c r="I1037" s="18" t="str">
        <f aca="false">IF(H1037&gt;0,IF(H1037&gt;=SUMPRODUCT(MAX(($B$5:$B$2004=B1037)*$H$5:$H$2004)),"Rekor",""),"")</f>
        <v/>
      </c>
      <c r="J1037" s="19" t="n">
        <f aca="false">IF(A1037="",0,IF(COUNTIF(A$5:A1037,A1037)=1,1,0))</f>
        <v>0</v>
      </c>
    </row>
    <row r="1038" customFormat="false" ht="15" hidden="false" customHeight="false" outlineLevel="0" collapsed="false">
      <c r="A1038" s="12"/>
      <c r="B1038" s="13"/>
      <c r="C1038" s="14"/>
      <c r="D1038" s="14"/>
      <c r="E1038" s="15"/>
      <c r="F1038" s="16" t="str">
        <f aca="false">IF(OR(C1038="",D1038="",E1038=""),"",C1038*D1038*E1038)</f>
        <v/>
      </c>
      <c r="G1038" s="17" t="str">
        <f aca="false">IF(OR(D1038="",E1038=""),"",E1038*(1+D1038/30))</f>
        <v/>
      </c>
      <c r="H1038" s="19" t="n">
        <f aca="false">IF(G1038="",0,G1038)</f>
        <v>0</v>
      </c>
      <c r="I1038" s="18" t="str">
        <f aca="false">IF(H1038&gt;0,IF(H1038&gt;=SUMPRODUCT(MAX(($B$5:$B$2004=B1038)*$H$5:$H$2004)),"Rekor",""),"")</f>
        <v/>
      </c>
      <c r="J1038" s="19" t="n">
        <f aca="false">IF(A1038="",0,IF(COUNTIF(A$5:A1038,A1038)=1,1,0))</f>
        <v>0</v>
      </c>
    </row>
    <row r="1039" customFormat="false" ht="15" hidden="false" customHeight="false" outlineLevel="0" collapsed="false">
      <c r="A1039" s="12"/>
      <c r="B1039" s="13"/>
      <c r="C1039" s="14"/>
      <c r="D1039" s="14"/>
      <c r="E1039" s="15"/>
      <c r="F1039" s="16" t="str">
        <f aca="false">IF(OR(C1039="",D1039="",E1039=""),"",C1039*D1039*E1039)</f>
        <v/>
      </c>
      <c r="G1039" s="17" t="str">
        <f aca="false">IF(OR(D1039="",E1039=""),"",E1039*(1+D1039/30))</f>
        <v/>
      </c>
      <c r="H1039" s="19" t="n">
        <f aca="false">IF(G1039="",0,G1039)</f>
        <v>0</v>
      </c>
      <c r="I1039" s="18" t="str">
        <f aca="false">IF(H1039&gt;0,IF(H1039&gt;=SUMPRODUCT(MAX(($B$5:$B$2004=B1039)*$H$5:$H$2004)),"Rekor",""),"")</f>
        <v/>
      </c>
      <c r="J1039" s="19" t="n">
        <f aca="false">IF(A1039="",0,IF(COUNTIF(A$5:A1039,A1039)=1,1,0))</f>
        <v>0</v>
      </c>
    </row>
    <row r="1040" customFormat="false" ht="15" hidden="false" customHeight="false" outlineLevel="0" collapsed="false">
      <c r="A1040" s="12"/>
      <c r="B1040" s="13"/>
      <c r="C1040" s="14"/>
      <c r="D1040" s="14"/>
      <c r="E1040" s="15"/>
      <c r="F1040" s="16" t="str">
        <f aca="false">IF(OR(C1040="",D1040="",E1040=""),"",C1040*D1040*E1040)</f>
        <v/>
      </c>
      <c r="G1040" s="17" t="str">
        <f aca="false">IF(OR(D1040="",E1040=""),"",E1040*(1+D1040/30))</f>
        <v/>
      </c>
      <c r="H1040" s="19" t="n">
        <f aca="false">IF(G1040="",0,G1040)</f>
        <v>0</v>
      </c>
      <c r="I1040" s="18" t="str">
        <f aca="false">IF(H1040&gt;0,IF(H1040&gt;=SUMPRODUCT(MAX(($B$5:$B$2004=B1040)*$H$5:$H$2004)),"Rekor",""),"")</f>
        <v/>
      </c>
      <c r="J1040" s="19" t="n">
        <f aca="false">IF(A1040="",0,IF(COUNTIF(A$5:A1040,A1040)=1,1,0))</f>
        <v>0</v>
      </c>
    </row>
    <row r="1041" customFormat="false" ht="15" hidden="false" customHeight="false" outlineLevel="0" collapsed="false">
      <c r="A1041" s="12"/>
      <c r="B1041" s="13"/>
      <c r="C1041" s="14"/>
      <c r="D1041" s="14"/>
      <c r="E1041" s="15"/>
      <c r="F1041" s="16" t="str">
        <f aca="false">IF(OR(C1041="",D1041="",E1041=""),"",C1041*D1041*E1041)</f>
        <v/>
      </c>
      <c r="G1041" s="17" t="str">
        <f aca="false">IF(OR(D1041="",E1041=""),"",E1041*(1+D1041/30))</f>
        <v/>
      </c>
      <c r="H1041" s="19" t="n">
        <f aca="false">IF(G1041="",0,G1041)</f>
        <v>0</v>
      </c>
      <c r="I1041" s="18" t="str">
        <f aca="false">IF(H1041&gt;0,IF(H1041&gt;=SUMPRODUCT(MAX(($B$5:$B$2004=B1041)*$H$5:$H$2004)),"Rekor",""),"")</f>
        <v/>
      </c>
      <c r="J1041" s="19" t="n">
        <f aca="false">IF(A1041="",0,IF(COUNTIF(A$5:A1041,A1041)=1,1,0))</f>
        <v>0</v>
      </c>
    </row>
    <row r="1042" customFormat="false" ht="15" hidden="false" customHeight="false" outlineLevel="0" collapsed="false">
      <c r="A1042" s="12"/>
      <c r="B1042" s="13"/>
      <c r="C1042" s="14"/>
      <c r="D1042" s="14"/>
      <c r="E1042" s="15"/>
      <c r="F1042" s="16" t="str">
        <f aca="false">IF(OR(C1042="",D1042="",E1042=""),"",C1042*D1042*E1042)</f>
        <v/>
      </c>
      <c r="G1042" s="17" t="str">
        <f aca="false">IF(OR(D1042="",E1042=""),"",E1042*(1+D1042/30))</f>
        <v/>
      </c>
      <c r="H1042" s="19" t="n">
        <f aca="false">IF(G1042="",0,G1042)</f>
        <v>0</v>
      </c>
      <c r="I1042" s="18" t="str">
        <f aca="false">IF(H1042&gt;0,IF(H1042&gt;=SUMPRODUCT(MAX(($B$5:$B$2004=B1042)*$H$5:$H$2004)),"Rekor",""),"")</f>
        <v/>
      </c>
      <c r="J1042" s="19" t="n">
        <f aca="false">IF(A1042="",0,IF(COUNTIF(A$5:A1042,A1042)=1,1,0))</f>
        <v>0</v>
      </c>
    </row>
    <row r="1043" customFormat="false" ht="15" hidden="false" customHeight="false" outlineLevel="0" collapsed="false">
      <c r="A1043" s="12"/>
      <c r="B1043" s="13"/>
      <c r="C1043" s="14"/>
      <c r="D1043" s="14"/>
      <c r="E1043" s="15"/>
      <c r="F1043" s="16" t="str">
        <f aca="false">IF(OR(C1043="",D1043="",E1043=""),"",C1043*D1043*E1043)</f>
        <v/>
      </c>
      <c r="G1043" s="17" t="str">
        <f aca="false">IF(OR(D1043="",E1043=""),"",E1043*(1+D1043/30))</f>
        <v/>
      </c>
      <c r="H1043" s="19" t="n">
        <f aca="false">IF(G1043="",0,G1043)</f>
        <v>0</v>
      </c>
      <c r="I1043" s="18" t="str">
        <f aca="false">IF(H1043&gt;0,IF(H1043&gt;=SUMPRODUCT(MAX(($B$5:$B$2004=B1043)*$H$5:$H$2004)),"Rekor",""),"")</f>
        <v/>
      </c>
      <c r="J1043" s="19" t="n">
        <f aca="false">IF(A1043="",0,IF(COUNTIF(A$5:A1043,A1043)=1,1,0))</f>
        <v>0</v>
      </c>
    </row>
    <row r="1044" customFormat="false" ht="15" hidden="false" customHeight="false" outlineLevel="0" collapsed="false">
      <c r="A1044" s="12"/>
      <c r="B1044" s="13"/>
      <c r="C1044" s="14"/>
      <c r="D1044" s="14"/>
      <c r="E1044" s="15"/>
      <c r="F1044" s="16" t="str">
        <f aca="false">IF(OR(C1044="",D1044="",E1044=""),"",C1044*D1044*E1044)</f>
        <v/>
      </c>
      <c r="G1044" s="17" t="str">
        <f aca="false">IF(OR(D1044="",E1044=""),"",E1044*(1+D1044/30))</f>
        <v/>
      </c>
      <c r="H1044" s="19" t="n">
        <f aca="false">IF(G1044="",0,G1044)</f>
        <v>0</v>
      </c>
      <c r="I1044" s="18" t="str">
        <f aca="false">IF(H1044&gt;0,IF(H1044&gt;=SUMPRODUCT(MAX(($B$5:$B$2004=B1044)*$H$5:$H$2004)),"Rekor",""),"")</f>
        <v/>
      </c>
      <c r="J1044" s="19" t="n">
        <f aca="false">IF(A1044="",0,IF(COUNTIF(A$5:A1044,A1044)=1,1,0))</f>
        <v>0</v>
      </c>
    </row>
    <row r="1045" customFormat="false" ht="15" hidden="false" customHeight="false" outlineLevel="0" collapsed="false">
      <c r="A1045" s="12"/>
      <c r="B1045" s="13"/>
      <c r="C1045" s="14"/>
      <c r="D1045" s="14"/>
      <c r="E1045" s="15"/>
      <c r="F1045" s="16" t="str">
        <f aca="false">IF(OR(C1045="",D1045="",E1045=""),"",C1045*D1045*E1045)</f>
        <v/>
      </c>
      <c r="G1045" s="17" t="str">
        <f aca="false">IF(OR(D1045="",E1045=""),"",E1045*(1+D1045/30))</f>
        <v/>
      </c>
      <c r="H1045" s="19" t="n">
        <f aca="false">IF(G1045="",0,G1045)</f>
        <v>0</v>
      </c>
      <c r="I1045" s="18" t="str">
        <f aca="false">IF(H1045&gt;0,IF(H1045&gt;=SUMPRODUCT(MAX(($B$5:$B$2004=B1045)*$H$5:$H$2004)),"Rekor",""),"")</f>
        <v/>
      </c>
      <c r="J1045" s="19" t="n">
        <f aca="false">IF(A1045="",0,IF(COUNTIF(A$5:A1045,A1045)=1,1,0))</f>
        <v>0</v>
      </c>
    </row>
    <row r="1046" customFormat="false" ht="15" hidden="false" customHeight="false" outlineLevel="0" collapsed="false">
      <c r="A1046" s="12"/>
      <c r="B1046" s="13"/>
      <c r="C1046" s="14"/>
      <c r="D1046" s="14"/>
      <c r="E1046" s="15"/>
      <c r="F1046" s="16" t="str">
        <f aca="false">IF(OR(C1046="",D1046="",E1046=""),"",C1046*D1046*E1046)</f>
        <v/>
      </c>
      <c r="G1046" s="17" t="str">
        <f aca="false">IF(OR(D1046="",E1046=""),"",E1046*(1+D1046/30))</f>
        <v/>
      </c>
      <c r="H1046" s="19" t="n">
        <f aca="false">IF(G1046="",0,G1046)</f>
        <v>0</v>
      </c>
      <c r="I1046" s="18" t="str">
        <f aca="false">IF(H1046&gt;0,IF(H1046&gt;=SUMPRODUCT(MAX(($B$5:$B$2004=B1046)*$H$5:$H$2004)),"Rekor",""),"")</f>
        <v/>
      </c>
      <c r="J1046" s="19" t="n">
        <f aca="false">IF(A1046="",0,IF(COUNTIF(A$5:A1046,A1046)=1,1,0))</f>
        <v>0</v>
      </c>
    </row>
    <row r="1047" customFormat="false" ht="15" hidden="false" customHeight="false" outlineLevel="0" collapsed="false">
      <c r="A1047" s="12"/>
      <c r="B1047" s="13"/>
      <c r="C1047" s="14"/>
      <c r="D1047" s="14"/>
      <c r="E1047" s="15"/>
      <c r="F1047" s="16" t="str">
        <f aca="false">IF(OR(C1047="",D1047="",E1047=""),"",C1047*D1047*E1047)</f>
        <v/>
      </c>
      <c r="G1047" s="17" t="str">
        <f aca="false">IF(OR(D1047="",E1047=""),"",E1047*(1+D1047/30))</f>
        <v/>
      </c>
      <c r="H1047" s="19" t="n">
        <f aca="false">IF(G1047="",0,G1047)</f>
        <v>0</v>
      </c>
      <c r="I1047" s="18" t="str">
        <f aca="false">IF(H1047&gt;0,IF(H1047&gt;=SUMPRODUCT(MAX(($B$5:$B$2004=B1047)*$H$5:$H$2004)),"Rekor",""),"")</f>
        <v/>
      </c>
      <c r="J1047" s="19" t="n">
        <f aca="false">IF(A1047="",0,IF(COUNTIF(A$5:A1047,A1047)=1,1,0))</f>
        <v>0</v>
      </c>
    </row>
    <row r="1048" customFormat="false" ht="15" hidden="false" customHeight="false" outlineLevel="0" collapsed="false">
      <c r="A1048" s="12"/>
      <c r="B1048" s="13"/>
      <c r="C1048" s="14"/>
      <c r="D1048" s="14"/>
      <c r="E1048" s="15"/>
      <c r="F1048" s="16" t="str">
        <f aca="false">IF(OR(C1048="",D1048="",E1048=""),"",C1048*D1048*E1048)</f>
        <v/>
      </c>
      <c r="G1048" s="17" t="str">
        <f aca="false">IF(OR(D1048="",E1048=""),"",E1048*(1+D1048/30))</f>
        <v/>
      </c>
      <c r="H1048" s="19" t="n">
        <f aca="false">IF(G1048="",0,G1048)</f>
        <v>0</v>
      </c>
      <c r="I1048" s="18" t="str">
        <f aca="false">IF(H1048&gt;0,IF(H1048&gt;=SUMPRODUCT(MAX(($B$5:$B$2004=B1048)*$H$5:$H$2004)),"Rekor",""),"")</f>
        <v/>
      </c>
      <c r="J1048" s="19" t="n">
        <f aca="false">IF(A1048="",0,IF(COUNTIF(A$5:A1048,A1048)=1,1,0))</f>
        <v>0</v>
      </c>
    </row>
    <row r="1049" customFormat="false" ht="15" hidden="false" customHeight="false" outlineLevel="0" collapsed="false">
      <c r="A1049" s="12"/>
      <c r="B1049" s="13"/>
      <c r="C1049" s="14"/>
      <c r="D1049" s="14"/>
      <c r="E1049" s="15"/>
      <c r="F1049" s="16" t="str">
        <f aca="false">IF(OR(C1049="",D1049="",E1049=""),"",C1049*D1049*E1049)</f>
        <v/>
      </c>
      <c r="G1049" s="17" t="str">
        <f aca="false">IF(OR(D1049="",E1049=""),"",E1049*(1+D1049/30))</f>
        <v/>
      </c>
      <c r="H1049" s="19" t="n">
        <f aca="false">IF(G1049="",0,G1049)</f>
        <v>0</v>
      </c>
      <c r="I1049" s="18" t="str">
        <f aca="false">IF(H1049&gt;0,IF(H1049&gt;=SUMPRODUCT(MAX(($B$5:$B$2004=B1049)*$H$5:$H$2004)),"Rekor",""),"")</f>
        <v/>
      </c>
      <c r="J1049" s="19" t="n">
        <f aca="false">IF(A1049="",0,IF(COUNTIF(A$5:A1049,A1049)=1,1,0))</f>
        <v>0</v>
      </c>
    </row>
    <row r="1050" customFormat="false" ht="15" hidden="false" customHeight="false" outlineLevel="0" collapsed="false">
      <c r="A1050" s="12"/>
      <c r="B1050" s="13"/>
      <c r="C1050" s="14"/>
      <c r="D1050" s="14"/>
      <c r="E1050" s="15"/>
      <c r="F1050" s="16" t="str">
        <f aca="false">IF(OR(C1050="",D1050="",E1050=""),"",C1050*D1050*E1050)</f>
        <v/>
      </c>
      <c r="G1050" s="17" t="str">
        <f aca="false">IF(OR(D1050="",E1050=""),"",E1050*(1+D1050/30))</f>
        <v/>
      </c>
      <c r="H1050" s="19" t="n">
        <f aca="false">IF(G1050="",0,G1050)</f>
        <v>0</v>
      </c>
      <c r="I1050" s="18" t="str">
        <f aca="false">IF(H1050&gt;0,IF(H1050&gt;=SUMPRODUCT(MAX(($B$5:$B$2004=B1050)*$H$5:$H$2004)),"Rekor",""),"")</f>
        <v/>
      </c>
      <c r="J1050" s="19" t="n">
        <f aca="false">IF(A1050="",0,IF(COUNTIF(A$5:A1050,A1050)=1,1,0))</f>
        <v>0</v>
      </c>
    </row>
    <row r="1051" customFormat="false" ht="15" hidden="false" customHeight="false" outlineLevel="0" collapsed="false">
      <c r="A1051" s="12"/>
      <c r="B1051" s="13"/>
      <c r="C1051" s="14"/>
      <c r="D1051" s="14"/>
      <c r="E1051" s="15"/>
      <c r="F1051" s="16" t="str">
        <f aca="false">IF(OR(C1051="",D1051="",E1051=""),"",C1051*D1051*E1051)</f>
        <v/>
      </c>
      <c r="G1051" s="17" t="str">
        <f aca="false">IF(OR(D1051="",E1051=""),"",E1051*(1+D1051/30))</f>
        <v/>
      </c>
      <c r="H1051" s="19" t="n">
        <f aca="false">IF(G1051="",0,G1051)</f>
        <v>0</v>
      </c>
      <c r="I1051" s="18" t="str">
        <f aca="false">IF(H1051&gt;0,IF(H1051&gt;=SUMPRODUCT(MAX(($B$5:$B$2004=B1051)*$H$5:$H$2004)),"Rekor",""),"")</f>
        <v/>
      </c>
      <c r="J1051" s="19" t="n">
        <f aca="false">IF(A1051="",0,IF(COUNTIF(A$5:A1051,A1051)=1,1,0))</f>
        <v>0</v>
      </c>
    </row>
    <row r="1052" customFormat="false" ht="15" hidden="false" customHeight="false" outlineLevel="0" collapsed="false">
      <c r="A1052" s="12"/>
      <c r="B1052" s="13"/>
      <c r="C1052" s="14"/>
      <c r="D1052" s="14"/>
      <c r="E1052" s="15"/>
      <c r="F1052" s="16" t="str">
        <f aca="false">IF(OR(C1052="",D1052="",E1052=""),"",C1052*D1052*E1052)</f>
        <v/>
      </c>
      <c r="G1052" s="17" t="str">
        <f aca="false">IF(OR(D1052="",E1052=""),"",E1052*(1+D1052/30))</f>
        <v/>
      </c>
      <c r="H1052" s="19" t="n">
        <f aca="false">IF(G1052="",0,G1052)</f>
        <v>0</v>
      </c>
      <c r="I1052" s="18" t="str">
        <f aca="false">IF(H1052&gt;0,IF(H1052&gt;=SUMPRODUCT(MAX(($B$5:$B$2004=B1052)*$H$5:$H$2004)),"Rekor",""),"")</f>
        <v/>
      </c>
      <c r="J1052" s="19" t="n">
        <f aca="false">IF(A1052="",0,IF(COUNTIF(A$5:A1052,A1052)=1,1,0))</f>
        <v>0</v>
      </c>
    </row>
    <row r="1053" customFormat="false" ht="15" hidden="false" customHeight="false" outlineLevel="0" collapsed="false">
      <c r="A1053" s="12"/>
      <c r="B1053" s="13"/>
      <c r="C1053" s="14"/>
      <c r="D1053" s="14"/>
      <c r="E1053" s="15"/>
      <c r="F1053" s="16" t="str">
        <f aca="false">IF(OR(C1053="",D1053="",E1053=""),"",C1053*D1053*E1053)</f>
        <v/>
      </c>
      <c r="G1053" s="17" t="str">
        <f aca="false">IF(OR(D1053="",E1053=""),"",E1053*(1+D1053/30))</f>
        <v/>
      </c>
      <c r="H1053" s="19" t="n">
        <f aca="false">IF(G1053="",0,G1053)</f>
        <v>0</v>
      </c>
      <c r="I1053" s="18" t="str">
        <f aca="false">IF(H1053&gt;0,IF(H1053&gt;=SUMPRODUCT(MAX(($B$5:$B$2004=B1053)*$H$5:$H$2004)),"Rekor",""),"")</f>
        <v/>
      </c>
      <c r="J1053" s="19" t="n">
        <f aca="false">IF(A1053="",0,IF(COUNTIF(A$5:A1053,A1053)=1,1,0))</f>
        <v>0</v>
      </c>
    </row>
    <row r="1054" customFormat="false" ht="15" hidden="false" customHeight="false" outlineLevel="0" collapsed="false">
      <c r="A1054" s="12"/>
      <c r="B1054" s="13"/>
      <c r="C1054" s="14"/>
      <c r="D1054" s="14"/>
      <c r="E1054" s="15"/>
      <c r="F1054" s="16" t="str">
        <f aca="false">IF(OR(C1054="",D1054="",E1054=""),"",C1054*D1054*E1054)</f>
        <v/>
      </c>
      <c r="G1054" s="17" t="str">
        <f aca="false">IF(OR(D1054="",E1054=""),"",E1054*(1+D1054/30))</f>
        <v/>
      </c>
      <c r="H1054" s="19" t="n">
        <f aca="false">IF(G1054="",0,G1054)</f>
        <v>0</v>
      </c>
      <c r="I1054" s="18" t="str">
        <f aca="false">IF(H1054&gt;0,IF(H1054&gt;=SUMPRODUCT(MAX(($B$5:$B$2004=B1054)*$H$5:$H$2004)),"Rekor",""),"")</f>
        <v/>
      </c>
      <c r="J1054" s="19" t="n">
        <f aca="false">IF(A1054="",0,IF(COUNTIF(A$5:A1054,A1054)=1,1,0))</f>
        <v>0</v>
      </c>
    </row>
    <row r="1055" customFormat="false" ht="15" hidden="false" customHeight="false" outlineLevel="0" collapsed="false">
      <c r="A1055" s="12"/>
      <c r="B1055" s="13"/>
      <c r="C1055" s="14"/>
      <c r="D1055" s="14"/>
      <c r="E1055" s="15"/>
      <c r="F1055" s="16" t="str">
        <f aca="false">IF(OR(C1055="",D1055="",E1055=""),"",C1055*D1055*E1055)</f>
        <v/>
      </c>
      <c r="G1055" s="17" t="str">
        <f aca="false">IF(OR(D1055="",E1055=""),"",E1055*(1+D1055/30))</f>
        <v/>
      </c>
      <c r="H1055" s="19" t="n">
        <f aca="false">IF(G1055="",0,G1055)</f>
        <v>0</v>
      </c>
      <c r="I1055" s="18" t="str">
        <f aca="false">IF(H1055&gt;0,IF(H1055&gt;=SUMPRODUCT(MAX(($B$5:$B$2004=B1055)*$H$5:$H$2004)),"Rekor",""),"")</f>
        <v/>
      </c>
      <c r="J1055" s="19" t="n">
        <f aca="false">IF(A1055="",0,IF(COUNTIF(A$5:A1055,A1055)=1,1,0))</f>
        <v>0</v>
      </c>
    </row>
    <row r="1056" customFormat="false" ht="15" hidden="false" customHeight="false" outlineLevel="0" collapsed="false">
      <c r="A1056" s="12"/>
      <c r="B1056" s="13"/>
      <c r="C1056" s="14"/>
      <c r="D1056" s="14"/>
      <c r="E1056" s="15"/>
      <c r="F1056" s="16" t="str">
        <f aca="false">IF(OR(C1056="",D1056="",E1056=""),"",C1056*D1056*E1056)</f>
        <v/>
      </c>
      <c r="G1056" s="17" t="str">
        <f aca="false">IF(OR(D1056="",E1056=""),"",E1056*(1+D1056/30))</f>
        <v/>
      </c>
      <c r="H1056" s="19" t="n">
        <f aca="false">IF(G1056="",0,G1056)</f>
        <v>0</v>
      </c>
      <c r="I1056" s="18" t="str">
        <f aca="false">IF(H1056&gt;0,IF(H1056&gt;=SUMPRODUCT(MAX(($B$5:$B$2004=B1056)*$H$5:$H$2004)),"Rekor",""),"")</f>
        <v/>
      </c>
      <c r="J1056" s="19" t="n">
        <f aca="false">IF(A1056="",0,IF(COUNTIF(A$5:A1056,A1056)=1,1,0))</f>
        <v>0</v>
      </c>
    </row>
    <row r="1057" customFormat="false" ht="15" hidden="false" customHeight="false" outlineLevel="0" collapsed="false">
      <c r="A1057" s="12"/>
      <c r="B1057" s="13"/>
      <c r="C1057" s="14"/>
      <c r="D1057" s="14"/>
      <c r="E1057" s="15"/>
      <c r="F1057" s="16" t="str">
        <f aca="false">IF(OR(C1057="",D1057="",E1057=""),"",C1057*D1057*E1057)</f>
        <v/>
      </c>
      <c r="G1057" s="17" t="str">
        <f aca="false">IF(OR(D1057="",E1057=""),"",E1057*(1+D1057/30))</f>
        <v/>
      </c>
      <c r="H1057" s="19" t="n">
        <f aca="false">IF(G1057="",0,G1057)</f>
        <v>0</v>
      </c>
      <c r="I1057" s="18" t="str">
        <f aca="false">IF(H1057&gt;0,IF(H1057&gt;=SUMPRODUCT(MAX(($B$5:$B$2004=B1057)*$H$5:$H$2004)),"Rekor",""),"")</f>
        <v/>
      </c>
      <c r="J1057" s="19" t="n">
        <f aca="false">IF(A1057="",0,IF(COUNTIF(A$5:A1057,A1057)=1,1,0))</f>
        <v>0</v>
      </c>
    </row>
    <row r="1058" customFormat="false" ht="15" hidden="false" customHeight="false" outlineLevel="0" collapsed="false">
      <c r="A1058" s="12"/>
      <c r="B1058" s="13"/>
      <c r="C1058" s="14"/>
      <c r="D1058" s="14"/>
      <c r="E1058" s="15"/>
      <c r="F1058" s="16" t="str">
        <f aca="false">IF(OR(C1058="",D1058="",E1058=""),"",C1058*D1058*E1058)</f>
        <v/>
      </c>
      <c r="G1058" s="17" t="str">
        <f aca="false">IF(OR(D1058="",E1058=""),"",E1058*(1+D1058/30))</f>
        <v/>
      </c>
      <c r="H1058" s="19" t="n">
        <f aca="false">IF(G1058="",0,G1058)</f>
        <v>0</v>
      </c>
      <c r="I1058" s="18" t="str">
        <f aca="false">IF(H1058&gt;0,IF(H1058&gt;=SUMPRODUCT(MAX(($B$5:$B$2004=B1058)*$H$5:$H$2004)),"Rekor",""),"")</f>
        <v/>
      </c>
      <c r="J1058" s="19" t="n">
        <f aca="false">IF(A1058="",0,IF(COUNTIF(A$5:A1058,A1058)=1,1,0))</f>
        <v>0</v>
      </c>
    </row>
    <row r="1059" customFormat="false" ht="15" hidden="false" customHeight="false" outlineLevel="0" collapsed="false">
      <c r="A1059" s="12"/>
      <c r="B1059" s="13"/>
      <c r="C1059" s="14"/>
      <c r="D1059" s="14"/>
      <c r="E1059" s="15"/>
      <c r="F1059" s="16" t="str">
        <f aca="false">IF(OR(C1059="",D1059="",E1059=""),"",C1059*D1059*E1059)</f>
        <v/>
      </c>
      <c r="G1059" s="17" t="str">
        <f aca="false">IF(OR(D1059="",E1059=""),"",E1059*(1+D1059/30))</f>
        <v/>
      </c>
      <c r="H1059" s="19" t="n">
        <f aca="false">IF(G1059="",0,G1059)</f>
        <v>0</v>
      </c>
      <c r="I1059" s="18" t="str">
        <f aca="false">IF(H1059&gt;0,IF(H1059&gt;=SUMPRODUCT(MAX(($B$5:$B$2004=B1059)*$H$5:$H$2004)),"Rekor",""),"")</f>
        <v/>
      </c>
      <c r="J1059" s="19" t="n">
        <f aca="false">IF(A1059="",0,IF(COUNTIF(A$5:A1059,A1059)=1,1,0))</f>
        <v>0</v>
      </c>
    </row>
    <row r="1060" customFormat="false" ht="15" hidden="false" customHeight="false" outlineLevel="0" collapsed="false">
      <c r="A1060" s="12"/>
      <c r="B1060" s="13"/>
      <c r="C1060" s="14"/>
      <c r="D1060" s="14"/>
      <c r="E1060" s="15"/>
      <c r="F1060" s="16" t="str">
        <f aca="false">IF(OR(C1060="",D1060="",E1060=""),"",C1060*D1060*E1060)</f>
        <v/>
      </c>
      <c r="G1060" s="17" t="str">
        <f aca="false">IF(OR(D1060="",E1060=""),"",E1060*(1+D1060/30))</f>
        <v/>
      </c>
      <c r="H1060" s="19" t="n">
        <f aca="false">IF(G1060="",0,G1060)</f>
        <v>0</v>
      </c>
      <c r="I1060" s="18" t="str">
        <f aca="false">IF(H1060&gt;0,IF(H1060&gt;=SUMPRODUCT(MAX(($B$5:$B$2004=B1060)*$H$5:$H$2004)),"Rekor",""),"")</f>
        <v/>
      </c>
      <c r="J1060" s="19" t="n">
        <f aca="false">IF(A1060="",0,IF(COUNTIF(A$5:A1060,A1060)=1,1,0))</f>
        <v>0</v>
      </c>
    </row>
    <row r="1061" customFormat="false" ht="15" hidden="false" customHeight="false" outlineLevel="0" collapsed="false">
      <c r="A1061" s="12"/>
      <c r="B1061" s="13"/>
      <c r="C1061" s="14"/>
      <c r="D1061" s="14"/>
      <c r="E1061" s="15"/>
      <c r="F1061" s="16" t="str">
        <f aca="false">IF(OR(C1061="",D1061="",E1061=""),"",C1061*D1061*E1061)</f>
        <v/>
      </c>
      <c r="G1061" s="17" t="str">
        <f aca="false">IF(OR(D1061="",E1061=""),"",E1061*(1+D1061/30))</f>
        <v/>
      </c>
      <c r="H1061" s="19" t="n">
        <f aca="false">IF(G1061="",0,G1061)</f>
        <v>0</v>
      </c>
      <c r="I1061" s="18" t="str">
        <f aca="false">IF(H1061&gt;0,IF(H1061&gt;=SUMPRODUCT(MAX(($B$5:$B$2004=B1061)*$H$5:$H$2004)),"Rekor",""),"")</f>
        <v/>
      </c>
      <c r="J1061" s="19" t="n">
        <f aca="false">IF(A1061="",0,IF(COUNTIF(A$5:A1061,A1061)=1,1,0))</f>
        <v>0</v>
      </c>
    </row>
    <row r="1062" customFormat="false" ht="15" hidden="false" customHeight="false" outlineLevel="0" collapsed="false">
      <c r="A1062" s="12"/>
      <c r="B1062" s="13"/>
      <c r="C1062" s="14"/>
      <c r="D1062" s="14"/>
      <c r="E1062" s="15"/>
      <c r="F1062" s="16" t="str">
        <f aca="false">IF(OR(C1062="",D1062="",E1062=""),"",C1062*D1062*E1062)</f>
        <v/>
      </c>
      <c r="G1062" s="17" t="str">
        <f aca="false">IF(OR(D1062="",E1062=""),"",E1062*(1+D1062/30))</f>
        <v/>
      </c>
      <c r="H1062" s="19" t="n">
        <f aca="false">IF(G1062="",0,G1062)</f>
        <v>0</v>
      </c>
      <c r="I1062" s="18" t="str">
        <f aca="false">IF(H1062&gt;0,IF(H1062&gt;=SUMPRODUCT(MAX(($B$5:$B$2004=B1062)*$H$5:$H$2004)),"Rekor",""),"")</f>
        <v/>
      </c>
      <c r="J1062" s="19" t="n">
        <f aca="false">IF(A1062="",0,IF(COUNTIF(A$5:A1062,A1062)=1,1,0))</f>
        <v>0</v>
      </c>
    </row>
    <row r="1063" customFormat="false" ht="15" hidden="false" customHeight="false" outlineLevel="0" collapsed="false">
      <c r="A1063" s="12"/>
      <c r="B1063" s="13"/>
      <c r="C1063" s="14"/>
      <c r="D1063" s="14"/>
      <c r="E1063" s="15"/>
      <c r="F1063" s="16" t="str">
        <f aca="false">IF(OR(C1063="",D1063="",E1063=""),"",C1063*D1063*E1063)</f>
        <v/>
      </c>
      <c r="G1063" s="17" t="str">
        <f aca="false">IF(OR(D1063="",E1063=""),"",E1063*(1+D1063/30))</f>
        <v/>
      </c>
      <c r="H1063" s="19" t="n">
        <f aca="false">IF(G1063="",0,G1063)</f>
        <v>0</v>
      </c>
      <c r="I1063" s="18" t="str">
        <f aca="false">IF(H1063&gt;0,IF(H1063&gt;=SUMPRODUCT(MAX(($B$5:$B$2004=B1063)*$H$5:$H$2004)),"Rekor",""),"")</f>
        <v/>
      </c>
      <c r="J1063" s="19" t="n">
        <f aca="false">IF(A1063="",0,IF(COUNTIF(A$5:A1063,A1063)=1,1,0))</f>
        <v>0</v>
      </c>
    </row>
    <row r="1064" customFormat="false" ht="15" hidden="false" customHeight="false" outlineLevel="0" collapsed="false">
      <c r="A1064" s="12"/>
      <c r="B1064" s="13"/>
      <c r="C1064" s="14"/>
      <c r="D1064" s="14"/>
      <c r="E1064" s="15"/>
      <c r="F1064" s="16" t="str">
        <f aca="false">IF(OR(C1064="",D1064="",E1064=""),"",C1064*D1064*E1064)</f>
        <v/>
      </c>
      <c r="G1064" s="17" t="str">
        <f aca="false">IF(OR(D1064="",E1064=""),"",E1064*(1+D1064/30))</f>
        <v/>
      </c>
      <c r="H1064" s="19" t="n">
        <f aca="false">IF(G1064="",0,G1064)</f>
        <v>0</v>
      </c>
      <c r="I1064" s="18" t="str">
        <f aca="false">IF(H1064&gt;0,IF(H1064&gt;=SUMPRODUCT(MAX(($B$5:$B$2004=B1064)*$H$5:$H$2004)),"Rekor",""),"")</f>
        <v/>
      </c>
      <c r="J1064" s="19" t="n">
        <f aca="false">IF(A1064="",0,IF(COUNTIF(A$5:A1064,A1064)=1,1,0))</f>
        <v>0</v>
      </c>
    </row>
    <row r="1065" customFormat="false" ht="15" hidden="false" customHeight="false" outlineLevel="0" collapsed="false">
      <c r="A1065" s="12"/>
      <c r="B1065" s="13"/>
      <c r="C1065" s="14"/>
      <c r="D1065" s="14"/>
      <c r="E1065" s="15"/>
      <c r="F1065" s="16" t="str">
        <f aca="false">IF(OR(C1065="",D1065="",E1065=""),"",C1065*D1065*E1065)</f>
        <v/>
      </c>
      <c r="G1065" s="17" t="str">
        <f aca="false">IF(OR(D1065="",E1065=""),"",E1065*(1+D1065/30))</f>
        <v/>
      </c>
      <c r="H1065" s="19" t="n">
        <f aca="false">IF(G1065="",0,G1065)</f>
        <v>0</v>
      </c>
      <c r="I1065" s="18" t="str">
        <f aca="false">IF(H1065&gt;0,IF(H1065&gt;=SUMPRODUCT(MAX(($B$5:$B$2004=B1065)*$H$5:$H$2004)),"Rekor",""),"")</f>
        <v/>
      </c>
      <c r="J1065" s="19" t="n">
        <f aca="false">IF(A1065="",0,IF(COUNTIF(A$5:A1065,A1065)=1,1,0))</f>
        <v>0</v>
      </c>
    </row>
    <row r="1066" customFormat="false" ht="15" hidden="false" customHeight="false" outlineLevel="0" collapsed="false">
      <c r="A1066" s="12"/>
      <c r="B1066" s="13"/>
      <c r="C1066" s="14"/>
      <c r="D1066" s="14"/>
      <c r="E1066" s="15"/>
      <c r="F1066" s="16" t="str">
        <f aca="false">IF(OR(C1066="",D1066="",E1066=""),"",C1066*D1066*E1066)</f>
        <v/>
      </c>
      <c r="G1066" s="17" t="str">
        <f aca="false">IF(OR(D1066="",E1066=""),"",E1066*(1+D1066/30))</f>
        <v/>
      </c>
      <c r="H1066" s="19" t="n">
        <f aca="false">IF(G1066="",0,G1066)</f>
        <v>0</v>
      </c>
      <c r="I1066" s="18" t="str">
        <f aca="false">IF(H1066&gt;0,IF(H1066&gt;=SUMPRODUCT(MAX(($B$5:$B$2004=B1066)*$H$5:$H$2004)),"Rekor",""),"")</f>
        <v/>
      </c>
      <c r="J1066" s="19" t="n">
        <f aca="false">IF(A1066="",0,IF(COUNTIF(A$5:A1066,A1066)=1,1,0))</f>
        <v>0</v>
      </c>
    </row>
    <row r="1067" customFormat="false" ht="15" hidden="false" customHeight="false" outlineLevel="0" collapsed="false">
      <c r="A1067" s="12"/>
      <c r="B1067" s="13"/>
      <c r="C1067" s="14"/>
      <c r="D1067" s="14"/>
      <c r="E1067" s="15"/>
      <c r="F1067" s="16" t="str">
        <f aca="false">IF(OR(C1067="",D1067="",E1067=""),"",C1067*D1067*E1067)</f>
        <v/>
      </c>
      <c r="G1067" s="17" t="str">
        <f aca="false">IF(OR(D1067="",E1067=""),"",E1067*(1+D1067/30))</f>
        <v/>
      </c>
      <c r="H1067" s="19" t="n">
        <f aca="false">IF(G1067="",0,G1067)</f>
        <v>0</v>
      </c>
      <c r="I1067" s="18" t="str">
        <f aca="false">IF(H1067&gt;0,IF(H1067&gt;=SUMPRODUCT(MAX(($B$5:$B$2004=B1067)*$H$5:$H$2004)),"Rekor",""),"")</f>
        <v/>
      </c>
      <c r="J1067" s="19" t="n">
        <f aca="false">IF(A1067="",0,IF(COUNTIF(A$5:A1067,A1067)=1,1,0))</f>
        <v>0</v>
      </c>
    </row>
    <row r="1068" customFormat="false" ht="15" hidden="false" customHeight="false" outlineLevel="0" collapsed="false">
      <c r="A1068" s="12"/>
      <c r="B1068" s="13"/>
      <c r="C1068" s="14"/>
      <c r="D1068" s="14"/>
      <c r="E1068" s="15"/>
      <c r="F1068" s="16" t="str">
        <f aca="false">IF(OR(C1068="",D1068="",E1068=""),"",C1068*D1068*E1068)</f>
        <v/>
      </c>
      <c r="G1068" s="17" t="str">
        <f aca="false">IF(OR(D1068="",E1068=""),"",E1068*(1+D1068/30))</f>
        <v/>
      </c>
      <c r="H1068" s="19" t="n">
        <f aca="false">IF(G1068="",0,G1068)</f>
        <v>0</v>
      </c>
      <c r="I1068" s="18" t="str">
        <f aca="false">IF(H1068&gt;0,IF(H1068&gt;=SUMPRODUCT(MAX(($B$5:$B$2004=B1068)*$H$5:$H$2004)),"Rekor",""),"")</f>
        <v/>
      </c>
      <c r="J1068" s="19" t="n">
        <f aca="false">IF(A1068="",0,IF(COUNTIF(A$5:A1068,A1068)=1,1,0))</f>
        <v>0</v>
      </c>
    </row>
    <row r="1069" customFormat="false" ht="15" hidden="false" customHeight="false" outlineLevel="0" collapsed="false">
      <c r="A1069" s="12"/>
      <c r="B1069" s="13"/>
      <c r="C1069" s="14"/>
      <c r="D1069" s="14"/>
      <c r="E1069" s="15"/>
      <c r="F1069" s="16" t="str">
        <f aca="false">IF(OR(C1069="",D1069="",E1069=""),"",C1069*D1069*E1069)</f>
        <v/>
      </c>
      <c r="G1069" s="17" t="str">
        <f aca="false">IF(OR(D1069="",E1069=""),"",E1069*(1+D1069/30))</f>
        <v/>
      </c>
      <c r="H1069" s="19" t="n">
        <f aca="false">IF(G1069="",0,G1069)</f>
        <v>0</v>
      </c>
      <c r="I1069" s="18" t="str">
        <f aca="false">IF(H1069&gt;0,IF(H1069&gt;=SUMPRODUCT(MAX(($B$5:$B$2004=B1069)*$H$5:$H$2004)),"Rekor",""),"")</f>
        <v/>
      </c>
      <c r="J1069" s="19" t="n">
        <f aca="false">IF(A1069="",0,IF(COUNTIF(A$5:A1069,A1069)=1,1,0))</f>
        <v>0</v>
      </c>
    </row>
    <row r="1070" customFormat="false" ht="15" hidden="false" customHeight="false" outlineLevel="0" collapsed="false">
      <c r="A1070" s="12"/>
      <c r="B1070" s="13"/>
      <c r="C1070" s="14"/>
      <c r="D1070" s="14"/>
      <c r="E1070" s="15"/>
      <c r="F1070" s="16" t="str">
        <f aca="false">IF(OR(C1070="",D1070="",E1070=""),"",C1070*D1070*E1070)</f>
        <v/>
      </c>
      <c r="G1070" s="17" t="str">
        <f aca="false">IF(OR(D1070="",E1070=""),"",E1070*(1+D1070/30))</f>
        <v/>
      </c>
      <c r="H1070" s="19" t="n">
        <f aca="false">IF(G1070="",0,G1070)</f>
        <v>0</v>
      </c>
      <c r="I1070" s="18" t="str">
        <f aca="false">IF(H1070&gt;0,IF(H1070&gt;=SUMPRODUCT(MAX(($B$5:$B$2004=B1070)*$H$5:$H$2004)),"Rekor",""),"")</f>
        <v/>
      </c>
      <c r="J1070" s="19" t="n">
        <f aca="false">IF(A1070="",0,IF(COUNTIF(A$5:A1070,A1070)=1,1,0))</f>
        <v>0</v>
      </c>
    </row>
    <row r="1071" customFormat="false" ht="15" hidden="false" customHeight="false" outlineLevel="0" collapsed="false">
      <c r="A1071" s="12"/>
      <c r="B1071" s="13"/>
      <c r="C1071" s="14"/>
      <c r="D1071" s="14"/>
      <c r="E1071" s="15"/>
      <c r="F1071" s="16" t="str">
        <f aca="false">IF(OR(C1071="",D1071="",E1071=""),"",C1071*D1071*E1071)</f>
        <v/>
      </c>
      <c r="G1071" s="17" t="str">
        <f aca="false">IF(OR(D1071="",E1071=""),"",E1071*(1+D1071/30))</f>
        <v/>
      </c>
      <c r="H1071" s="19" t="n">
        <f aca="false">IF(G1071="",0,G1071)</f>
        <v>0</v>
      </c>
      <c r="I1071" s="18" t="str">
        <f aca="false">IF(H1071&gt;0,IF(H1071&gt;=SUMPRODUCT(MAX(($B$5:$B$2004=B1071)*$H$5:$H$2004)),"Rekor",""),"")</f>
        <v/>
      </c>
      <c r="J1071" s="19" t="n">
        <f aca="false">IF(A1071="",0,IF(COUNTIF(A$5:A1071,A1071)=1,1,0))</f>
        <v>0</v>
      </c>
    </row>
    <row r="1072" customFormat="false" ht="15" hidden="false" customHeight="false" outlineLevel="0" collapsed="false">
      <c r="A1072" s="12"/>
      <c r="B1072" s="13"/>
      <c r="C1072" s="14"/>
      <c r="D1072" s="14"/>
      <c r="E1072" s="15"/>
      <c r="F1072" s="16" t="str">
        <f aca="false">IF(OR(C1072="",D1072="",E1072=""),"",C1072*D1072*E1072)</f>
        <v/>
      </c>
      <c r="G1072" s="17" t="str">
        <f aca="false">IF(OR(D1072="",E1072=""),"",E1072*(1+D1072/30))</f>
        <v/>
      </c>
      <c r="H1072" s="19" t="n">
        <f aca="false">IF(G1072="",0,G1072)</f>
        <v>0</v>
      </c>
      <c r="I1072" s="18" t="str">
        <f aca="false">IF(H1072&gt;0,IF(H1072&gt;=SUMPRODUCT(MAX(($B$5:$B$2004=B1072)*$H$5:$H$2004)),"Rekor",""),"")</f>
        <v/>
      </c>
      <c r="J1072" s="19" t="n">
        <f aca="false">IF(A1072="",0,IF(COUNTIF(A$5:A1072,A1072)=1,1,0))</f>
        <v>0</v>
      </c>
    </row>
    <row r="1073" customFormat="false" ht="15" hidden="false" customHeight="false" outlineLevel="0" collapsed="false">
      <c r="A1073" s="12"/>
      <c r="B1073" s="13"/>
      <c r="C1073" s="14"/>
      <c r="D1073" s="14"/>
      <c r="E1073" s="15"/>
      <c r="F1073" s="16" t="str">
        <f aca="false">IF(OR(C1073="",D1073="",E1073=""),"",C1073*D1073*E1073)</f>
        <v/>
      </c>
      <c r="G1073" s="17" t="str">
        <f aca="false">IF(OR(D1073="",E1073=""),"",E1073*(1+D1073/30))</f>
        <v/>
      </c>
      <c r="H1073" s="19" t="n">
        <f aca="false">IF(G1073="",0,G1073)</f>
        <v>0</v>
      </c>
      <c r="I1073" s="18" t="str">
        <f aca="false">IF(H1073&gt;0,IF(H1073&gt;=SUMPRODUCT(MAX(($B$5:$B$2004=B1073)*$H$5:$H$2004)),"Rekor",""),"")</f>
        <v/>
      </c>
      <c r="J1073" s="19" t="n">
        <f aca="false">IF(A1073="",0,IF(COUNTIF(A$5:A1073,A1073)=1,1,0))</f>
        <v>0</v>
      </c>
    </row>
    <row r="1074" customFormat="false" ht="15" hidden="false" customHeight="false" outlineLevel="0" collapsed="false">
      <c r="A1074" s="12"/>
      <c r="B1074" s="13"/>
      <c r="C1074" s="14"/>
      <c r="D1074" s="14"/>
      <c r="E1074" s="15"/>
      <c r="F1074" s="16" t="str">
        <f aca="false">IF(OR(C1074="",D1074="",E1074=""),"",C1074*D1074*E1074)</f>
        <v/>
      </c>
      <c r="G1074" s="17" t="str">
        <f aca="false">IF(OR(D1074="",E1074=""),"",E1074*(1+D1074/30))</f>
        <v/>
      </c>
      <c r="H1074" s="19" t="n">
        <f aca="false">IF(G1074="",0,G1074)</f>
        <v>0</v>
      </c>
      <c r="I1074" s="18" t="str">
        <f aca="false">IF(H1074&gt;0,IF(H1074&gt;=SUMPRODUCT(MAX(($B$5:$B$2004=B1074)*$H$5:$H$2004)),"Rekor",""),"")</f>
        <v/>
      </c>
      <c r="J1074" s="19" t="n">
        <f aca="false">IF(A1074="",0,IF(COUNTIF(A$5:A1074,A1074)=1,1,0))</f>
        <v>0</v>
      </c>
    </row>
    <row r="1075" customFormat="false" ht="15" hidden="false" customHeight="false" outlineLevel="0" collapsed="false">
      <c r="A1075" s="12"/>
      <c r="B1075" s="13"/>
      <c r="C1075" s="14"/>
      <c r="D1075" s="14"/>
      <c r="E1075" s="15"/>
      <c r="F1075" s="16" t="str">
        <f aca="false">IF(OR(C1075="",D1075="",E1075=""),"",C1075*D1075*E1075)</f>
        <v/>
      </c>
      <c r="G1075" s="17" t="str">
        <f aca="false">IF(OR(D1075="",E1075=""),"",E1075*(1+D1075/30))</f>
        <v/>
      </c>
      <c r="H1075" s="19" t="n">
        <f aca="false">IF(G1075="",0,G1075)</f>
        <v>0</v>
      </c>
      <c r="I1075" s="18" t="str">
        <f aca="false">IF(H1075&gt;0,IF(H1075&gt;=SUMPRODUCT(MAX(($B$5:$B$2004=B1075)*$H$5:$H$2004)),"Rekor",""),"")</f>
        <v/>
      </c>
      <c r="J1075" s="19" t="n">
        <f aca="false">IF(A1075="",0,IF(COUNTIF(A$5:A1075,A1075)=1,1,0))</f>
        <v>0</v>
      </c>
    </row>
    <row r="1076" customFormat="false" ht="15" hidden="false" customHeight="false" outlineLevel="0" collapsed="false">
      <c r="A1076" s="12"/>
      <c r="B1076" s="13"/>
      <c r="C1076" s="14"/>
      <c r="D1076" s="14"/>
      <c r="E1076" s="15"/>
      <c r="F1076" s="16" t="str">
        <f aca="false">IF(OR(C1076="",D1076="",E1076=""),"",C1076*D1076*E1076)</f>
        <v/>
      </c>
      <c r="G1076" s="17" t="str">
        <f aca="false">IF(OR(D1076="",E1076=""),"",E1076*(1+D1076/30))</f>
        <v/>
      </c>
      <c r="H1076" s="19" t="n">
        <f aca="false">IF(G1076="",0,G1076)</f>
        <v>0</v>
      </c>
      <c r="I1076" s="18" t="str">
        <f aca="false">IF(H1076&gt;0,IF(H1076&gt;=SUMPRODUCT(MAX(($B$5:$B$2004=B1076)*$H$5:$H$2004)),"Rekor",""),"")</f>
        <v/>
      </c>
      <c r="J1076" s="19" t="n">
        <f aca="false">IF(A1076="",0,IF(COUNTIF(A$5:A1076,A1076)=1,1,0))</f>
        <v>0</v>
      </c>
    </row>
    <row r="1077" customFormat="false" ht="15" hidden="false" customHeight="false" outlineLevel="0" collapsed="false">
      <c r="A1077" s="12"/>
      <c r="B1077" s="13"/>
      <c r="C1077" s="14"/>
      <c r="D1077" s="14"/>
      <c r="E1077" s="15"/>
      <c r="F1077" s="16" t="str">
        <f aca="false">IF(OR(C1077="",D1077="",E1077=""),"",C1077*D1077*E1077)</f>
        <v/>
      </c>
      <c r="G1077" s="17" t="str">
        <f aca="false">IF(OR(D1077="",E1077=""),"",E1077*(1+D1077/30))</f>
        <v/>
      </c>
      <c r="H1077" s="19" t="n">
        <f aca="false">IF(G1077="",0,G1077)</f>
        <v>0</v>
      </c>
      <c r="I1077" s="18" t="str">
        <f aca="false">IF(H1077&gt;0,IF(H1077&gt;=SUMPRODUCT(MAX(($B$5:$B$2004=B1077)*$H$5:$H$2004)),"Rekor",""),"")</f>
        <v/>
      </c>
      <c r="J1077" s="19" t="n">
        <f aca="false">IF(A1077="",0,IF(COUNTIF(A$5:A1077,A1077)=1,1,0))</f>
        <v>0</v>
      </c>
    </row>
    <row r="1078" customFormat="false" ht="15" hidden="false" customHeight="false" outlineLevel="0" collapsed="false">
      <c r="A1078" s="12"/>
      <c r="B1078" s="13"/>
      <c r="C1078" s="14"/>
      <c r="D1078" s="14"/>
      <c r="E1078" s="15"/>
      <c r="F1078" s="16" t="str">
        <f aca="false">IF(OR(C1078="",D1078="",E1078=""),"",C1078*D1078*E1078)</f>
        <v/>
      </c>
      <c r="G1078" s="17" t="str">
        <f aca="false">IF(OR(D1078="",E1078=""),"",E1078*(1+D1078/30))</f>
        <v/>
      </c>
      <c r="H1078" s="19" t="n">
        <f aca="false">IF(G1078="",0,G1078)</f>
        <v>0</v>
      </c>
      <c r="I1078" s="18" t="str">
        <f aca="false">IF(H1078&gt;0,IF(H1078&gt;=SUMPRODUCT(MAX(($B$5:$B$2004=B1078)*$H$5:$H$2004)),"Rekor",""),"")</f>
        <v/>
      </c>
      <c r="J1078" s="19" t="n">
        <f aca="false">IF(A1078="",0,IF(COUNTIF(A$5:A1078,A1078)=1,1,0))</f>
        <v>0</v>
      </c>
    </row>
    <row r="1079" customFormat="false" ht="15" hidden="false" customHeight="false" outlineLevel="0" collapsed="false">
      <c r="A1079" s="12"/>
      <c r="B1079" s="13"/>
      <c r="C1079" s="14"/>
      <c r="D1079" s="14"/>
      <c r="E1079" s="15"/>
      <c r="F1079" s="16" t="str">
        <f aca="false">IF(OR(C1079="",D1079="",E1079=""),"",C1079*D1079*E1079)</f>
        <v/>
      </c>
      <c r="G1079" s="17" t="str">
        <f aca="false">IF(OR(D1079="",E1079=""),"",E1079*(1+D1079/30))</f>
        <v/>
      </c>
      <c r="H1079" s="19" t="n">
        <f aca="false">IF(G1079="",0,G1079)</f>
        <v>0</v>
      </c>
      <c r="I1079" s="18" t="str">
        <f aca="false">IF(H1079&gt;0,IF(H1079&gt;=SUMPRODUCT(MAX(($B$5:$B$2004=B1079)*$H$5:$H$2004)),"Rekor",""),"")</f>
        <v/>
      </c>
      <c r="J1079" s="19" t="n">
        <f aca="false">IF(A1079="",0,IF(COUNTIF(A$5:A1079,A1079)=1,1,0))</f>
        <v>0</v>
      </c>
    </row>
    <row r="1080" customFormat="false" ht="15" hidden="false" customHeight="false" outlineLevel="0" collapsed="false">
      <c r="A1080" s="12"/>
      <c r="B1080" s="13"/>
      <c r="C1080" s="14"/>
      <c r="D1080" s="14"/>
      <c r="E1080" s="15"/>
      <c r="F1080" s="16" t="str">
        <f aca="false">IF(OR(C1080="",D1080="",E1080=""),"",C1080*D1080*E1080)</f>
        <v/>
      </c>
      <c r="G1080" s="17" t="str">
        <f aca="false">IF(OR(D1080="",E1080=""),"",E1080*(1+D1080/30))</f>
        <v/>
      </c>
      <c r="H1080" s="19" t="n">
        <f aca="false">IF(G1080="",0,G1080)</f>
        <v>0</v>
      </c>
      <c r="I1080" s="18" t="str">
        <f aca="false">IF(H1080&gt;0,IF(H1080&gt;=SUMPRODUCT(MAX(($B$5:$B$2004=B1080)*$H$5:$H$2004)),"Rekor",""),"")</f>
        <v/>
      </c>
      <c r="J1080" s="19" t="n">
        <f aca="false">IF(A1080="",0,IF(COUNTIF(A$5:A1080,A1080)=1,1,0))</f>
        <v>0</v>
      </c>
    </row>
    <row r="1081" customFormat="false" ht="15" hidden="false" customHeight="false" outlineLevel="0" collapsed="false">
      <c r="A1081" s="12"/>
      <c r="B1081" s="13"/>
      <c r="C1081" s="14"/>
      <c r="D1081" s="14"/>
      <c r="E1081" s="15"/>
      <c r="F1081" s="16" t="str">
        <f aca="false">IF(OR(C1081="",D1081="",E1081=""),"",C1081*D1081*E1081)</f>
        <v/>
      </c>
      <c r="G1081" s="17" t="str">
        <f aca="false">IF(OR(D1081="",E1081=""),"",E1081*(1+D1081/30))</f>
        <v/>
      </c>
      <c r="H1081" s="19" t="n">
        <f aca="false">IF(G1081="",0,G1081)</f>
        <v>0</v>
      </c>
      <c r="I1081" s="18" t="str">
        <f aca="false">IF(H1081&gt;0,IF(H1081&gt;=SUMPRODUCT(MAX(($B$5:$B$2004=B1081)*$H$5:$H$2004)),"Rekor",""),"")</f>
        <v/>
      </c>
      <c r="J1081" s="19" t="n">
        <f aca="false">IF(A1081="",0,IF(COUNTIF(A$5:A1081,A1081)=1,1,0))</f>
        <v>0</v>
      </c>
    </row>
    <row r="1082" customFormat="false" ht="15" hidden="false" customHeight="false" outlineLevel="0" collapsed="false">
      <c r="A1082" s="12"/>
      <c r="B1082" s="13"/>
      <c r="C1082" s="14"/>
      <c r="D1082" s="14"/>
      <c r="E1082" s="15"/>
      <c r="F1082" s="16" t="str">
        <f aca="false">IF(OR(C1082="",D1082="",E1082=""),"",C1082*D1082*E1082)</f>
        <v/>
      </c>
      <c r="G1082" s="17" t="str">
        <f aca="false">IF(OR(D1082="",E1082=""),"",E1082*(1+D1082/30))</f>
        <v/>
      </c>
      <c r="H1082" s="19" t="n">
        <f aca="false">IF(G1082="",0,G1082)</f>
        <v>0</v>
      </c>
      <c r="I1082" s="18" t="str">
        <f aca="false">IF(H1082&gt;0,IF(H1082&gt;=SUMPRODUCT(MAX(($B$5:$B$2004=B1082)*$H$5:$H$2004)),"Rekor",""),"")</f>
        <v/>
      </c>
      <c r="J1082" s="19" t="n">
        <f aca="false">IF(A1082="",0,IF(COUNTIF(A$5:A1082,A1082)=1,1,0))</f>
        <v>0</v>
      </c>
    </row>
    <row r="1083" customFormat="false" ht="15" hidden="false" customHeight="false" outlineLevel="0" collapsed="false">
      <c r="A1083" s="12"/>
      <c r="B1083" s="13"/>
      <c r="C1083" s="14"/>
      <c r="D1083" s="14"/>
      <c r="E1083" s="15"/>
      <c r="F1083" s="16" t="str">
        <f aca="false">IF(OR(C1083="",D1083="",E1083=""),"",C1083*D1083*E1083)</f>
        <v/>
      </c>
      <c r="G1083" s="17" t="str">
        <f aca="false">IF(OR(D1083="",E1083=""),"",E1083*(1+D1083/30))</f>
        <v/>
      </c>
      <c r="H1083" s="19" t="n">
        <f aca="false">IF(G1083="",0,G1083)</f>
        <v>0</v>
      </c>
      <c r="I1083" s="18" t="str">
        <f aca="false">IF(H1083&gt;0,IF(H1083&gt;=SUMPRODUCT(MAX(($B$5:$B$2004=B1083)*$H$5:$H$2004)),"Rekor",""),"")</f>
        <v/>
      </c>
      <c r="J1083" s="19" t="n">
        <f aca="false">IF(A1083="",0,IF(COUNTIF(A$5:A1083,A1083)=1,1,0))</f>
        <v>0</v>
      </c>
    </row>
    <row r="1084" customFormat="false" ht="15" hidden="false" customHeight="false" outlineLevel="0" collapsed="false">
      <c r="A1084" s="12"/>
      <c r="B1084" s="13"/>
      <c r="C1084" s="14"/>
      <c r="D1084" s="14"/>
      <c r="E1084" s="15"/>
      <c r="F1084" s="16" t="str">
        <f aca="false">IF(OR(C1084="",D1084="",E1084=""),"",C1084*D1084*E1084)</f>
        <v/>
      </c>
      <c r="G1084" s="17" t="str">
        <f aca="false">IF(OR(D1084="",E1084=""),"",E1084*(1+D1084/30))</f>
        <v/>
      </c>
      <c r="H1084" s="19" t="n">
        <f aca="false">IF(G1084="",0,G1084)</f>
        <v>0</v>
      </c>
      <c r="I1084" s="18" t="str">
        <f aca="false">IF(H1084&gt;0,IF(H1084&gt;=SUMPRODUCT(MAX(($B$5:$B$2004=B1084)*$H$5:$H$2004)),"Rekor",""),"")</f>
        <v/>
      </c>
      <c r="J1084" s="19" t="n">
        <f aca="false">IF(A1084="",0,IF(COUNTIF(A$5:A1084,A1084)=1,1,0))</f>
        <v>0</v>
      </c>
    </row>
    <row r="1085" customFormat="false" ht="15" hidden="false" customHeight="false" outlineLevel="0" collapsed="false">
      <c r="A1085" s="12"/>
      <c r="B1085" s="13"/>
      <c r="C1085" s="14"/>
      <c r="D1085" s="14"/>
      <c r="E1085" s="15"/>
      <c r="F1085" s="16" t="str">
        <f aca="false">IF(OR(C1085="",D1085="",E1085=""),"",C1085*D1085*E1085)</f>
        <v/>
      </c>
      <c r="G1085" s="17" t="str">
        <f aca="false">IF(OR(D1085="",E1085=""),"",E1085*(1+D1085/30))</f>
        <v/>
      </c>
      <c r="H1085" s="19" t="n">
        <f aca="false">IF(G1085="",0,G1085)</f>
        <v>0</v>
      </c>
      <c r="I1085" s="18" t="str">
        <f aca="false">IF(H1085&gt;0,IF(H1085&gt;=SUMPRODUCT(MAX(($B$5:$B$2004=B1085)*$H$5:$H$2004)),"Rekor",""),"")</f>
        <v/>
      </c>
      <c r="J1085" s="19" t="n">
        <f aca="false">IF(A1085="",0,IF(COUNTIF(A$5:A1085,A1085)=1,1,0))</f>
        <v>0</v>
      </c>
    </row>
    <row r="1086" customFormat="false" ht="15" hidden="false" customHeight="false" outlineLevel="0" collapsed="false">
      <c r="A1086" s="12"/>
      <c r="B1086" s="13"/>
      <c r="C1086" s="14"/>
      <c r="D1086" s="14"/>
      <c r="E1086" s="15"/>
      <c r="F1086" s="16" t="str">
        <f aca="false">IF(OR(C1086="",D1086="",E1086=""),"",C1086*D1086*E1086)</f>
        <v/>
      </c>
      <c r="G1086" s="17" t="str">
        <f aca="false">IF(OR(D1086="",E1086=""),"",E1086*(1+D1086/30))</f>
        <v/>
      </c>
      <c r="H1086" s="19" t="n">
        <f aca="false">IF(G1086="",0,G1086)</f>
        <v>0</v>
      </c>
      <c r="I1086" s="18" t="str">
        <f aca="false">IF(H1086&gt;0,IF(H1086&gt;=SUMPRODUCT(MAX(($B$5:$B$2004=B1086)*$H$5:$H$2004)),"Rekor",""),"")</f>
        <v/>
      </c>
      <c r="J1086" s="19" t="n">
        <f aca="false">IF(A1086="",0,IF(COUNTIF(A$5:A1086,A1086)=1,1,0))</f>
        <v>0</v>
      </c>
    </row>
    <row r="1087" customFormat="false" ht="15" hidden="false" customHeight="false" outlineLevel="0" collapsed="false">
      <c r="A1087" s="12"/>
      <c r="B1087" s="13"/>
      <c r="C1087" s="14"/>
      <c r="D1087" s="14"/>
      <c r="E1087" s="15"/>
      <c r="F1087" s="16" t="str">
        <f aca="false">IF(OR(C1087="",D1087="",E1087=""),"",C1087*D1087*E1087)</f>
        <v/>
      </c>
      <c r="G1087" s="17" t="str">
        <f aca="false">IF(OR(D1087="",E1087=""),"",E1087*(1+D1087/30))</f>
        <v/>
      </c>
      <c r="H1087" s="19" t="n">
        <f aca="false">IF(G1087="",0,G1087)</f>
        <v>0</v>
      </c>
      <c r="I1087" s="18" t="str">
        <f aca="false">IF(H1087&gt;0,IF(H1087&gt;=SUMPRODUCT(MAX(($B$5:$B$2004=B1087)*$H$5:$H$2004)),"Rekor",""),"")</f>
        <v/>
      </c>
      <c r="J1087" s="19" t="n">
        <f aca="false">IF(A1087="",0,IF(COUNTIF(A$5:A1087,A1087)=1,1,0))</f>
        <v>0</v>
      </c>
    </row>
    <row r="1088" customFormat="false" ht="15" hidden="false" customHeight="false" outlineLevel="0" collapsed="false">
      <c r="A1088" s="12"/>
      <c r="B1088" s="13"/>
      <c r="C1088" s="14"/>
      <c r="D1088" s="14"/>
      <c r="E1088" s="15"/>
      <c r="F1088" s="16" t="str">
        <f aca="false">IF(OR(C1088="",D1088="",E1088=""),"",C1088*D1088*E1088)</f>
        <v/>
      </c>
      <c r="G1088" s="17" t="str">
        <f aca="false">IF(OR(D1088="",E1088=""),"",E1088*(1+D1088/30))</f>
        <v/>
      </c>
      <c r="H1088" s="19" t="n">
        <f aca="false">IF(G1088="",0,G1088)</f>
        <v>0</v>
      </c>
      <c r="I1088" s="18" t="str">
        <f aca="false">IF(H1088&gt;0,IF(H1088&gt;=SUMPRODUCT(MAX(($B$5:$B$2004=B1088)*$H$5:$H$2004)),"Rekor",""),"")</f>
        <v/>
      </c>
      <c r="J1088" s="19" t="n">
        <f aca="false">IF(A1088="",0,IF(COUNTIF(A$5:A1088,A1088)=1,1,0))</f>
        <v>0</v>
      </c>
    </row>
    <row r="1089" customFormat="false" ht="15" hidden="false" customHeight="false" outlineLevel="0" collapsed="false">
      <c r="A1089" s="12"/>
      <c r="B1089" s="13"/>
      <c r="C1089" s="14"/>
      <c r="D1089" s="14"/>
      <c r="E1089" s="15"/>
      <c r="F1089" s="16" t="str">
        <f aca="false">IF(OR(C1089="",D1089="",E1089=""),"",C1089*D1089*E1089)</f>
        <v/>
      </c>
      <c r="G1089" s="17" t="str">
        <f aca="false">IF(OR(D1089="",E1089=""),"",E1089*(1+D1089/30))</f>
        <v/>
      </c>
      <c r="H1089" s="19" t="n">
        <f aca="false">IF(G1089="",0,G1089)</f>
        <v>0</v>
      </c>
      <c r="I1089" s="18" t="str">
        <f aca="false">IF(H1089&gt;0,IF(H1089&gt;=SUMPRODUCT(MAX(($B$5:$B$2004=B1089)*$H$5:$H$2004)),"Rekor",""),"")</f>
        <v/>
      </c>
      <c r="J1089" s="19" t="n">
        <f aca="false">IF(A1089="",0,IF(COUNTIF(A$5:A1089,A1089)=1,1,0))</f>
        <v>0</v>
      </c>
    </row>
    <row r="1090" customFormat="false" ht="15" hidden="false" customHeight="false" outlineLevel="0" collapsed="false">
      <c r="A1090" s="12"/>
      <c r="B1090" s="13"/>
      <c r="C1090" s="14"/>
      <c r="D1090" s="14"/>
      <c r="E1090" s="15"/>
      <c r="F1090" s="16" t="str">
        <f aca="false">IF(OR(C1090="",D1090="",E1090=""),"",C1090*D1090*E1090)</f>
        <v/>
      </c>
      <c r="G1090" s="17" t="str">
        <f aca="false">IF(OR(D1090="",E1090=""),"",E1090*(1+D1090/30))</f>
        <v/>
      </c>
      <c r="H1090" s="19" t="n">
        <f aca="false">IF(G1090="",0,G1090)</f>
        <v>0</v>
      </c>
      <c r="I1090" s="18" t="str">
        <f aca="false">IF(H1090&gt;0,IF(H1090&gt;=SUMPRODUCT(MAX(($B$5:$B$2004=B1090)*$H$5:$H$2004)),"Rekor",""),"")</f>
        <v/>
      </c>
      <c r="J1090" s="19" t="n">
        <f aca="false">IF(A1090="",0,IF(COUNTIF(A$5:A1090,A1090)=1,1,0))</f>
        <v>0</v>
      </c>
    </row>
    <row r="1091" customFormat="false" ht="15" hidden="false" customHeight="false" outlineLevel="0" collapsed="false">
      <c r="A1091" s="12"/>
      <c r="B1091" s="13"/>
      <c r="C1091" s="14"/>
      <c r="D1091" s="14"/>
      <c r="E1091" s="15"/>
      <c r="F1091" s="16" t="str">
        <f aca="false">IF(OR(C1091="",D1091="",E1091=""),"",C1091*D1091*E1091)</f>
        <v/>
      </c>
      <c r="G1091" s="17" t="str">
        <f aca="false">IF(OR(D1091="",E1091=""),"",E1091*(1+D1091/30))</f>
        <v/>
      </c>
      <c r="H1091" s="19" t="n">
        <f aca="false">IF(G1091="",0,G1091)</f>
        <v>0</v>
      </c>
      <c r="I1091" s="18" t="str">
        <f aca="false">IF(H1091&gt;0,IF(H1091&gt;=SUMPRODUCT(MAX(($B$5:$B$2004=B1091)*$H$5:$H$2004)),"Rekor",""),"")</f>
        <v/>
      </c>
      <c r="J1091" s="19" t="n">
        <f aca="false">IF(A1091="",0,IF(COUNTIF(A$5:A1091,A1091)=1,1,0))</f>
        <v>0</v>
      </c>
    </row>
    <row r="1092" customFormat="false" ht="15" hidden="false" customHeight="false" outlineLevel="0" collapsed="false">
      <c r="A1092" s="12"/>
      <c r="B1092" s="13"/>
      <c r="C1092" s="14"/>
      <c r="D1092" s="14"/>
      <c r="E1092" s="15"/>
      <c r="F1092" s="16" t="str">
        <f aca="false">IF(OR(C1092="",D1092="",E1092=""),"",C1092*D1092*E1092)</f>
        <v/>
      </c>
      <c r="G1092" s="17" t="str">
        <f aca="false">IF(OR(D1092="",E1092=""),"",E1092*(1+D1092/30))</f>
        <v/>
      </c>
      <c r="H1092" s="19" t="n">
        <f aca="false">IF(G1092="",0,G1092)</f>
        <v>0</v>
      </c>
      <c r="I1092" s="18" t="str">
        <f aca="false">IF(H1092&gt;0,IF(H1092&gt;=SUMPRODUCT(MAX(($B$5:$B$2004=B1092)*$H$5:$H$2004)),"Rekor",""),"")</f>
        <v/>
      </c>
      <c r="J1092" s="19" t="n">
        <f aca="false">IF(A1092="",0,IF(COUNTIF(A$5:A1092,A1092)=1,1,0))</f>
        <v>0</v>
      </c>
    </row>
    <row r="1093" customFormat="false" ht="15" hidden="false" customHeight="false" outlineLevel="0" collapsed="false">
      <c r="A1093" s="12"/>
      <c r="B1093" s="13"/>
      <c r="C1093" s="14"/>
      <c r="D1093" s="14"/>
      <c r="E1093" s="15"/>
      <c r="F1093" s="16" t="str">
        <f aca="false">IF(OR(C1093="",D1093="",E1093=""),"",C1093*D1093*E1093)</f>
        <v/>
      </c>
      <c r="G1093" s="17" t="str">
        <f aca="false">IF(OR(D1093="",E1093=""),"",E1093*(1+D1093/30))</f>
        <v/>
      </c>
      <c r="H1093" s="19" t="n">
        <f aca="false">IF(G1093="",0,G1093)</f>
        <v>0</v>
      </c>
      <c r="I1093" s="18" t="str">
        <f aca="false">IF(H1093&gt;0,IF(H1093&gt;=SUMPRODUCT(MAX(($B$5:$B$2004=B1093)*$H$5:$H$2004)),"Rekor",""),"")</f>
        <v/>
      </c>
      <c r="J1093" s="19" t="n">
        <f aca="false">IF(A1093="",0,IF(COUNTIF(A$5:A1093,A1093)=1,1,0))</f>
        <v>0</v>
      </c>
    </row>
    <row r="1094" customFormat="false" ht="15" hidden="false" customHeight="false" outlineLevel="0" collapsed="false">
      <c r="A1094" s="12"/>
      <c r="B1094" s="13"/>
      <c r="C1094" s="14"/>
      <c r="D1094" s="14"/>
      <c r="E1094" s="15"/>
      <c r="F1094" s="16" t="str">
        <f aca="false">IF(OR(C1094="",D1094="",E1094=""),"",C1094*D1094*E1094)</f>
        <v/>
      </c>
      <c r="G1094" s="17" t="str">
        <f aca="false">IF(OR(D1094="",E1094=""),"",E1094*(1+D1094/30))</f>
        <v/>
      </c>
      <c r="H1094" s="19" t="n">
        <f aca="false">IF(G1094="",0,G1094)</f>
        <v>0</v>
      </c>
      <c r="I1094" s="18" t="str">
        <f aca="false">IF(H1094&gt;0,IF(H1094&gt;=SUMPRODUCT(MAX(($B$5:$B$2004=B1094)*$H$5:$H$2004)),"Rekor",""),"")</f>
        <v/>
      </c>
      <c r="J1094" s="19" t="n">
        <f aca="false">IF(A1094="",0,IF(COUNTIF(A$5:A1094,A1094)=1,1,0))</f>
        <v>0</v>
      </c>
    </row>
    <row r="1095" customFormat="false" ht="15" hidden="false" customHeight="false" outlineLevel="0" collapsed="false">
      <c r="A1095" s="12"/>
      <c r="B1095" s="13"/>
      <c r="C1095" s="14"/>
      <c r="D1095" s="14"/>
      <c r="E1095" s="15"/>
      <c r="F1095" s="16" t="str">
        <f aca="false">IF(OR(C1095="",D1095="",E1095=""),"",C1095*D1095*E1095)</f>
        <v/>
      </c>
      <c r="G1095" s="17" t="str">
        <f aca="false">IF(OR(D1095="",E1095=""),"",E1095*(1+D1095/30))</f>
        <v/>
      </c>
      <c r="H1095" s="19" t="n">
        <f aca="false">IF(G1095="",0,G1095)</f>
        <v>0</v>
      </c>
      <c r="I1095" s="18" t="str">
        <f aca="false">IF(H1095&gt;0,IF(H1095&gt;=SUMPRODUCT(MAX(($B$5:$B$2004=B1095)*$H$5:$H$2004)),"Rekor",""),"")</f>
        <v/>
      </c>
      <c r="J1095" s="19" t="n">
        <f aca="false">IF(A1095="",0,IF(COUNTIF(A$5:A1095,A1095)=1,1,0))</f>
        <v>0</v>
      </c>
    </row>
    <row r="1096" customFormat="false" ht="15" hidden="false" customHeight="false" outlineLevel="0" collapsed="false">
      <c r="A1096" s="12"/>
      <c r="B1096" s="13"/>
      <c r="C1096" s="14"/>
      <c r="D1096" s="14"/>
      <c r="E1096" s="15"/>
      <c r="F1096" s="16" t="str">
        <f aca="false">IF(OR(C1096="",D1096="",E1096=""),"",C1096*D1096*E1096)</f>
        <v/>
      </c>
      <c r="G1096" s="17" t="str">
        <f aca="false">IF(OR(D1096="",E1096=""),"",E1096*(1+D1096/30))</f>
        <v/>
      </c>
      <c r="H1096" s="19" t="n">
        <f aca="false">IF(G1096="",0,G1096)</f>
        <v>0</v>
      </c>
      <c r="I1096" s="18" t="str">
        <f aca="false">IF(H1096&gt;0,IF(H1096&gt;=SUMPRODUCT(MAX(($B$5:$B$2004=B1096)*$H$5:$H$2004)),"Rekor",""),"")</f>
        <v/>
      </c>
      <c r="J1096" s="19" t="n">
        <f aca="false">IF(A1096="",0,IF(COUNTIF(A$5:A1096,A1096)=1,1,0))</f>
        <v>0</v>
      </c>
    </row>
    <row r="1097" customFormat="false" ht="15" hidden="false" customHeight="false" outlineLevel="0" collapsed="false">
      <c r="A1097" s="12"/>
      <c r="B1097" s="13"/>
      <c r="C1097" s="14"/>
      <c r="D1097" s="14"/>
      <c r="E1097" s="15"/>
      <c r="F1097" s="16" t="str">
        <f aca="false">IF(OR(C1097="",D1097="",E1097=""),"",C1097*D1097*E1097)</f>
        <v/>
      </c>
      <c r="G1097" s="17" t="str">
        <f aca="false">IF(OR(D1097="",E1097=""),"",E1097*(1+D1097/30))</f>
        <v/>
      </c>
      <c r="H1097" s="19" t="n">
        <f aca="false">IF(G1097="",0,G1097)</f>
        <v>0</v>
      </c>
      <c r="I1097" s="18" t="str">
        <f aca="false">IF(H1097&gt;0,IF(H1097&gt;=SUMPRODUCT(MAX(($B$5:$B$2004=B1097)*$H$5:$H$2004)),"Rekor",""),"")</f>
        <v/>
      </c>
      <c r="J1097" s="19" t="n">
        <f aca="false">IF(A1097="",0,IF(COUNTIF(A$5:A1097,A1097)=1,1,0))</f>
        <v>0</v>
      </c>
    </row>
    <row r="1098" customFormat="false" ht="15" hidden="false" customHeight="false" outlineLevel="0" collapsed="false">
      <c r="A1098" s="12"/>
      <c r="B1098" s="13"/>
      <c r="C1098" s="14"/>
      <c r="D1098" s="14"/>
      <c r="E1098" s="15"/>
      <c r="F1098" s="16" t="str">
        <f aca="false">IF(OR(C1098="",D1098="",E1098=""),"",C1098*D1098*E1098)</f>
        <v/>
      </c>
      <c r="G1098" s="17" t="str">
        <f aca="false">IF(OR(D1098="",E1098=""),"",E1098*(1+D1098/30))</f>
        <v/>
      </c>
      <c r="H1098" s="19" t="n">
        <f aca="false">IF(G1098="",0,G1098)</f>
        <v>0</v>
      </c>
      <c r="I1098" s="18" t="str">
        <f aca="false">IF(H1098&gt;0,IF(H1098&gt;=SUMPRODUCT(MAX(($B$5:$B$2004=B1098)*$H$5:$H$2004)),"Rekor",""),"")</f>
        <v/>
      </c>
      <c r="J1098" s="19" t="n">
        <f aca="false">IF(A1098="",0,IF(COUNTIF(A$5:A1098,A1098)=1,1,0))</f>
        <v>0</v>
      </c>
    </row>
    <row r="1099" customFormat="false" ht="15" hidden="false" customHeight="false" outlineLevel="0" collapsed="false">
      <c r="A1099" s="12"/>
      <c r="B1099" s="13"/>
      <c r="C1099" s="14"/>
      <c r="D1099" s="14"/>
      <c r="E1099" s="15"/>
      <c r="F1099" s="16" t="str">
        <f aca="false">IF(OR(C1099="",D1099="",E1099=""),"",C1099*D1099*E1099)</f>
        <v/>
      </c>
      <c r="G1099" s="17" t="str">
        <f aca="false">IF(OR(D1099="",E1099=""),"",E1099*(1+D1099/30))</f>
        <v/>
      </c>
      <c r="H1099" s="19" t="n">
        <f aca="false">IF(G1099="",0,G1099)</f>
        <v>0</v>
      </c>
      <c r="I1099" s="18" t="str">
        <f aca="false">IF(H1099&gt;0,IF(H1099&gt;=SUMPRODUCT(MAX(($B$5:$B$2004=B1099)*$H$5:$H$2004)),"Rekor",""),"")</f>
        <v/>
      </c>
      <c r="J1099" s="19" t="n">
        <f aca="false">IF(A1099="",0,IF(COUNTIF(A$5:A1099,A1099)=1,1,0))</f>
        <v>0</v>
      </c>
    </row>
    <row r="1100" customFormat="false" ht="15" hidden="false" customHeight="false" outlineLevel="0" collapsed="false">
      <c r="A1100" s="12"/>
      <c r="B1100" s="13"/>
      <c r="C1100" s="14"/>
      <c r="D1100" s="14"/>
      <c r="E1100" s="15"/>
      <c r="F1100" s="16" t="str">
        <f aca="false">IF(OR(C1100="",D1100="",E1100=""),"",C1100*D1100*E1100)</f>
        <v/>
      </c>
      <c r="G1100" s="17" t="str">
        <f aca="false">IF(OR(D1100="",E1100=""),"",E1100*(1+D1100/30))</f>
        <v/>
      </c>
      <c r="H1100" s="19" t="n">
        <f aca="false">IF(G1100="",0,G1100)</f>
        <v>0</v>
      </c>
      <c r="I1100" s="18" t="str">
        <f aca="false">IF(H1100&gt;0,IF(H1100&gt;=SUMPRODUCT(MAX(($B$5:$B$2004=B1100)*$H$5:$H$2004)),"Rekor",""),"")</f>
        <v/>
      </c>
      <c r="J1100" s="19" t="n">
        <f aca="false">IF(A1100="",0,IF(COUNTIF(A$5:A1100,A1100)=1,1,0))</f>
        <v>0</v>
      </c>
    </row>
    <row r="1101" customFormat="false" ht="15" hidden="false" customHeight="false" outlineLevel="0" collapsed="false">
      <c r="A1101" s="12"/>
      <c r="B1101" s="13"/>
      <c r="C1101" s="14"/>
      <c r="D1101" s="14"/>
      <c r="E1101" s="15"/>
      <c r="F1101" s="16" t="str">
        <f aca="false">IF(OR(C1101="",D1101="",E1101=""),"",C1101*D1101*E1101)</f>
        <v/>
      </c>
      <c r="G1101" s="17" t="str">
        <f aca="false">IF(OR(D1101="",E1101=""),"",E1101*(1+D1101/30))</f>
        <v/>
      </c>
      <c r="H1101" s="19" t="n">
        <f aca="false">IF(G1101="",0,G1101)</f>
        <v>0</v>
      </c>
      <c r="I1101" s="18" t="str">
        <f aca="false">IF(H1101&gt;0,IF(H1101&gt;=SUMPRODUCT(MAX(($B$5:$B$2004=B1101)*$H$5:$H$2004)),"Rekor",""),"")</f>
        <v/>
      </c>
      <c r="J1101" s="19" t="n">
        <f aca="false">IF(A1101="",0,IF(COUNTIF(A$5:A1101,A1101)=1,1,0))</f>
        <v>0</v>
      </c>
    </row>
    <row r="1102" customFormat="false" ht="15" hidden="false" customHeight="false" outlineLevel="0" collapsed="false">
      <c r="A1102" s="12"/>
      <c r="B1102" s="13"/>
      <c r="C1102" s="14"/>
      <c r="D1102" s="14"/>
      <c r="E1102" s="15"/>
      <c r="F1102" s="16" t="str">
        <f aca="false">IF(OR(C1102="",D1102="",E1102=""),"",C1102*D1102*E1102)</f>
        <v/>
      </c>
      <c r="G1102" s="17" t="str">
        <f aca="false">IF(OR(D1102="",E1102=""),"",E1102*(1+D1102/30))</f>
        <v/>
      </c>
      <c r="H1102" s="19" t="n">
        <f aca="false">IF(G1102="",0,G1102)</f>
        <v>0</v>
      </c>
      <c r="I1102" s="18" t="str">
        <f aca="false">IF(H1102&gt;0,IF(H1102&gt;=SUMPRODUCT(MAX(($B$5:$B$2004=B1102)*$H$5:$H$2004)),"Rekor",""),"")</f>
        <v/>
      </c>
      <c r="J1102" s="19" t="n">
        <f aca="false">IF(A1102="",0,IF(COUNTIF(A$5:A1102,A1102)=1,1,0))</f>
        <v>0</v>
      </c>
    </row>
    <row r="1103" customFormat="false" ht="15" hidden="false" customHeight="false" outlineLevel="0" collapsed="false">
      <c r="A1103" s="12"/>
      <c r="B1103" s="13"/>
      <c r="C1103" s="14"/>
      <c r="D1103" s="14"/>
      <c r="E1103" s="15"/>
      <c r="F1103" s="16" t="str">
        <f aca="false">IF(OR(C1103="",D1103="",E1103=""),"",C1103*D1103*E1103)</f>
        <v/>
      </c>
      <c r="G1103" s="17" t="str">
        <f aca="false">IF(OR(D1103="",E1103=""),"",E1103*(1+D1103/30))</f>
        <v/>
      </c>
      <c r="H1103" s="19" t="n">
        <f aca="false">IF(G1103="",0,G1103)</f>
        <v>0</v>
      </c>
      <c r="I1103" s="18" t="str">
        <f aca="false">IF(H1103&gt;0,IF(H1103&gt;=SUMPRODUCT(MAX(($B$5:$B$2004=B1103)*$H$5:$H$2004)),"Rekor",""),"")</f>
        <v/>
      </c>
      <c r="J1103" s="19" t="n">
        <f aca="false">IF(A1103="",0,IF(COUNTIF(A$5:A1103,A1103)=1,1,0))</f>
        <v>0</v>
      </c>
    </row>
    <row r="1104" customFormat="false" ht="15" hidden="false" customHeight="false" outlineLevel="0" collapsed="false">
      <c r="A1104" s="12"/>
      <c r="B1104" s="13"/>
      <c r="C1104" s="14"/>
      <c r="D1104" s="14"/>
      <c r="E1104" s="15"/>
      <c r="F1104" s="16" t="str">
        <f aca="false">IF(OR(C1104="",D1104="",E1104=""),"",C1104*D1104*E1104)</f>
        <v/>
      </c>
      <c r="G1104" s="17" t="str">
        <f aca="false">IF(OR(D1104="",E1104=""),"",E1104*(1+D1104/30))</f>
        <v/>
      </c>
      <c r="H1104" s="19" t="n">
        <f aca="false">IF(G1104="",0,G1104)</f>
        <v>0</v>
      </c>
      <c r="I1104" s="18" t="str">
        <f aca="false">IF(H1104&gt;0,IF(H1104&gt;=SUMPRODUCT(MAX(($B$5:$B$2004=B1104)*$H$5:$H$2004)),"Rekor",""),"")</f>
        <v/>
      </c>
      <c r="J1104" s="19" t="n">
        <f aca="false">IF(A1104="",0,IF(COUNTIF(A$5:A1104,A1104)=1,1,0))</f>
        <v>0</v>
      </c>
    </row>
    <row r="1105" customFormat="false" ht="15" hidden="false" customHeight="false" outlineLevel="0" collapsed="false">
      <c r="A1105" s="12"/>
      <c r="B1105" s="13"/>
      <c r="C1105" s="14"/>
      <c r="D1105" s="14"/>
      <c r="E1105" s="15"/>
      <c r="F1105" s="16" t="str">
        <f aca="false">IF(OR(C1105="",D1105="",E1105=""),"",C1105*D1105*E1105)</f>
        <v/>
      </c>
      <c r="G1105" s="17" t="str">
        <f aca="false">IF(OR(D1105="",E1105=""),"",E1105*(1+D1105/30))</f>
        <v/>
      </c>
      <c r="H1105" s="19" t="n">
        <f aca="false">IF(G1105="",0,G1105)</f>
        <v>0</v>
      </c>
      <c r="I1105" s="18" t="str">
        <f aca="false">IF(H1105&gt;0,IF(H1105&gt;=SUMPRODUCT(MAX(($B$5:$B$2004=B1105)*$H$5:$H$2004)),"Rekor",""),"")</f>
        <v/>
      </c>
      <c r="J1105" s="19" t="n">
        <f aca="false">IF(A1105="",0,IF(COUNTIF(A$5:A1105,A1105)=1,1,0))</f>
        <v>0</v>
      </c>
    </row>
    <row r="1106" customFormat="false" ht="15" hidden="false" customHeight="false" outlineLevel="0" collapsed="false">
      <c r="A1106" s="12"/>
      <c r="B1106" s="13"/>
      <c r="C1106" s="14"/>
      <c r="D1106" s="14"/>
      <c r="E1106" s="15"/>
      <c r="F1106" s="16" t="str">
        <f aca="false">IF(OR(C1106="",D1106="",E1106=""),"",C1106*D1106*E1106)</f>
        <v/>
      </c>
      <c r="G1106" s="17" t="str">
        <f aca="false">IF(OR(D1106="",E1106=""),"",E1106*(1+D1106/30))</f>
        <v/>
      </c>
      <c r="H1106" s="19" t="n">
        <f aca="false">IF(G1106="",0,G1106)</f>
        <v>0</v>
      </c>
      <c r="I1106" s="18" t="str">
        <f aca="false">IF(H1106&gt;0,IF(H1106&gt;=SUMPRODUCT(MAX(($B$5:$B$2004=B1106)*$H$5:$H$2004)),"Rekor",""),"")</f>
        <v/>
      </c>
      <c r="J1106" s="19" t="n">
        <f aca="false">IF(A1106="",0,IF(COUNTIF(A$5:A1106,A1106)=1,1,0))</f>
        <v>0</v>
      </c>
    </row>
    <row r="1107" customFormat="false" ht="15" hidden="false" customHeight="false" outlineLevel="0" collapsed="false">
      <c r="A1107" s="12"/>
      <c r="B1107" s="13"/>
      <c r="C1107" s="14"/>
      <c r="D1107" s="14"/>
      <c r="E1107" s="15"/>
      <c r="F1107" s="16" t="str">
        <f aca="false">IF(OR(C1107="",D1107="",E1107=""),"",C1107*D1107*E1107)</f>
        <v/>
      </c>
      <c r="G1107" s="17" t="str">
        <f aca="false">IF(OR(D1107="",E1107=""),"",E1107*(1+D1107/30))</f>
        <v/>
      </c>
      <c r="H1107" s="19" t="n">
        <f aca="false">IF(G1107="",0,G1107)</f>
        <v>0</v>
      </c>
      <c r="I1107" s="18" t="str">
        <f aca="false">IF(H1107&gt;0,IF(H1107&gt;=SUMPRODUCT(MAX(($B$5:$B$2004=B1107)*$H$5:$H$2004)),"Rekor",""),"")</f>
        <v/>
      </c>
      <c r="J1107" s="19" t="n">
        <f aca="false">IF(A1107="",0,IF(COUNTIF(A$5:A1107,A1107)=1,1,0))</f>
        <v>0</v>
      </c>
    </row>
    <row r="1108" customFormat="false" ht="15" hidden="false" customHeight="false" outlineLevel="0" collapsed="false">
      <c r="A1108" s="12"/>
      <c r="B1108" s="13"/>
      <c r="C1108" s="14"/>
      <c r="D1108" s="14"/>
      <c r="E1108" s="15"/>
      <c r="F1108" s="16" t="str">
        <f aca="false">IF(OR(C1108="",D1108="",E1108=""),"",C1108*D1108*E1108)</f>
        <v/>
      </c>
      <c r="G1108" s="17" t="str">
        <f aca="false">IF(OR(D1108="",E1108=""),"",E1108*(1+D1108/30))</f>
        <v/>
      </c>
      <c r="H1108" s="19" t="n">
        <f aca="false">IF(G1108="",0,G1108)</f>
        <v>0</v>
      </c>
      <c r="I1108" s="18" t="str">
        <f aca="false">IF(H1108&gt;0,IF(H1108&gt;=SUMPRODUCT(MAX(($B$5:$B$2004=B1108)*$H$5:$H$2004)),"Rekor",""),"")</f>
        <v/>
      </c>
      <c r="J1108" s="19" t="n">
        <f aca="false">IF(A1108="",0,IF(COUNTIF(A$5:A1108,A1108)=1,1,0))</f>
        <v>0</v>
      </c>
    </row>
    <row r="1109" customFormat="false" ht="15" hidden="false" customHeight="false" outlineLevel="0" collapsed="false">
      <c r="A1109" s="12"/>
      <c r="B1109" s="13"/>
      <c r="C1109" s="14"/>
      <c r="D1109" s="14"/>
      <c r="E1109" s="15"/>
      <c r="F1109" s="16" t="str">
        <f aca="false">IF(OR(C1109="",D1109="",E1109=""),"",C1109*D1109*E1109)</f>
        <v/>
      </c>
      <c r="G1109" s="17" t="str">
        <f aca="false">IF(OR(D1109="",E1109=""),"",E1109*(1+D1109/30))</f>
        <v/>
      </c>
      <c r="H1109" s="19" t="n">
        <f aca="false">IF(G1109="",0,G1109)</f>
        <v>0</v>
      </c>
      <c r="I1109" s="18" t="str">
        <f aca="false">IF(H1109&gt;0,IF(H1109&gt;=SUMPRODUCT(MAX(($B$5:$B$2004=B1109)*$H$5:$H$2004)),"Rekor",""),"")</f>
        <v/>
      </c>
      <c r="J1109" s="19" t="n">
        <f aca="false">IF(A1109="",0,IF(COUNTIF(A$5:A1109,A1109)=1,1,0))</f>
        <v>0</v>
      </c>
    </row>
    <row r="1110" customFormat="false" ht="15" hidden="false" customHeight="false" outlineLevel="0" collapsed="false">
      <c r="A1110" s="12"/>
      <c r="B1110" s="13"/>
      <c r="C1110" s="14"/>
      <c r="D1110" s="14"/>
      <c r="E1110" s="15"/>
      <c r="F1110" s="16" t="str">
        <f aca="false">IF(OR(C1110="",D1110="",E1110=""),"",C1110*D1110*E1110)</f>
        <v/>
      </c>
      <c r="G1110" s="17" t="str">
        <f aca="false">IF(OR(D1110="",E1110=""),"",E1110*(1+D1110/30))</f>
        <v/>
      </c>
      <c r="H1110" s="19" t="n">
        <f aca="false">IF(G1110="",0,G1110)</f>
        <v>0</v>
      </c>
      <c r="I1110" s="18" t="str">
        <f aca="false">IF(H1110&gt;0,IF(H1110&gt;=SUMPRODUCT(MAX(($B$5:$B$2004=B1110)*$H$5:$H$2004)),"Rekor",""),"")</f>
        <v/>
      </c>
      <c r="J1110" s="19" t="n">
        <f aca="false">IF(A1110="",0,IF(COUNTIF(A$5:A1110,A1110)=1,1,0))</f>
        <v>0</v>
      </c>
    </row>
    <row r="1111" customFormat="false" ht="15" hidden="false" customHeight="false" outlineLevel="0" collapsed="false">
      <c r="A1111" s="12"/>
      <c r="B1111" s="13"/>
      <c r="C1111" s="14"/>
      <c r="D1111" s="14"/>
      <c r="E1111" s="15"/>
      <c r="F1111" s="16" t="str">
        <f aca="false">IF(OR(C1111="",D1111="",E1111=""),"",C1111*D1111*E1111)</f>
        <v/>
      </c>
      <c r="G1111" s="17" t="str">
        <f aca="false">IF(OR(D1111="",E1111=""),"",E1111*(1+D1111/30))</f>
        <v/>
      </c>
      <c r="H1111" s="19" t="n">
        <f aca="false">IF(G1111="",0,G1111)</f>
        <v>0</v>
      </c>
      <c r="I1111" s="18" t="str">
        <f aca="false">IF(H1111&gt;0,IF(H1111&gt;=SUMPRODUCT(MAX(($B$5:$B$2004=B1111)*$H$5:$H$2004)),"Rekor",""),"")</f>
        <v/>
      </c>
      <c r="J1111" s="19" t="n">
        <f aca="false">IF(A1111="",0,IF(COUNTIF(A$5:A1111,A1111)=1,1,0))</f>
        <v>0</v>
      </c>
    </row>
    <row r="1112" customFormat="false" ht="15" hidden="false" customHeight="false" outlineLevel="0" collapsed="false">
      <c r="A1112" s="12"/>
      <c r="B1112" s="13"/>
      <c r="C1112" s="14"/>
      <c r="D1112" s="14"/>
      <c r="E1112" s="15"/>
      <c r="F1112" s="16" t="str">
        <f aca="false">IF(OR(C1112="",D1112="",E1112=""),"",C1112*D1112*E1112)</f>
        <v/>
      </c>
      <c r="G1112" s="17" t="str">
        <f aca="false">IF(OR(D1112="",E1112=""),"",E1112*(1+D1112/30))</f>
        <v/>
      </c>
      <c r="H1112" s="19" t="n">
        <f aca="false">IF(G1112="",0,G1112)</f>
        <v>0</v>
      </c>
      <c r="I1112" s="18" t="str">
        <f aca="false">IF(H1112&gt;0,IF(H1112&gt;=SUMPRODUCT(MAX(($B$5:$B$2004=B1112)*$H$5:$H$2004)),"Rekor",""),"")</f>
        <v/>
      </c>
      <c r="J1112" s="19" t="n">
        <f aca="false">IF(A1112="",0,IF(COUNTIF(A$5:A1112,A1112)=1,1,0))</f>
        <v>0</v>
      </c>
    </row>
    <row r="1113" customFormat="false" ht="15" hidden="false" customHeight="false" outlineLevel="0" collapsed="false">
      <c r="A1113" s="12"/>
      <c r="B1113" s="13"/>
      <c r="C1113" s="14"/>
      <c r="D1113" s="14"/>
      <c r="E1113" s="15"/>
      <c r="F1113" s="16" t="str">
        <f aca="false">IF(OR(C1113="",D1113="",E1113=""),"",C1113*D1113*E1113)</f>
        <v/>
      </c>
      <c r="G1113" s="17" t="str">
        <f aca="false">IF(OR(D1113="",E1113=""),"",E1113*(1+D1113/30))</f>
        <v/>
      </c>
      <c r="H1113" s="19" t="n">
        <f aca="false">IF(G1113="",0,G1113)</f>
        <v>0</v>
      </c>
      <c r="I1113" s="18" t="str">
        <f aca="false">IF(H1113&gt;0,IF(H1113&gt;=SUMPRODUCT(MAX(($B$5:$B$2004=B1113)*$H$5:$H$2004)),"Rekor",""),"")</f>
        <v/>
      </c>
      <c r="J1113" s="19" t="n">
        <f aca="false">IF(A1113="",0,IF(COUNTIF(A$5:A1113,A1113)=1,1,0))</f>
        <v>0</v>
      </c>
    </row>
    <row r="1114" customFormat="false" ht="15" hidden="false" customHeight="false" outlineLevel="0" collapsed="false">
      <c r="A1114" s="12"/>
      <c r="B1114" s="13"/>
      <c r="C1114" s="14"/>
      <c r="D1114" s="14"/>
      <c r="E1114" s="15"/>
      <c r="F1114" s="16" t="str">
        <f aca="false">IF(OR(C1114="",D1114="",E1114=""),"",C1114*D1114*E1114)</f>
        <v/>
      </c>
      <c r="G1114" s="17" t="str">
        <f aca="false">IF(OR(D1114="",E1114=""),"",E1114*(1+D1114/30))</f>
        <v/>
      </c>
      <c r="H1114" s="19" t="n">
        <f aca="false">IF(G1114="",0,G1114)</f>
        <v>0</v>
      </c>
      <c r="I1114" s="18" t="str">
        <f aca="false">IF(H1114&gt;0,IF(H1114&gt;=SUMPRODUCT(MAX(($B$5:$B$2004=B1114)*$H$5:$H$2004)),"Rekor",""),"")</f>
        <v/>
      </c>
      <c r="J1114" s="19" t="n">
        <f aca="false">IF(A1114="",0,IF(COUNTIF(A$5:A1114,A1114)=1,1,0))</f>
        <v>0</v>
      </c>
    </row>
    <row r="1115" customFormat="false" ht="15" hidden="false" customHeight="false" outlineLevel="0" collapsed="false">
      <c r="A1115" s="12"/>
      <c r="B1115" s="13"/>
      <c r="C1115" s="14"/>
      <c r="D1115" s="14"/>
      <c r="E1115" s="15"/>
      <c r="F1115" s="16" t="str">
        <f aca="false">IF(OR(C1115="",D1115="",E1115=""),"",C1115*D1115*E1115)</f>
        <v/>
      </c>
      <c r="G1115" s="17" t="str">
        <f aca="false">IF(OR(D1115="",E1115=""),"",E1115*(1+D1115/30))</f>
        <v/>
      </c>
      <c r="H1115" s="19" t="n">
        <f aca="false">IF(G1115="",0,G1115)</f>
        <v>0</v>
      </c>
      <c r="I1115" s="18" t="str">
        <f aca="false">IF(H1115&gt;0,IF(H1115&gt;=SUMPRODUCT(MAX(($B$5:$B$2004=B1115)*$H$5:$H$2004)),"Rekor",""),"")</f>
        <v/>
      </c>
      <c r="J1115" s="19" t="n">
        <f aca="false">IF(A1115="",0,IF(COUNTIF(A$5:A1115,A1115)=1,1,0))</f>
        <v>0</v>
      </c>
    </row>
    <row r="1116" customFormat="false" ht="15" hidden="false" customHeight="false" outlineLevel="0" collapsed="false">
      <c r="A1116" s="12"/>
      <c r="B1116" s="13"/>
      <c r="C1116" s="14"/>
      <c r="D1116" s="14"/>
      <c r="E1116" s="15"/>
      <c r="F1116" s="16" t="str">
        <f aca="false">IF(OR(C1116="",D1116="",E1116=""),"",C1116*D1116*E1116)</f>
        <v/>
      </c>
      <c r="G1116" s="17" t="str">
        <f aca="false">IF(OR(D1116="",E1116=""),"",E1116*(1+D1116/30))</f>
        <v/>
      </c>
      <c r="H1116" s="19" t="n">
        <f aca="false">IF(G1116="",0,G1116)</f>
        <v>0</v>
      </c>
      <c r="I1116" s="18" t="str">
        <f aca="false">IF(H1116&gt;0,IF(H1116&gt;=SUMPRODUCT(MAX(($B$5:$B$2004=B1116)*$H$5:$H$2004)),"Rekor",""),"")</f>
        <v/>
      </c>
      <c r="J1116" s="19" t="n">
        <f aca="false">IF(A1116="",0,IF(COUNTIF(A$5:A1116,A1116)=1,1,0))</f>
        <v>0</v>
      </c>
    </row>
    <row r="1117" customFormat="false" ht="15" hidden="false" customHeight="false" outlineLevel="0" collapsed="false">
      <c r="A1117" s="12"/>
      <c r="B1117" s="13"/>
      <c r="C1117" s="14"/>
      <c r="D1117" s="14"/>
      <c r="E1117" s="15"/>
      <c r="F1117" s="16" t="str">
        <f aca="false">IF(OR(C1117="",D1117="",E1117=""),"",C1117*D1117*E1117)</f>
        <v/>
      </c>
      <c r="G1117" s="17" t="str">
        <f aca="false">IF(OR(D1117="",E1117=""),"",E1117*(1+D1117/30))</f>
        <v/>
      </c>
      <c r="H1117" s="19" t="n">
        <f aca="false">IF(G1117="",0,G1117)</f>
        <v>0</v>
      </c>
      <c r="I1117" s="18" t="str">
        <f aca="false">IF(H1117&gt;0,IF(H1117&gt;=SUMPRODUCT(MAX(($B$5:$B$2004=B1117)*$H$5:$H$2004)),"Rekor",""),"")</f>
        <v/>
      </c>
      <c r="J1117" s="19" t="n">
        <f aca="false">IF(A1117="",0,IF(COUNTIF(A$5:A1117,A1117)=1,1,0))</f>
        <v>0</v>
      </c>
    </row>
    <row r="1118" customFormat="false" ht="15" hidden="false" customHeight="false" outlineLevel="0" collapsed="false">
      <c r="A1118" s="12"/>
      <c r="B1118" s="13"/>
      <c r="C1118" s="14"/>
      <c r="D1118" s="14"/>
      <c r="E1118" s="15"/>
      <c r="F1118" s="16" t="str">
        <f aca="false">IF(OR(C1118="",D1118="",E1118=""),"",C1118*D1118*E1118)</f>
        <v/>
      </c>
      <c r="G1118" s="17" t="str">
        <f aca="false">IF(OR(D1118="",E1118=""),"",E1118*(1+D1118/30))</f>
        <v/>
      </c>
      <c r="H1118" s="19" t="n">
        <f aca="false">IF(G1118="",0,G1118)</f>
        <v>0</v>
      </c>
      <c r="I1118" s="18" t="str">
        <f aca="false">IF(H1118&gt;0,IF(H1118&gt;=SUMPRODUCT(MAX(($B$5:$B$2004=B1118)*$H$5:$H$2004)),"Rekor",""),"")</f>
        <v/>
      </c>
      <c r="J1118" s="19" t="n">
        <f aca="false">IF(A1118="",0,IF(COUNTIF(A$5:A1118,A1118)=1,1,0))</f>
        <v>0</v>
      </c>
    </row>
    <row r="1119" customFormat="false" ht="15" hidden="false" customHeight="false" outlineLevel="0" collapsed="false">
      <c r="A1119" s="12"/>
      <c r="B1119" s="13"/>
      <c r="C1119" s="14"/>
      <c r="D1119" s="14"/>
      <c r="E1119" s="15"/>
      <c r="F1119" s="16" t="str">
        <f aca="false">IF(OR(C1119="",D1119="",E1119=""),"",C1119*D1119*E1119)</f>
        <v/>
      </c>
      <c r="G1119" s="17" t="str">
        <f aca="false">IF(OR(D1119="",E1119=""),"",E1119*(1+D1119/30))</f>
        <v/>
      </c>
      <c r="H1119" s="19" t="n">
        <f aca="false">IF(G1119="",0,G1119)</f>
        <v>0</v>
      </c>
      <c r="I1119" s="18" t="str">
        <f aca="false">IF(H1119&gt;0,IF(H1119&gt;=SUMPRODUCT(MAX(($B$5:$B$2004=B1119)*$H$5:$H$2004)),"Rekor",""),"")</f>
        <v/>
      </c>
      <c r="J1119" s="19" t="n">
        <f aca="false">IF(A1119="",0,IF(COUNTIF(A$5:A1119,A1119)=1,1,0))</f>
        <v>0</v>
      </c>
    </row>
    <row r="1120" customFormat="false" ht="15" hidden="false" customHeight="false" outlineLevel="0" collapsed="false">
      <c r="A1120" s="12"/>
      <c r="B1120" s="13"/>
      <c r="C1120" s="14"/>
      <c r="D1120" s="14"/>
      <c r="E1120" s="15"/>
      <c r="F1120" s="16" t="str">
        <f aca="false">IF(OR(C1120="",D1120="",E1120=""),"",C1120*D1120*E1120)</f>
        <v/>
      </c>
      <c r="G1120" s="17" t="str">
        <f aca="false">IF(OR(D1120="",E1120=""),"",E1120*(1+D1120/30))</f>
        <v/>
      </c>
      <c r="H1120" s="19" t="n">
        <f aca="false">IF(G1120="",0,G1120)</f>
        <v>0</v>
      </c>
      <c r="I1120" s="18" t="str">
        <f aca="false">IF(H1120&gt;0,IF(H1120&gt;=SUMPRODUCT(MAX(($B$5:$B$2004=B1120)*$H$5:$H$2004)),"Rekor",""),"")</f>
        <v/>
      </c>
      <c r="J1120" s="19" t="n">
        <f aca="false">IF(A1120="",0,IF(COUNTIF(A$5:A1120,A1120)=1,1,0))</f>
        <v>0</v>
      </c>
    </row>
    <row r="1121" customFormat="false" ht="15" hidden="false" customHeight="false" outlineLevel="0" collapsed="false">
      <c r="A1121" s="12"/>
      <c r="B1121" s="13"/>
      <c r="C1121" s="14"/>
      <c r="D1121" s="14"/>
      <c r="E1121" s="15"/>
      <c r="F1121" s="16" t="str">
        <f aca="false">IF(OR(C1121="",D1121="",E1121=""),"",C1121*D1121*E1121)</f>
        <v/>
      </c>
      <c r="G1121" s="17" t="str">
        <f aca="false">IF(OR(D1121="",E1121=""),"",E1121*(1+D1121/30))</f>
        <v/>
      </c>
      <c r="H1121" s="19" t="n">
        <f aca="false">IF(G1121="",0,G1121)</f>
        <v>0</v>
      </c>
      <c r="I1121" s="18" t="str">
        <f aca="false">IF(H1121&gt;0,IF(H1121&gt;=SUMPRODUCT(MAX(($B$5:$B$2004=B1121)*$H$5:$H$2004)),"Rekor",""),"")</f>
        <v/>
      </c>
      <c r="J1121" s="19" t="n">
        <f aca="false">IF(A1121="",0,IF(COUNTIF(A$5:A1121,A1121)=1,1,0))</f>
        <v>0</v>
      </c>
    </row>
    <row r="1122" customFormat="false" ht="15" hidden="false" customHeight="false" outlineLevel="0" collapsed="false">
      <c r="A1122" s="12"/>
      <c r="B1122" s="13"/>
      <c r="C1122" s="14"/>
      <c r="D1122" s="14"/>
      <c r="E1122" s="15"/>
      <c r="F1122" s="16" t="str">
        <f aca="false">IF(OR(C1122="",D1122="",E1122=""),"",C1122*D1122*E1122)</f>
        <v/>
      </c>
      <c r="G1122" s="17" t="str">
        <f aca="false">IF(OR(D1122="",E1122=""),"",E1122*(1+D1122/30))</f>
        <v/>
      </c>
      <c r="H1122" s="19" t="n">
        <f aca="false">IF(G1122="",0,G1122)</f>
        <v>0</v>
      </c>
      <c r="I1122" s="18" t="str">
        <f aca="false">IF(H1122&gt;0,IF(H1122&gt;=SUMPRODUCT(MAX(($B$5:$B$2004=B1122)*$H$5:$H$2004)),"Rekor",""),"")</f>
        <v/>
      </c>
      <c r="J1122" s="19" t="n">
        <f aca="false">IF(A1122="",0,IF(COUNTIF(A$5:A1122,A1122)=1,1,0))</f>
        <v>0</v>
      </c>
    </row>
    <row r="1123" customFormat="false" ht="15" hidden="false" customHeight="false" outlineLevel="0" collapsed="false">
      <c r="A1123" s="12"/>
      <c r="B1123" s="13"/>
      <c r="C1123" s="14"/>
      <c r="D1123" s="14"/>
      <c r="E1123" s="15"/>
      <c r="F1123" s="16" t="str">
        <f aca="false">IF(OR(C1123="",D1123="",E1123=""),"",C1123*D1123*E1123)</f>
        <v/>
      </c>
      <c r="G1123" s="17" t="str">
        <f aca="false">IF(OR(D1123="",E1123=""),"",E1123*(1+D1123/30))</f>
        <v/>
      </c>
      <c r="H1123" s="19" t="n">
        <f aca="false">IF(G1123="",0,G1123)</f>
        <v>0</v>
      </c>
      <c r="I1123" s="18" t="str">
        <f aca="false">IF(H1123&gt;0,IF(H1123&gt;=SUMPRODUCT(MAX(($B$5:$B$2004=B1123)*$H$5:$H$2004)),"Rekor",""),"")</f>
        <v/>
      </c>
      <c r="J1123" s="19" t="n">
        <f aca="false">IF(A1123="",0,IF(COUNTIF(A$5:A1123,A1123)=1,1,0))</f>
        <v>0</v>
      </c>
    </row>
    <row r="1124" customFormat="false" ht="15" hidden="false" customHeight="false" outlineLevel="0" collapsed="false">
      <c r="A1124" s="12"/>
      <c r="B1124" s="13"/>
      <c r="C1124" s="14"/>
      <c r="D1124" s="14"/>
      <c r="E1124" s="15"/>
      <c r="F1124" s="16" t="str">
        <f aca="false">IF(OR(C1124="",D1124="",E1124=""),"",C1124*D1124*E1124)</f>
        <v/>
      </c>
      <c r="G1124" s="17" t="str">
        <f aca="false">IF(OR(D1124="",E1124=""),"",E1124*(1+D1124/30))</f>
        <v/>
      </c>
      <c r="H1124" s="19" t="n">
        <f aca="false">IF(G1124="",0,G1124)</f>
        <v>0</v>
      </c>
      <c r="I1124" s="18" t="str">
        <f aca="false">IF(H1124&gt;0,IF(H1124&gt;=SUMPRODUCT(MAX(($B$5:$B$2004=B1124)*$H$5:$H$2004)),"Rekor",""),"")</f>
        <v/>
      </c>
      <c r="J1124" s="19" t="n">
        <f aca="false">IF(A1124="",0,IF(COUNTIF(A$5:A1124,A1124)=1,1,0))</f>
        <v>0</v>
      </c>
    </row>
    <row r="1125" customFormat="false" ht="15" hidden="false" customHeight="false" outlineLevel="0" collapsed="false">
      <c r="A1125" s="12"/>
      <c r="B1125" s="13"/>
      <c r="C1125" s="14"/>
      <c r="D1125" s="14"/>
      <c r="E1125" s="15"/>
      <c r="F1125" s="16" t="str">
        <f aca="false">IF(OR(C1125="",D1125="",E1125=""),"",C1125*D1125*E1125)</f>
        <v/>
      </c>
      <c r="G1125" s="17" t="str">
        <f aca="false">IF(OR(D1125="",E1125=""),"",E1125*(1+D1125/30))</f>
        <v/>
      </c>
      <c r="H1125" s="19" t="n">
        <f aca="false">IF(G1125="",0,G1125)</f>
        <v>0</v>
      </c>
      <c r="I1125" s="18" t="str">
        <f aca="false">IF(H1125&gt;0,IF(H1125&gt;=SUMPRODUCT(MAX(($B$5:$B$2004=B1125)*$H$5:$H$2004)),"Rekor",""),"")</f>
        <v/>
      </c>
      <c r="J1125" s="19" t="n">
        <f aca="false">IF(A1125="",0,IF(COUNTIF(A$5:A1125,A1125)=1,1,0))</f>
        <v>0</v>
      </c>
    </row>
    <row r="1126" customFormat="false" ht="15" hidden="false" customHeight="false" outlineLevel="0" collapsed="false">
      <c r="A1126" s="12"/>
      <c r="B1126" s="13"/>
      <c r="C1126" s="14"/>
      <c r="D1126" s="14"/>
      <c r="E1126" s="15"/>
      <c r="F1126" s="16" t="str">
        <f aca="false">IF(OR(C1126="",D1126="",E1126=""),"",C1126*D1126*E1126)</f>
        <v/>
      </c>
      <c r="G1126" s="17" t="str">
        <f aca="false">IF(OR(D1126="",E1126=""),"",E1126*(1+D1126/30))</f>
        <v/>
      </c>
      <c r="H1126" s="19" t="n">
        <f aca="false">IF(G1126="",0,G1126)</f>
        <v>0</v>
      </c>
      <c r="I1126" s="18" t="str">
        <f aca="false">IF(H1126&gt;0,IF(H1126&gt;=SUMPRODUCT(MAX(($B$5:$B$2004=B1126)*$H$5:$H$2004)),"Rekor",""),"")</f>
        <v/>
      </c>
      <c r="J1126" s="19" t="n">
        <f aca="false">IF(A1126="",0,IF(COUNTIF(A$5:A1126,A1126)=1,1,0))</f>
        <v>0</v>
      </c>
    </row>
    <row r="1127" customFormat="false" ht="15" hidden="false" customHeight="false" outlineLevel="0" collapsed="false">
      <c r="A1127" s="12"/>
      <c r="B1127" s="13"/>
      <c r="C1127" s="14"/>
      <c r="D1127" s="14"/>
      <c r="E1127" s="15"/>
      <c r="F1127" s="16" t="str">
        <f aca="false">IF(OR(C1127="",D1127="",E1127=""),"",C1127*D1127*E1127)</f>
        <v/>
      </c>
      <c r="G1127" s="17" t="str">
        <f aca="false">IF(OR(D1127="",E1127=""),"",E1127*(1+D1127/30))</f>
        <v/>
      </c>
      <c r="H1127" s="19" t="n">
        <f aca="false">IF(G1127="",0,G1127)</f>
        <v>0</v>
      </c>
      <c r="I1127" s="18" t="str">
        <f aca="false">IF(H1127&gt;0,IF(H1127&gt;=SUMPRODUCT(MAX(($B$5:$B$2004=B1127)*$H$5:$H$2004)),"Rekor",""),"")</f>
        <v/>
      </c>
      <c r="J1127" s="19" t="n">
        <f aca="false">IF(A1127="",0,IF(COUNTIF(A$5:A1127,A1127)=1,1,0))</f>
        <v>0</v>
      </c>
    </row>
    <row r="1128" customFormat="false" ht="15" hidden="false" customHeight="false" outlineLevel="0" collapsed="false">
      <c r="A1128" s="12"/>
      <c r="B1128" s="13"/>
      <c r="C1128" s="14"/>
      <c r="D1128" s="14"/>
      <c r="E1128" s="15"/>
      <c r="F1128" s="16" t="str">
        <f aca="false">IF(OR(C1128="",D1128="",E1128=""),"",C1128*D1128*E1128)</f>
        <v/>
      </c>
      <c r="G1128" s="17" t="str">
        <f aca="false">IF(OR(D1128="",E1128=""),"",E1128*(1+D1128/30))</f>
        <v/>
      </c>
      <c r="H1128" s="19" t="n">
        <f aca="false">IF(G1128="",0,G1128)</f>
        <v>0</v>
      </c>
      <c r="I1128" s="18" t="str">
        <f aca="false">IF(H1128&gt;0,IF(H1128&gt;=SUMPRODUCT(MAX(($B$5:$B$2004=B1128)*$H$5:$H$2004)),"Rekor",""),"")</f>
        <v/>
      </c>
      <c r="J1128" s="19" t="n">
        <f aca="false">IF(A1128="",0,IF(COUNTIF(A$5:A1128,A1128)=1,1,0))</f>
        <v>0</v>
      </c>
    </row>
    <row r="1129" customFormat="false" ht="15" hidden="false" customHeight="false" outlineLevel="0" collapsed="false">
      <c r="A1129" s="12"/>
      <c r="B1129" s="13"/>
      <c r="C1129" s="14"/>
      <c r="D1129" s="14"/>
      <c r="E1129" s="15"/>
      <c r="F1129" s="16" t="str">
        <f aca="false">IF(OR(C1129="",D1129="",E1129=""),"",C1129*D1129*E1129)</f>
        <v/>
      </c>
      <c r="G1129" s="17" t="str">
        <f aca="false">IF(OR(D1129="",E1129=""),"",E1129*(1+D1129/30))</f>
        <v/>
      </c>
      <c r="H1129" s="19" t="n">
        <f aca="false">IF(G1129="",0,G1129)</f>
        <v>0</v>
      </c>
      <c r="I1129" s="18" t="str">
        <f aca="false">IF(H1129&gt;0,IF(H1129&gt;=SUMPRODUCT(MAX(($B$5:$B$2004=B1129)*$H$5:$H$2004)),"Rekor",""),"")</f>
        <v/>
      </c>
      <c r="J1129" s="19" t="n">
        <f aca="false">IF(A1129="",0,IF(COUNTIF(A$5:A1129,A1129)=1,1,0))</f>
        <v>0</v>
      </c>
    </row>
    <row r="1130" customFormat="false" ht="15" hidden="false" customHeight="false" outlineLevel="0" collapsed="false">
      <c r="A1130" s="12"/>
      <c r="B1130" s="13"/>
      <c r="C1130" s="14"/>
      <c r="D1130" s="14"/>
      <c r="E1130" s="15"/>
      <c r="F1130" s="16" t="str">
        <f aca="false">IF(OR(C1130="",D1130="",E1130=""),"",C1130*D1130*E1130)</f>
        <v/>
      </c>
      <c r="G1130" s="17" t="str">
        <f aca="false">IF(OR(D1130="",E1130=""),"",E1130*(1+D1130/30))</f>
        <v/>
      </c>
      <c r="H1130" s="19" t="n">
        <f aca="false">IF(G1130="",0,G1130)</f>
        <v>0</v>
      </c>
      <c r="I1130" s="18" t="str">
        <f aca="false">IF(H1130&gt;0,IF(H1130&gt;=SUMPRODUCT(MAX(($B$5:$B$2004=B1130)*$H$5:$H$2004)),"Rekor",""),"")</f>
        <v/>
      </c>
      <c r="J1130" s="19" t="n">
        <f aca="false">IF(A1130="",0,IF(COUNTIF(A$5:A1130,A1130)=1,1,0))</f>
        <v>0</v>
      </c>
    </row>
    <row r="1131" customFormat="false" ht="15" hidden="false" customHeight="false" outlineLevel="0" collapsed="false">
      <c r="A1131" s="12"/>
      <c r="B1131" s="13"/>
      <c r="C1131" s="14"/>
      <c r="D1131" s="14"/>
      <c r="E1131" s="15"/>
      <c r="F1131" s="16" t="str">
        <f aca="false">IF(OR(C1131="",D1131="",E1131=""),"",C1131*D1131*E1131)</f>
        <v/>
      </c>
      <c r="G1131" s="17" t="str">
        <f aca="false">IF(OR(D1131="",E1131=""),"",E1131*(1+D1131/30))</f>
        <v/>
      </c>
      <c r="H1131" s="19" t="n">
        <f aca="false">IF(G1131="",0,G1131)</f>
        <v>0</v>
      </c>
      <c r="I1131" s="18" t="str">
        <f aca="false">IF(H1131&gt;0,IF(H1131&gt;=SUMPRODUCT(MAX(($B$5:$B$2004=B1131)*$H$5:$H$2004)),"Rekor",""),"")</f>
        <v/>
      </c>
      <c r="J1131" s="19" t="n">
        <f aca="false">IF(A1131="",0,IF(COUNTIF(A$5:A1131,A1131)=1,1,0))</f>
        <v>0</v>
      </c>
    </row>
    <row r="1132" customFormat="false" ht="15" hidden="false" customHeight="false" outlineLevel="0" collapsed="false">
      <c r="A1132" s="12"/>
      <c r="B1132" s="13"/>
      <c r="C1132" s="14"/>
      <c r="D1132" s="14"/>
      <c r="E1132" s="15"/>
      <c r="F1132" s="16" t="str">
        <f aca="false">IF(OR(C1132="",D1132="",E1132=""),"",C1132*D1132*E1132)</f>
        <v/>
      </c>
      <c r="G1132" s="17" t="str">
        <f aca="false">IF(OR(D1132="",E1132=""),"",E1132*(1+D1132/30))</f>
        <v/>
      </c>
      <c r="H1132" s="19" t="n">
        <f aca="false">IF(G1132="",0,G1132)</f>
        <v>0</v>
      </c>
      <c r="I1132" s="18" t="str">
        <f aca="false">IF(H1132&gt;0,IF(H1132&gt;=SUMPRODUCT(MAX(($B$5:$B$2004=B1132)*$H$5:$H$2004)),"Rekor",""),"")</f>
        <v/>
      </c>
      <c r="J1132" s="19" t="n">
        <f aca="false">IF(A1132="",0,IF(COUNTIF(A$5:A1132,A1132)=1,1,0))</f>
        <v>0</v>
      </c>
    </row>
    <row r="1133" customFormat="false" ht="15" hidden="false" customHeight="false" outlineLevel="0" collapsed="false">
      <c r="A1133" s="12"/>
      <c r="B1133" s="13"/>
      <c r="C1133" s="14"/>
      <c r="D1133" s="14"/>
      <c r="E1133" s="15"/>
      <c r="F1133" s="16" t="str">
        <f aca="false">IF(OR(C1133="",D1133="",E1133=""),"",C1133*D1133*E1133)</f>
        <v/>
      </c>
      <c r="G1133" s="17" t="str">
        <f aca="false">IF(OR(D1133="",E1133=""),"",E1133*(1+D1133/30))</f>
        <v/>
      </c>
      <c r="H1133" s="19" t="n">
        <f aca="false">IF(G1133="",0,G1133)</f>
        <v>0</v>
      </c>
      <c r="I1133" s="18" t="str">
        <f aca="false">IF(H1133&gt;0,IF(H1133&gt;=SUMPRODUCT(MAX(($B$5:$B$2004=B1133)*$H$5:$H$2004)),"Rekor",""),"")</f>
        <v/>
      </c>
      <c r="J1133" s="19" t="n">
        <f aca="false">IF(A1133="",0,IF(COUNTIF(A$5:A1133,A1133)=1,1,0))</f>
        <v>0</v>
      </c>
    </row>
    <row r="1134" customFormat="false" ht="15" hidden="false" customHeight="false" outlineLevel="0" collapsed="false">
      <c r="A1134" s="12"/>
      <c r="B1134" s="13"/>
      <c r="C1134" s="14"/>
      <c r="D1134" s="14"/>
      <c r="E1134" s="15"/>
      <c r="F1134" s="16" t="str">
        <f aca="false">IF(OR(C1134="",D1134="",E1134=""),"",C1134*D1134*E1134)</f>
        <v/>
      </c>
      <c r="G1134" s="17" t="str">
        <f aca="false">IF(OR(D1134="",E1134=""),"",E1134*(1+D1134/30))</f>
        <v/>
      </c>
      <c r="H1134" s="19" t="n">
        <f aca="false">IF(G1134="",0,G1134)</f>
        <v>0</v>
      </c>
      <c r="I1134" s="18" t="str">
        <f aca="false">IF(H1134&gt;0,IF(H1134&gt;=SUMPRODUCT(MAX(($B$5:$B$2004=B1134)*$H$5:$H$2004)),"Rekor",""),"")</f>
        <v/>
      </c>
      <c r="J1134" s="19" t="n">
        <f aca="false">IF(A1134="",0,IF(COUNTIF(A$5:A1134,A1134)=1,1,0))</f>
        <v>0</v>
      </c>
    </row>
    <row r="1135" customFormat="false" ht="15" hidden="false" customHeight="false" outlineLevel="0" collapsed="false">
      <c r="A1135" s="12"/>
      <c r="B1135" s="13"/>
      <c r="C1135" s="14"/>
      <c r="D1135" s="14"/>
      <c r="E1135" s="15"/>
      <c r="F1135" s="16" t="str">
        <f aca="false">IF(OR(C1135="",D1135="",E1135=""),"",C1135*D1135*E1135)</f>
        <v/>
      </c>
      <c r="G1135" s="17" t="str">
        <f aca="false">IF(OR(D1135="",E1135=""),"",E1135*(1+D1135/30))</f>
        <v/>
      </c>
      <c r="H1135" s="19" t="n">
        <f aca="false">IF(G1135="",0,G1135)</f>
        <v>0</v>
      </c>
      <c r="I1135" s="18" t="str">
        <f aca="false">IF(H1135&gt;0,IF(H1135&gt;=SUMPRODUCT(MAX(($B$5:$B$2004=B1135)*$H$5:$H$2004)),"Rekor",""),"")</f>
        <v/>
      </c>
      <c r="J1135" s="19" t="n">
        <f aca="false">IF(A1135="",0,IF(COUNTIF(A$5:A1135,A1135)=1,1,0))</f>
        <v>0</v>
      </c>
    </row>
    <row r="1136" customFormat="false" ht="15" hidden="false" customHeight="false" outlineLevel="0" collapsed="false">
      <c r="A1136" s="12"/>
      <c r="B1136" s="13"/>
      <c r="C1136" s="14"/>
      <c r="D1136" s="14"/>
      <c r="E1136" s="15"/>
      <c r="F1136" s="16" t="str">
        <f aca="false">IF(OR(C1136="",D1136="",E1136=""),"",C1136*D1136*E1136)</f>
        <v/>
      </c>
      <c r="G1136" s="17" t="str">
        <f aca="false">IF(OR(D1136="",E1136=""),"",E1136*(1+D1136/30))</f>
        <v/>
      </c>
      <c r="H1136" s="19" t="n">
        <f aca="false">IF(G1136="",0,G1136)</f>
        <v>0</v>
      </c>
      <c r="I1136" s="18" t="str">
        <f aca="false">IF(H1136&gt;0,IF(H1136&gt;=SUMPRODUCT(MAX(($B$5:$B$2004=B1136)*$H$5:$H$2004)),"Rekor",""),"")</f>
        <v/>
      </c>
      <c r="J1136" s="19" t="n">
        <f aca="false">IF(A1136="",0,IF(COUNTIF(A$5:A1136,A1136)=1,1,0))</f>
        <v>0</v>
      </c>
    </row>
    <row r="1137" customFormat="false" ht="15" hidden="false" customHeight="false" outlineLevel="0" collapsed="false">
      <c r="A1137" s="12"/>
      <c r="B1137" s="13"/>
      <c r="C1137" s="14"/>
      <c r="D1137" s="14"/>
      <c r="E1137" s="15"/>
      <c r="F1137" s="16" t="str">
        <f aca="false">IF(OR(C1137="",D1137="",E1137=""),"",C1137*D1137*E1137)</f>
        <v/>
      </c>
      <c r="G1137" s="17" t="str">
        <f aca="false">IF(OR(D1137="",E1137=""),"",E1137*(1+D1137/30))</f>
        <v/>
      </c>
      <c r="H1137" s="19" t="n">
        <f aca="false">IF(G1137="",0,G1137)</f>
        <v>0</v>
      </c>
      <c r="I1137" s="18" t="str">
        <f aca="false">IF(H1137&gt;0,IF(H1137&gt;=SUMPRODUCT(MAX(($B$5:$B$2004=B1137)*$H$5:$H$2004)),"Rekor",""),"")</f>
        <v/>
      </c>
      <c r="J1137" s="19" t="n">
        <f aca="false">IF(A1137="",0,IF(COUNTIF(A$5:A1137,A1137)=1,1,0))</f>
        <v>0</v>
      </c>
    </row>
    <row r="1138" customFormat="false" ht="15" hidden="false" customHeight="false" outlineLevel="0" collapsed="false">
      <c r="A1138" s="12"/>
      <c r="B1138" s="13"/>
      <c r="C1138" s="14"/>
      <c r="D1138" s="14"/>
      <c r="E1138" s="15"/>
      <c r="F1138" s="16" t="str">
        <f aca="false">IF(OR(C1138="",D1138="",E1138=""),"",C1138*D1138*E1138)</f>
        <v/>
      </c>
      <c r="G1138" s="17" t="str">
        <f aca="false">IF(OR(D1138="",E1138=""),"",E1138*(1+D1138/30))</f>
        <v/>
      </c>
      <c r="H1138" s="19" t="n">
        <f aca="false">IF(G1138="",0,G1138)</f>
        <v>0</v>
      </c>
      <c r="I1138" s="18" t="str">
        <f aca="false">IF(H1138&gt;0,IF(H1138&gt;=SUMPRODUCT(MAX(($B$5:$B$2004=B1138)*$H$5:$H$2004)),"Rekor",""),"")</f>
        <v/>
      </c>
      <c r="J1138" s="19" t="n">
        <f aca="false">IF(A1138="",0,IF(COUNTIF(A$5:A1138,A1138)=1,1,0))</f>
        <v>0</v>
      </c>
    </row>
    <row r="1139" customFormat="false" ht="15" hidden="false" customHeight="false" outlineLevel="0" collapsed="false">
      <c r="A1139" s="12"/>
      <c r="B1139" s="13"/>
      <c r="C1139" s="14"/>
      <c r="D1139" s="14"/>
      <c r="E1139" s="15"/>
      <c r="F1139" s="16" t="str">
        <f aca="false">IF(OR(C1139="",D1139="",E1139=""),"",C1139*D1139*E1139)</f>
        <v/>
      </c>
      <c r="G1139" s="17" t="str">
        <f aca="false">IF(OR(D1139="",E1139=""),"",E1139*(1+D1139/30))</f>
        <v/>
      </c>
      <c r="H1139" s="19" t="n">
        <f aca="false">IF(G1139="",0,G1139)</f>
        <v>0</v>
      </c>
      <c r="I1139" s="18" t="str">
        <f aca="false">IF(H1139&gt;0,IF(H1139&gt;=SUMPRODUCT(MAX(($B$5:$B$2004=B1139)*$H$5:$H$2004)),"Rekor",""),"")</f>
        <v/>
      </c>
      <c r="J1139" s="19" t="n">
        <f aca="false">IF(A1139="",0,IF(COUNTIF(A$5:A1139,A1139)=1,1,0))</f>
        <v>0</v>
      </c>
    </row>
    <row r="1140" customFormat="false" ht="15" hidden="false" customHeight="false" outlineLevel="0" collapsed="false">
      <c r="A1140" s="12"/>
      <c r="B1140" s="13"/>
      <c r="C1140" s="14"/>
      <c r="D1140" s="14"/>
      <c r="E1140" s="15"/>
      <c r="F1140" s="16" t="str">
        <f aca="false">IF(OR(C1140="",D1140="",E1140=""),"",C1140*D1140*E1140)</f>
        <v/>
      </c>
      <c r="G1140" s="17" t="str">
        <f aca="false">IF(OR(D1140="",E1140=""),"",E1140*(1+D1140/30))</f>
        <v/>
      </c>
      <c r="H1140" s="19" t="n">
        <f aca="false">IF(G1140="",0,G1140)</f>
        <v>0</v>
      </c>
      <c r="I1140" s="18" t="str">
        <f aca="false">IF(H1140&gt;0,IF(H1140&gt;=SUMPRODUCT(MAX(($B$5:$B$2004=B1140)*$H$5:$H$2004)),"Rekor",""),"")</f>
        <v/>
      </c>
      <c r="J1140" s="19" t="n">
        <f aca="false">IF(A1140="",0,IF(COUNTIF(A$5:A1140,A1140)=1,1,0))</f>
        <v>0</v>
      </c>
    </row>
    <row r="1141" customFormat="false" ht="15" hidden="false" customHeight="false" outlineLevel="0" collapsed="false">
      <c r="A1141" s="12"/>
      <c r="B1141" s="13"/>
      <c r="C1141" s="14"/>
      <c r="D1141" s="14"/>
      <c r="E1141" s="15"/>
      <c r="F1141" s="16" t="str">
        <f aca="false">IF(OR(C1141="",D1141="",E1141=""),"",C1141*D1141*E1141)</f>
        <v/>
      </c>
      <c r="G1141" s="17" t="str">
        <f aca="false">IF(OR(D1141="",E1141=""),"",E1141*(1+D1141/30))</f>
        <v/>
      </c>
      <c r="H1141" s="19" t="n">
        <f aca="false">IF(G1141="",0,G1141)</f>
        <v>0</v>
      </c>
      <c r="I1141" s="18" t="str">
        <f aca="false">IF(H1141&gt;0,IF(H1141&gt;=SUMPRODUCT(MAX(($B$5:$B$2004=B1141)*$H$5:$H$2004)),"Rekor",""),"")</f>
        <v/>
      </c>
      <c r="J1141" s="19" t="n">
        <f aca="false">IF(A1141="",0,IF(COUNTIF(A$5:A1141,A1141)=1,1,0))</f>
        <v>0</v>
      </c>
    </row>
    <row r="1142" customFormat="false" ht="15" hidden="false" customHeight="false" outlineLevel="0" collapsed="false">
      <c r="A1142" s="12"/>
      <c r="B1142" s="13"/>
      <c r="C1142" s="14"/>
      <c r="D1142" s="14"/>
      <c r="E1142" s="15"/>
      <c r="F1142" s="16" t="str">
        <f aca="false">IF(OR(C1142="",D1142="",E1142=""),"",C1142*D1142*E1142)</f>
        <v/>
      </c>
      <c r="G1142" s="17" t="str">
        <f aca="false">IF(OR(D1142="",E1142=""),"",E1142*(1+D1142/30))</f>
        <v/>
      </c>
      <c r="H1142" s="19" t="n">
        <f aca="false">IF(G1142="",0,G1142)</f>
        <v>0</v>
      </c>
      <c r="I1142" s="18" t="str">
        <f aca="false">IF(H1142&gt;0,IF(H1142&gt;=SUMPRODUCT(MAX(($B$5:$B$2004=B1142)*$H$5:$H$2004)),"Rekor",""),"")</f>
        <v/>
      </c>
      <c r="J1142" s="19" t="n">
        <f aca="false">IF(A1142="",0,IF(COUNTIF(A$5:A1142,A1142)=1,1,0))</f>
        <v>0</v>
      </c>
    </row>
    <row r="1143" customFormat="false" ht="15" hidden="false" customHeight="false" outlineLevel="0" collapsed="false">
      <c r="A1143" s="12"/>
      <c r="B1143" s="13"/>
      <c r="C1143" s="14"/>
      <c r="D1143" s="14"/>
      <c r="E1143" s="15"/>
      <c r="F1143" s="16" t="str">
        <f aca="false">IF(OR(C1143="",D1143="",E1143=""),"",C1143*D1143*E1143)</f>
        <v/>
      </c>
      <c r="G1143" s="17" t="str">
        <f aca="false">IF(OR(D1143="",E1143=""),"",E1143*(1+D1143/30))</f>
        <v/>
      </c>
      <c r="H1143" s="19" t="n">
        <f aca="false">IF(G1143="",0,G1143)</f>
        <v>0</v>
      </c>
      <c r="I1143" s="18" t="str">
        <f aca="false">IF(H1143&gt;0,IF(H1143&gt;=SUMPRODUCT(MAX(($B$5:$B$2004=B1143)*$H$5:$H$2004)),"Rekor",""),"")</f>
        <v/>
      </c>
      <c r="J1143" s="19" t="n">
        <f aca="false">IF(A1143="",0,IF(COUNTIF(A$5:A1143,A1143)=1,1,0))</f>
        <v>0</v>
      </c>
    </row>
    <row r="1144" customFormat="false" ht="15" hidden="false" customHeight="false" outlineLevel="0" collapsed="false">
      <c r="A1144" s="12"/>
      <c r="B1144" s="13"/>
      <c r="C1144" s="14"/>
      <c r="D1144" s="14"/>
      <c r="E1144" s="15"/>
      <c r="F1144" s="16" t="str">
        <f aca="false">IF(OR(C1144="",D1144="",E1144=""),"",C1144*D1144*E1144)</f>
        <v/>
      </c>
      <c r="G1144" s="17" t="str">
        <f aca="false">IF(OR(D1144="",E1144=""),"",E1144*(1+D1144/30))</f>
        <v/>
      </c>
      <c r="H1144" s="19" t="n">
        <f aca="false">IF(G1144="",0,G1144)</f>
        <v>0</v>
      </c>
      <c r="I1144" s="18" t="str">
        <f aca="false">IF(H1144&gt;0,IF(H1144&gt;=SUMPRODUCT(MAX(($B$5:$B$2004=B1144)*$H$5:$H$2004)),"Rekor",""),"")</f>
        <v/>
      </c>
      <c r="J1144" s="19" t="n">
        <f aca="false">IF(A1144="",0,IF(COUNTIF(A$5:A1144,A1144)=1,1,0))</f>
        <v>0</v>
      </c>
    </row>
    <row r="1145" customFormat="false" ht="15" hidden="false" customHeight="false" outlineLevel="0" collapsed="false">
      <c r="A1145" s="12"/>
      <c r="B1145" s="13"/>
      <c r="C1145" s="14"/>
      <c r="D1145" s="14"/>
      <c r="E1145" s="15"/>
      <c r="F1145" s="16" t="str">
        <f aca="false">IF(OR(C1145="",D1145="",E1145=""),"",C1145*D1145*E1145)</f>
        <v/>
      </c>
      <c r="G1145" s="17" t="str">
        <f aca="false">IF(OR(D1145="",E1145=""),"",E1145*(1+D1145/30))</f>
        <v/>
      </c>
      <c r="H1145" s="19" t="n">
        <f aca="false">IF(G1145="",0,G1145)</f>
        <v>0</v>
      </c>
      <c r="I1145" s="18" t="str">
        <f aca="false">IF(H1145&gt;0,IF(H1145&gt;=SUMPRODUCT(MAX(($B$5:$B$2004=B1145)*$H$5:$H$2004)),"Rekor",""),"")</f>
        <v/>
      </c>
      <c r="J1145" s="19" t="n">
        <f aca="false">IF(A1145="",0,IF(COUNTIF(A$5:A1145,A1145)=1,1,0))</f>
        <v>0</v>
      </c>
    </row>
    <row r="1146" customFormat="false" ht="15" hidden="false" customHeight="false" outlineLevel="0" collapsed="false">
      <c r="A1146" s="12"/>
      <c r="B1146" s="13"/>
      <c r="C1146" s="14"/>
      <c r="D1146" s="14"/>
      <c r="E1146" s="15"/>
      <c r="F1146" s="16" t="str">
        <f aca="false">IF(OR(C1146="",D1146="",E1146=""),"",C1146*D1146*E1146)</f>
        <v/>
      </c>
      <c r="G1146" s="17" t="str">
        <f aca="false">IF(OR(D1146="",E1146=""),"",E1146*(1+D1146/30))</f>
        <v/>
      </c>
      <c r="H1146" s="19" t="n">
        <f aca="false">IF(G1146="",0,G1146)</f>
        <v>0</v>
      </c>
      <c r="I1146" s="18" t="str">
        <f aca="false">IF(H1146&gt;0,IF(H1146&gt;=SUMPRODUCT(MAX(($B$5:$B$2004=B1146)*$H$5:$H$2004)),"Rekor",""),"")</f>
        <v/>
      </c>
      <c r="J1146" s="19" t="n">
        <f aca="false">IF(A1146="",0,IF(COUNTIF(A$5:A1146,A1146)=1,1,0))</f>
        <v>0</v>
      </c>
    </row>
    <row r="1147" customFormat="false" ht="15" hidden="false" customHeight="false" outlineLevel="0" collapsed="false">
      <c r="A1147" s="12"/>
      <c r="B1147" s="13"/>
      <c r="C1147" s="14"/>
      <c r="D1147" s="14"/>
      <c r="E1147" s="15"/>
      <c r="F1147" s="16" t="str">
        <f aca="false">IF(OR(C1147="",D1147="",E1147=""),"",C1147*D1147*E1147)</f>
        <v/>
      </c>
      <c r="G1147" s="17" t="str">
        <f aca="false">IF(OR(D1147="",E1147=""),"",E1147*(1+D1147/30))</f>
        <v/>
      </c>
      <c r="H1147" s="19" t="n">
        <f aca="false">IF(G1147="",0,G1147)</f>
        <v>0</v>
      </c>
      <c r="I1147" s="18" t="str">
        <f aca="false">IF(H1147&gt;0,IF(H1147&gt;=SUMPRODUCT(MAX(($B$5:$B$2004=B1147)*$H$5:$H$2004)),"Rekor",""),"")</f>
        <v/>
      </c>
      <c r="J1147" s="19" t="n">
        <f aca="false">IF(A1147="",0,IF(COUNTIF(A$5:A1147,A1147)=1,1,0))</f>
        <v>0</v>
      </c>
    </row>
    <row r="1148" customFormat="false" ht="15" hidden="false" customHeight="false" outlineLevel="0" collapsed="false">
      <c r="A1148" s="12"/>
      <c r="B1148" s="13"/>
      <c r="C1148" s="14"/>
      <c r="D1148" s="14"/>
      <c r="E1148" s="15"/>
      <c r="F1148" s="16" t="str">
        <f aca="false">IF(OR(C1148="",D1148="",E1148=""),"",C1148*D1148*E1148)</f>
        <v/>
      </c>
      <c r="G1148" s="17" t="str">
        <f aca="false">IF(OR(D1148="",E1148=""),"",E1148*(1+D1148/30))</f>
        <v/>
      </c>
      <c r="H1148" s="19" t="n">
        <f aca="false">IF(G1148="",0,G1148)</f>
        <v>0</v>
      </c>
      <c r="I1148" s="18" t="str">
        <f aca="false">IF(H1148&gt;0,IF(H1148&gt;=SUMPRODUCT(MAX(($B$5:$B$2004=B1148)*$H$5:$H$2004)),"Rekor",""),"")</f>
        <v/>
      </c>
      <c r="J1148" s="19" t="n">
        <f aca="false">IF(A1148="",0,IF(COUNTIF(A$5:A1148,A1148)=1,1,0))</f>
        <v>0</v>
      </c>
    </row>
    <row r="1149" customFormat="false" ht="15" hidden="false" customHeight="false" outlineLevel="0" collapsed="false">
      <c r="A1149" s="12"/>
      <c r="B1149" s="13"/>
      <c r="C1149" s="14"/>
      <c r="D1149" s="14"/>
      <c r="E1149" s="15"/>
      <c r="F1149" s="16" t="str">
        <f aca="false">IF(OR(C1149="",D1149="",E1149=""),"",C1149*D1149*E1149)</f>
        <v/>
      </c>
      <c r="G1149" s="17" t="str">
        <f aca="false">IF(OR(D1149="",E1149=""),"",E1149*(1+D1149/30))</f>
        <v/>
      </c>
      <c r="H1149" s="19" t="n">
        <f aca="false">IF(G1149="",0,G1149)</f>
        <v>0</v>
      </c>
      <c r="I1149" s="18" t="str">
        <f aca="false">IF(H1149&gt;0,IF(H1149&gt;=SUMPRODUCT(MAX(($B$5:$B$2004=B1149)*$H$5:$H$2004)),"Rekor",""),"")</f>
        <v/>
      </c>
      <c r="J1149" s="19" t="n">
        <f aca="false">IF(A1149="",0,IF(COUNTIF(A$5:A1149,A1149)=1,1,0))</f>
        <v>0</v>
      </c>
    </row>
    <row r="1150" customFormat="false" ht="15" hidden="false" customHeight="false" outlineLevel="0" collapsed="false">
      <c r="A1150" s="12"/>
      <c r="B1150" s="13"/>
      <c r="C1150" s="14"/>
      <c r="D1150" s="14"/>
      <c r="E1150" s="15"/>
      <c r="F1150" s="16" t="str">
        <f aca="false">IF(OR(C1150="",D1150="",E1150=""),"",C1150*D1150*E1150)</f>
        <v/>
      </c>
      <c r="G1150" s="17" t="str">
        <f aca="false">IF(OR(D1150="",E1150=""),"",E1150*(1+D1150/30))</f>
        <v/>
      </c>
      <c r="H1150" s="19" t="n">
        <f aca="false">IF(G1150="",0,G1150)</f>
        <v>0</v>
      </c>
      <c r="I1150" s="18" t="str">
        <f aca="false">IF(H1150&gt;0,IF(H1150&gt;=SUMPRODUCT(MAX(($B$5:$B$2004=B1150)*$H$5:$H$2004)),"Rekor",""),"")</f>
        <v/>
      </c>
      <c r="J1150" s="19" t="n">
        <f aca="false">IF(A1150="",0,IF(COUNTIF(A$5:A1150,A1150)=1,1,0))</f>
        <v>0</v>
      </c>
    </row>
    <row r="1151" customFormat="false" ht="15" hidden="false" customHeight="false" outlineLevel="0" collapsed="false">
      <c r="A1151" s="12"/>
      <c r="B1151" s="13"/>
      <c r="C1151" s="14"/>
      <c r="D1151" s="14"/>
      <c r="E1151" s="15"/>
      <c r="F1151" s="16" t="str">
        <f aca="false">IF(OR(C1151="",D1151="",E1151=""),"",C1151*D1151*E1151)</f>
        <v/>
      </c>
      <c r="G1151" s="17" t="str">
        <f aca="false">IF(OR(D1151="",E1151=""),"",E1151*(1+D1151/30))</f>
        <v/>
      </c>
      <c r="H1151" s="19" t="n">
        <f aca="false">IF(G1151="",0,G1151)</f>
        <v>0</v>
      </c>
      <c r="I1151" s="18" t="str">
        <f aca="false">IF(H1151&gt;0,IF(H1151&gt;=SUMPRODUCT(MAX(($B$5:$B$2004=B1151)*$H$5:$H$2004)),"Rekor",""),"")</f>
        <v/>
      </c>
      <c r="J1151" s="19" t="n">
        <f aca="false">IF(A1151="",0,IF(COUNTIF(A$5:A1151,A1151)=1,1,0))</f>
        <v>0</v>
      </c>
    </row>
    <row r="1152" customFormat="false" ht="15" hidden="false" customHeight="false" outlineLevel="0" collapsed="false">
      <c r="A1152" s="12"/>
      <c r="B1152" s="13"/>
      <c r="C1152" s="14"/>
      <c r="D1152" s="14"/>
      <c r="E1152" s="15"/>
      <c r="F1152" s="16" t="str">
        <f aca="false">IF(OR(C1152="",D1152="",E1152=""),"",C1152*D1152*E1152)</f>
        <v/>
      </c>
      <c r="G1152" s="17" t="str">
        <f aca="false">IF(OR(D1152="",E1152=""),"",E1152*(1+D1152/30))</f>
        <v/>
      </c>
      <c r="H1152" s="19" t="n">
        <f aca="false">IF(G1152="",0,G1152)</f>
        <v>0</v>
      </c>
      <c r="I1152" s="18" t="str">
        <f aca="false">IF(H1152&gt;0,IF(H1152&gt;=SUMPRODUCT(MAX(($B$5:$B$2004=B1152)*$H$5:$H$2004)),"Rekor",""),"")</f>
        <v/>
      </c>
      <c r="J1152" s="19" t="n">
        <f aca="false">IF(A1152="",0,IF(COUNTIF(A$5:A1152,A1152)=1,1,0))</f>
        <v>0</v>
      </c>
    </row>
    <row r="1153" customFormat="false" ht="15" hidden="false" customHeight="false" outlineLevel="0" collapsed="false">
      <c r="A1153" s="12"/>
      <c r="B1153" s="13"/>
      <c r="C1153" s="14"/>
      <c r="D1153" s="14"/>
      <c r="E1153" s="15"/>
      <c r="F1153" s="16" t="str">
        <f aca="false">IF(OR(C1153="",D1153="",E1153=""),"",C1153*D1153*E1153)</f>
        <v/>
      </c>
      <c r="G1153" s="17" t="str">
        <f aca="false">IF(OR(D1153="",E1153=""),"",E1153*(1+D1153/30))</f>
        <v/>
      </c>
      <c r="H1153" s="19" t="n">
        <f aca="false">IF(G1153="",0,G1153)</f>
        <v>0</v>
      </c>
      <c r="I1153" s="18" t="str">
        <f aca="false">IF(H1153&gt;0,IF(H1153&gt;=SUMPRODUCT(MAX(($B$5:$B$2004=B1153)*$H$5:$H$2004)),"Rekor",""),"")</f>
        <v/>
      </c>
      <c r="J1153" s="19" t="n">
        <f aca="false">IF(A1153="",0,IF(COUNTIF(A$5:A1153,A1153)=1,1,0))</f>
        <v>0</v>
      </c>
    </row>
    <row r="1154" customFormat="false" ht="15" hidden="false" customHeight="false" outlineLevel="0" collapsed="false">
      <c r="A1154" s="12"/>
      <c r="B1154" s="13"/>
      <c r="C1154" s="14"/>
      <c r="D1154" s="14"/>
      <c r="E1154" s="15"/>
      <c r="F1154" s="16" t="str">
        <f aca="false">IF(OR(C1154="",D1154="",E1154=""),"",C1154*D1154*E1154)</f>
        <v/>
      </c>
      <c r="G1154" s="17" t="str">
        <f aca="false">IF(OR(D1154="",E1154=""),"",E1154*(1+D1154/30))</f>
        <v/>
      </c>
      <c r="H1154" s="19" t="n">
        <f aca="false">IF(G1154="",0,G1154)</f>
        <v>0</v>
      </c>
      <c r="I1154" s="18" t="str">
        <f aca="false">IF(H1154&gt;0,IF(H1154&gt;=SUMPRODUCT(MAX(($B$5:$B$2004=B1154)*$H$5:$H$2004)),"Rekor",""),"")</f>
        <v/>
      </c>
      <c r="J1154" s="19" t="n">
        <f aca="false">IF(A1154="",0,IF(COUNTIF(A$5:A1154,A1154)=1,1,0))</f>
        <v>0</v>
      </c>
    </row>
    <row r="1155" customFormat="false" ht="15" hidden="false" customHeight="false" outlineLevel="0" collapsed="false">
      <c r="A1155" s="12"/>
      <c r="B1155" s="13"/>
      <c r="C1155" s="14"/>
      <c r="D1155" s="14"/>
      <c r="E1155" s="15"/>
      <c r="F1155" s="16" t="str">
        <f aca="false">IF(OR(C1155="",D1155="",E1155=""),"",C1155*D1155*E1155)</f>
        <v/>
      </c>
      <c r="G1155" s="17" t="str">
        <f aca="false">IF(OR(D1155="",E1155=""),"",E1155*(1+D1155/30))</f>
        <v/>
      </c>
      <c r="H1155" s="19" t="n">
        <f aca="false">IF(G1155="",0,G1155)</f>
        <v>0</v>
      </c>
      <c r="I1155" s="18" t="str">
        <f aca="false">IF(H1155&gt;0,IF(H1155&gt;=SUMPRODUCT(MAX(($B$5:$B$2004=B1155)*$H$5:$H$2004)),"Rekor",""),"")</f>
        <v/>
      </c>
      <c r="J1155" s="19" t="n">
        <f aca="false">IF(A1155="",0,IF(COUNTIF(A$5:A1155,A1155)=1,1,0))</f>
        <v>0</v>
      </c>
    </row>
    <row r="1156" customFormat="false" ht="15" hidden="false" customHeight="false" outlineLevel="0" collapsed="false">
      <c r="A1156" s="12"/>
      <c r="B1156" s="13"/>
      <c r="C1156" s="14"/>
      <c r="D1156" s="14"/>
      <c r="E1156" s="15"/>
      <c r="F1156" s="16" t="str">
        <f aca="false">IF(OR(C1156="",D1156="",E1156=""),"",C1156*D1156*E1156)</f>
        <v/>
      </c>
      <c r="G1156" s="17" t="str">
        <f aca="false">IF(OR(D1156="",E1156=""),"",E1156*(1+D1156/30))</f>
        <v/>
      </c>
      <c r="H1156" s="19" t="n">
        <f aca="false">IF(G1156="",0,G1156)</f>
        <v>0</v>
      </c>
      <c r="I1156" s="18" t="str">
        <f aca="false">IF(H1156&gt;0,IF(H1156&gt;=SUMPRODUCT(MAX(($B$5:$B$2004=B1156)*$H$5:$H$2004)),"Rekor",""),"")</f>
        <v/>
      </c>
      <c r="J1156" s="19" t="n">
        <f aca="false">IF(A1156="",0,IF(COUNTIF(A$5:A1156,A1156)=1,1,0))</f>
        <v>0</v>
      </c>
    </row>
    <row r="1157" customFormat="false" ht="15" hidden="false" customHeight="false" outlineLevel="0" collapsed="false">
      <c r="A1157" s="12"/>
      <c r="B1157" s="13"/>
      <c r="C1157" s="14"/>
      <c r="D1157" s="14"/>
      <c r="E1157" s="15"/>
      <c r="F1157" s="16" t="str">
        <f aca="false">IF(OR(C1157="",D1157="",E1157=""),"",C1157*D1157*E1157)</f>
        <v/>
      </c>
      <c r="G1157" s="17" t="str">
        <f aca="false">IF(OR(D1157="",E1157=""),"",E1157*(1+D1157/30))</f>
        <v/>
      </c>
      <c r="H1157" s="19" t="n">
        <f aca="false">IF(G1157="",0,G1157)</f>
        <v>0</v>
      </c>
      <c r="I1157" s="18" t="str">
        <f aca="false">IF(H1157&gt;0,IF(H1157&gt;=SUMPRODUCT(MAX(($B$5:$B$2004=B1157)*$H$5:$H$2004)),"Rekor",""),"")</f>
        <v/>
      </c>
      <c r="J1157" s="19" t="n">
        <f aca="false">IF(A1157="",0,IF(COUNTIF(A$5:A1157,A1157)=1,1,0))</f>
        <v>0</v>
      </c>
    </row>
    <row r="1158" customFormat="false" ht="15" hidden="false" customHeight="false" outlineLevel="0" collapsed="false">
      <c r="A1158" s="12"/>
      <c r="B1158" s="13"/>
      <c r="C1158" s="14"/>
      <c r="D1158" s="14"/>
      <c r="E1158" s="15"/>
      <c r="F1158" s="16" t="str">
        <f aca="false">IF(OR(C1158="",D1158="",E1158=""),"",C1158*D1158*E1158)</f>
        <v/>
      </c>
      <c r="G1158" s="17" t="str">
        <f aca="false">IF(OR(D1158="",E1158=""),"",E1158*(1+D1158/30))</f>
        <v/>
      </c>
      <c r="H1158" s="19" t="n">
        <f aca="false">IF(G1158="",0,G1158)</f>
        <v>0</v>
      </c>
      <c r="I1158" s="18" t="str">
        <f aca="false">IF(H1158&gt;0,IF(H1158&gt;=SUMPRODUCT(MAX(($B$5:$B$2004=B1158)*$H$5:$H$2004)),"Rekor",""),"")</f>
        <v/>
      </c>
      <c r="J1158" s="19" t="n">
        <f aca="false">IF(A1158="",0,IF(COUNTIF(A$5:A1158,A1158)=1,1,0))</f>
        <v>0</v>
      </c>
    </row>
    <row r="1159" customFormat="false" ht="15" hidden="false" customHeight="false" outlineLevel="0" collapsed="false">
      <c r="A1159" s="12"/>
      <c r="B1159" s="13"/>
      <c r="C1159" s="14"/>
      <c r="D1159" s="14"/>
      <c r="E1159" s="15"/>
      <c r="F1159" s="16" t="str">
        <f aca="false">IF(OR(C1159="",D1159="",E1159=""),"",C1159*D1159*E1159)</f>
        <v/>
      </c>
      <c r="G1159" s="17" t="str">
        <f aca="false">IF(OR(D1159="",E1159=""),"",E1159*(1+D1159/30))</f>
        <v/>
      </c>
      <c r="H1159" s="19" t="n">
        <f aca="false">IF(G1159="",0,G1159)</f>
        <v>0</v>
      </c>
      <c r="I1159" s="18" t="str">
        <f aca="false">IF(H1159&gt;0,IF(H1159&gt;=SUMPRODUCT(MAX(($B$5:$B$2004=B1159)*$H$5:$H$2004)),"Rekor",""),"")</f>
        <v/>
      </c>
      <c r="J1159" s="19" t="n">
        <f aca="false">IF(A1159="",0,IF(COUNTIF(A$5:A1159,A1159)=1,1,0))</f>
        <v>0</v>
      </c>
    </row>
    <row r="1160" customFormat="false" ht="15" hidden="false" customHeight="false" outlineLevel="0" collapsed="false">
      <c r="A1160" s="12"/>
      <c r="B1160" s="13"/>
      <c r="C1160" s="14"/>
      <c r="D1160" s="14"/>
      <c r="E1160" s="15"/>
      <c r="F1160" s="16" t="str">
        <f aca="false">IF(OR(C1160="",D1160="",E1160=""),"",C1160*D1160*E1160)</f>
        <v/>
      </c>
      <c r="G1160" s="17" t="str">
        <f aca="false">IF(OR(D1160="",E1160=""),"",E1160*(1+D1160/30))</f>
        <v/>
      </c>
      <c r="H1160" s="19" t="n">
        <f aca="false">IF(G1160="",0,G1160)</f>
        <v>0</v>
      </c>
      <c r="I1160" s="18" t="str">
        <f aca="false">IF(H1160&gt;0,IF(H1160&gt;=SUMPRODUCT(MAX(($B$5:$B$2004=B1160)*$H$5:$H$2004)),"Rekor",""),"")</f>
        <v/>
      </c>
      <c r="J1160" s="19" t="n">
        <f aca="false">IF(A1160="",0,IF(COUNTIF(A$5:A1160,A1160)=1,1,0))</f>
        <v>0</v>
      </c>
    </row>
    <row r="1161" customFormat="false" ht="15" hidden="false" customHeight="false" outlineLevel="0" collapsed="false">
      <c r="A1161" s="12"/>
      <c r="B1161" s="13"/>
      <c r="C1161" s="14"/>
      <c r="D1161" s="14"/>
      <c r="E1161" s="15"/>
      <c r="F1161" s="16" t="str">
        <f aca="false">IF(OR(C1161="",D1161="",E1161=""),"",C1161*D1161*E1161)</f>
        <v/>
      </c>
      <c r="G1161" s="17" t="str">
        <f aca="false">IF(OR(D1161="",E1161=""),"",E1161*(1+D1161/30))</f>
        <v/>
      </c>
      <c r="H1161" s="19" t="n">
        <f aca="false">IF(G1161="",0,G1161)</f>
        <v>0</v>
      </c>
      <c r="I1161" s="18" t="str">
        <f aca="false">IF(H1161&gt;0,IF(H1161&gt;=SUMPRODUCT(MAX(($B$5:$B$2004=B1161)*$H$5:$H$2004)),"Rekor",""),"")</f>
        <v/>
      </c>
      <c r="J1161" s="19" t="n">
        <f aca="false">IF(A1161="",0,IF(COUNTIF(A$5:A1161,A1161)=1,1,0))</f>
        <v>0</v>
      </c>
    </row>
    <row r="1162" customFormat="false" ht="15" hidden="false" customHeight="false" outlineLevel="0" collapsed="false">
      <c r="A1162" s="12"/>
      <c r="B1162" s="13"/>
      <c r="C1162" s="14"/>
      <c r="D1162" s="14"/>
      <c r="E1162" s="15"/>
      <c r="F1162" s="16" t="str">
        <f aca="false">IF(OR(C1162="",D1162="",E1162=""),"",C1162*D1162*E1162)</f>
        <v/>
      </c>
      <c r="G1162" s="17" t="str">
        <f aca="false">IF(OR(D1162="",E1162=""),"",E1162*(1+D1162/30))</f>
        <v/>
      </c>
      <c r="H1162" s="19" t="n">
        <f aca="false">IF(G1162="",0,G1162)</f>
        <v>0</v>
      </c>
      <c r="I1162" s="18" t="str">
        <f aca="false">IF(H1162&gt;0,IF(H1162&gt;=SUMPRODUCT(MAX(($B$5:$B$2004=B1162)*$H$5:$H$2004)),"Rekor",""),"")</f>
        <v/>
      </c>
      <c r="J1162" s="19" t="n">
        <f aca="false">IF(A1162="",0,IF(COUNTIF(A$5:A1162,A1162)=1,1,0))</f>
        <v>0</v>
      </c>
    </row>
    <row r="1163" customFormat="false" ht="15" hidden="false" customHeight="false" outlineLevel="0" collapsed="false">
      <c r="A1163" s="12"/>
      <c r="B1163" s="13"/>
      <c r="C1163" s="14"/>
      <c r="D1163" s="14"/>
      <c r="E1163" s="15"/>
      <c r="F1163" s="16" t="str">
        <f aca="false">IF(OR(C1163="",D1163="",E1163=""),"",C1163*D1163*E1163)</f>
        <v/>
      </c>
      <c r="G1163" s="17" t="str">
        <f aca="false">IF(OR(D1163="",E1163=""),"",E1163*(1+D1163/30))</f>
        <v/>
      </c>
      <c r="H1163" s="19" t="n">
        <f aca="false">IF(G1163="",0,G1163)</f>
        <v>0</v>
      </c>
      <c r="I1163" s="18" t="str">
        <f aca="false">IF(H1163&gt;0,IF(H1163&gt;=SUMPRODUCT(MAX(($B$5:$B$2004=B1163)*$H$5:$H$2004)),"Rekor",""),"")</f>
        <v/>
      </c>
      <c r="J1163" s="19" t="n">
        <f aca="false">IF(A1163="",0,IF(COUNTIF(A$5:A1163,A1163)=1,1,0))</f>
        <v>0</v>
      </c>
    </row>
    <row r="1164" customFormat="false" ht="15" hidden="false" customHeight="false" outlineLevel="0" collapsed="false">
      <c r="A1164" s="12"/>
      <c r="B1164" s="13"/>
      <c r="C1164" s="14"/>
      <c r="D1164" s="14"/>
      <c r="E1164" s="15"/>
      <c r="F1164" s="16" t="str">
        <f aca="false">IF(OR(C1164="",D1164="",E1164=""),"",C1164*D1164*E1164)</f>
        <v/>
      </c>
      <c r="G1164" s="17" t="str">
        <f aca="false">IF(OR(D1164="",E1164=""),"",E1164*(1+D1164/30))</f>
        <v/>
      </c>
      <c r="H1164" s="19" t="n">
        <f aca="false">IF(G1164="",0,G1164)</f>
        <v>0</v>
      </c>
      <c r="I1164" s="18" t="str">
        <f aca="false">IF(H1164&gt;0,IF(H1164&gt;=SUMPRODUCT(MAX(($B$5:$B$2004=B1164)*$H$5:$H$2004)),"Rekor",""),"")</f>
        <v/>
      </c>
      <c r="J1164" s="19" t="n">
        <f aca="false">IF(A1164="",0,IF(COUNTIF(A$5:A1164,A1164)=1,1,0))</f>
        <v>0</v>
      </c>
    </row>
    <row r="1165" customFormat="false" ht="15" hidden="false" customHeight="false" outlineLevel="0" collapsed="false">
      <c r="A1165" s="12"/>
      <c r="B1165" s="13"/>
      <c r="C1165" s="14"/>
      <c r="D1165" s="14"/>
      <c r="E1165" s="15"/>
      <c r="F1165" s="16" t="str">
        <f aca="false">IF(OR(C1165="",D1165="",E1165=""),"",C1165*D1165*E1165)</f>
        <v/>
      </c>
      <c r="G1165" s="17" t="str">
        <f aca="false">IF(OR(D1165="",E1165=""),"",E1165*(1+D1165/30))</f>
        <v/>
      </c>
      <c r="H1165" s="19" t="n">
        <f aca="false">IF(G1165="",0,G1165)</f>
        <v>0</v>
      </c>
      <c r="I1165" s="18" t="str">
        <f aca="false">IF(H1165&gt;0,IF(H1165&gt;=SUMPRODUCT(MAX(($B$5:$B$2004=B1165)*$H$5:$H$2004)),"Rekor",""),"")</f>
        <v/>
      </c>
      <c r="J1165" s="19" t="n">
        <f aca="false">IF(A1165="",0,IF(COUNTIF(A$5:A1165,A1165)=1,1,0))</f>
        <v>0</v>
      </c>
    </row>
    <row r="1166" customFormat="false" ht="15" hidden="false" customHeight="false" outlineLevel="0" collapsed="false">
      <c r="A1166" s="12"/>
      <c r="B1166" s="13"/>
      <c r="C1166" s="14"/>
      <c r="D1166" s="14"/>
      <c r="E1166" s="15"/>
      <c r="F1166" s="16" t="str">
        <f aca="false">IF(OR(C1166="",D1166="",E1166=""),"",C1166*D1166*E1166)</f>
        <v/>
      </c>
      <c r="G1166" s="17" t="str">
        <f aca="false">IF(OR(D1166="",E1166=""),"",E1166*(1+D1166/30))</f>
        <v/>
      </c>
      <c r="H1166" s="19" t="n">
        <f aca="false">IF(G1166="",0,G1166)</f>
        <v>0</v>
      </c>
      <c r="I1166" s="18" t="str">
        <f aca="false">IF(H1166&gt;0,IF(H1166&gt;=SUMPRODUCT(MAX(($B$5:$B$2004=B1166)*$H$5:$H$2004)),"Rekor",""),"")</f>
        <v/>
      </c>
      <c r="J1166" s="19" t="n">
        <f aca="false">IF(A1166="",0,IF(COUNTIF(A$5:A1166,A1166)=1,1,0))</f>
        <v>0</v>
      </c>
    </row>
    <row r="1167" customFormat="false" ht="15" hidden="false" customHeight="false" outlineLevel="0" collapsed="false">
      <c r="A1167" s="12"/>
      <c r="B1167" s="13"/>
      <c r="C1167" s="14"/>
      <c r="D1167" s="14"/>
      <c r="E1167" s="15"/>
      <c r="F1167" s="16" t="str">
        <f aca="false">IF(OR(C1167="",D1167="",E1167=""),"",C1167*D1167*E1167)</f>
        <v/>
      </c>
      <c r="G1167" s="17" t="str">
        <f aca="false">IF(OR(D1167="",E1167=""),"",E1167*(1+D1167/30))</f>
        <v/>
      </c>
      <c r="H1167" s="19" t="n">
        <f aca="false">IF(G1167="",0,G1167)</f>
        <v>0</v>
      </c>
      <c r="I1167" s="18" t="str">
        <f aca="false">IF(H1167&gt;0,IF(H1167&gt;=SUMPRODUCT(MAX(($B$5:$B$2004=B1167)*$H$5:$H$2004)),"Rekor",""),"")</f>
        <v/>
      </c>
      <c r="J1167" s="19" t="n">
        <f aca="false">IF(A1167="",0,IF(COUNTIF(A$5:A1167,A1167)=1,1,0))</f>
        <v>0</v>
      </c>
    </row>
    <row r="1168" customFormat="false" ht="15" hidden="false" customHeight="false" outlineLevel="0" collapsed="false">
      <c r="A1168" s="12"/>
      <c r="B1168" s="13"/>
      <c r="C1168" s="14"/>
      <c r="D1168" s="14"/>
      <c r="E1168" s="15"/>
      <c r="F1168" s="16" t="str">
        <f aca="false">IF(OR(C1168="",D1168="",E1168=""),"",C1168*D1168*E1168)</f>
        <v/>
      </c>
      <c r="G1168" s="17" t="str">
        <f aca="false">IF(OR(D1168="",E1168=""),"",E1168*(1+D1168/30))</f>
        <v/>
      </c>
      <c r="H1168" s="19" t="n">
        <f aca="false">IF(G1168="",0,G1168)</f>
        <v>0</v>
      </c>
      <c r="I1168" s="18" t="str">
        <f aca="false">IF(H1168&gt;0,IF(H1168&gt;=SUMPRODUCT(MAX(($B$5:$B$2004=B1168)*$H$5:$H$2004)),"Rekor",""),"")</f>
        <v/>
      </c>
      <c r="J1168" s="19" t="n">
        <f aca="false">IF(A1168="",0,IF(COUNTIF(A$5:A1168,A1168)=1,1,0))</f>
        <v>0</v>
      </c>
    </row>
    <row r="1169" customFormat="false" ht="15" hidden="false" customHeight="false" outlineLevel="0" collapsed="false">
      <c r="A1169" s="12"/>
      <c r="B1169" s="13"/>
      <c r="C1169" s="14"/>
      <c r="D1169" s="14"/>
      <c r="E1169" s="15"/>
      <c r="F1169" s="16" t="str">
        <f aca="false">IF(OR(C1169="",D1169="",E1169=""),"",C1169*D1169*E1169)</f>
        <v/>
      </c>
      <c r="G1169" s="17" t="str">
        <f aca="false">IF(OR(D1169="",E1169=""),"",E1169*(1+D1169/30))</f>
        <v/>
      </c>
      <c r="H1169" s="19" t="n">
        <f aca="false">IF(G1169="",0,G1169)</f>
        <v>0</v>
      </c>
      <c r="I1169" s="18" t="str">
        <f aca="false">IF(H1169&gt;0,IF(H1169&gt;=SUMPRODUCT(MAX(($B$5:$B$2004=B1169)*$H$5:$H$2004)),"Rekor",""),"")</f>
        <v/>
      </c>
      <c r="J1169" s="19" t="n">
        <f aca="false">IF(A1169="",0,IF(COUNTIF(A$5:A1169,A1169)=1,1,0))</f>
        <v>0</v>
      </c>
    </row>
    <row r="1170" customFormat="false" ht="15" hidden="false" customHeight="false" outlineLevel="0" collapsed="false">
      <c r="A1170" s="12"/>
      <c r="B1170" s="13"/>
      <c r="C1170" s="14"/>
      <c r="D1170" s="14"/>
      <c r="E1170" s="15"/>
      <c r="F1170" s="16" t="str">
        <f aca="false">IF(OR(C1170="",D1170="",E1170=""),"",C1170*D1170*E1170)</f>
        <v/>
      </c>
      <c r="G1170" s="17" t="str">
        <f aca="false">IF(OR(D1170="",E1170=""),"",E1170*(1+D1170/30))</f>
        <v/>
      </c>
      <c r="H1170" s="19" t="n">
        <f aca="false">IF(G1170="",0,G1170)</f>
        <v>0</v>
      </c>
      <c r="I1170" s="18" t="str">
        <f aca="false">IF(H1170&gt;0,IF(H1170&gt;=SUMPRODUCT(MAX(($B$5:$B$2004=B1170)*$H$5:$H$2004)),"Rekor",""),"")</f>
        <v/>
      </c>
      <c r="J1170" s="19" t="n">
        <f aca="false">IF(A1170="",0,IF(COUNTIF(A$5:A1170,A1170)=1,1,0))</f>
        <v>0</v>
      </c>
    </row>
    <row r="1171" customFormat="false" ht="15" hidden="false" customHeight="false" outlineLevel="0" collapsed="false">
      <c r="A1171" s="12"/>
      <c r="B1171" s="13"/>
      <c r="C1171" s="14"/>
      <c r="D1171" s="14"/>
      <c r="E1171" s="15"/>
      <c r="F1171" s="16" t="str">
        <f aca="false">IF(OR(C1171="",D1171="",E1171=""),"",C1171*D1171*E1171)</f>
        <v/>
      </c>
      <c r="G1171" s="17" t="str">
        <f aca="false">IF(OR(D1171="",E1171=""),"",E1171*(1+D1171/30))</f>
        <v/>
      </c>
      <c r="H1171" s="19" t="n">
        <f aca="false">IF(G1171="",0,G1171)</f>
        <v>0</v>
      </c>
      <c r="I1171" s="18" t="str">
        <f aca="false">IF(H1171&gt;0,IF(H1171&gt;=SUMPRODUCT(MAX(($B$5:$B$2004=B1171)*$H$5:$H$2004)),"Rekor",""),"")</f>
        <v/>
      </c>
      <c r="J1171" s="19" t="n">
        <f aca="false">IF(A1171="",0,IF(COUNTIF(A$5:A1171,A1171)=1,1,0))</f>
        <v>0</v>
      </c>
    </row>
    <row r="1172" customFormat="false" ht="15" hidden="false" customHeight="false" outlineLevel="0" collapsed="false">
      <c r="A1172" s="12"/>
      <c r="B1172" s="13"/>
      <c r="C1172" s="14"/>
      <c r="D1172" s="14"/>
      <c r="E1172" s="15"/>
      <c r="F1172" s="16" t="str">
        <f aca="false">IF(OR(C1172="",D1172="",E1172=""),"",C1172*D1172*E1172)</f>
        <v/>
      </c>
      <c r="G1172" s="17" t="str">
        <f aca="false">IF(OR(D1172="",E1172=""),"",E1172*(1+D1172/30))</f>
        <v/>
      </c>
      <c r="H1172" s="19" t="n">
        <f aca="false">IF(G1172="",0,G1172)</f>
        <v>0</v>
      </c>
      <c r="I1172" s="18" t="str">
        <f aca="false">IF(H1172&gt;0,IF(H1172&gt;=SUMPRODUCT(MAX(($B$5:$B$2004=B1172)*$H$5:$H$2004)),"Rekor",""),"")</f>
        <v/>
      </c>
      <c r="J1172" s="19" t="n">
        <f aca="false">IF(A1172="",0,IF(COUNTIF(A$5:A1172,A1172)=1,1,0))</f>
        <v>0</v>
      </c>
    </row>
    <row r="1173" customFormat="false" ht="15" hidden="false" customHeight="false" outlineLevel="0" collapsed="false">
      <c r="A1173" s="12"/>
      <c r="B1173" s="13"/>
      <c r="C1173" s="14"/>
      <c r="D1173" s="14"/>
      <c r="E1173" s="15"/>
      <c r="F1173" s="16" t="str">
        <f aca="false">IF(OR(C1173="",D1173="",E1173=""),"",C1173*D1173*E1173)</f>
        <v/>
      </c>
      <c r="G1173" s="17" t="str">
        <f aca="false">IF(OR(D1173="",E1173=""),"",E1173*(1+D1173/30))</f>
        <v/>
      </c>
      <c r="H1173" s="19" t="n">
        <f aca="false">IF(G1173="",0,G1173)</f>
        <v>0</v>
      </c>
      <c r="I1173" s="18" t="str">
        <f aca="false">IF(H1173&gt;0,IF(H1173&gt;=SUMPRODUCT(MAX(($B$5:$B$2004=B1173)*$H$5:$H$2004)),"Rekor",""),"")</f>
        <v/>
      </c>
      <c r="J1173" s="19" t="n">
        <f aca="false">IF(A1173="",0,IF(COUNTIF(A$5:A1173,A1173)=1,1,0))</f>
        <v>0</v>
      </c>
    </row>
    <row r="1174" customFormat="false" ht="15" hidden="false" customHeight="false" outlineLevel="0" collapsed="false">
      <c r="A1174" s="12"/>
      <c r="B1174" s="13"/>
      <c r="C1174" s="14"/>
      <c r="D1174" s="14"/>
      <c r="E1174" s="15"/>
      <c r="F1174" s="16" t="str">
        <f aca="false">IF(OR(C1174="",D1174="",E1174=""),"",C1174*D1174*E1174)</f>
        <v/>
      </c>
      <c r="G1174" s="17" t="str">
        <f aca="false">IF(OR(D1174="",E1174=""),"",E1174*(1+D1174/30))</f>
        <v/>
      </c>
      <c r="H1174" s="19" t="n">
        <f aca="false">IF(G1174="",0,G1174)</f>
        <v>0</v>
      </c>
      <c r="I1174" s="18" t="str">
        <f aca="false">IF(H1174&gt;0,IF(H1174&gt;=SUMPRODUCT(MAX(($B$5:$B$2004=B1174)*$H$5:$H$2004)),"Rekor",""),"")</f>
        <v/>
      </c>
      <c r="J1174" s="19" t="n">
        <f aca="false">IF(A1174="",0,IF(COUNTIF(A$5:A1174,A1174)=1,1,0))</f>
        <v>0</v>
      </c>
    </row>
    <row r="1175" customFormat="false" ht="15" hidden="false" customHeight="false" outlineLevel="0" collapsed="false">
      <c r="A1175" s="12"/>
      <c r="B1175" s="13"/>
      <c r="C1175" s="14"/>
      <c r="D1175" s="14"/>
      <c r="E1175" s="15"/>
      <c r="F1175" s="16" t="str">
        <f aca="false">IF(OR(C1175="",D1175="",E1175=""),"",C1175*D1175*E1175)</f>
        <v/>
      </c>
      <c r="G1175" s="17" t="str">
        <f aca="false">IF(OR(D1175="",E1175=""),"",E1175*(1+D1175/30))</f>
        <v/>
      </c>
      <c r="H1175" s="19" t="n">
        <f aca="false">IF(G1175="",0,G1175)</f>
        <v>0</v>
      </c>
      <c r="I1175" s="18" t="str">
        <f aca="false">IF(H1175&gt;0,IF(H1175&gt;=SUMPRODUCT(MAX(($B$5:$B$2004=B1175)*$H$5:$H$2004)),"Rekor",""),"")</f>
        <v/>
      </c>
      <c r="J1175" s="19" t="n">
        <f aca="false">IF(A1175="",0,IF(COUNTIF(A$5:A1175,A1175)=1,1,0))</f>
        <v>0</v>
      </c>
    </row>
    <row r="1176" customFormat="false" ht="15" hidden="false" customHeight="false" outlineLevel="0" collapsed="false">
      <c r="A1176" s="12"/>
      <c r="B1176" s="13"/>
      <c r="C1176" s="14"/>
      <c r="D1176" s="14"/>
      <c r="E1176" s="15"/>
      <c r="F1176" s="16" t="str">
        <f aca="false">IF(OR(C1176="",D1176="",E1176=""),"",C1176*D1176*E1176)</f>
        <v/>
      </c>
      <c r="G1176" s="17" t="str">
        <f aca="false">IF(OR(D1176="",E1176=""),"",E1176*(1+D1176/30))</f>
        <v/>
      </c>
      <c r="H1176" s="19" t="n">
        <f aca="false">IF(G1176="",0,G1176)</f>
        <v>0</v>
      </c>
      <c r="I1176" s="18" t="str">
        <f aca="false">IF(H1176&gt;0,IF(H1176&gt;=SUMPRODUCT(MAX(($B$5:$B$2004=B1176)*$H$5:$H$2004)),"Rekor",""),"")</f>
        <v/>
      </c>
      <c r="J1176" s="19" t="n">
        <f aca="false">IF(A1176="",0,IF(COUNTIF(A$5:A1176,A1176)=1,1,0))</f>
        <v>0</v>
      </c>
    </row>
    <row r="1177" customFormat="false" ht="15" hidden="false" customHeight="false" outlineLevel="0" collapsed="false">
      <c r="A1177" s="12"/>
      <c r="B1177" s="13"/>
      <c r="C1177" s="14"/>
      <c r="D1177" s="14"/>
      <c r="E1177" s="15"/>
      <c r="F1177" s="16" t="str">
        <f aca="false">IF(OR(C1177="",D1177="",E1177=""),"",C1177*D1177*E1177)</f>
        <v/>
      </c>
      <c r="G1177" s="17" t="str">
        <f aca="false">IF(OR(D1177="",E1177=""),"",E1177*(1+D1177/30))</f>
        <v/>
      </c>
      <c r="H1177" s="19" t="n">
        <f aca="false">IF(G1177="",0,G1177)</f>
        <v>0</v>
      </c>
      <c r="I1177" s="18" t="str">
        <f aca="false">IF(H1177&gt;0,IF(H1177&gt;=SUMPRODUCT(MAX(($B$5:$B$2004=B1177)*$H$5:$H$2004)),"Rekor",""),"")</f>
        <v/>
      </c>
      <c r="J1177" s="19" t="n">
        <f aca="false">IF(A1177="",0,IF(COUNTIF(A$5:A1177,A1177)=1,1,0))</f>
        <v>0</v>
      </c>
    </row>
    <row r="1178" customFormat="false" ht="15" hidden="false" customHeight="false" outlineLevel="0" collapsed="false">
      <c r="A1178" s="12"/>
      <c r="B1178" s="13"/>
      <c r="C1178" s="14"/>
      <c r="D1178" s="14"/>
      <c r="E1178" s="15"/>
      <c r="F1178" s="16" t="str">
        <f aca="false">IF(OR(C1178="",D1178="",E1178=""),"",C1178*D1178*E1178)</f>
        <v/>
      </c>
      <c r="G1178" s="17" t="str">
        <f aca="false">IF(OR(D1178="",E1178=""),"",E1178*(1+D1178/30))</f>
        <v/>
      </c>
      <c r="H1178" s="19" t="n">
        <f aca="false">IF(G1178="",0,G1178)</f>
        <v>0</v>
      </c>
      <c r="I1178" s="18" t="str">
        <f aca="false">IF(H1178&gt;0,IF(H1178&gt;=SUMPRODUCT(MAX(($B$5:$B$2004=B1178)*$H$5:$H$2004)),"Rekor",""),"")</f>
        <v/>
      </c>
      <c r="J1178" s="19" t="n">
        <f aca="false">IF(A1178="",0,IF(COUNTIF(A$5:A1178,A1178)=1,1,0))</f>
        <v>0</v>
      </c>
    </row>
    <row r="1179" customFormat="false" ht="15" hidden="false" customHeight="false" outlineLevel="0" collapsed="false">
      <c r="A1179" s="12"/>
      <c r="B1179" s="13"/>
      <c r="C1179" s="14"/>
      <c r="D1179" s="14"/>
      <c r="E1179" s="15"/>
      <c r="F1179" s="16" t="str">
        <f aca="false">IF(OR(C1179="",D1179="",E1179=""),"",C1179*D1179*E1179)</f>
        <v/>
      </c>
      <c r="G1179" s="17" t="str">
        <f aca="false">IF(OR(D1179="",E1179=""),"",E1179*(1+D1179/30))</f>
        <v/>
      </c>
      <c r="H1179" s="19" t="n">
        <f aca="false">IF(G1179="",0,G1179)</f>
        <v>0</v>
      </c>
      <c r="I1179" s="18" t="str">
        <f aca="false">IF(H1179&gt;0,IF(H1179&gt;=SUMPRODUCT(MAX(($B$5:$B$2004=B1179)*$H$5:$H$2004)),"Rekor",""),"")</f>
        <v/>
      </c>
      <c r="J1179" s="19" t="n">
        <f aca="false">IF(A1179="",0,IF(COUNTIF(A$5:A1179,A1179)=1,1,0))</f>
        <v>0</v>
      </c>
    </row>
    <row r="1180" customFormat="false" ht="15" hidden="false" customHeight="false" outlineLevel="0" collapsed="false">
      <c r="A1180" s="12"/>
      <c r="B1180" s="13"/>
      <c r="C1180" s="14"/>
      <c r="D1180" s="14"/>
      <c r="E1180" s="15"/>
      <c r="F1180" s="16" t="str">
        <f aca="false">IF(OR(C1180="",D1180="",E1180=""),"",C1180*D1180*E1180)</f>
        <v/>
      </c>
      <c r="G1180" s="17" t="str">
        <f aca="false">IF(OR(D1180="",E1180=""),"",E1180*(1+D1180/30))</f>
        <v/>
      </c>
      <c r="H1180" s="19" t="n">
        <f aca="false">IF(G1180="",0,G1180)</f>
        <v>0</v>
      </c>
      <c r="I1180" s="18" t="str">
        <f aca="false">IF(H1180&gt;0,IF(H1180&gt;=SUMPRODUCT(MAX(($B$5:$B$2004=B1180)*$H$5:$H$2004)),"Rekor",""),"")</f>
        <v/>
      </c>
      <c r="J1180" s="19" t="n">
        <f aca="false">IF(A1180="",0,IF(COUNTIF(A$5:A1180,A1180)=1,1,0))</f>
        <v>0</v>
      </c>
    </row>
    <row r="1181" customFormat="false" ht="15" hidden="false" customHeight="false" outlineLevel="0" collapsed="false">
      <c r="A1181" s="12"/>
      <c r="B1181" s="13"/>
      <c r="C1181" s="14"/>
      <c r="D1181" s="14"/>
      <c r="E1181" s="15"/>
      <c r="F1181" s="16" t="str">
        <f aca="false">IF(OR(C1181="",D1181="",E1181=""),"",C1181*D1181*E1181)</f>
        <v/>
      </c>
      <c r="G1181" s="17" t="str">
        <f aca="false">IF(OR(D1181="",E1181=""),"",E1181*(1+D1181/30))</f>
        <v/>
      </c>
      <c r="H1181" s="19" t="n">
        <f aca="false">IF(G1181="",0,G1181)</f>
        <v>0</v>
      </c>
      <c r="I1181" s="18" t="str">
        <f aca="false">IF(H1181&gt;0,IF(H1181&gt;=SUMPRODUCT(MAX(($B$5:$B$2004=B1181)*$H$5:$H$2004)),"Rekor",""),"")</f>
        <v/>
      </c>
      <c r="J1181" s="19" t="n">
        <f aca="false">IF(A1181="",0,IF(COUNTIF(A$5:A1181,A1181)=1,1,0))</f>
        <v>0</v>
      </c>
    </row>
    <row r="1182" customFormat="false" ht="15" hidden="false" customHeight="false" outlineLevel="0" collapsed="false">
      <c r="A1182" s="12"/>
      <c r="B1182" s="13"/>
      <c r="C1182" s="14"/>
      <c r="D1182" s="14"/>
      <c r="E1182" s="15"/>
      <c r="F1182" s="16" t="str">
        <f aca="false">IF(OR(C1182="",D1182="",E1182=""),"",C1182*D1182*E1182)</f>
        <v/>
      </c>
      <c r="G1182" s="17" t="str">
        <f aca="false">IF(OR(D1182="",E1182=""),"",E1182*(1+D1182/30))</f>
        <v/>
      </c>
      <c r="H1182" s="19" t="n">
        <f aca="false">IF(G1182="",0,G1182)</f>
        <v>0</v>
      </c>
      <c r="I1182" s="18" t="str">
        <f aca="false">IF(H1182&gt;0,IF(H1182&gt;=SUMPRODUCT(MAX(($B$5:$B$2004=B1182)*$H$5:$H$2004)),"Rekor",""),"")</f>
        <v/>
      </c>
      <c r="J1182" s="19" t="n">
        <f aca="false">IF(A1182="",0,IF(COUNTIF(A$5:A1182,A1182)=1,1,0))</f>
        <v>0</v>
      </c>
    </row>
    <row r="1183" customFormat="false" ht="15" hidden="false" customHeight="false" outlineLevel="0" collapsed="false">
      <c r="A1183" s="12"/>
      <c r="B1183" s="13"/>
      <c r="C1183" s="14"/>
      <c r="D1183" s="14"/>
      <c r="E1183" s="15"/>
      <c r="F1183" s="16" t="str">
        <f aca="false">IF(OR(C1183="",D1183="",E1183=""),"",C1183*D1183*E1183)</f>
        <v/>
      </c>
      <c r="G1183" s="17" t="str">
        <f aca="false">IF(OR(D1183="",E1183=""),"",E1183*(1+D1183/30))</f>
        <v/>
      </c>
      <c r="H1183" s="19" t="n">
        <f aca="false">IF(G1183="",0,G1183)</f>
        <v>0</v>
      </c>
      <c r="I1183" s="18" t="str">
        <f aca="false">IF(H1183&gt;0,IF(H1183&gt;=SUMPRODUCT(MAX(($B$5:$B$2004=B1183)*$H$5:$H$2004)),"Rekor",""),"")</f>
        <v/>
      </c>
      <c r="J1183" s="19" t="n">
        <f aca="false">IF(A1183="",0,IF(COUNTIF(A$5:A1183,A1183)=1,1,0))</f>
        <v>0</v>
      </c>
    </row>
    <row r="1184" customFormat="false" ht="15" hidden="false" customHeight="false" outlineLevel="0" collapsed="false">
      <c r="A1184" s="12"/>
      <c r="B1184" s="13"/>
      <c r="C1184" s="14"/>
      <c r="D1184" s="14"/>
      <c r="E1184" s="15"/>
      <c r="F1184" s="16" t="str">
        <f aca="false">IF(OR(C1184="",D1184="",E1184=""),"",C1184*D1184*E1184)</f>
        <v/>
      </c>
      <c r="G1184" s="17" t="str">
        <f aca="false">IF(OR(D1184="",E1184=""),"",E1184*(1+D1184/30))</f>
        <v/>
      </c>
      <c r="H1184" s="19" t="n">
        <f aca="false">IF(G1184="",0,G1184)</f>
        <v>0</v>
      </c>
      <c r="I1184" s="18" t="str">
        <f aca="false">IF(H1184&gt;0,IF(H1184&gt;=SUMPRODUCT(MAX(($B$5:$B$2004=B1184)*$H$5:$H$2004)),"Rekor",""),"")</f>
        <v/>
      </c>
      <c r="J1184" s="19" t="n">
        <f aca="false">IF(A1184="",0,IF(COUNTIF(A$5:A1184,A1184)=1,1,0))</f>
        <v>0</v>
      </c>
    </row>
    <row r="1185" customFormat="false" ht="15" hidden="false" customHeight="false" outlineLevel="0" collapsed="false">
      <c r="A1185" s="12"/>
      <c r="B1185" s="13"/>
      <c r="C1185" s="14"/>
      <c r="D1185" s="14"/>
      <c r="E1185" s="15"/>
      <c r="F1185" s="16" t="str">
        <f aca="false">IF(OR(C1185="",D1185="",E1185=""),"",C1185*D1185*E1185)</f>
        <v/>
      </c>
      <c r="G1185" s="17" t="str">
        <f aca="false">IF(OR(D1185="",E1185=""),"",E1185*(1+D1185/30))</f>
        <v/>
      </c>
      <c r="H1185" s="19" t="n">
        <f aca="false">IF(G1185="",0,G1185)</f>
        <v>0</v>
      </c>
      <c r="I1185" s="18" t="str">
        <f aca="false">IF(H1185&gt;0,IF(H1185&gt;=SUMPRODUCT(MAX(($B$5:$B$2004=B1185)*$H$5:$H$2004)),"Rekor",""),"")</f>
        <v/>
      </c>
      <c r="J1185" s="19" t="n">
        <f aca="false">IF(A1185="",0,IF(COUNTIF(A$5:A1185,A1185)=1,1,0))</f>
        <v>0</v>
      </c>
    </row>
    <row r="1186" customFormat="false" ht="15" hidden="false" customHeight="false" outlineLevel="0" collapsed="false">
      <c r="A1186" s="12"/>
      <c r="B1186" s="13"/>
      <c r="C1186" s="14"/>
      <c r="D1186" s="14"/>
      <c r="E1186" s="15"/>
      <c r="F1186" s="16" t="str">
        <f aca="false">IF(OR(C1186="",D1186="",E1186=""),"",C1186*D1186*E1186)</f>
        <v/>
      </c>
      <c r="G1186" s="17" t="str">
        <f aca="false">IF(OR(D1186="",E1186=""),"",E1186*(1+D1186/30))</f>
        <v/>
      </c>
      <c r="H1186" s="19" t="n">
        <f aca="false">IF(G1186="",0,G1186)</f>
        <v>0</v>
      </c>
      <c r="I1186" s="18" t="str">
        <f aca="false">IF(H1186&gt;0,IF(H1186&gt;=SUMPRODUCT(MAX(($B$5:$B$2004=B1186)*$H$5:$H$2004)),"Rekor",""),"")</f>
        <v/>
      </c>
      <c r="J1186" s="19" t="n">
        <f aca="false">IF(A1186="",0,IF(COUNTIF(A$5:A1186,A1186)=1,1,0))</f>
        <v>0</v>
      </c>
    </row>
    <row r="1187" customFormat="false" ht="15" hidden="false" customHeight="false" outlineLevel="0" collapsed="false">
      <c r="A1187" s="12"/>
      <c r="B1187" s="13"/>
      <c r="C1187" s="14"/>
      <c r="D1187" s="14"/>
      <c r="E1187" s="15"/>
      <c r="F1187" s="16" t="str">
        <f aca="false">IF(OR(C1187="",D1187="",E1187=""),"",C1187*D1187*E1187)</f>
        <v/>
      </c>
      <c r="G1187" s="17" t="str">
        <f aca="false">IF(OR(D1187="",E1187=""),"",E1187*(1+D1187/30))</f>
        <v/>
      </c>
      <c r="H1187" s="19" t="n">
        <f aca="false">IF(G1187="",0,G1187)</f>
        <v>0</v>
      </c>
      <c r="I1187" s="18" t="str">
        <f aca="false">IF(H1187&gt;0,IF(H1187&gt;=SUMPRODUCT(MAX(($B$5:$B$2004=B1187)*$H$5:$H$2004)),"Rekor",""),"")</f>
        <v/>
      </c>
      <c r="J1187" s="19" t="n">
        <f aca="false">IF(A1187="",0,IF(COUNTIF(A$5:A1187,A1187)=1,1,0))</f>
        <v>0</v>
      </c>
    </row>
    <row r="1188" customFormat="false" ht="15" hidden="false" customHeight="false" outlineLevel="0" collapsed="false">
      <c r="A1188" s="12"/>
      <c r="B1188" s="13"/>
      <c r="C1188" s="14"/>
      <c r="D1188" s="14"/>
      <c r="E1188" s="15"/>
      <c r="F1188" s="16" t="str">
        <f aca="false">IF(OR(C1188="",D1188="",E1188=""),"",C1188*D1188*E1188)</f>
        <v/>
      </c>
      <c r="G1188" s="17" t="str">
        <f aca="false">IF(OR(D1188="",E1188=""),"",E1188*(1+D1188/30))</f>
        <v/>
      </c>
      <c r="H1188" s="19" t="n">
        <f aca="false">IF(G1188="",0,G1188)</f>
        <v>0</v>
      </c>
      <c r="I1188" s="18" t="str">
        <f aca="false">IF(H1188&gt;0,IF(H1188&gt;=SUMPRODUCT(MAX(($B$5:$B$2004=B1188)*$H$5:$H$2004)),"Rekor",""),"")</f>
        <v/>
      </c>
      <c r="J1188" s="19" t="n">
        <f aca="false">IF(A1188="",0,IF(COUNTIF(A$5:A1188,A1188)=1,1,0))</f>
        <v>0</v>
      </c>
    </row>
    <row r="1189" customFormat="false" ht="15" hidden="false" customHeight="false" outlineLevel="0" collapsed="false">
      <c r="A1189" s="12"/>
      <c r="B1189" s="13"/>
      <c r="C1189" s="14"/>
      <c r="D1189" s="14"/>
      <c r="E1189" s="15"/>
      <c r="F1189" s="16" t="str">
        <f aca="false">IF(OR(C1189="",D1189="",E1189=""),"",C1189*D1189*E1189)</f>
        <v/>
      </c>
      <c r="G1189" s="17" t="str">
        <f aca="false">IF(OR(D1189="",E1189=""),"",E1189*(1+D1189/30))</f>
        <v/>
      </c>
      <c r="H1189" s="19" t="n">
        <f aca="false">IF(G1189="",0,G1189)</f>
        <v>0</v>
      </c>
      <c r="I1189" s="18" t="str">
        <f aca="false">IF(H1189&gt;0,IF(H1189&gt;=SUMPRODUCT(MAX(($B$5:$B$2004=B1189)*$H$5:$H$2004)),"Rekor",""),"")</f>
        <v/>
      </c>
      <c r="J1189" s="19" t="n">
        <f aca="false">IF(A1189="",0,IF(COUNTIF(A$5:A1189,A1189)=1,1,0))</f>
        <v>0</v>
      </c>
    </row>
    <row r="1190" customFormat="false" ht="15" hidden="false" customHeight="false" outlineLevel="0" collapsed="false">
      <c r="A1190" s="12"/>
      <c r="B1190" s="13"/>
      <c r="C1190" s="14"/>
      <c r="D1190" s="14"/>
      <c r="E1190" s="15"/>
      <c r="F1190" s="16" t="str">
        <f aca="false">IF(OR(C1190="",D1190="",E1190=""),"",C1190*D1190*E1190)</f>
        <v/>
      </c>
      <c r="G1190" s="17" t="str">
        <f aca="false">IF(OR(D1190="",E1190=""),"",E1190*(1+D1190/30))</f>
        <v/>
      </c>
      <c r="H1190" s="19" t="n">
        <f aca="false">IF(G1190="",0,G1190)</f>
        <v>0</v>
      </c>
      <c r="I1190" s="18" t="str">
        <f aca="false">IF(H1190&gt;0,IF(H1190&gt;=SUMPRODUCT(MAX(($B$5:$B$2004=B1190)*$H$5:$H$2004)),"Rekor",""),"")</f>
        <v/>
      </c>
      <c r="J1190" s="19" t="n">
        <f aca="false">IF(A1190="",0,IF(COUNTIF(A$5:A1190,A1190)=1,1,0))</f>
        <v>0</v>
      </c>
    </row>
    <row r="1191" customFormat="false" ht="15" hidden="false" customHeight="false" outlineLevel="0" collapsed="false">
      <c r="A1191" s="12"/>
      <c r="B1191" s="13"/>
      <c r="C1191" s="14"/>
      <c r="D1191" s="14"/>
      <c r="E1191" s="15"/>
      <c r="F1191" s="16" t="str">
        <f aca="false">IF(OR(C1191="",D1191="",E1191=""),"",C1191*D1191*E1191)</f>
        <v/>
      </c>
      <c r="G1191" s="17" t="str">
        <f aca="false">IF(OR(D1191="",E1191=""),"",E1191*(1+D1191/30))</f>
        <v/>
      </c>
      <c r="H1191" s="19" t="n">
        <f aca="false">IF(G1191="",0,G1191)</f>
        <v>0</v>
      </c>
      <c r="I1191" s="18" t="str">
        <f aca="false">IF(H1191&gt;0,IF(H1191&gt;=SUMPRODUCT(MAX(($B$5:$B$2004=B1191)*$H$5:$H$2004)),"Rekor",""),"")</f>
        <v/>
      </c>
      <c r="J1191" s="19" t="n">
        <f aca="false">IF(A1191="",0,IF(COUNTIF(A$5:A1191,A1191)=1,1,0))</f>
        <v>0</v>
      </c>
    </row>
    <row r="1192" customFormat="false" ht="15" hidden="false" customHeight="false" outlineLevel="0" collapsed="false">
      <c r="A1192" s="12"/>
      <c r="B1192" s="13"/>
      <c r="C1192" s="14"/>
      <c r="D1192" s="14"/>
      <c r="E1192" s="15"/>
      <c r="F1192" s="16" t="str">
        <f aca="false">IF(OR(C1192="",D1192="",E1192=""),"",C1192*D1192*E1192)</f>
        <v/>
      </c>
      <c r="G1192" s="17" t="str">
        <f aca="false">IF(OR(D1192="",E1192=""),"",E1192*(1+D1192/30))</f>
        <v/>
      </c>
      <c r="H1192" s="19" t="n">
        <f aca="false">IF(G1192="",0,G1192)</f>
        <v>0</v>
      </c>
      <c r="I1192" s="18" t="str">
        <f aca="false">IF(H1192&gt;0,IF(H1192&gt;=SUMPRODUCT(MAX(($B$5:$B$2004=B1192)*$H$5:$H$2004)),"Rekor",""),"")</f>
        <v/>
      </c>
      <c r="J1192" s="19" t="n">
        <f aca="false">IF(A1192="",0,IF(COUNTIF(A$5:A1192,A1192)=1,1,0))</f>
        <v>0</v>
      </c>
    </row>
    <row r="1193" customFormat="false" ht="15" hidden="false" customHeight="false" outlineLevel="0" collapsed="false">
      <c r="A1193" s="12"/>
      <c r="B1193" s="13"/>
      <c r="C1193" s="14"/>
      <c r="D1193" s="14"/>
      <c r="E1193" s="15"/>
      <c r="F1193" s="16" t="str">
        <f aca="false">IF(OR(C1193="",D1193="",E1193=""),"",C1193*D1193*E1193)</f>
        <v/>
      </c>
      <c r="G1193" s="17" t="str">
        <f aca="false">IF(OR(D1193="",E1193=""),"",E1193*(1+D1193/30))</f>
        <v/>
      </c>
      <c r="H1193" s="19" t="n">
        <f aca="false">IF(G1193="",0,G1193)</f>
        <v>0</v>
      </c>
      <c r="I1193" s="18" t="str">
        <f aca="false">IF(H1193&gt;0,IF(H1193&gt;=SUMPRODUCT(MAX(($B$5:$B$2004=B1193)*$H$5:$H$2004)),"Rekor",""),"")</f>
        <v/>
      </c>
      <c r="J1193" s="19" t="n">
        <f aca="false">IF(A1193="",0,IF(COUNTIF(A$5:A1193,A1193)=1,1,0))</f>
        <v>0</v>
      </c>
    </row>
    <row r="1194" customFormat="false" ht="15" hidden="false" customHeight="false" outlineLevel="0" collapsed="false">
      <c r="A1194" s="12"/>
      <c r="B1194" s="13"/>
      <c r="C1194" s="14"/>
      <c r="D1194" s="14"/>
      <c r="E1194" s="15"/>
      <c r="F1194" s="16" t="str">
        <f aca="false">IF(OR(C1194="",D1194="",E1194=""),"",C1194*D1194*E1194)</f>
        <v/>
      </c>
      <c r="G1194" s="17" t="str">
        <f aca="false">IF(OR(D1194="",E1194=""),"",E1194*(1+D1194/30))</f>
        <v/>
      </c>
      <c r="H1194" s="19" t="n">
        <f aca="false">IF(G1194="",0,G1194)</f>
        <v>0</v>
      </c>
      <c r="I1194" s="18" t="str">
        <f aca="false">IF(H1194&gt;0,IF(H1194&gt;=SUMPRODUCT(MAX(($B$5:$B$2004=B1194)*$H$5:$H$2004)),"Rekor",""),"")</f>
        <v/>
      </c>
      <c r="J1194" s="19" t="n">
        <f aca="false">IF(A1194="",0,IF(COUNTIF(A$5:A1194,A1194)=1,1,0))</f>
        <v>0</v>
      </c>
    </row>
    <row r="1195" customFormat="false" ht="15" hidden="false" customHeight="false" outlineLevel="0" collapsed="false">
      <c r="A1195" s="12"/>
      <c r="B1195" s="13"/>
      <c r="C1195" s="14"/>
      <c r="D1195" s="14"/>
      <c r="E1195" s="15"/>
      <c r="F1195" s="16" t="str">
        <f aca="false">IF(OR(C1195="",D1195="",E1195=""),"",C1195*D1195*E1195)</f>
        <v/>
      </c>
      <c r="G1195" s="17" t="str">
        <f aca="false">IF(OR(D1195="",E1195=""),"",E1195*(1+D1195/30))</f>
        <v/>
      </c>
      <c r="H1195" s="19" t="n">
        <f aca="false">IF(G1195="",0,G1195)</f>
        <v>0</v>
      </c>
      <c r="I1195" s="18" t="str">
        <f aca="false">IF(H1195&gt;0,IF(H1195&gt;=SUMPRODUCT(MAX(($B$5:$B$2004=B1195)*$H$5:$H$2004)),"Rekor",""),"")</f>
        <v/>
      </c>
      <c r="J1195" s="19" t="n">
        <f aca="false">IF(A1195="",0,IF(COUNTIF(A$5:A1195,A1195)=1,1,0))</f>
        <v>0</v>
      </c>
    </row>
    <row r="1196" customFormat="false" ht="15" hidden="false" customHeight="false" outlineLevel="0" collapsed="false">
      <c r="A1196" s="12"/>
      <c r="B1196" s="13"/>
      <c r="C1196" s="14"/>
      <c r="D1196" s="14"/>
      <c r="E1196" s="15"/>
      <c r="F1196" s="16" t="str">
        <f aca="false">IF(OR(C1196="",D1196="",E1196=""),"",C1196*D1196*E1196)</f>
        <v/>
      </c>
      <c r="G1196" s="17" t="str">
        <f aca="false">IF(OR(D1196="",E1196=""),"",E1196*(1+D1196/30))</f>
        <v/>
      </c>
      <c r="H1196" s="19" t="n">
        <f aca="false">IF(G1196="",0,G1196)</f>
        <v>0</v>
      </c>
      <c r="I1196" s="18" t="str">
        <f aca="false">IF(H1196&gt;0,IF(H1196&gt;=SUMPRODUCT(MAX(($B$5:$B$2004=B1196)*$H$5:$H$2004)),"Rekor",""),"")</f>
        <v/>
      </c>
      <c r="J1196" s="19" t="n">
        <f aca="false">IF(A1196="",0,IF(COUNTIF(A$5:A1196,A1196)=1,1,0))</f>
        <v>0</v>
      </c>
    </row>
    <row r="1197" customFormat="false" ht="15" hidden="false" customHeight="false" outlineLevel="0" collapsed="false">
      <c r="A1197" s="12"/>
      <c r="B1197" s="13"/>
      <c r="C1197" s="14"/>
      <c r="D1197" s="14"/>
      <c r="E1197" s="15"/>
      <c r="F1197" s="16" t="str">
        <f aca="false">IF(OR(C1197="",D1197="",E1197=""),"",C1197*D1197*E1197)</f>
        <v/>
      </c>
      <c r="G1197" s="17" t="str">
        <f aca="false">IF(OR(D1197="",E1197=""),"",E1197*(1+D1197/30))</f>
        <v/>
      </c>
      <c r="H1197" s="19" t="n">
        <f aca="false">IF(G1197="",0,G1197)</f>
        <v>0</v>
      </c>
      <c r="I1197" s="18" t="str">
        <f aca="false">IF(H1197&gt;0,IF(H1197&gt;=SUMPRODUCT(MAX(($B$5:$B$2004=B1197)*$H$5:$H$2004)),"Rekor",""),"")</f>
        <v/>
      </c>
      <c r="J1197" s="19" t="n">
        <f aca="false">IF(A1197="",0,IF(COUNTIF(A$5:A1197,A1197)=1,1,0))</f>
        <v>0</v>
      </c>
    </row>
    <row r="1198" customFormat="false" ht="15" hidden="false" customHeight="false" outlineLevel="0" collapsed="false">
      <c r="A1198" s="12"/>
      <c r="B1198" s="13"/>
      <c r="C1198" s="14"/>
      <c r="D1198" s="14"/>
      <c r="E1198" s="15"/>
      <c r="F1198" s="16" t="str">
        <f aca="false">IF(OR(C1198="",D1198="",E1198=""),"",C1198*D1198*E1198)</f>
        <v/>
      </c>
      <c r="G1198" s="17" t="str">
        <f aca="false">IF(OR(D1198="",E1198=""),"",E1198*(1+D1198/30))</f>
        <v/>
      </c>
      <c r="H1198" s="19" t="n">
        <f aca="false">IF(G1198="",0,G1198)</f>
        <v>0</v>
      </c>
      <c r="I1198" s="18" t="str">
        <f aca="false">IF(H1198&gt;0,IF(H1198&gt;=SUMPRODUCT(MAX(($B$5:$B$2004=B1198)*$H$5:$H$2004)),"Rekor",""),"")</f>
        <v/>
      </c>
      <c r="J1198" s="19" t="n">
        <f aca="false">IF(A1198="",0,IF(COUNTIF(A$5:A1198,A1198)=1,1,0))</f>
        <v>0</v>
      </c>
    </row>
    <row r="1199" customFormat="false" ht="15" hidden="false" customHeight="false" outlineLevel="0" collapsed="false">
      <c r="A1199" s="12"/>
      <c r="B1199" s="13"/>
      <c r="C1199" s="14"/>
      <c r="D1199" s="14"/>
      <c r="E1199" s="15"/>
      <c r="F1199" s="16" t="str">
        <f aca="false">IF(OR(C1199="",D1199="",E1199=""),"",C1199*D1199*E1199)</f>
        <v/>
      </c>
      <c r="G1199" s="17" t="str">
        <f aca="false">IF(OR(D1199="",E1199=""),"",E1199*(1+D1199/30))</f>
        <v/>
      </c>
      <c r="H1199" s="19" t="n">
        <f aca="false">IF(G1199="",0,G1199)</f>
        <v>0</v>
      </c>
      <c r="I1199" s="18" t="str">
        <f aca="false">IF(H1199&gt;0,IF(H1199&gt;=SUMPRODUCT(MAX(($B$5:$B$2004=B1199)*$H$5:$H$2004)),"Rekor",""),"")</f>
        <v/>
      </c>
      <c r="J1199" s="19" t="n">
        <f aca="false">IF(A1199="",0,IF(COUNTIF(A$5:A1199,A1199)=1,1,0))</f>
        <v>0</v>
      </c>
    </row>
    <row r="1200" customFormat="false" ht="15" hidden="false" customHeight="false" outlineLevel="0" collapsed="false">
      <c r="A1200" s="12"/>
      <c r="B1200" s="13"/>
      <c r="C1200" s="14"/>
      <c r="D1200" s="14"/>
      <c r="E1200" s="15"/>
      <c r="F1200" s="16" t="str">
        <f aca="false">IF(OR(C1200="",D1200="",E1200=""),"",C1200*D1200*E1200)</f>
        <v/>
      </c>
      <c r="G1200" s="17" t="str">
        <f aca="false">IF(OR(D1200="",E1200=""),"",E1200*(1+D1200/30))</f>
        <v/>
      </c>
      <c r="H1200" s="19" t="n">
        <f aca="false">IF(G1200="",0,G1200)</f>
        <v>0</v>
      </c>
      <c r="I1200" s="18" t="str">
        <f aca="false">IF(H1200&gt;0,IF(H1200&gt;=SUMPRODUCT(MAX(($B$5:$B$2004=B1200)*$H$5:$H$2004)),"Rekor",""),"")</f>
        <v/>
      </c>
      <c r="J1200" s="19" t="n">
        <f aca="false">IF(A1200="",0,IF(COUNTIF(A$5:A1200,A1200)=1,1,0))</f>
        <v>0</v>
      </c>
    </row>
    <row r="1201" customFormat="false" ht="15" hidden="false" customHeight="false" outlineLevel="0" collapsed="false">
      <c r="A1201" s="12"/>
      <c r="B1201" s="13"/>
      <c r="C1201" s="14"/>
      <c r="D1201" s="14"/>
      <c r="E1201" s="15"/>
      <c r="F1201" s="16" t="str">
        <f aca="false">IF(OR(C1201="",D1201="",E1201=""),"",C1201*D1201*E1201)</f>
        <v/>
      </c>
      <c r="G1201" s="17" t="str">
        <f aca="false">IF(OR(D1201="",E1201=""),"",E1201*(1+D1201/30))</f>
        <v/>
      </c>
      <c r="H1201" s="19" t="n">
        <f aca="false">IF(G1201="",0,G1201)</f>
        <v>0</v>
      </c>
      <c r="I1201" s="18" t="str">
        <f aca="false">IF(H1201&gt;0,IF(H1201&gt;=SUMPRODUCT(MAX(($B$5:$B$2004=B1201)*$H$5:$H$2004)),"Rekor",""),"")</f>
        <v/>
      </c>
      <c r="J1201" s="19" t="n">
        <f aca="false">IF(A1201="",0,IF(COUNTIF(A$5:A1201,A1201)=1,1,0))</f>
        <v>0</v>
      </c>
    </row>
    <row r="1202" customFormat="false" ht="15" hidden="false" customHeight="false" outlineLevel="0" collapsed="false">
      <c r="A1202" s="12"/>
      <c r="B1202" s="13"/>
      <c r="C1202" s="14"/>
      <c r="D1202" s="14"/>
      <c r="E1202" s="15"/>
      <c r="F1202" s="16" t="str">
        <f aca="false">IF(OR(C1202="",D1202="",E1202=""),"",C1202*D1202*E1202)</f>
        <v/>
      </c>
      <c r="G1202" s="17" t="str">
        <f aca="false">IF(OR(D1202="",E1202=""),"",E1202*(1+D1202/30))</f>
        <v/>
      </c>
      <c r="H1202" s="19" t="n">
        <f aca="false">IF(G1202="",0,G1202)</f>
        <v>0</v>
      </c>
      <c r="I1202" s="18" t="str">
        <f aca="false">IF(H1202&gt;0,IF(H1202&gt;=SUMPRODUCT(MAX(($B$5:$B$2004=B1202)*$H$5:$H$2004)),"Rekor",""),"")</f>
        <v/>
      </c>
      <c r="J1202" s="19" t="n">
        <f aca="false">IF(A1202="",0,IF(COUNTIF(A$5:A1202,A1202)=1,1,0))</f>
        <v>0</v>
      </c>
    </row>
    <row r="1203" customFormat="false" ht="15" hidden="false" customHeight="false" outlineLevel="0" collapsed="false">
      <c r="A1203" s="12"/>
      <c r="B1203" s="13"/>
      <c r="C1203" s="14"/>
      <c r="D1203" s="14"/>
      <c r="E1203" s="15"/>
      <c r="F1203" s="16" t="str">
        <f aca="false">IF(OR(C1203="",D1203="",E1203=""),"",C1203*D1203*E1203)</f>
        <v/>
      </c>
      <c r="G1203" s="17" t="str">
        <f aca="false">IF(OR(D1203="",E1203=""),"",E1203*(1+D1203/30))</f>
        <v/>
      </c>
      <c r="H1203" s="19" t="n">
        <f aca="false">IF(G1203="",0,G1203)</f>
        <v>0</v>
      </c>
      <c r="I1203" s="18" t="str">
        <f aca="false">IF(H1203&gt;0,IF(H1203&gt;=SUMPRODUCT(MAX(($B$5:$B$2004=B1203)*$H$5:$H$2004)),"Rekor",""),"")</f>
        <v/>
      </c>
      <c r="J1203" s="19" t="n">
        <f aca="false">IF(A1203="",0,IF(COUNTIF(A$5:A1203,A1203)=1,1,0))</f>
        <v>0</v>
      </c>
    </row>
    <row r="1204" customFormat="false" ht="15" hidden="false" customHeight="false" outlineLevel="0" collapsed="false">
      <c r="A1204" s="12"/>
      <c r="B1204" s="13"/>
      <c r="C1204" s="14"/>
      <c r="D1204" s="14"/>
      <c r="E1204" s="15"/>
      <c r="F1204" s="16" t="str">
        <f aca="false">IF(OR(C1204="",D1204="",E1204=""),"",C1204*D1204*E1204)</f>
        <v/>
      </c>
      <c r="G1204" s="17" t="str">
        <f aca="false">IF(OR(D1204="",E1204=""),"",E1204*(1+D1204/30))</f>
        <v/>
      </c>
      <c r="H1204" s="19" t="n">
        <f aca="false">IF(G1204="",0,G1204)</f>
        <v>0</v>
      </c>
      <c r="I1204" s="18" t="str">
        <f aca="false">IF(H1204&gt;0,IF(H1204&gt;=SUMPRODUCT(MAX(($B$5:$B$2004=B1204)*$H$5:$H$2004)),"Rekor",""),"")</f>
        <v/>
      </c>
      <c r="J1204" s="19" t="n">
        <f aca="false">IF(A1204="",0,IF(COUNTIF(A$5:A1204,A1204)=1,1,0))</f>
        <v>0</v>
      </c>
    </row>
    <row r="1205" customFormat="false" ht="15" hidden="false" customHeight="false" outlineLevel="0" collapsed="false">
      <c r="A1205" s="12"/>
      <c r="B1205" s="13"/>
      <c r="C1205" s="14"/>
      <c r="D1205" s="14"/>
      <c r="E1205" s="15"/>
      <c r="F1205" s="16" t="str">
        <f aca="false">IF(OR(C1205="",D1205="",E1205=""),"",C1205*D1205*E1205)</f>
        <v/>
      </c>
      <c r="G1205" s="17" t="str">
        <f aca="false">IF(OR(D1205="",E1205=""),"",E1205*(1+D1205/30))</f>
        <v/>
      </c>
      <c r="H1205" s="19" t="n">
        <f aca="false">IF(G1205="",0,G1205)</f>
        <v>0</v>
      </c>
      <c r="I1205" s="18" t="str">
        <f aca="false">IF(H1205&gt;0,IF(H1205&gt;=SUMPRODUCT(MAX(($B$5:$B$2004=B1205)*$H$5:$H$2004)),"Rekor",""),"")</f>
        <v/>
      </c>
      <c r="J1205" s="19" t="n">
        <f aca="false">IF(A1205="",0,IF(COUNTIF(A$5:A1205,A1205)=1,1,0))</f>
        <v>0</v>
      </c>
    </row>
    <row r="1206" customFormat="false" ht="15" hidden="false" customHeight="false" outlineLevel="0" collapsed="false">
      <c r="A1206" s="12"/>
      <c r="B1206" s="13"/>
      <c r="C1206" s="14"/>
      <c r="D1206" s="14"/>
      <c r="E1206" s="15"/>
      <c r="F1206" s="16" t="str">
        <f aca="false">IF(OR(C1206="",D1206="",E1206=""),"",C1206*D1206*E1206)</f>
        <v/>
      </c>
      <c r="G1206" s="17" t="str">
        <f aca="false">IF(OR(D1206="",E1206=""),"",E1206*(1+D1206/30))</f>
        <v/>
      </c>
      <c r="H1206" s="19" t="n">
        <f aca="false">IF(G1206="",0,G1206)</f>
        <v>0</v>
      </c>
      <c r="I1206" s="18" t="str">
        <f aca="false">IF(H1206&gt;0,IF(H1206&gt;=SUMPRODUCT(MAX(($B$5:$B$2004=B1206)*$H$5:$H$2004)),"Rekor",""),"")</f>
        <v/>
      </c>
      <c r="J1206" s="19" t="n">
        <f aca="false">IF(A1206="",0,IF(COUNTIF(A$5:A1206,A1206)=1,1,0))</f>
        <v>0</v>
      </c>
    </row>
    <row r="1207" customFormat="false" ht="15" hidden="false" customHeight="false" outlineLevel="0" collapsed="false">
      <c r="A1207" s="12"/>
      <c r="B1207" s="13"/>
      <c r="C1207" s="14"/>
      <c r="D1207" s="14"/>
      <c r="E1207" s="15"/>
      <c r="F1207" s="16" t="str">
        <f aca="false">IF(OR(C1207="",D1207="",E1207=""),"",C1207*D1207*E1207)</f>
        <v/>
      </c>
      <c r="G1207" s="17" t="str">
        <f aca="false">IF(OR(D1207="",E1207=""),"",E1207*(1+D1207/30))</f>
        <v/>
      </c>
      <c r="H1207" s="19" t="n">
        <f aca="false">IF(G1207="",0,G1207)</f>
        <v>0</v>
      </c>
      <c r="I1207" s="18" t="str">
        <f aca="false">IF(H1207&gt;0,IF(H1207&gt;=SUMPRODUCT(MAX(($B$5:$B$2004=B1207)*$H$5:$H$2004)),"Rekor",""),"")</f>
        <v/>
      </c>
      <c r="J1207" s="19" t="n">
        <f aca="false">IF(A1207="",0,IF(COUNTIF(A$5:A1207,A1207)=1,1,0))</f>
        <v>0</v>
      </c>
    </row>
    <row r="1208" customFormat="false" ht="15" hidden="false" customHeight="false" outlineLevel="0" collapsed="false">
      <c r="A1208" s="12"/>
      <c r="B1208" s="13"/>
      <c r="C1208" s="14"/>
      <c r="D1208" s="14"/>
      <c r="E1208" s="15"/>
      <c r="F1208" s="16" t="str">
        <f aca="false">IF(OR(C1208="",D1208="",E1208=""),"",C1208*D1208*E1208)</f>
        <v/>
      </c>
      <c r="G1208" s="17" t="str">
        <f aca="false">IF(OR(D1208="",E1208=""),"",E1208*(1+D1208/30))</f>
        <v/>
      </c>
      <c r="H1208" s="19" t="n">
        <f aca="false">IF(G1208="",0,G1208)</f>
        <v>0</v>
      </c>
      <c r="I1208" s="18" t="str">
        <f aca="false">IF(H1208&gt;0,IF(H1208&gt;=SUMPRODUCT(MAX(($B$5:$B$2004=B1208)*$H$5:$H$2004)),"Rekor",""),"")</f>
        <v/>
      </c>
      <c r="J1208" s="19" t="n">
        <f aca="false">IF(A1208="",0,IF(COUNTIF(A$5:A1208,A1208)=1,1,0))</f>
        <v>0</v>
      </c>
    </row>
    <row r="1209" customFormat="false" ht="15" hidden="false" customHeight="false" outlineLevel="0" collapsed="false">
      <c r="A1209" s="12"/>
      <c r="B1209" s="13"/>
      <c r="C1209" s="14"/>
      <c r="D1209" s="14"/>
      <c r="E1209" s="15"/>
      <c r="F1209" s="16" t="str">
        <f aca="false">IF(OR(C1209="",D1209="",E1209=""),"",C1209*D1209*E1209)</f>
        <v/>
      </c>
      <c r="G1209" s="17" t="str">
        <f aca="false">IF(OR(D1209="",E1209=""),"",E1209*(1+D1209/30))</f>
        <v/>
      </c>
      <c r="H1209" s="19" t="n">
        <f aca="false">IF(G1209="",0,G1209)</f>
        <v>0</v>
      </c>
      <c r="I1209" s="18" t="str">
        <f aca="false">IF(H1209&gt;0,IF(H1209&gt;=SUMPRODUCT(MAX(($B$5:$B$2004=B1209)*$H$5:$H$2004)),"Rekor",""),"")</f>
        <v/>
      </c>
      <c r="J1209" s="19" t="n">
        <f aca="false">IF(A1209="",0,IF(COUNTIF(A$5:A1209,A1209)=1,1,0))</f>
        <v>0</v>
      </c>
    </row>
    <row r="1210" customFormat="false" ht="15" hidden="false" customHeight="false" outlineLevel="0" collapsed="false">
      <c r="A1210" s="12"/>
      <c r="B1210" s="13"/>
      <c r="C1210" s="14"/>
      <c r="D1210" s="14"/>
      <c r="E1210" s="15"/>
      <c r="F1210" s="16" t="str">
        <f aca="false">IF(OR(C1210="",D1210="",E1210=""),"",C1210*D1210*E1210)</f>
        <v/>
      </c>
      <c r="G1210" s="17" t="str">
        <f aca="false">IF(OR(D1210="",E1210=""),"",E1210*(1+D1210/30))</f>
        <v/>
      </c>
      <c r="H1210" s="19" t="n">
        <f aca="false">IF(G1210="",0,G1210)</f>
        <v>0</v>
      </c>
      <c r="I1210" s="18" t="str">
        <f aca="false">IF(H1210&gt;0,IF(H1210&gt;=SUMPRODUCT(MAX(($B$5:$B$2004=B1210)*$H$5:$H$2004)),"Rekor",""),"")</f>
        <v/>
      </c>
      <c r="J1210" s="19" t="n">
        <f aca="false">IF(A1210="",0,IF(COUNTIF(A$5:A1210,A1210)=1,1,0))</f>
        <v>0</v>
      </c>
    </row>
    <row r="1211" customFormat="false" ht="15" hidden="false" customHeight="false" outlineLevel="0" collapsed="false">
      <c r="A1211" s="12"/>
      <c r="B1211" s="13"/>
      <c r="C1211" s="14"/>
      <c r="D1211" s="14"/>
      <c r="E1211" s="15"/>
      <c r="F1211" s="16" t="str">
        <f aca="false">IF(OR(C1211="",D1211="",E1211=""),"",C1211*D1211*E1211)</f>
        <v/>
      </c>
      <c r="G1211" s="17" t="str">
        <f aca="false">IF(OR(D1211="",E1211=""),"",E1211*(1+D1211/30))</f>
        <v/>
      </c>
      <c r="H1211" s="19" t="n">
        <f aca="false">IF(G1211="",0,G1211)</f>
        <v>0</v>
      </c>
      <c r="I1211" s="18" t="str">
        <f aca="false">IF(H1211&gt;0,IF(H1211&gt;=SUMPRODUCT(MAX(($B$5:$B$2004=B1211)*$H$5:$H$2004)),"Rekor",""),"")</f>
        <v/>
      </c>
      <c r="J1211" s="19" t="n">
        <f aca="false">IF(A1211="",0,IF(COUNTIF(A$5:A1211,A1211)=1,1,0))</f>
        <v>0</v>
      </c>
    </row>
    <row r="1212" customFormat="false" ht="15" hidden="false" customHeight="false" outlineLevel="0" collapsed="false">
      <c r="A1212" s="12"/>
      <c r="B1212" s="13"/>
      <c r="C1212" s="14"/>
      <c r="D1212" s="14"/>
      <c r="E1212" s="15"/>
      <c r="F1212" s="16" t="str">
        <f aca="false">IF(OR(C1212="",D1212="",E1212=""),"",C1212*D1212*E1212)</f>
        <v/>
      </c>
      <c r="G1212" s="17" t="str">
        <f aca="false">IF(OR(D1212="",E1212=""),"",E1212*(1+D1212/30))</f>
        <v/>
      </c>
      <c r="H1212" s="19" t="n">
        <f aca="false">IF(G1212="",0,G1212)</f>
        <v>0</v>
      </c>
      <c r="I1212" s="18" t="str">
        <f aca="false">IF(H1212&gt;0,IF(H1212&gt;=SUMPRODUCT(MAX(($B$5:$B$2004=B1212)*$H$5:$H$2004)),"Rekor",""),"")</f>
        <v/>
      </c>
      <c r="J1212" s="19" t="n">
        <f aca="false">IF(A1212="",0,IF(COUNTIF(A$5:A1212,A1212)=1,1,0))</f>
        <v>0</v>
      </c>
    </row>
    <row r="1213" customFormat="false" ht="15" hidden="false" customHeight="false" outlineLevel="0" collapsed="false">
      <c r="A1213" s="12"/>
      <c r="B1213" s="13"/>
      <c r="C1213" s="14"/>
      <c r="D1213" s="14"/>
      <c r="E1213" s="15"/>
      <c r="F1213" s="16" t="str">
        <f aca="false">IF(OR(C1213="",D1213="",E1213=""),"",C1213*D1213*E1213)</f>
        <v/>
      </c>
      <c r="G1213" s="17" t="str">
        <f aca="false">IF(OR(D1213="",E1213=""),"",E1213*(1+D1213/30))</f>
        <v/>
      </c>
      <c r="H1213" s="19" t="n">
        <f aca="false">IF(G1213="",0,G1213)</f>
        <v>0</v>
      </c>
      <c r="I1213" s="18" t="str">
        <f aca="false">IF(H1213&gt;0,IF(H1213&gt;=SUMPRODUCT(MAX(($B$5:$B$2004=B1213)*$H$5:$H$2004)),"Rekor",""),"")</f>
        <v/>
      </c>
      <c r="J1213" s="19" t="n">
        <f aca="false">IF(A1213="",0,IF(COUNTIF(A$5:A1213,A1213)=1,1,0))</f>
        <v>0</v>
      </c>
    </row>
    <row r="1214" customFormat="false" ht="15" hidden="false" customHeight="false" outlineLevel="0" collapsed="false">
      <c r="A1214" s="12"/>
      <c r="B1214" s="13"/>
      <c r="C1214" s="14"/>
      <c r="D1214" s="14"/>
      <c r="E1214" s="15"/>
      <c r="F1214" s="16" t="str">
        <f aca="false">IF(OR(C1214="",D1214="",E1214=""),"",C1214*D1214*E1214)</f>
        <v/>
      </c>
      <c r="G1214" s="17" t="str">
        <f aca="false">IF(OR(D1214="",E1214=""),"",E1214*(1+D1214/30))</f>
        <v/>
      </c>
      <c r="H1214" s="19" t="n">
        <f aca="false">IF(G1214="",0,G1214)</f>
        <v>0</v>
      </c>
      <c r="I1214" s="18" t="str">
        <f aca="false">IF(H1214&gt;0,IF(H1214&gt;=SUMPRODUCT(MAX(($B$5:$B$2004=B1214)*$H$5:$H$2004)),"Rekor",""),"")</f>
        <v/>
      </c>
      <c r="J1214" s="19" t="n">
        <f aca="false">IF(A1214="",0,IF(COUNTIF(A$5:A1214,A1214)=1,1,0))</f>
        <v>0</v>
      </c>
    </row>
    <row r="1215" customFormat="false" ht="15" hidden="false" customHeight="false" outlineLevel="0" collapsed="false">
      <c r="A1215" s="12"/>
      <c r="B1215" s="13"/>
      <c r="C1215" s="14"/>
      <c r="D1215" s="14"/>
      <c r="E1215" s="15"/>
      <c r="F1215" s="16" t="str">
        <f aca="false">IF(OR(C1215="",D1215="",E1215=""),"",C1215*D1215*E1215)</f>
        <v/>
      </c>
      <c r="G1215" s="17" t="str">
        <f aca="false">IF(OR(D1215="",E1215=""),"",E1215*(1+D1215/30))</f>
        <v/>
      </c>
      <c r="H1215" s="19" t="n">
        <f aca="false">IF(G1215="",0,G1215)</f>
        <v>0</v>
      </c>
      <c r="I1215" s="18" t="str">
        <f aca="false">IF(H1215&gt;0,IF(H1215&gt;=SUMPRODUCT(MAX(($B$5:$B$2004=B1215)*$H$5:$H$2004)),"Rekor",""),"")</f>
        <v/>
      </c>
      <c r="J1215" s="19" t="n">
        <f aca="false">IF(A1215="",0,IF(COUNTIF(A$5:A1215,A1215)=1,1,0))</f>
        <v>0</v>
      </c>
    </row>
    <row r="1216" customFormat="false" ht="15" hidden="false" customHeight="false" outlineLevel="0" collapsed="false">
      <c r="A1216" s="12"/>
      <c r="B1216" s="13"/>
      <c r="C1216" s="14"/>
      <c r="D1216" s="14"/>
      <c r="E1216" s="15"/>
      <c r="F1216" s="16" t="str">
        <f aca="false">IF(OR(C1216="",D1216="",E1216=""),"",C1216*D1216*E1216)</f>
        <v/>
      </c>
      <c r="G1216" s="17" t="str">
        <f aca="false">IF(OR(D1216="",E1216=""),"",E1216*(1+D1216/30))</f>
        <v/>
      </c>
      <c r="H1216" s="19" t="n">
        <f aca="false">IF(G1216="",0,G1216)</f>
        <v>0</v>
      </c>
      <c r="I1216" s="18" t="str">
        <f aca="false">IF(H1216&gt;0,IF(H1216&gt;=SUMPRODUCT(MAX(($B$5:$B$2004=B1216)*$H$5:$H$2004)),"Rekor",""),"")</f>
        <v/>
      </c>
      <c r="J1216" s="19" t="n">
        <f aca="false">IF(A1216="",0,IF(COUNTIF(A$5:A1216,A1216)=1,1,0))</f>
        <v>0</v>
      </c>
    </row>
    <row r="1217" customFormat="false" ht="15" hidden="false" customHeight="false" outlineLevel="0" collapsed="false">
      <c r="A1217" s="12"/>
      <c r="B1217" s="13"/>
      <c r="C1217" s="14"/>
      <c r="D1217" s="14"/>
      <c r="E1217" s="15"/>
      <c r="F1217" s="16" t="str">
        <f aca="false">IF(OR(C1217="",D1217="",E1217=""),"",C1217*D1217*E1217)</f>
        <v/>
      </c>
      <c r="G1217" s="17" t="str">
        <f aca="false">IF(OR(D1217="",E1217=""),"",E1217*(1+D1217/30))</f>
        <v/>
      </c>
      <c r="H1217" s="19" t="n">
        <f aca="false">IF(G1217="",0,G1217)</f>
        <v>0</v>
      </c>
      <c r="I1217" s="18" t="str">
        <f aca="false">IF(H1217&gt;0,IF(H1217&gt;=SUMPRODUCT(MAX(($B$5:$B$2004=B1217)*$H$5:$H$2004)),"Rekor",""),"")</f>
        <v/>
      </c>
      <c r="J1217" s="19" t="n">
        <f aca="false">IF(A1217="",0,IF(COUNTIF(A$5:A1217,A1217)=1,1,0))</f>
        <v>0</v>
      </c>
    </row>
    <row r="1218" customFormat="false" ht="15" hidden="false" customHeight="false" outlineLevel="0" collapsed="false">
      <c r="A1218" s="12"/>
      <c r="B1218" s="13"/>
      <c r="C1218" s="14"/>
      <c r="D1218" s="14"/>
      <c r="E1218" s="15"/>
      <c r="F1218" s="16" t="str">
        <f aca="false">IF(OR(C1218="",D1218="",E1218=""),"",C1218*D1218*E1218)</f>
        <v/>
      </c>
      <c r="G1218" s="17" t="str">
        <f aca="false">IF(OR(D1218="",E1218=""),"",E1218*(1+D1218/30))</f>
        <v/>
      </c>
      <c r="H1218" s="19" t="n">
        <f aca="false">IF(G1218="",0,G1218)</f>
        <v>0</v>
      </c>
      <c r="I1218" s="18" t="str">
        <f aca="false">IF(H1218&gt;0,IF(H1218&gt;=SUMPRODUCT(MAX(($B$5:$B$2004=B1218)*$H$5:$H$2004)),"Rekor",""),"")</f>
        <v/>
      </c>
      <c r="J1218" s="19" t="n">
        <f aca="false">IF(A1218="",0,IF(COUNTIF(A$5:A1218,A1218)=1,1,0))</f>
        <v>0</v>
      </c>
    </row>
    <row r="1219" customFormat="false" ht="15" hidden="false" customHeight="false" outlineLevel="0" collapsed="false">
      <c r="A1219" s="12"/>
      <c r="B1219" s="13"/>
      <c r="C1219" s="14"/>
      <c r="D1219" s="14"/>
      <c r="E1219" s="15"/>
      <c r="F1219" s="16" t="str">
        <f aca="false">IF(OR(C1219="",D1219="",E1219=""),"",C1219*D1219*E1219)</f>
        <v/>
      </c>
      <c r="G1219" s="17" t="str">
        <f aca="false">IF(OR(D1219="",E1219=""),"",E1219*(1+D1219/30))</f>
        <v/>
      </c>
      <c r="H1219" s="19" t="n">
        <f aca="false">IF(G1219="",0,G1219)</f>
        <v>0</v>
      </c>
      <c r="I1219" s="18" t="str">
        <f aca="false">IF(H1219&gt;0,IF(H1219&gt;=SUMPRODUCT(MAX(($B$5:$B$2004=B1219)*$H$5:$H$2004)),"Rekor",""),"")</f>
        <v/>
      </c>
      <c r="J1219" s="19" t="n">
        <f aca="false">IF(A1219="",0,IF(COUNTIF(A$5:A1219,A1219)=1,1,0))</f>
        <v>0</v>
      </c>
    </row>
    <row r="1220" customFormat="false" ht="15" hidden="false" customHeight="false" outlineLevel="0" collapsed="false">
      <c r="A1220" s="12"/>
      <c r="B1220" s="13"/>
      <c r="C1220" s="14"/>
      <c r="D1220" s="14"/>
      <c r="E1220" s="15"/>
      <c r="F1220" s="16" t="str">
        <f aca="false">IF(OR(C1220="",D1220="",E1220=""),"",C1220*D1220*E1220)</f>
        <v/>
      </c>
      <c r="G1220" s="17" t="str">
        <f aca="false">IF(OR(D1220="",E1220=""),"",E1220*(1+D1220/30))</f>
        <v/>
      </c>
      <c r="H1220" s="19" t="n">
        <f aca="false">IF(G1220="",0,G1220)</f>
        <v>0</v>
      </c>
      <c r="I1220" s="18" t="str">
        <f aca="false">IF(H1220&gt;0,IF(H1220&gt;=SUMPRODUCT(MAX(($B$5:$B$2004=B1220)*$H$5:$H$2004)),"Rekor",""),"")</f>
        <v/>
      </c>
      <c r="J1220" s="19" t="n">
        <f aca="false">IF(A1220="",0,IF(COUNTIF(A$5:A1220,A1220)=1,1,0))</f>
        <v>0</v>
      </c>
    </row>
    <row r="1221" customFormat="false" ht="15" hidden="false" customHeight="false" outlineLevel="0" collapsed="false">
      <c r="A1221" s="12"/>
      <c r="B1221" s="13"/>
      <c r="C1221" s="14"/>
      <c r="D1221" s="14"/>
      <c r="E1221" s="15"/>
      <c r="F1221" s="16" t="str">
        <f aca="false">IF(OR(C1221="",D1221="",E1221=""),"",C1221*D1221*E1221)</f>
        <v/>
      </c>
      <c r="G1221" s="17" t="str">
        <f aca="false">IF(OR(D1221="",E1221=""),"",E1221*(1+D1221/30))</f>
        <v/>
      </c>
      <c r="H1221" s="19" t="n">
        <f aca="false">IF(G1221="",0,G1221)</f>
        <v>0</v>
      </c>
      <c r="I1221" s="18" t="str">
        <f aca="false">IF(H1221&gt;0,IF(H1221&gt;=SUMPRODUCT(MAX(($B$5:$B$2004=B1221)*$H$5:$H$2004)),"Rekor",""),"")</f>
        <v/>
      </c>
      <c r="J1221" s="19" t="n">
        <f aca="false">IF(A1221="",0,IF(COUNTIF(A$5:A1221,A1221)=1,1,0))</f>
        <v>0</v>
      </c>
    </row>
    <row r="1222" customFormat="false" ht="15" hidden="false" customHeight="false" outlineLevel="0" collapsed="false">
      <c r="A1222" s="12"/>
      <c r="B1222" s="13"/>
      <c r="C1222" s="14"/>
      <c r="D1222" s="14"/>
      <c r="E1222" s="15"/>
      <c r="F1222" s="16" t="str">
        <f aca="false">IF(OR(C1222="",D1222="",E1222=""),"",C1222*D1222*E1222)</f>
        <v/>
      </c>
      <c r="G1222" s="17" t="str">
        <f aca="false">IF(OR(D1222="",E1222=""),"",E1222*(1+D1222/30))</f>
        <v/>
      </c>
      <c r="H1222" s="19" t="n">
        <f aca="false">IF(G1222="",0,G1222)</f>
        <v>0</v>
      </c>
      <c r="I1222" s="18" t="str">
        <f aca="false">IF(H1222&gt;0,IF(H1222&gt;=SUMPRODUCT(MAX(($B$5:$B$2004=B1222)*$H$5:$H$2004)),"Rekor",""),"")</f>
        <v/>
      </c>
      <c r="J1222" s="19" t="n">
        <f aca="false">IF(A1222="",0,IF(COUNTIF(A$5:A1222,A1222)=1,1,0))</f>
        <v>0</v>
      </c>
    </row>
    <row r="1223" customFormat="false" ht="15" hidden="false" customHeight="false" outlineLevel="0" collapsed="false">
      <c r="A1223" s="12"/>
      <c r="B1223" s="13"/>
      <c r="C1223" s="14"/>
      <c r="D1223" s="14"/>
      <c r="E1223" s="15"/>
      <c r="F1223" s="16" t="str">
        <f aca="false">IF(OR(C1223="",D1223="",E1223=""),"",C1223*D1223*E1223)</f>
        <v/>
      </c>
      <c r="G1223" s="17" t="str">
        <f aca="false">IF(OR(D1223="",E1223=""),"",E1223*(1+D1223/30))</f>
        <v/>
      </c>
      <c r="H1223" s="19" t="n">
        <f aca="false">IF(G1223="",0,G1223)</f>
        <v>0</v>
      </c>
      <c r="I1223" s="18" t="str">
        <f aca="false">IF(H1223&gt;0,IF(H1223&gt;=SUMPRODUCT(MAX(($B$5:$B$2004=B1223)*$H$5:$H$2004)),"Rekor",""),"")</f>
        <v/>
      </c>
      <c r="J1223" s="19" t="n">
        <f aca="false">IF(A1223="",0,IF(COUNTIF(A$5:A1223,A1223)=1,1,0))</f>
        <v>0</v>
      </c>
    </row>
    <row r="1224" customFormat="false" ht="15" hidden="false" customHeight="false" outlineLevel="0" collapsed="false">
      <c r="A1224" s="12"/>
      <c r="B1224" s="13"/>
      <c r="C1224" s="14"/>
      <c r="D1224" s="14"/>
      <c r="E1224" s="15"/>
      <c r="F1224" s="16" t="str">
        <f aca="false">IF(OR(C1224="",D1224="",E1224=""),"",C1224*D1224*E1224)</f>
        <v/>
      </c>
      <c r="G1224" s="17" t="str">
        <f aca="false">IF(OR(D1224="",E1224=""),"",E1224*(1+D1224/30))</f>
        <v/>
      </c>
      <c r="H1224" s="19" t="n">
        <f aca="false">IF(G1224="",0,G1224)</f>
        <v>0</v>
      </c>
      <c r="I1224" s="18" t="str">
        <f aca="false">IF(H1224&gt;0,IF(H1224&gt;=SUMPRODUCT(MAX(($B$5:$B$2004=B1224)*$H$5:$H$2004)),"Rekor",""),"")</f>
        <v/>
      </c>
      <c r="J1224" s="19" t="n">
        <f aca="false">IF(A1224="",0,IF(COUNTIF(A$5:A1224,A1224)=1,1,0))</f>
        <v>0</v>
      </c>
    </row>
    <row r="1225" customFormat="false" ht="15" hidden="false" customHeight="false" outlineLevel="0" collapsed="false">
      <c r="A1225" s="12"/>
      <c r="B1225" s="13"/>
      <c r="C1225" s="14"/>
      <c r="D1225" s="14"/>
      <c r="E1225" s="15"/>
      <c r="F1225" s="16" t="str">
        <f aca="false">IF(OR(C1225="",D1225="",E1225=""),"",C1225*D1225*E1225)</f>
        <v/>
      </c>
      <c r="G1225" s="17" t="str">
        <f aca="false">IF(OR(D1225="",E1225=""),"",E1225*(1+D1225/30))</f>
        <v/>
      </c>
      <c r="H1225" s="19" t="n">
        <f aca="false">IF(G1225="",0,G1225)</f>
        <v>0</v>
      </c>
      <c r="I1225" s="18" t="str">
        <f aca="false">IF(H1225&gt;0,IF(H1225&gt;=SUMPRODUCT(MAX(($B$5:$B$2004=B1225)*$H$5:$H$2004)),"Rekor",""),"")</f>
        <v/>
      </c>
      <c r="J1225" s="19" t="n">
        <f aca="false">IF(A1225="",0,IF(COUNTIF(A$5:A1225,A1225)=1,1,0))</f>
        <v>0</v>
      </c>
    </row>
    <row r="1226" customFormat="false" ht="15" hidden="false" customHeight="false" outlineLevel="0" collapsed="false">
      <c r="A1226" s="12"/>
      <c r="B1226" s="13"/>
      <c r="C1226" s="14"/>
      <c r="D1226" s="14"/>
      <c r="E1226" s="15"/>
      <c r="F1226" s="16" t="str">
        <f aca="false">IF(OR(C1226="",D1226="",E1226=""),"",C1226*D1226*E1226)</f>
        <v/>
      </c>
      <c r="G1226" s="17" t="str">
        <f aca="false">IF(OR(D1226="",E1226=""),"",E1226*(1+D1226/30))</f>
        <v/>
      </c>
      <c r="H1226" s="19" t="n">
        <f aca="false">IF(G1226="",0,G1226)</f>
        <v>0</v>
      </c>
      <c r="I1226" s="18" t="str">
        <f aca="false">IF(H1226&gt;0,IF(H1226&gt;=SUMPRODUCT(MAX(($B$5:$B$2004=B1226)*$H$5:$H$2004)),"Rekor",""),"")</f>
        <v/>
      </c>
      <c r="J1226" s="19" t="n">
        <f aca="false">IF(A1226="",0,IF(COUNTIF(A$5:A1226,A1226)=1,1,0))</f>
        <v>0</v>
      </c>
    </row>
    <row r="1227" customFormat="false" ht="15" hidden="false" customHeight="false" outlineLevel="0" collapsed="false">
      <c r="A1227" s="12"/>
      <c r="B1227" s="13"/>
      <c r="C1227" s="14"/>
      <c r="D1227" s="14"/>
      <c r="E1227" s="15"/>
      <c r="F1227" s="16" t="str">
        <f aca="false">IF(OR(C1227="",D1227="",E1227=""),"",C1227*D1227*E1227)</f>
        <v/>
      </c>
      <c r="G1227" s="17" t="str">
        <f aca="false">IF(OR(D1227="",E1227=""),"",E1227*(1+D1227/30))</f>
        <v/>
      </c>
      <c r="H1227" s="19" t="n">
        <f aca="false">IF(G1227="",0,G1227)</f>
        <v>0</v>
      </c>
      <c r="I1227" s="18" t="str">
        <f aca="false">IF(H1227&gt;0,IF(H1227&gt;=SUMPRODUCT(MAX(($B$5:$B$2004=B1227)*$H$5:$H$2004)),"Rekor",""),"")</f>
        <v/>
      </c>
      <c r="J1227" s="19" t="n">
        <f aca="false">IF(A1227="",0,IF(COUNTIF(A$5:A1227,A1227)=1,1,0))</f>
        <v>0</v>
      </c>
    </row>
    <row r="1228" customFormat="false" ht="15" hidden="false" customHeight="false" outlineLevel="0" collapsed="false">
      <c r="A1228" s="12"/>
      <c r="B1228" s="13"/>
      <c r="C1228" s="14"/>
      <c r="D1228" s="14"/>
      <c r="E1228" s="15"/>
      <c r="F1228" s="16" t="str">
        <f aca="false">IF(OR(C1228="",D1228="",E1228=""),"",C1228*D1228*E1228)</f>
        <v/>
      </c>
      <c r="G1228" s="17" t="str">
        <f aca="false">IF(OR(D1228="",E1228=""),"",E1228*(1+D1228/30))</f>
        <v/>
      </c>
      <c r="H1228" s="19" t="n">
        <f aca="false">IF(G1228="",0,G1228)</f>
        <v>0</v>
      </c>
      <c r="I1228" s="18" t="str">
        <f aca="false">IF(H1228&gt;0,IF(H1228&gt;=SUMPRODUCT(MAX(($B$5:$B$2004=B1228)*$H$5:$H$2004)),"Rekor",""),"")</f>
        <v/>
      </c>
      <c r="J1228" s="19" t="n">
        <f aca="false">IF(A1228="",0,IF(COUNTIF(A$5:A1228,A1228)=1,1,0))</f>
        <v>0</v>
      </c>
    </row>
    <row r="1229" customFormat="false" ht="15" hidden="false" customHeight="false" outlineLevel="0" collapsed="false">
      <c r="A1229" s="12"/>
      <c r="B1229" s="13"/>
      <c r="C1229" s="14"/>
      <c r="D1229" s="14"/>
      <c r="E1229" s="15"/>
      <c r="F1229" s="16" t="str">
        <f aca="false">IF(OR(C1229="",D1229="",E1229=""),"",C1229*D1229*E1229)</f>
        <v/>
      </c>
      <c r="G1229" s="17" t="str">
        <f aca="false">IF(OR(D1229="",E1229=""),"",E1229*(1+D1229/30))</f>
        <v/>
      </c>
      <c r="H1229" s="19" t="n">
        <f aca="false">IF(G1229="",0,G1229)</f>
        <v>0</v>
      </c>
      <c r="I1229" s="18" t="str">
        <f aca="false">IF(H1229&gt;0,IF(H1229&gt;=SUMPRODUCT(MAX(($B$5:$B$2004=B1229)*$H$5:$H$2004)),"Rekor",""),"")</f>
        <v/>
      </c>
      <c r="J1229" s="19" t="n">
        <f aca="false">IF(A1229="",0,IF(COUNTIF(A$5:A1229,A1229)=1,1,0))</f>
        <v>0</v>
      </c>
    </row>
    <row r="1230" customFormat="false" ht="15" hidden="false" customHeight="false" outlineLevel="0" collapsed="false">
      <c r="A1230" s="12"/>
      <c r="B1230" s="13"/>
      <c r="C1230" s="14"/>
      <c r="D1230" s="14"/>
      <c r="E1230" s="15"/>
      <c r="F1230" s="16" t="str">
        <f aca="false">IF(OR(C1230="",D1230="",E1230=""),"",C1230*D1230*E1230)</f>
        <v/>
      </c>
      <c r="G1230" s="17" t="str">
        <f aca="false">IF(OR(D1230="",E1230=""),"",E1230*(1+D1230/30))</f>
        <v/>
      </c>
      <c r="H1230" s="19" t="n">
        <f aca="false">IF(G1230="",0,G1230)</f>
        <v>0</v>
      </c>
      <c r="I1230" s="18" t="str">
        <f aca="false">IF(H1230&gt;0,IF(H1230&gt;=SUMPRODUCT(MAX(($B$5:$B$2004=B1230)*$H$5:$H$2004)),"Rekor",""),"")</f>
        <v/>
      </c>
      <c r="J1230" s="19" t="n">
        <f aca="false">IF(A1230="",0,IF(COUNTIF(A$5:A1230,A1230)=1,1,0))</f>
        <v>0</v>
      </c>
    </row>
    <row r="1231" customFormat="false" ht="15" hidden="false" customHeight="false" outlineLevel="0" collapsed="false">
      <c r="A1231" s="12"/>
      <c r="B1231" s="13"/>
      <c r="C1231" s="14"/>
      <c r="D1231" s="14"/>
      <c r="E1231" s="15"/>
      <c r="F1231" s="16" t="str">
        <f aca="false">IF(OR(C1231="",D1231="",E1231=""),"",C1231*D1231*E1231)</f>
        <v/>
      </c>
      <c r="G1231" s="17" t="str">
        <f aca="false">IF(OR(D1231="",E1231=""),"",E1231*(1+D1231/30))</f>
        <v/>
      </c>
      <c r="H1231" s="19" t="n">
        <f aca="false">IF(G1231="",0,G1231)</f>
        <v>0</v>
      </c>
      <c r="I1231" s="18" t="str">
        <f aca="false">IF(H1231&gt;0,IF(H1231&gt;=SUMPRODUCT(MAX(($B$5:$B$2004=B1231)*$H$5:$H$2004)),"Rekor",""),"")</f>
        <v/>
      </c>
      <c r="J1231" s="19" t="n">
        <f aca="false">IF(A1231="",0,IF(COUNTIF(A$5:A1231,A1231)=1,1,0))</f>
        <v>0</v>
      </c>
    </row>
    <row r="1232" customFormat="false" ht="15" hidden="false" customHeight="false" outlineLevel="0" collapsed="false">
      <c r="A1232" s="12"/>
      <c r="B1232" s="13"/>
      <c r="C1232" s="14"/>
      <c r="D1232" s="14"/>
      <c r="E1232" s="15"/>
      <c r="F1232" s="16" t="str">
        <f aca="false">IF(OR(C1232="",D1232="",E1232=""),"",C1232*D1232*E1232)</f>
        <v/>
      </c>
      <c r="G1232" s="17" t="str">
        <f aca="false">IF(OR(D1232="",E1232=""),"",E1232*(1+D1232/30))</f>
        <v/>
      </c>
      <c r="H1232" s="19" t="n">
        <f aca="false">IF(G1232="",0,G1232)</f>
        <v>0</v>
      </c>
      <c r="I1232" s="18" t="str">
        <f aca="false">IF(H1232&gt;0,IF(H1232&gt;=SUMPRODUCT(MAX(($B$5:$B$2004=B1232)*$H$5:$H$2004)),"Rekor",""),"")</f>
        <v/>
      </c>
      <c r="J1232" s="19" t="n">
        <f aca="false">IF(A1232="",0,IF(COUNTIF(A$5:A1232,A1232)=1,1,0))</f>
        <v>0</v>
      </c>
    </row>
    <row r="1233" customFormat="false" ht="15" hidden="false" customHeight="false" outlineLevel="0" collapsed="false">
      <c r="A1233" s="12"/>
      <c r="B1233" s="13"/>
      <c r="C1233" s="14"/>
      <c r="D1233" s="14"/>
      <c r="E1233" s="15"/>
      <c r="F1233" s="16" t="str">
        <f aca="false">IF(OR(C1233="",D1233="",E1233=""),"",C1233*D1233*E1233)</f>
        <v/>
      </c>
      <c r="G1233" s="17" t="str">
        <f aca="false">IF(OR(D1233="",E1233=""),"",E1233*(1+D1233/30))</f>
        <v/>
      </c>
      <c r="H1233" s="19" t="n">
        <f aca="false">IF(G1233="",0,G1233)</f>
        <v>0</v>
      </c>
      <c r="I1233" s="18" t="str">
        <f aca="false">IF(H1233&gt;0,IF(H1233&gt;=SUMPRODUCT(MAX(($B$5:$B$2004=B1233)*$H$5:$H$2004)),"Rekor",""),"")</f>
        <v/>
      </c>
      <c r="J1233" s="19" t="n">
        <f aca="false">IF(A1233="",0,IF(COUNTIF(A$5:A1233,A1233)=1,1,0))</f>
        <v>0</v>
      </c>
    </row>
    <row r="1234" customFormat="false" ht="15" hidden="false" customHeight="false" outlineLevel="0" collapsed="false">
      <c r="A1234" s="12"/>
      <c r="B1234" s="13"/>
      <c r="C1234" s="14"/>
      <c r="D1234" s="14"/>
      <c r="E1234" s="15"/>
      <c r="F1234" s="16" t="str">
        <f aca="false">IF(OR(C1234="",D1234="",E1234=""),"",C1234*D1234*E1234)</f>
        <v/>
      </c>
      <c r="G1234" s="17" t="str">
        <f aca="false">IF(OR(D1234="",E1234=""),"",E1234*(1+D1234/30))</f>
        <v/>
      </c>
      <c r="H1234" s="19" t="n">
        <f aca="false">IF(G1234="",0,G1234)</f>
        <v>0</v>
      </c>
      <c r="I1234" s="18" t="str">
        <f aca="false">IF(H1234&gt;0,IF(H1234&gt;=SUMPRODUCT(MAX(($B$5:$B$2004=B1234)*$H$5:$H$2004)),"Rekor",""),"")</f>
        <v/>
      </c>
      <c r="J1234" s="19" t="n">
        <f aca="false">IF(A1234="",0,IF(COUNTIF(A$5:A1234,A1234)=1,1,0))</f>
        <v>0</v>
      </c>
    </row>
    <row r="1235" customFormat="false" ht="15" hidden="false" customHeight="false" outlineLevel="0" collapsed="false">
      <c r="A1235" s="12"/>
      <c r="B1235" s="13"/>
      <c r="C1235" s="14"/>
      <c r="D1235" s="14"/>
      <c r="E1235" s="15"/>
      <c r="F1235" s="16" t="str">
        <f aca="false">IF(OR(C1235="",D1235="",E1235=""),"",C1235*D1235*E1235)</f>
        <v/>
      </c>
      <c r="G1235" s="17" t="str">
        <f aca="false">IF(OR(D1235="",E1235=""),"",E1235*(1+D1235/30))</f>
        <v/>
      </c>
      <c r="H1235" s="19" t="n">
        <f aca="false">IF(G1235="",0,G1235)</f>
        <v>0</v>
      </c>
      <c r="I1235" s="18" t="str">
        <f aca="false">IF(H1235&gt;0,IF(H1235&gt;=SUMPRODUCT(MAX(($B$5:$B$2004=B1235)*$H$5:$H$2004)),"Rekor",""),"")</f>
        <v/>
      </c>
      <c r="J1235" s="19" t="n">
        <f aca="false">IF(A1235="",0,IF(COUNTIF(A$5:A1235,A1235)=1,1,0))</f>
        <v>0</v>
      </c>
    </row>
    <row r="1236" customFormat="false" ht="15" hidden="false" customHeight="false" outlineLevel="0" collapsed="false">
      <c r="A1236" s="12"/>
      <c r="B1236" s="13"/>
      <c r="C1236" s="14"/>
      <c r="D1236" s="14"/>
      <c r="E1236" s="15"/>
      <c r="F1236" s="16" t="str">
        <f aca="false">IF(OR(C1236="",D1236="",E1236=""),"",C1236*D1236*E1236)</f>
        <v/>
      </c>
      <c r="G1236" s="17" t="str">
        <f aca="false">IF(OR(D1236="",E1236=""),"",E1236*(1+D1236/30))</f>
        <v/>
      </c>
      <c r="H1236" s="19" t="n">
        <f aca="false">IF(G1236="",0,G1236)</f>
        <v>0</v>
      </c>
      <c r="I1236" s="18" t="str">
        <f aca="false">IF(H1236&gt;0,IF(H1236&gt;=SUMPRODUCT(MAX(($B$5:$B$2004=B1236)*$H$5:$H$2004)),"Rekor",""),"")</f>
        <v/>
      </c>
      <c r="J1236" s="19" t="n">
        <f aca="false">IF(A1236="",0,IF(COUNTIF(A$5:A1236,A1236)=1,1,0))</f>
        <v>0</v>
      </c>
    </row>
    <row r="1237" customFormat="false" ht="15" hidden="false" customHeight="false" outlineLevel="0" collapsed="false">
      <c r="A1237" s="12"/>
      <c r="B1237" s="13"/>
      <c r="C1237" s="14"/>
      <c r="D1237" s="14"/>
      <c r="E1237" s="15"/>
      <c r="F1237" s="16" t="str">
        <f aca="false">IF(OR(C1237="",D1237="",E1237=""),"",C1237*D1237*E1237)</f>
        <v/>
      </c>
      <c r="G1237" s="17" t="str">
        <f aca="false">IF(OR(D1237="",E1237=""),"",E1237*(1+D1237/30))</f>
        <v/>
      </c>
      <c r="H1237" s="19" t="n">
        <f aca="false">IF(G1237="",0,G1237)</f>
        <v>0</v>
      </c>
      <c r="I1237" s="18" t="str">
        <f aca="false">IF(H1237&gt;0,IF(H1237&gt;=SUMPRODUCT(MAX(($B$5:$B$2004=B1237)*$H$5:$H$2004)),"Rekor",""),"")</f>
        <v/>
      </c>
      <c r="J1237" s="19" t="n">
        <f aca="false">IF(A1237="",0,IF(COUNTIF(A$5:A1237,A1237)=1,1,0))</f>
        <v>0</v>
      </c>
    </row>
    <row r="1238" customFormat="false" ht="15" hidden="false" customHeight="false" outlineLevel="0" collapsed="false">
      <c r="A1238" s="12"/>
      <c r="B1238" s="13"/>
      <c r="C1238" s="14"/>
      <c r="D1238" s="14"/>
      <c r="E1238" s="15"/>
      <c r="F1238" s="16" t="str">
        <f aca="false">IF(OR(C1238="",D1238="",E1238=""),"",C1238*D1238*E1238)</f>
        <v/>
      </c>
      <c r="G1238" s="17" t="str">
        <f aca="false">IF(OR(D1238="",E1238=""),"",E1238*(1+D1238/30))</f>
        <v/>
      </c>
      <c r="H1238" s="19" t="n">
        <f aca="false">IF(G1238="",0,G1238)</f>
        <v>0</v>
      </c>
      <c r="I1238" s="18" t="str">
        <f aca="false">IF(H1238&gt;0,IF(H1238&gt;=SUMPRODUCT(MAX(($B$5:$B$2004=B1238)*$H$5:$H$2004)),"Rekor",""),"")</f>
        <v/>
      </c>
      <c r="J1238" s="19" t="n">
        <f aca="false">IF(A1238="",0,IF(COUNTIF(A$5:A1238,A1238)=1,1,0))</f>
        <v>0</v>
      </c>
    </row>
    <row r="1239" customFormat="false" ht="15" hidden="false" customHeight="false" outlineLevel="0" collapsed="false">
      <c r="A1239" s="12"/>
      <c r="B1239" s="13"/>
      <c r="C1239" s="14"/>
      <c r="D1239" s="14"/>
      <c r="E1239" s="15"/>
      <c r="F1239" s="16" t="str">
        <f aca="false">IF(OR(C1239="",D1239="",E1239=""),"",C1239*D1239*E1239)</f>
        <v/>
      </c>
      <c r="G1239" s="17" t="str">
        <f aca="false">IF(OR(D1239="",E1239=""),"",E1239*(1+D1239/30))</f>
        <v/>
      </c>
      <c r="H1239" s="19" t="n">
        <f aca="false">IF(G1239="",0,G1239)</f>
        <v>0</v>
      </c>
      <c r="I1239" s="18" t="str">
        <f aca="false">IF(H1239&gt;0,IF(H1239&gt;=SUMPRODUCT(MAX(($B$5:$B$2004=B1239)*$H$5:$H$2004)),"Rekor",""),"")</f>
        <v/>
      </c>
      <c r="J1239" s="19" t="n">
        <f aca="false">IF(A1239="",0,IF(COUNTIF(A$5:A1239,A1239)=1,1,0))</f>
        <v>0</v>
      </c>
    </row>
    <row r="1240" customFormat="false" ht="15" hidden="false" customHeight="false" outlineLevel="0" collapsed="false">
      <c r="A1240" s="12"/>
      <c r="B1240" s="13"/>
      <c r="C1240" s="14"/>
      <c r="D1240" s="14"/>
      <c r="E1240" s="15"/>
      <c r="F1240" s="16" t="str">
        <f aca="false">IF(OR(C1240="",D1240="",E1240=""),"",C1240*D1240*E1240)</f>
        <v/>
      </c>
      <c r="G1240" s="17" t="str">
        <f aca="false">IF(OR(D1240="",E1240=""),"",E1240*(1+D1240/30))</f>
        <v/>
      </c>
      <c r="H1240" s="19" t="n">
        <f aca="false">IF(G1240="",0,G1240)</f>
        <v>0</v>
      </c>
      <c r="I1240" s="18" t="str">
        <f aca="false">IF(H1240&gt;0,IF(H1240&gt;=SUMPRODUCT(MAX(($B$5:$B$2004=B1240)*$H$5:$H$2004)),"Rekor",""),"")</f>
        <v/>
      </c>
      <c r="J1240" s="19" t="n">
        <f aca="false">IF(A1240="",0,IF(COUNTIF(A$5:A1240,A1240)=1,1,0))</f>
        <v>0</v>
      </c>
    </row>
    <row r="1241" customFormat="false" ht="15" hidden="false" customHeight="false" outlineLevel="0" collapsed="false">
      <c r="A1241" s="12"/>
      <c r="B1241" s="13"/>
      <c r="C1241" s="14"/>
      <c r="D1241" s="14"/>
      <c r="E1241" s="15"/>
      <c r="F1241" s="16" t="str">
        <f aca="false">IF(OR(C1241="",D1241="",E1241=""),"",C1241*D1241*E1241)</f>
        <v/>
      </c>
      <c r="G1241" s="17" t="str">
        <f aca="false">IF(OR(D1241="",E1241=""),"",E1241*(1+D1241/30))</f>
        <v/>
      </c>
      <c r="H1241" s="19" t="n">
        <f aca="false">IF(G1241="",0,G1241)</f>
        <v>0</v>
      </c>
      <c r="I1241" s="18" t="str">
        <f aca="false">IF(H1241&gt;0,IF(H1241&gt;=SUMPRODUCT(MAX(($B$5:$B$2004=B1241)*$H$5:$H$2004)),"Rekor",""),"")</f>
        <v/>
      </c>
      <c r="J1241" s="19" t="n">
        <f aca="false">IF(A1241="",0,IF(COUNTIF(A$5:A1241,A1241)=1,1,0))</f>
        <v>0</v>
      </c>
    </row>
    <row r="1242" customFormat="false" ht="15" hidden="false" customHeight="false" outlineLevel="0" collapsed="false">
      <c r="A1242" s="12"/>
      <c r="B1242" s="13"/>
      <c r="C1242" s="14"/>
      <c r="D1242" s="14"/>
      <c r="E1242" s="15"/>
      <c r="F1242" s="16" t="str">
        <f aca="false">IF(OR(C1242="",D1242="",E1242=""),"",C1242*D1242*E1242)</f>
        <v/>
      </c>
      <c r="G1242" s="17" t="str">
        <f aca="false">IF(OR(D1242="",E1242=""),"",E1242*(1+D1242/30))</f>
        <v/>
      </c>
      <c r="H1242" s="19" t="n">
        <f aca="false">IF(G1242="",0,G1242)</f>
        <v>0</v>
      </c>
      <c r="I1242" s="18" t="str">
        <f aca="false">IF(H1242&gt;0,IF(H1242&gt;=SUMPRODUCT(MAX(($B$5:$B$2004=B1242)*$H$5:$H$2004)),"Rekor",""),"")</f>
        <v/>
      </c>
      <c r="J1242" s="19" t="n">
        <f aca="false">IF(A1242="",0,IF(COUNTIF(A$5:A1242,A1242)=1,1,0))</f>
        <v>0</v>
      </c>
    </row>
    <row r="1243" customFormat="false" ht="15" hidden="false" customHeight="false" outlineLevel="0" collapsed="false">
      <c r="A1243" s="12"/>
      <c r="B1243" s="13"/>
      <c r="C1243" s="14"/>
      <c r="D1243" s="14"/>
      <c r="E1243" s="15"/>
      <c r="F1243" s="16" t="str">
        <f aca="false">IF(OR(C1243="",D1243="",E1243=""),"",C1243*D1243*E1243)</f>
        <v/>
      </c>
      <c r="G1243" s="17" t="str">
        <f aca="false">IF(OR(D1243="",E1243=""),"",E1243*(1+D1243/30))</f>
        <v/>
      </c>
      <c r="H1243" s="19" t="n">
        <f aca="false">IF(G1243="",0,G1243)</f>
        <v>0</v>
      </c>
      <c r="I1243" s="18" t="str">
        <f aca="false">IF(H1243&gt;0,IF(H1243&gt;=SUMPRODUCT(MAX(($B$5:$B$2004=B1243)*$H$5:$H$2004)),"Rekor",""),"")</f>
        <v/>
      </c>
      <c r="J1243" s="19" t="n">
        <f aca="false">IF(A1243="",0,IF(COUNTIF(A$5:A1243,A1243)=1,1,0))</f>
        <v>0</v>
      </c>
    </row>
    <row r="1244" customFormat="false" ht="15" hidden="false" customHeight="false" outlineLevel="0" collapsed="false">
      <c r="A1244" s="12"/>
      <c r="B1244" s="13"/>
      <c r="C1244" s="14"/>
      <c r="D1244" s="14"/>
      <c r="E1244" s="15"/>
      <c r="F1244" s="16" t="str">
        <f aca="false">IF(OR(C1244="",D1244="",E1244=""),"",C1244*D1244*E1244)</f>
        <v/>
      </c>
      <c r="G1244" s="17" t="str">
        <f aca="false">IF(OR(D1244="",E1244=""),"",E1244*(1+D1244/30))</f>
        <v/>
      </c>
      <c r="H1244" s="19" t="n">
        <f aca="false">IF(G1244="",0,G1244)</f>
        <v>0</v>
      </c>
      <c r="I1244" s="18" t="str">
        <f aca="false">IF(H1244&gt;0,IF(H1244&gt;=SUMPRODUCT(MAX(($B$5:$B$2004=B1244)*$H$5:$H$2004)),"Rekor",""),"")</f>
        <v/>
      </c>
      <c r="J1244" s="19" t="n">
        <f aca="false">IF(A1244="",0,IF(COUNTIF(A$5:A1244,A1244)=1,1,0))</f>
        <v>0</v>
      </c>
    </row>
    <row r="1245" customFormat="false" ht="15" hidden="false" customHeight="false" outlineLevel="0" collapsed="false">
      <c r="A1245" s="12"/>
      <c r="B1245" s="13"/>
      <c r="C1245" s="14"/>
      <c r="D1245" s="14"/>
      <c r="E1245" s="15"/>
      <c r="F1245" s="16" t="str">
        <f aca="false">IF(OR(C1245="",D1245="",E1245=""),"",C1245*D1245*E1245)</f>
        <v/>
      </c>
      <c r="G1245" s="17" t="str">
        <f aca="false">IF(OR(D1245="",E1245=""),"",E1245*(1+D1245/30))</f>
        <v/>
      </c>
      <c r="H1245" s="19" t="n">
        <f aca="false">IF(G1245="",0,G1245)</f>
        <v>0</v>
      </c>
      <c r="I1245" s="18" t="str">
        <f aca="false">IF(H1245&gt;0,IF(H1245&gt;=SUMPRODUCT(MAX(($B$5:$B$2004=B1245)*$H$5:$H$2004)),"Rekor",""),"")</f>
        <v/>
      </c>
      <c r="J1245" s="19" t="n">
        <f aca="false">IF(A1245="",0,IF(COUNTIF(A$5:A1245,A1245)=1,1,0))</f>
        <v>0</v>
      </c>
    </row>
    <row r="1246" customFormat="false" ht="15" hidden="false" customHeight="false" outlineLevel="0" collapsed="false">
      <c r="A1246" s="12"/>
      <c r="B1246" s="13"/>
      <c r="C1246" s="14"/>
      <c r="D1246" s="14"/>
      <c r="E1246" s="15"/>
      <c r="F1246" s="16" t="str">
        <f aca="false">IF(OR(C1246="",D1246="",E1246=""),"",C1246*D1246*E1246)</f>
        <v/>
      </c>
      <c r="G1246" s="17" t="str">
        <f aca="false">IF(OR(D1246="",E1246=""),"",E1246*(1+D1246/30))</f>
        <v/>
      </c>
      <c r="H1246" s="19" t="n">
        <f aca="false">IF(G1246="",0,G1246)</f>
        <v>0</v>
      </c>
      <c r="I1246" s="18" t="str">
        <f aca="false">IF(H1246&gt;0,IF(H1246&gt;=SUMPRODUCT(MAX(($B$5:$B$2004=B1246)*$H$5:$H$2004)),"Rekor",""),"")</f>
        <v/>
      </c>
      <c r="J1246" s="19" t="n">
        <f aca="false">IF(A1246="",0,IF(COUNTIF(A$5:A1246,A1246)=1,1,0))</f>
        <v>0</v>
      </c>
    </row>
    <row r="1247" customFormat="false" ht="15" hidden="false" customHeight="false" outlineLevel="0" collapsed="false">
      <c r="A1247" s="12"/>
      <c r="B1247" s="13"/>
      <c r="C1247" s="14"/>
      <c r="D1247" s="14"/>
      <c r="E1247" s="15"/>
      <c r="F1247" s="16" t="str">
        <f aca="false">IF(OR(C1247="",D1247="",E1247=""),"",C1247*D1247*E1247)</f>
        <v/>
      </c>
      <c r="G1247" s="17" t="str">
        <f aca="false">IF(OR(D1247="",E1247=""),"",E1247*(1+D1247/30))</f>
        <v/>
      </c>
      <c r="H1247" s="19" t="n">
        <f aca="false">IF(G1247="",0,G1247)</f>
        <v>0</v>
      </c>
      <c r="I1247" s="18" t="str">
        <f aca="false">IF(H1247&gt;0,IF(H1247&gt;=SUMPRODUCT(MAX(($B$5:$B$2004=B1247)*$H$5:$H$2004)),"Rekor",""),"")</f>
        <v/>
      </c>
      <c r="J1247" s="19" t="n">
        <f aca="false">IF(A1247="",0,IF(COUNTIF(A$5:A1247,A1247)=1,1,0))</f>
        <v>0</v>
      </c>
    </row>
    <row r="1248" customFormat="false" ht="15" hidden="false" customHeight="false" outlineLevel="0" collapsed="false">
      <c r="A1248" s="12"/>
      <c r="B1248" s="13"/>
      <c r="C1248" s="14"/>
      <c r="D1248" s="14"/>
      <c r="E1248" s="15"/>
      <c r="F1248" s="16" t="str">
        <f aca="false">IF(OR(C1248="",D1248="",E1248=""),"",C1248*D1248*E1248)</f>
        <v/>
      </c>
      <c r="G1248" s="17" t="str">
        <f aca="false">IF(OR(D1248="",E1248=""),"",E1248*(1+D1248/30))</f>
        <v/>
      </c>
      <c r="H1248" s="19" t="n">
        <f aca="false">IF(G1248="",0,G1248)</f>
        <v>0</v>
      </c>
      <c r="I1248" s="18" t="str">
        <f aca="false">IF(H1248&gt;0,IF(H1248&gt;=SUMPRODUCT(MAX(($B$5:$B$2004=B1248)*$H$5:$H$2004)),"Rekor",""),"")</f>
        <v/>
      </c>
      <c r="J1248" s="19" t="n">
        <f aca="false">IF(A1248="",0,IF(COUNTIF(A$5:A1248,A1248)=1,1,0))</f>
        <v>0</v>
      </c>
    </row>
    <row r="1249" customFormat="false" ht="15" hidden="false" customHeight="false" outlineLevel="0" collapsed="false">
      <c r="A1249" s="12"/>
      <c r="B1249" s="13"/>
      <c r="C1249" s="14"/>
      <c r="D1249" s="14"/>
      <c r="E1249" s="15"/>
      <c r="F1249" s="16" t="str">
        <f aca="false">IF(OR(C1249="",D1249="",E1249=""),"",C1249*D1249*E1249)</f>
        <v/>
      </c>
      <c r="G1249" s="17" t="str">
        <f aca="false">IF(OR(D1249="",E1249=""),"",E1249*(1+D1249/30))</f>
        <v/>
      </c>
      <c r="H1249" s="19" t="n">
        <f aca="false">IF(G1249="",0,G1249)</f>
        <v>0</v>
      </c>
      <c r="I1249" s="18" t="str">
        <f aca="false">IF(H1249&gt;0,IF(H1249&gt;=SUMPRODUCT(MAX(($B$5:$B$2004=B1249)*$H$5:$H$2004)),"Rekor",""),"")</f>
        <v/>
      </c>
      <c r="J1249" s="19" t="n">
        <f aca="false">IF(A1249="",0,IF(COUNTIF(A$5:A1249,A1249)=1,1,0))</f>
        <v>0</v>
      </c>
    </row>
    <row r="1250" customFormat="false" ht="15" hidden="false" customHeight="false" outlineLevel="0" collapsed="false">
      <c r="A1250" s="12"/>
      <c r="B1250" s="13"/>
      <c r="C1250" s="14"/>
      <c r="D1250" s="14"/>
      <c r="E1250" s="15"/>
      <c r="F1250" s="16" t="str">
        <f aca="false">IF(OR(C1250="",D1250="",E1250=""),"",C1250*D1250*E1250)</f>
        <v/>
      </c>
      <c r="G1250" s="17" t="str">
        <f aca="false">IF(OR(D1250="",E1250=""),"",E1250*(1+D1250/30))</f>
        <v/>
      </c>
      <c r="H1250" s="19" t="n">
        <f aca="false">IF(G1250="",0,G1250)</f>
        <v>0</v>
      </c>
      <c r="I1250" s="18" t="str">
        <f aca="false">IF(H1250&gt;0,IF(H1250&gt;=SUMPRODUCT(MAX(($B$5:$B$2004=B1250)*$H$5:$H$2004)),"Rekor",""),"")</f>
        <v/>
      </c>
      <c r="J1250" s="19" t="n">
        <f aca="false">IF(A1250="",0,IF(COUNTIF(A$5:A1250,A1250)=1,1,0))</f>
        <v>0</v>
      </c>
    </row>
    <row r="1251" customFormat="false" ht="15" hidden="false" customHeight="false" outlineLevel="0" collapsed="false">
      <c r="A1251" s="12"/>
      <c r="B1251" s="13"/>
      <c r="C1251" s="14"/>
      <c r="D1251" s="14"/>
      <c r="E1251" s="15"/>
      <c r="F1251" s="16" t="str">
        <f aca="false">IF(OR(C1251="",D1251="",E1251=""),"",C1251*D1251*E1251)</f>
        <v/>
      </c>
      <c r="G1251" s="17" t="str">
        <f aca="false">IF(OR(D1251="",E1251=""),"",E1251*(1+D1251/30))</f>
        <v/>
      </c>
      <c r="H1251" s="19" t="n">
        <f aca="false">IF(G1251="",0,G1251)</f>
        <v>0</v>
      </c>
      <c r="I1251" s="18" t="str">
        <f aca="false">IF(H1251&gt;0,IF(H1251&gt;=SUMPRODUCT(MAX(($B$5:$B$2004=B1251)*$H$5:$H$2004)),"Rekor",""),"")</f>
        <v/>
      </c>
      <c r="J1251" s="19" t="n">
        <f aca="false">IF(A1251="",0,IF(COUNTIF(A$5:A1251,A1251)=1,1,0))</f>
        <v>0</v>
      </c>
    </row>
    <row r="1252" customFormat="false" ht="15" hidden="false" customHeight="false" outlineLevel="0" collapsed="false">
      <c r="A1252" s="12"/>
      <c r="B1252" s="13"/>
      <c r="C1252" s="14"/>
      <c r="D1252" s="14"/>
      <c r="E1252" s="15"/>
      <c r="F1252" s="16" t="str">
        <f aca="false">IF(OR(C1252="",D1252="",E1252=""),"",C1252*D1252*E1252)</f>
        <v/>
      </c>
      <c r="G1252" s="17" t="str">
        <f aca="false">IF(OR(D1252="",E1252=""),"",E1252*(1+D1252/30))</f>
        <v/>
      </c>
      <c r="H1252" s="19" t="n">
        <f aca="false">IF(G1252="",0,G1252)</f>
        <v>0</v>
      </c>
      <c r="I1252" s="18" t="str">
        <f aca="false">IF(H1252&gt;0,IF(H1252&gt;=SUMPRODUCT(MAX(($B$5:$B$2004=B1252)*$H$5:$H$2004)),"Rekor",""),"")</f>
        <v/>
      </c>
      <c r="J1252" s="19" t="n">
        <f aca="false">IF(A1252="",0,IF(COUNTIF(A$5:A1252,A1252)=1,1,0))</f>
        <v>0</v>
      </c>
    </row>
    <row r="1253" customFormat="false" ht="15" hidden="false" customHeight="false" outlineLevel="0" collapsed="false">
      <c r="A1253" s="12"/>
      <c r="B1253" s="13"/>
      <c r="C1253" s="14"/>
      <c r="D1253" s="14"/>
      <c r="E1253" s="15"/>
      <c r="F1253" s="16" t="str">
        <f aca="false">IF(OR(C1253="",D1253="",E1253=""),"",C1253*D1253*E1253)</f>
        <v/>
      </c>
      <c r="G1253" s="17" t="str">
        <f aca="false">IF(OR(D1253="",E1253=""),"",E1253*(1+D1253/30))</f>
        <v/>
      </c>
      <c r="H1253" s="19" t="n">
        <f aca="false">IF(G1253="",0,G1253)</f>
        <v>0</v>
      </c>
      <c r="I1253" s="18" t="str">
        <f aca="false">IF(H1253&gt;0,IF(H1253&gt;=SUMPRODUCT(MAX(($B$5:$B$2004=B1253)*$H$5:$H$2004)),"Rekor",""),"")</f>
        <v/>
      </c>
      <c r="J1253" s="19" t="n">
        <f aca="false">IF(A1253="",0,IF(COUNTIF(A$5:A1253,A1253)=1,1,0))</f>
        <v>0</v>
      </c>
    </row>
    <row r="1254" customFormat="false" ht="15" hidden="false" customHeight="false" outlineLevel="0" collapsed="false">
      <c r="A1254" s="12"/>
      <c r="B1254" s="13"/>
      <c r="C1254" s="14"/>
      <c r="D1254" s="14"/>
      <c r="E1254" s="15"/>
      <c r="F1254" s="16" t="str">
        <f aca="false">IF(OR(C1254="",D1254="",E1254=""),"",C1254*D1254*E1254)</f>
        <v/>
      </c>
      <c r="G1254" s="17" t="str">
        <f aca="false">IF(OR(D1254="",E1254=""),"",E1254*(1+D1254/30))</f>
        <v/>
      </c>
      <c r="H1254" s="19" t="n">
        <f aca="false">IF(G1254="",0,G1254)</f>
        <v>0</v>
      </c>
      <c r="I1254" s="18" t="str">
        <f aca="false">IF(H1254&gt;0,IF(H1254&gt;=SUMPRODUCT(MAX(($B$5:$B$2004=B1254)*$H$5:$H$2004)),"Rekor",""),"")</f>
        <v/>
      </c>
      <c r="J1254" s="19" t="n">
        <f aca="false">IF(A1254="",0,IF(COUNTIF(A$5:A1254,A1254)=1,1,0))</f>
        <v>0</v>
      </c>
    </row>
    <row r="1255" customFormat="false" ht="15" hidden="false" customHeight="false" outlineLevel="0" collapsed="false">
      <c r="A1255" s="12"/>
      <c r="B1255" s="13"/>
      <c r="C1255" s="14"/>
      <c r="D1255" s="14"/>
      <c r="E1255" s="15"/>
      <c r="F1255" s="16" t="str">
        <f aca="false">IF(OR(C1255="",D1255="",E1255=""),"",C1255*D1255*E1255)</f>
        <v/>
      </c>
      <c r="G1255" s="17" t="str">
        <f aca="false">IF(OR(D1255="",E1255=""),"",E1255*(1+D1255/30))</f>
        <v/>
      </c>
      <c r="H1255" s="19" t="n">
        <f aca="false">IF(G1255="",0,G1255)</f>
        <v>0</v>
      </c>
      <c r="I1255" s="18" t="str">
        <f aca="false">IF(H1255&gt;0,IF(H1255&gt;=SUMPRODUCT(MAX(($B$5:$B$2004=B1255)*$H$5:$H$2004)),"Rekor",""),"")</f>
        <v/>
      </c>
      <c r="J1255" s="19" t="n">
        <f aca="false">IF(A1255="",0,IF(COUNTIF(A$5:A1255,A1255)=1,1,0))</f>
        <v>0</v>
      </c>
    </row>
    <row r="1256" customFormat="false" ht="15" hidden="false" customHeight="false" outlineLevel="0" collapsed="false">
      <c r="A1256" s="12"/>
      <c r="B1256" s="13"/>
      <c r="C1256" s="14"/>
      <c r="D1256" s="14"/>
      <c r="E1256" s="15"/>
      <c r="F1256" s="16" t="str">
        <f aca="false">IF(OR(C1256="",D1256="",E1256=""),"",C1256*D1256*E1256)</f>
        <v/>
      </c>
      <c r="G1256" s="17" t="str">
        <f aca="false">IF(OR(D1256="",E1256=""),"",E1256*(1+D1256/30))</f>
        <v/>
      </c>
      <c r="H1256" s="19" t="n">
        <f aca="false">IF(G1256="",0,G1256)</f>
        <v>0</v>
      </c>
      <c r="I1256" s="18" t="str">
        <f aca="false">IF(H1256&gt;0,IF(H1256&gt;=SUMPRODUCT(MAX(($B$5:$B$2004=B1256)*$H$5:$H$2004)),"Rekor",""),"")</f>
        <v/>
      </c>
      <c r="J1256" s="19" t="n">
        <f aca="false">IF(A1256="",0,IF(COUNTIF(A$5:A1256,A1256)=1,1,0))</f>
        <v>0</v>
      </c>
    </row>
    <row r="1257" customFormat="false" ht="15" hidden="false" customHeight="false" outlineLevel="0" collapsed="false">
      <c r="A1257" s="12"/>
      <c r="B1257" s="13"/>
      <c r="C1257" s="14"/>
      <c r="D1257" s="14"/>
      <c r="E1257" s="15"/>
      <c r="F1257" s="16" t="str">
        <f aca="false">IF(OR(C1257="",D1257="",E1257=""),"",C1257*D1257*E1257)</f>
        <v/>
      </c>
      <c r="G1257" s="17" t="str">
        <f aca="false">IF(OR(D1257="",E1257=""),"",E1257*(1+D1257/30))</f>
        <v/>
      </c>
      <c r="H1257" s="19" t="n">
        <f aca="false">IF(G1257="",0,G1257)</f>
        <v>0</v>
      </c>
      <c r="I1257" s="18" t="str">
        <f aca="false">IF(H1257&gt;0,IF(H1257&gt;=SUMPRODUCT(MAX(($B$5:$B$2004=B1257)*$H$5:$H$2004)),"Rekor",""),"")</f>
        <v/>
      </c>
      <c r="J1257" s="19" t="n">
        <f aca="false">IF(A1257="",0,IF(COUNTIF(A$5:A1257,A1257)=1,1,0))</f>
        <v>0</v>
      </c>
    </row>
    <row r="1258" customFormat="false" ht="15" hidden="false" customHeight="false" outlineLevel="0" collapsed="false">
      <c r="A1258" s="12"/>
      <c r="B1258" s="13"/>
      <c r="C1258" s="14"/>
      <c r="D1258" s="14"/>
      <c r="E1258" s="15"/>
      <c r="F1258" s="16" t="str">
        <f aca="false">IF(OR(C1258="",D1258="",E1258=""),"",C1258*D1258*E1258)</f>
        <v/>
      </c>
      <c r="G1258" s="17" t="str">
        <f aca="false">IF(OR(D1258="",E1258=""),"",E1258*(1+D1258/30))</f>
        <v/>
      </c>
      <c r="H1258" s="19" t="n">
        <f aca="false">IF(G1258="",0,G1258)</f>
        <v>0</v>
      </c>
      <c r="I1258" s="18" t="str">
        <f aca="false">IF(H1258&gt;0,IF(H1258&gt;=SUMPRODUCT(MAX(($B$5:$B$2004=B1258)*$H$5:$H$2004)),"Rekor",""),"")</f>
        <v/>
      </c>
      <c r="J1258" s="19" t="n">
        <f aca="false">IF(A1258="",0,IF(COUNTIF(A$5:A1258,A1258)=1,1,0))</f>
        <v>0</v>
      </c>
    </row>
    <row r="1259" customFormat="false" ht="15" hidden="false" customHeight="false" outlineLevel="0" collapsed="false">
      <c r="A1259" s="12"/>
      <c r="B1259" s="13"/>
      <c r="C1259" s="14"/>
      <c r="D1259" s="14"/>
      <c r="E1259" s="15"/>
      <c r="F1259" s="16" t="str">
        <f aca="false">IF(OR(C1259="",D1259="",E1259=""),"",C1259*D1259*E1259)</f>
        <v/>
      </c>
      <c r="G1259" s="17" t="str">
        <f aca="false">IF(OR(D1259="",E1259=""),"",E1259*(1+D1259/30))</f>
        <v/>
      </c>
      <c r="H1259" s="19" t="n">
        <f aca="false">IF(G1259="",0,G1259)</f>
        <v>0</v>
      </c>
      <c r="I1259" s="18" t="str">
        <f aca="false">IF(H1259&gt;0,IF(H1259&gt;=SUMPRODUCT(MAX(($B$5:$B$2004=B1259)*$H$5:$H$2004)),"Rekor",""),"")</f>
        <v/>
      </c>
      <c r="J1259" s="19" t="n">
        <f aca="false">IF(A1259="",0,IF(COUNTIF(A$5:A1259,A1259)=1,1,0))</f>
        <v>0</v>
      </c>
    </row>
    <row r="1260" customFormat="false" ht="15" hidden="false" customHeight="false" outlineLevel="0" collapsed="false">
      <c r="A1260" s="12"/>
      <c r="B1260" s="13"/>
      <c r="C1260" s="14"/>
      <c r="D1260" s="14"/>
      <c r="E1260" s="15"/>
      <c r="F1260" s="16" t="str">
        <f aca="false">IF(OR(C1260="",D1260="",E1260=""),"",C1260*D1260*E1260)</f>
        <v/>
      </c>
      <c r="G1260" s="17" t="str">
        <f aca="false">IF(OR(D1260="",E1260=""),"",E1260*(1+D1260/30))</f>
        <v/>
      </c>
      <c r="H1260" s="19" t="n">
        <f aca="false">IF(G1260="",0,G1260)</f>
        <v>0</v>
      </c>
      <c r="I1260" s="18" t="str">
        <f aca="false">IF(H1260&gt;0,IF(H1260&gt;=SUMPRODUCT(MAX(($B$5:$B$2004=B1260)*$H$5:$H$2004)),"Rekor",""),"")</f>
        <v/>
      </c>
      <c r="J1260" s="19" t="n">
        <f aca="false">IF(A1260="",0,IF(COUNTIF(A$5:A1260,A1260)=1,1,0))</f>
        <v>0</v>
      </c>
    </row>
    <row r="1261" customFormat="false" ht="15" hidden="false" customHeight="false" outlineLevel="0" collapsed="false">
      <c r="A1261" s="12"/>
      <c r="B1261" s="13"/>
      <c r="C1261" s="14"/>
      <c r="D1261" s="14"/>
      <c r="E1261" s="15"/>
      <c r="F1261" s="16" t="str">
        <f aca="false">IF(OR(C1261="",D1261="",E1261=""),"",C1261*D1261*E1261)</f>
        <v/>
      </c>
      <c r="G1261" s="17" t="str">
        <f aca="false">IF(OR(D1261="",E1261=""),"",E1261*(1+D1261/30))</f>
        <v/>
      </c>
      <c r="H1261" s="19" t="n">
        <f aca="false">IF(G1261="",0,G1261)</f>
        <v>0</v>
      </c>
      <c r="I1261" s="18" t="str">
        <f aca="false">IF(H1261&gt;0,IF(H1261&gt;=SUMPRODUCT(MAX(($B$5:$B$2004=B1261)*$H$5:$H$2004)),"Rekor",""),"")</f>
        <v/>
      </c>
      <c r="J1261" s="19" t="n">
        <f aca="false">IF(A1261="",0,IF(COUNTIF(A$5:A1261,A1261)=1,1,0))</f>
        <v>0</v>
      </c>
    </row>
    <row r="1262" customFormat="false" ht="15" hidden="false" customHeight="false" outlineLevel="0" collapsed="false">
      <c r="A1262" s="12"/>
      <c r="B1262" s="13"/>
      <c r="C1262" s="14"/>
      <c r="D1262" s="14"/>
      <c r="E1262" s="15"/>
      <c r="F1262" s="16" t="str">
        <f aca="false">IF(OR(C1262="",D1262="",E1262=""),"",C1262*D1262*E1262)</f>
        <v/>
      </c>
      <c r="G1262" s="17" t="str">
        <f aca="false">IF(OR(D1262="",E1262=""),"",E1262*(1+D1262/30))</f>
        <v/>
      </c>
      <c r="H1262" s="19" t="n">
        <f aca="false">IF(G1262="",0,G1262)</f>
        <v>0</v>
      </c>
      <c r="I1262" s="18" t="str">
        <f aca="false">IF(H1262&gt;0,IF(H1262&gt;=SUMPRODUCT(MAX(($B$5:$B$2004=B1262)*$H$5:$H$2004)),"Rekor",""),"")</f>
        <v/>
      </c>
      <c r="J1262" s="19" t="n">
        <f aca="false">IF(A1262="",0,IF(COUNTIF(A$5:A1262,A1262)=1,1,0))</f>
        <v>0</v>
      </c>
    </row>
    <row r="1263" customFormat="false" ht="15" hidden="false" customHeight="false" outlineLevel="0" collapsed="false">
      <c r="A1263" s="12"/>
      <c r="B1263" s="13"/>
      <c r="C1263" s="14"/>
      <c r="D1263" s="14"/>
      <c r="E1263" s="15"/>
      <c r="F1263" s="16" t="str">
        <f aca="false">IF(OR(C1263="",D1263="",E1263=""),"",C1263*D1263*E1263)</f>
        <v/>
      </c>
      <c r="G1263" s="17" t="str">
        <f aca="false">IF(OR(D1263="",E1263=""),"",E1263*(1+D1263/30))</f>
        <v/>
      </c>
      <c r="H1263" s="19" t="n">
        <f aca="false">IF(G1263="",0,G1263)</f>
        <v>0</v>
      </c>
      <c r="I1263" s="18" t="str">
        <f aca="false">IF(H1263&gt;0,IF(H1263&gt;=SUMPRODUCT(MAX(($B$5:$B$2004=B1263)*$H$5:$H$2004)),"Rekor",""),"")</f>
        <v/>
      </c>
      <c r="J1263" s="19" t="n">
        <f aca="false">IF(A1263="",0,IF(COUNTIF(A$5:A1263,A1263)=1,1,0))</f>
        <v>0</v>
      </c>
    </row>
    <row r="1264" customFormat="false" ht="15" hidden="false" customHeight="false" outlineLevel="0" collapsed="false">
      <c r="A1264" s="12"/>
      <c r="B1264" s="13"/>
      <c r="C1264" s="14"/>
      <c r="D1264" s="14"/>
      <c r="E1264" s="15"/>
      <c r="F1264" s="16" t="str">
        <f aca="false">IF(OR(C1264="",D1264="",E1264=""),"",C1264*D1264*E1264)</f>
        <v/>
      </c>
      <c r="G1264" s="17" t="str">
        <f aca="false">IF(OR(D1264="",E1264=""),"",E1264*(1+D1264/30))</f>
        <v/>
      </c>
      <c r="H1264" s="19" t="n">
        <f aca="false">IF(G1264="",0,G1264)</f>
        <v>0</v>
      </c>
      <c r="I1264" s="18" t="str">
        <f aca="false">IF(H1264&gt;0,IF(H1264&gt;=SUMPRODUCT(MAX(($B$5:$B$2004=B1264)*$H$5:$H$2004)),"Rekor",""),"")</f>
        <v/>
      </c>
      <c r="J1264" s="19" t="n">
        <f aca="false">IF(A1264="",0,IF(COUNTIF(A$5:A1264,A1264)=1,1,0))</f>
        <v>0</v>
      </c>
    </row>
    <row r="1265" customFormat="false" ht="15" hidden="false" customHeight="false" outlineLevel="0" collapsed="false">
      <c r="A1265" s="12"/>
      <c r="B1265" s="13"/>
      <c r="C1265" s="14"/>
      <c r="D1265" s="14"/>
      <c r="E1265" s="15"/>
      <c r="F1265" s="16" t="str">
        <f aca="false">IF(OR(C1265="",D1265="",E1265=""),"",C1265*D1265*E1265)</f>
        <v/>
      </c>
      <c r="G1265" s="17" t="str">
        <f aca="false">IF(OR(D1265="",E1265=""),"",E1265*(1+D1265/30))</f>
        <v/>
      </c>
      <c r="H1265" s="19" t="n">
        <f aca="false">IF(G1265="",0,G1265)</f>
        <v>0</v>
      </c>
      <c r="I1265" s="18" t="str">
        <f aca="false">IF(H1265&gt;0,IF(H1265&gt;=SUMPRODUCT(MAX(($B$5:$B$2004=B1265)*$H$5:$H$2004)),"Rekor",""),"")</f>
        <v/>
      </c>
      <c r="J1265" s="19" t="n">
        <f aca="false">IF(A1265="",0,IF(COUNTIF(A$5:A1265,A1265)=1,1,0))</f>
        <v>0</v>
      </c>
    </row>
    <row r="1266" customFormat="false" ht="15" hidden="false" customHeight="false" outlineLevel="0" collapsed="false">
      <c r="A1266" s="12"/>
      <c r="B1266" s="13"/>
      <c r="C1266" s="14"/>
      <c r="D1266" s="14"/>
      <c r="E1266" s="15"/>
      <c r="F1266" s="16" t="str">
        <f aca="false">IF(OR(C1266="",D1266="",E1266=""),"",C1266*D1266*E1266)</f>
        <v/>
      </c>
      <c r="G1266" s="17" t="str">
        <f aca="false">IF(OR(D1266="",E1266=""),"",E1266*(1+D1266/30))</f>
        <v/>
      </c>
      <c r="H1266" s="19" t="n">
        <f aca="false">IF(G1266="",0,G1266)</f>
        <v>0</v>
      </c>
      <c r="I1266" s="18" t="str">
        <f aca="false">IF(H1266&gt;0,IF(H1266&gt;=SUMPRODUCT(MAX(($B$5:$B$2004=B1266)*$H$5:$H$2004)),"Rekor",""),"")</f>
        <v/>
      </c>
      <c r="J1266" s="19" t="n">
        <f aca="false">IF(A1266="",0,IF(COUNTIF(A$5:A1266,A1266)=1,1,0))</f>
        <v>0</v>
      </c>
    </row>
    <row r="1267" customFormat="false" ht="15" hidden="false" customHeight="false" outlineLevel="0" collapsed="false">
      <c r="A1267" s="12"/>
      <c r="B1267" s="13"/>
      <c r="C1267" s="14"/>
      <c r="D1267" s="14"/>
      <c r="E1267" s="15"/>
      <c r="F1267" s="16" t="str">
        <f aca="false">IF(OR(C1267="",D1267="",E1267=""),"",C1267*D1267*E1267)</f>
        <v/>
      </c>
      <c r="G1267" s="17" t="str">
        <f aca="false">IF(OR(D1267="",E1267=""),"",E1267*(1+D1267/30))</f>
        <v/>
      </c>
      <c r="H1267" s="19" t="n">
        <f aca="false">IF(G1267="",0,G1267)</f>
        <v>0</v>
      </c>
      <c r="I1267" s="18" t="str">
        <f aca="false">IF(H1267&gt;0,IF(H1267&gt;=SUMPRODUCT(MAX(($B$5:$B$2004=B1267)*$H$5:$H$2004)),"Rekor",""),"")</f>
        <v/>
      </c>
      <c r="J1267" s="19" t="n">
        <f aca="false">IF(A1267="",0,IF(COUNTIF(A$5:A1267,A1267)=1,1,0))</f>
        <v>0</v>
      </c>
    </row>
    <row r="1268" customFormat="false" ht="15" hidden="false" customHeight="false" outlineLevel="0" collapsed="false">
      <c r="A1268" s="12"/>
      <c r="B1268" s="13"/>
      <c r="C1268" s="14"/>
      <c r="D1268" s="14"/>
      <c r="E1268" s="15"/>
      <c r="F1268" s="16" t="str">
        <f aca="false">IF(OR(C1268="",D1268="",E1268=""),"",C1268*D1268*E1268)</f>
        <v/>
      </c>
      <c r="G1268" s="17" t="str">
        <f aca="false">IF(OR(D1268="",E1268=""),"",E1268*(1+D1268/30))</f>
        <v/>
      </c>
      <c r="H1268" s="19" t="n">
        <f aca="false">IF(G1268="",0,G1268)</f>
        <v>0</v>
      </c>
      <c r="I1268" s="18" t="str">
        <f aca="false">IF(H1268&gt;0,IF(H1268&gt;=SUMPRODUCT(MAX(($B$5:$B$2004=B1268)*$H$5:$H$2004)),"Rekor",""),"")</f>
        <v/>
      </c>
      <c r="J1268" s="19" t="n">
        <f aca="false">IF(A1268="",0,IF(COUNTIF(A$5:A1268,A1268)=1,1,0))</f>
        <v>0</v>
      </c>
    </row>
    <row r="1269" customFormat="false" ht="15" hidden="false" customHeight="false" outlineLevel="0" collapsed="false">
      <c r="A1269" s="12"/>
      <c r="B1269" s="13"/>
      <c r="C1269" s="14"/>
      <c r="D1269" s="14"/>
      <c r="E1269" s="15"/>
      <c r="F1269" s="16" t="str">
        <f aca="false">IF(OR(C1269="",D1269="",E1269=""),"",C1269*D1269*E1269)</f>
        <v/>
      </c>
      <c r="G1269" s="17" t="str">
        <f aca="false">IF(OR(D1269="",E1269=""),"",E1269*(1+D1269/30))</f>
        <v/>
      </c>
      <c r="H1269" s="19" t="n">
        <f aca="false">IF(G1269="",0,G1269)</f>
        <v>0</v>
      </c>
      <c r="I1269" s="18" t="str">
        <f aca="false">IF(H1269&gt;0,IF(H1269&gt;=SUMPRODUCT(MAX(($B$5:$B$2004=B1269)*$H$5:$H$2004)),"Rekor",""),"")</f>
        <v/>
      </c>
      <c r="J1269" s="19" t="n">
        <f aca="false">IF(A1269="",0,IF(COUNTIF(A$5:A1269,A1269)=1,1,0))</f>
        <v>0</v>
      </c>
    </row>
    <row r="1270" customFormat="false" ht="15" hidden="false" customHeight="false" outlineLevel="0" collapsed="false">
      <c r="A1270" s="12"/>
      <c r="B1270" s="13"/>
      <c r="C1270" s="14"/>
      <c r="D1270" s="14"/>
      <c r="E1270" s="15"/>
      <c r="F1270" s="16" t="str">
        <f aca="false">IF(OR(C1270="",D1270="",E1270=""),"",C1270*D1270*E1270)</f>
        <v/>
      </c>
      <c r="G1270" s="17" t="str">
        <f aca="false">IF(OR(D1270="",E1270=""),"",E1270*(1+D1270/30))</f>
        <v/>
      </c>
      <c r="H1270" s="19" t="n">
        <f aca="false">IF(G1270="",0,G1270)</f>
        <v>0</v>
      </c>
      <c r="I1270" s="18" t="str">
        <f aca="false">IF(H1270&gt;0,IF(H1270&gt;=SUMPRODUCT(MAX(($B$5:$B$2004=B1270)*$H$5:$H$2004)),"Rekor",""),"")</f>
        <v/>
      </c>
      <c r="J1270" s="19" t="n">
        <f aca="false">IF(A1270="",0,IF(COUNTIF(A$5:A1270,A1270)=1,1,0))</f>
        <v>0</v>
      </c>
    </row>
    <row r="1271" customFormat="false" ht="15" hidden="false" customHeight="false" outlineLevel="0" collapsed="false">
      <c r="A1271" s="12"/>
      <c r="B1271" s="13"/>
      <c r="C1271" s="14"/>
      <c r="D1271" s="14"/>
      <c r="E1271" s="15"/>
      <c r="F1271" s="16" t="str">
        <f aca="false">IF(OR(C1271="",D1271="",E1271=""),"",C1271*D1271*E1271)</f>
        <v/>
      </c>
      <c r="G1271" s="17" t="str">
        <f aca="false">IF(OR(D1271="",E1271=""),"",E1271*(1+D1271/30))</f>
        <v/>
      </c>
      <c r="H1271" s="19" t="n">
        <f aca="false">IF(G1271="",0,G1271)</f>
        <v>0</v>
      </c>
      <c r="I1271" s="18" t="str">
        <f aca="false">IF(H1271&gt;0,IF(H1271&gt;=SUMPRODUCT(MAX(($B$5:$B$2004=B1271)*$H$5:$H$2004)),"Rekor",""),"")</f>
        <v/>
      </c>
      <c r="J1271" s="19" t="n">
        <f aca="false">IF(A1271="",0,IF(COUNTIF(A$5:A1271,A1271)=1,1,0))</f>
        <v>0</v>
      </c>
    </row>
    <row r="1272" customFormat="false" ht="15" hidden="false" customHeight="false" outlineLevel="0" collapsed="false">
      <c r="A1272" s="12"/>
      <c r="B1272" s="13"/>
      <c r="C1272" s="14"/>
      <c r="D1272" s="14"/>
      <c r="E1272" s="15"/>
      <c r="F1272" s="16" t="str">
        <f aca="false">IF(OR(C1272="",D1272="",E1272=""),"",C1272*D1272*E1272)</f>
        <v/>
      </c>
      <c r="G1272" s="17" t="str">
        <f aca="false">IF(OR(D1272="",E1272=""),"",E1272*(1+D1272/30))</f>
        <v/>
      </c>
      <c r="H1272" s="19" t="n">
        <f aca="false">IF(G1272="",0,G1272)</f>
        <v>0</v>
      </c>
      <c r="I1272" s="18" t="str">
        <f aca="false">IF(H1272&gt;0,IF(H1272&gt;=SUMPRODUCT(MAX(($B$5:$B$2004=B1272)*$H$5:$H$2004)),"Rekor",""),"")</f>
        <v/>
      </c>
      <c r="J1272" s="19" t="n">
        <f aca="false">IF(A1272="",0,IF(COUNTIF(A$5:A1272,A1272)=1,1,0))</f>
        <v>0</v>
      </c>
    </row>
    <row r="1273" customFormat="false" ht="15" hidden="false" customHeight="false" outlineLevel="0" collapsed="false">
      <c r="A1273" s="12"/>
      <c r="B1273" s="13"/>
      <c r="C1273" s="14"/>
      <c r="D1273" s="14"/>
      <c r="E1273" s="15"/>
      <c r="F1273" s="16" t="str">
        <f aca="false">IF(OR(C1273="",D1273="",E1273=""),"",C1273*D1273*E1273)</f>
        <v/>
      </c>
      <c r="G1273" s="17" t="str">
        <f aca="false">IF(OR(D1273="",E1273=""),"",E1273*(1+D1273/30))</f>
        <v/>
      </c>
      <c r="H1273" s="19" t="n">
        <f aca="false">IF(G1273="",0,G1273)</f>
        <v>0</v>
      </c>
      <c r="I1273" s="18" t="str">
        <f aca="false">IF(H1273&gt;0,IF(H1273&gt;=SUMPRODUCT(MAX(($B$5:$B$2004=B1273)*$H$5:$H$2004)),"Rekor",""),"")</f>
        <v/>
      </c>
      <c r="J1273" s="19" t="n">
        <f aca="false">IF(A1273="",0,IF(COUNTIF(A$5:A1273,A1273)=1,1,0))</f>
        <v>0</v>
      </c>
    </row>
    <row r="1274" customFormat="false" ht="15" hidden="false" customHeight="false" outlineLevel="0" collapsed="false">
      <c r="A1274" s="12"/>
      <c r="B1274" s="13"/>
      <c r="C1274" s="14"/>
      <c r="D1274" s="14"/>
      <c r="E1274" s="15"/>
      <c r="F1274" s="16" t="str">
        <f aca="false">IF(OR(C1274="",D1274="",E1274=""),"",C1274*D1274*E1274)</f>
        <v/>
      </c>
      <c r="G1274" s="17" t="str">
        <f aca="false">IF(OR(D1274="",E1274=""),"",E1274*(1+D1274/30))</f>
        <v/>
      </c>
      <c r="H1274" s="19" t="n">
        <f aca="false">IF(G1274="",0,G1274)</f>
        <v>0</v>
      </c>
      <c r="I1274" s="18" t="str">
        <f aca="false">IF(H1274&gt;0,IF(H1274&gt;=SUMPRODUCT(MAX(($B$5:$B$2004=B1274)*$H$5:$H$2004)),"Rekor",""),"")</f>
        <v/>
      </c>
      <c r="J1274" s="19" t="n">
        <f aca="false">IF(A1274="",0,IF(COUNTIF(A$5:A1274,A1274)=1,1,0))</f>
        <v>0</v>
      </c>
    </row>
    <row r="1275" customFormat="false" ht="15" hidden="false" customHeight="false" outlineLevel="0" collapsed="false">
      <c r="A1275" s="12"/>
      <c r="B1275" s="13"/>
      <c r="C1275" s="14"/>
      <c r="D1275" s="14"/>
      <c r="E1275" s="15"/>
      <c r="F1275" s="16" t="str">
        <f aca="false">IF(OR(C1275="",D1275="",E1275=""),"",C1275*D1275*E1275)</f>
        <v/>
      </c>
      <c r="G1275" s="17" t="str">
        <f aca="false">IF(OR(D1275="",E1275=""),"",E1275*(1+D1275/30))</f>
        <v/>
      </c>
      <c r="H1275" s="19" t="n">
        <f aca="false">IF(G1275="",0,G1275)</f>
        <v>0</v>
      </c>
      <c r="I1275" s="18" t="str">
        <f aca="false">IF(H1275&gt;0,IF(H1275&gt;=SUMPRODUCT(MAX(($B$5:$B$2004=B1275)*$H$5:$H$2004)),"Rekor",""),"")</f>
        <v/>
      </c>
      <c r="J1275" s="19" t="n">
        <f aca="false">IF(A1275="",0,IF(COUNTIF(A$5:A1275,A1275)=1,1,0))</f>
        <v>0</v>
      </c>
    </row>
    <row r="1276" customFormat="false" ht="15" hidden="false" customHeight="false" outlineLevel="0" collapsed="false">
      <c r="A1276" s="12"/>
      <c r="B1276" s="13"/>
      <c r="C1276" s="14"/>
      <c r="D1276" s="14"/>
      <c r="E1276" s="15"/>
      <c r="F1276" s="16" t="str">
        <f aca="false">IF(OR(C1276="",D1276="",E1276=""),"",C1276*D1276*E1276)</f>
        <v/>
      </c>
      <c r="G1276" s="17" t="str">
        <f aca="false">IF(OR(D1276="",E1276=""),"",E1276*(1+D1276/30))</f>
        <v/>
      </c>
      <c r="H1276" s="19" t="n">
        <f aca="false">IF(G1276="",0,G1276)</f>
        <v>0</v>
      </c>
      <c r="I1276" s="18" t="str">
        <f aca="false">IF(H1276&gt;0,IF(H1276&gt;=SUMPRODUCT(MAX(($B$5:$B$2004=B1276)*$H$5:$H$2004)),"Rekor",""),"")</f>
        <v/>
      </c>
      <c r="J1276" s="19" t="n">
        <f aca="false">IF(A1276="",0,IF(COUNTIF(A$5:A1276,A1276)=1,1,0))</f>
        <v>0</v>
      </c>
    </row>
    <row r="1277" customFormat="false" ht="15" hidden="false" customHeight="false" outlineLevel="0" collapsed="false">
      <c r="A1277" s="12"/>
      <c r="B1277" s="13"/>
      <c r="C1277" s="14"/>
      <c r="D1277" s="14"/>
      <c r="E1277" s="15"/>
      <c r="F1277" s="16" t="str">
        <f aca="false">IF(OR(C1277="",D1277="",E1277=""),"",C1277*D1277*E1277)</f>
        <v/>
      </c>
      <c r="G1277" s="17" t="str">
        <f aca="false">IF(OR(D1277="",E1277=""),"",E1277*(1+D1277/30))</f>
        <v/>
      </c>
      <c r="H1277" s="19" t="n">
        <f aca="false">IF(G1277="",0,G1277)</f>
        <v>0</v>
      </c>
      <c r="I1277" s="18" t="str">
        <f aca="false">IF(H1277&gt;0,IF(H1277&gt;=SUMPRODUCT(MAX(($B$5:$B$2004=B1277)*$H$5:$H$2004)),"Rekor",""),"")</f>
        <v/>
      </c>
      <c r="J1277" s="19" t="n">
        <f aca="false">IF(A1277="",0,IF(COUNTIF(A$5:A1277,A1277)=1,1,0))</f>
        <v>0</v>
      </c>
    </row>
    <row r="1278" customFormat="false" ht="15" hidden="false" customHeight="false" outlineLevel="0" collapsed="false">
      <c r="A1278" s="12"/>
      <c r="B1278" s="13"/>
      <c r="C1278" s="14"/>
      <c r="D1278" s="14"/>
      <c r="E1278" s="15"/>
      <c r="F1278" s="16" t="str">
        <f aca="false">IF(OR(C1278="",D1278="",E1278=""),"",C1278*D1278*E1278)</f>
        <v/>
      </c>
      <c r="G1278" s="17" t="str">
        <f aca="false">IF(OR(D1278="",E1278=""),"",E1278*(1+D1278/30))</f>
        <v/>
      </c>
      <c r="H1278" s="19" t="n">
        <f aca="false">IF(G1278="",0,G1278)</f>
        <v>0</v>
      </c>
      <c r="I1278" s="18" t="str">
        <f aca="false">IF(H1278&gt;0,IF(H1278&gt;=SUMPRODUCT(MAX(($B$5:$B$2004=B1278)*$H$5:$H$2004)),"Rekor",""),"")</f>
        <v/>
      </c>
      <c r="J1278" s="19" t="n">
        <f aca="false">IF(A1278="",0,IF(COUNTIF(A$5:A1278,A1278)=1,1,0))</f>
        <v>0</v>
      </c>
    </row>
    <row r="1279" customFormat="false" ht="15" hidden="false" customHeight="false" outlineLevel="0" collapsed="false">
      <c r="A1279" s="12"/>
      <c r="B1279" s="13"/>
      <c r="C1279" s="14"/>
      <c r="D1279" s="14"/>
      <c r="E1279" s="15"/>
      <c r="F1279" s="16" t="str">
        <f aca="false">IF(OR(C1279="",D1279="",E1279=""),"",C1279*D1279*E1279)</f>
        <v/>
      </c>
      <c r="G1279" s="17" t="str">
        <f aca="false">IF(OR(D1279="",E1279=""),"",E1279*(1+D1279/30))</f>
        <v/>
      </c>
      <c r="H1279" s="19" t="n">
        <f aca="false">IF(G1279="",0,G1279)</f>
        <v>0</v>
      </c>
      <c r="I1279" s="18" t="str">
        <f aca="false">IF(H1279&gt;0,IF(H1279&gt;=SUMPRODUCT(MAX(($B$5:$B$2004=B1279)*$H$5:$H$2004)),"Rekor",""),"")</f>
        <v/>
      </c>
      <c r="J1279" s="19" t="n">
        <f aca="false">IF(A1279="",0,IF(COUNTIF(A$5:A1279,A1279)=1,1,0))</f>
        <v>0</v>
      </c>
    </row>
    <row r="1280" customFormat="false" ht="15" hidden="false" customHeight="false" outlineLevel="0" collapsed="false">
      <c r="A1280" s="12"/>
      <c r="B1280" s="13"/>
      <c r="C1280" s="14"/>
      <c r="D1280" s="14"/>
      <c r="E1280" s="15"/>
      <c r="F1280" s="16" t="str">
        <f aca="false">IF(OR(C1280="",D1280="",E1280=""),"",C1280*D1280*E1280)</f>
        <v/>
      </c>
      <c r="G1280" s="17" t="str">
        <f aca="false">IF(OR(D1280="",E1280=""),"",E1280*(1+D1280/30))</f>
        <v/>
      </c>
      <c r="H1280" s="19" t="n">
        <f aca="false">IF(G1280="",0,G1280)</f>
        <v>0</v>
      </c>
      <c r="I1280" s="18" t="str">
        <f aca="false">IF(H1280&gt;0,IF(H1280&gt;=SUMPRODUCT(MAX(($B$5:$B$2004=B1280)*$H$5:$H$2004)),"Rekor",""),"")</f>
        <v/>
      </c>
      <c r="J1280" s="19" t="n">
        <f aca="false">IF(A1280="",0,IF(COUNTIF(A$5:A1280,A1280)=1,1,0))</f>
        <v>0</v>
      </c>
    </row>
    <row r="1281" customFormat="false" ht="15" hidden="false" customHeight="false" outlineLevel="0" collapsed="false">
      <c r="A1281" s="12"/>
      <c r="B1281" s="13"/>
      <c r="C1281" s="14"/>
      <c r="D1281" s="14"/>
      <c r="E1281" s="15"/>
      <c r="F1281" s="16" t="str">
        <f aca="false">IF(OR(C1281="",D1281="",E1281=""),"",C1281*D1281*E1281)</f>
        <v/>
      </c>
      <c r="G1281" s="17" t="str">
        <f aca="false">IF(OR(D1281="",E1281=""),"",E1281*(1+D1281/30))</f>
        <v/>
      </c>
      <c r="H1281" s="19" t="n">
        <f aca="false">IF(G1281="",0,G1281)</f>
        <v>0</v>
      </c>
      <c r="I1281" s="18" t="str">
        <f aca="false">IF(H1281&gt;0,IF(H1281&gt;=SUMPRODUCT(MAX(($B$5:$B$2004=B1281)*$H$5:$H$2004)),"Rekor",""),"")</f>
        <v/>
      </c>
      <c r="J1281" s="19" t="n">
        <f aca="false">IF(A1281="",0,IF(COUNTIF(A$5:A1281,A1281)=1,1,0))</f>
        <v>0</v>
      </c>
    </row>
    <row r="1282" customFormat="false" ht="15" hidden="false" customHeight="false" outlineLevel="0" collapsed="false">
      <c r="A1282" s="12"/>
      <c r="B1282" s="13"/>
      <c r="C1282" s="14"/>
      <c r="D1282" s="14"/>
      <c r="E1282" s="15"/>
      <c r="F1282" s="16" t="str">
        <f aca="false">IF(OR(C1282="",D1282="",E1282=""),"",C1282*D1282*E1282)</f>
        <v/>
      </c>
      <c r="G1282" s="17" t="str">
        <f aca="false">IF(OR(D1282="",E1282=""),"",E1282*(1+D1282/30))</f>
        <v/>
      </c>
      <c r="H1282" s="19" t="n">
        <f aca="false">IF(G1282="",0,G1282)</f>
        <v>0</v>
      </c>
      <c r="I1282" s="18" t="str">
        <f aca="false">IF(H1282&gt;0,IF(H1282&gt;=SUMPRODUCT(MAX(($B$5:$B$2004=B1282)*$H$5:$H$2004)),"Rekor",""),"")</f>
        <v/>
      </c>
      <c r="J1282" s="19" t="n">
        <f aca="false">IF(A1282="",0,IF(COUNTIF(A$5:A1282,A1282)=1,1,0))</f>
        <v>0</v>
      </c>
    </row>
    <row r="1283" customFormat="false" ht="15" hidden="false" customHeight="false" outlineLevel="0" collapsed="false">
      <c r="A1283" s="12"/>
      <c r="B1283" s="13"/>
      <c r="C1283" s="14"/>
      <c r="D1283" s="14"/>
      <c r="E1283" s="15"/>
      <c r="F1283" s="16" t="str">
        <f aca="false">IF(OR(C1283="",D1283="",E1283=""),"",C1283*D1283*E1283)</f>
        <v/>
      </c>
      <c r="G1283" s="17" t="str">
        <f aca="false">IF(OR(D1283="",E1283=""),"",E1283*(1+D1283/30))</f>
        <v/>
      </c>
      <c r="H1283" s="19" t="n">
        <f aca="false">IF(G1283="",0,G1283)</f>
        <v>0</v>
      </c>
      <c r="I1283" s="18" t="str">
        <f aca="false">IF(H1283&gt;0,IF(H1283&gt;=SUMPRODUCT(MAX(($B$5:$B$2004=B1283)*$H$5:$H$2004)),"Rekor",""),"")</f>
        <v/>
      </c>
      <c r="J1283" s="19" t="n">
        <f aca="false">IF(A1283="",0,IF(COUNTIF(A$5:A1283,A1283)=1,1,0))</f>
        <v>0</v>
      </c>
    </row>
    <row r="1284" customFormat="false" ht="15" hidden="false" customHeight="false" outlineLevel="0" collapsed="false">
      <c r="A1284" s="12"/>
      <c r="B1284" s="13"/>
      <c r="C1284" s="14"/>
      <c r="D1284" s="14"/>
      <c r="E1284" s="15"/>
      <c r="F1284" s="16" t="str">
        <f aca="false">IF(OR(C1284="",D1284="",E1284=""),"",C1284*D1284*E1284)</f>
        <v/>
      </c>
      <c r="G1284" s="17" t="str">
        <f aca="false">IF(OR(D1284="",E1284=""),"",E1284*(1+D1284/30))</f>
        <v/>
      </c>
      <c r="H1284" s="19" t="n">
        <f aca="false">IF(G1284="",0,G1284)</f>
        <v>0</v>
      </c>
      <c r="I1284" s="18" t="str">
        <f aca="false">IF(H1284&gt;0,IF(H1284&gt;=SUMPRODUCT(MAX(($B$5:$B$2004=B1284)*$H$5:$H$2004)),"Rekor",""),"")</f>
        <v/>
      </c>
      <c r="J1284" s="19" t="n">
        <f aca="false">IF(A1284="",0,IF(COUNTIF(A$5:A1284,A1284)=1,1,0))</f>
        <v>0</v>
      </c>
    </row>
    <row r="1285" customFormat="false" ht="15" hidden="false" customHeight="false" outlineLevel="0" collapsed="false">
      <c r="A1285" s="12"/>
      <c r="B1285" s="13"/>
      <c r="C1285" s="14"/>
      <c r="D1285" s="14"/>
      <c r="E1285" s="15"/>
      <c r="F1285" s="16" t="str">
        <f aca="false">IF(OR(C1285="",D1285="",E1285=""),"",C1285*D1285*E1285)</f>
        <v/>
      </c>
      <c r="G1285" s="17" t="str">
        <f aca="false">IF(OR(D1285="",E1285=""),"",E1285*(1+D1285/30))</f>
        <v/>
      </c>
      <c r="H1285" s="19" t="n">
        <f aca="false">IF(G1285="",0,G1285)</f>
        <v>0</v>
      </c>
      <c r="I1285" s="18" t="str">
        <f aca="false">IF(H1285&gt;0,IF(H1285&gt;=SUMPRODUCT(MAX(($B$5:$B$2004=B1285)*$H$5:$H$2004)),"Rekor",""),"")</f>
        <v/>
      </c>
      <c r="J1285" s="19" t="n">
        <f aca="false">IF(A1285="",0,IF(COUNTIF(A$5:A1285,A1285)=1,1,0))</f>
        <v>0</v>
      </c>
    </row>
    <row r="1286" customFormat="false" ht="15" hidden="false" customHeight="false" outlineLevel="0" collapsed="false">
      <c r="A1286" s="12"/>
      <c r="B1286" s="13"/>
      <c r="C1286" s="14"/>
      <c r="D1286" s="14"/>
      <c r="E1286" s="15"/>
      <c r="F1286" s="16" t="str">
        <f aca="false">IF(OR(C1286="",D1286="",E1286=""),"",C1286*D1286*E1286)</f>
        <v/>
      </c>
      <c r="G1286" s="17" t="str">
        <f aca="false">IF(OR(D1286="",E1286=""),"",E1286*(1+D1286/30))</f>
        <v/>
      </c>
      <c r="H1286" s="19" t="n">
        <f aca="false">IF(G1286="",0,G1286)</f>
        <v>0</v>
      </c>
      <c r="I1286" s="18" t="str">
        <f aca="false">IF(H1286&gt;0,IF(H1286&gt;=SUMPRODUCT(MAX(($B$5:$B$2004=B1286)*$H$5:$H$2004)),"Rekor",""),"")</f>
        <v/>
      </c>
      <c r="J1286" s="19" t="n">
        <f aca="false">IF(A1286="",0,IF(COUNTIF(A$5:A1286,A1286)=1,1,0))</f>
        <v>0</v>
      </c>
    </row>
    <row r="1287" customFormat="false" ht="15" hidden="false" customHeight="false" outlineLevel="0" collapsed="false">
      <c r="A1287" s="12"/>
      <c r="B1287" s="13"/>
      <c r="C1287" s="14"/>
      <c r="D1287" s="14"/>
      <c r="E1287" s="15"/>
      <c r="F1287" s="16" t="str">
        <f aca="false">IF(OR(C1287="",D1287="",E1287=""),"",C1287*D1287*E1287)</f>
        <v/>
      </c>
      <c r="G1287" s="17" t="str">
        <f aca="false">IF(OR(D1287="",E1287=""),"",E1287*(1+D1287/30))</f>
        <v/>
      </c>
      <c r="H1287" s="19" t="n">
        <f aca="false">IF(G1287="",0,G1287)</f>
        <v>0</v>
      </c>
      <c r="I1287" s="18" t="str">
        <f aca="false">IF(H1287&gt;0,IF(H1287&gt;=SUMPRODUCT(MAX(($B$5:$B$2004=B1287)*$H$5:$H$2004)),"Rekor",""),"")</f>
        <v/>
      </c>
      <c r="J1287" s="19" t="n">
        <f aca="false">IF(A1287="",0,IF(COUNTIF(A$5:A1287,A1287)=1,1,0))</f>
        <v>0</v>
      </c>
    </row>
    <row r="1288" customFormat="false" ht="15" hidden="false" customHeight="false" outlineLevel="0" collapsed="false">
      <c r="A1288" s="12"/>
      <c r="B1288" s="13"/>
      <c r="C1288" s="14"/>
      <c r="D1288" s="14"/>
      <c r="E1288" s="15"/>
      <c r="F1288" s="16" t="str">
        <f aca="false">IF(OR(C1288="",D1288="",E1288=""),"",C1288*D1288*E1288)</f>
        <v/>
      </c>
      <c r="G1288" s="17" t="str">
        <f aca="false">IF(OR(D1288="",E1288=""),"",E1288*(1+D1288/30))</f>
        <v/>
      </c>
      <c r="H1288" s="19" t="n">
        <f aca="false">IF(G1288="",0,G1288)</f>
        <v>0</v>
      </c>
      <c r="I1288" s="18" t="str">
        <f aca="false">IF(H1288&gt;0,IF(H1288&gt;=SUMPRODUCT(MAX(($B$5:$B$2004=B1288)*$H$5:$H$2004)),"Rekor",""),"")</f>
        <v/>
      </c>
      <c r="J1288" s="19" t="n">
        <f aca="false">IF(A1288="",0,IF(COUNTIF(A$5:A1288,A1288)=1,1,0))</f>
        <v>0</v>
      </c>
    </row>
    <row r="1289" customFormat="false" ht="15" hidden="false" customHeight="false" outlineLevel="0" collapsed="false">
      <c r="A1289" s="12"/>
      <c r="B1289" s="13"/>
      <c r="C1289" s="14"/>
      <c r="D1289" s="14"/>
      <c r="E1289" s="15"/>
      <c r="F1289" s="16" t="str">
        <f aca="false">IF(OR(C1289="",D1289="",E1289=""),"",C1289*D1289*E1289)</f>
        <v/>
      </c>
      <c r="G1289" s="17" t="str">
        <f aca="false">IF(OR(D1289="",E1289=""),"",E1289*(1+D1289/30))</f>
        <v/>
      </c>
      <c r="H1289" s="19" t="n">
        <f aca="false">IF(G1289="",0,G1289)</f>
        <v>0</v>
      </c>
      <c r="I1289" s="18" t="str">
        <f aca="false">IF(H1289&gt;0,IF(H1289&gt;=SUMPRODUCT(MAX(($B$5:$B$2004=B1289)*$H$5:$H$2004)),"Rekor",""),"")</f>
        <v/>
      </c>
      <c r="J1289" s="19" t="n">
        <f aca="false">IF(A1289="",0,IF(COUNTIF(A$5:A1289,A1289)=1,1,0))</f>
        <v>0</v>
      </c>
    </row>
    <row r="1290" customFormat="false" ht="15" hidden="false" customHeight="false" outlineLevel="0" collapsed="false">
      <c r="A1290" s="12"/>
      <c r="B1290" s="13"/>
      <c r="C1290" s="14"/>
      <c r="D1290" s="14"/>
      <c r="E1290" s="15"/>
      <c r="F1290" s="16" t="str">
        <f aca="false">IF(OR(C1290="",D1290="",E1290=""),"",C1290*D1290*E1290)</f>
        <v/>
      </c>
      <c r="G1290" s="17" t="str">
        <f aca="false">IF(OR(D1290="",E1290=""),"",E1290*(1+D1290/30))</f>
        <v/>
      </c>
      <c r="H1290" s="19" t="n">
        <f aca="false">IF(G1290="",0,G1290)</f>
        <v>0</v>
      </c>
      <c r="I1290" s="18" t="str">
        <f aca="false">IF(H1290&gt;0,IF(H1290&gt;=SUMPRODUCT(MAX(($B$5:$B$2004=B1290)*$H$5:$H$2004)),"Rekor",""),"")</f>
        <v/>
      </c>
      <c r="J1290" s="19" t="n">
        <f aca="false">IF(A1290="",0,IF(COUNTIF(A$5:A1290,A1290)=1,1,0))</f>
        <v>0</v>
      </c>
    </row>
    <row r="1291" customFormat="false" ht="15" hidden="false" customHeight="false" outlineLevel="0" collapsed="false">
      <c r="A1291" s="12"/>
      <c r="B1291" s="13"/>
      <c r="C1291" s="14"/>
      <c r="D1291" s="14"/>
      <c r="E1291" s="15"/>
      <c r="F1291" s="16" t="str">
        <f aca="false">IF(OR(C1291="",D1291="",E1291=""),"",C1291*D1291*E1291)</f>
        <v/>
      </c>
      <c r="G1291" s="17" t="str">
        <f aca="false">IF(OR(D1291="",E1291=""),"",E1291*(1+D1291/30))</f>
        <v/>
      </c>
      <c r="H1291" s="19" t="n">
        <f aca="false">IF(G1291="",0,G1291)</f>
        <v>0</v>
      </c>
      <c r="I1291" s="18" t="str">
        <f aca="false">IF(H1291&gt;0,IF(H1291&gt;=SUMPRODUCT(MAX(($B$5:$B$2004=B1291)*$H$5:$H$2004)),"Rekor",""),"")</f>
        <v/>
      </c>
      <c r="J1291" s="19" t="n">
        <f aca="false">IF(A1291="",0,IF(COUNTIF(A$5:A1291,A1291)=1,1,0))</f>
        <v>0</v>
      </c>
    </row>
    <row r="1292" customFormat="false" ht="15" hidden="false" customHeight="false" outlineLevel="0" collapsed="false">
      <c r="A1292" s="12"/>
      <c r="B1292" s="13"/>
      <c r="C1292" s="14"/>
      <c r="D1292" s="14"/>
      <c r="E1292" s="15"/>
      <c r="F1292" s="16" t="str">
        <f aca="false">IF(OR(C1292="",D1292="",E1292=""),"",C1292*D1292*E1292)</f>
        <v/>
      </c>
      <c r="G1292" s="17" t="str">
        <f aca="false">IF(OR(D1292="",E1292=""),"",E1292*(1+D1292/30))</f>
        <v/>
      </c>
      <c r="H1292" s="19" t="n">
        <f aca="false">IF(G1292="",0,G1292)</f>
        <v>0</v>
      </c>
      <c r="I1292" s="18" t="str">
        <f aca="false">IF(H1292&gt;0,IF(H1292&gt;=SUMPRODUCT(MAX(($B$5:$B$2004=B1292)*$H$5:$H$2004)),"Rekor",""),"")</f>
        <v/>
      </c>
      <c r="J1292" s="19" t="n">
        <f aca="false">IF(A1292="",0,IF(COUNTIF(A$5:A1292,A1292)=1,1,0))</f>
        <v>0</v>
      </c>
    </row>
    <row r="1293" customFormat="false" ht="15" hidden="false" customHeight="false" outlineLevel="0" collapsed="false">
      <c r="A1293" s="12"/>
      <c r="B1293" s="13"/>
      <c r="C1293" s="14"/>
      <c r="D1293" s="14"/>
      <c r="E1293" s="15"/>
      <c r="F1293" s="16" t="str">
        <f aca="false">IF(OR(C1293="",D1293="",E1293=""),"",C1293*D1293*E1293)</f>
        <v/>
      </c>
      <c r="G1293" s="17" t="str">
        <f aca="false">IF(OR(D1293="",E1293=""),"",E1293*(1+D1293/30))</f>
        <v/>
      </c>
      <c r="H1293" s="19" t="n">
        <f aca="false">IF(G1293="",0,G1293)</f>
        <v>0</v>
      </c>
      <c r="I1293" s="18" t="str">
        <f aca="false">IF(H1293&gt;0,IF(H1293&gt;=SUMPRODUCT(MAX(($B$5:$B$2004=B1293)*$H$5:$H$2004)),"Rekor",""),"")</f>
        <v/>
      </c>
      <c r="J1293" s="19" t="n">
        <f aca="false">IF(A1293="",0,IF(COUNTIF(A$5:A1293,A1293)=1,1,0))</f>
        <v>0</v>
      </c>
    </row>
    <row r="1294" customFormat="false" ht="15" hidden="false" customHeight="false" outlineLevel="0" collapsed="false">
      <c r="A1294" s="12"/>
      <c r="B1294" s="13"/>
      <c r="C1294" s="14"/>
      <c r="D1294" s="14"/>
      <c r="E1294" s="15"/>
      <c r="F1294" s="16" t="str">
        <f aca="false">IF(OR(C1294="",D1294="",E1294=""),"",C1294*D1294*E1294)</f>
        <v/>
      </c>
      <c r="G1294" s="17" t="str">
        <f aca="false">IF(OR(D1294="",E1294=""),"",E1294*(1+D1294/30))</f>
        <v/>
      </c>
      <c r="H1294" s="19" t="n">
        <f aca="false">IF(G1294="",0,G1294)</f>
        <v>0</v>
      </c>
      <c r="I1294" s="18" t="str">
        <f aca="false">IF(H1294&gt;0,IF(H1294&gt;=SUMPRODUCT(MAX(($B$5:$B$2004=B1294)*$H$5:$H$2004)),"Rekor",""),"")</f>
        <v/>
      </c>
      <c r="J1294" s="19" t="n">
        <f aca="false">IF(A1294="",0,IF(COUNTIF(A$5:A1294,A1294)=1,1,0))</f>
        <v>0</v>
      </c>
    </row>
    <row r="1295" customFormat="false" ht="15" hidden="false" customHeight="false" outlineLevel="0" collapsed="false">
      <c r="A1295" s="12"/>
      <c r="B1295" s="13"/>
      <c r="C1295" s="14"/>
      <c r="D1295" s="14"/>
      <c r="E1295" s="15"/>
      <c r="F1295" s="16" t="str">
        <f aca="false">IF(OR(C1295="",D1295="",E1295=""),"",C1295*D1295*E1295)</f>
        <v/>
      </c>
      <c r="G1295" s="17" t="str">
        <f aca="false">IF(OR(D1295="",E1295=""),"",E1295*(1+D1295/30))</f>
        <v/>
      </c>
      <c r="H1295" s="19" t="n">
        <f aca="false">IF(G1295="",0,G1295)</f>
        <v>0</v>
      </c>
      <c r="I1295" s="18" t="str">
        <f aca="false">IF(H1295&gt;0,IF(H1295&gt;=SUMPRODUCT(MAX(($B$5:$B$2004=B1295)*$H$5:$H$2004)),"Rekor",""),"")</f>
        <v/>
      </c>
      <c r="J1295" s="19" t="n">
        <f aca="false">IF(A1295="",0,IF(COUNTIF(A$5:A1295,A1295)=1,1,0))</f>
        <v>0</v>
      </c>
    </row>
    <row r="1296" customFormat="false" ht="15" hidden="false" customHeight="false" outlineLevel="0" collapsed="false">
      <c r="A1296" s="12"/>
      <c r="B1296" s="13"/>
      <c r="C1296" s="14"/>
      <c r="D1296" s="14"/>
      <c r="E1296" s="15"/>
      <c r="F1296" s="16" t="str">
        <f aca="false">IF(OR(C1296="",D1296="",E1296=""),"",C1296*D1296*E1296)</f>
        <v/>
      </c>
      <c r="G1296" s="17" t="str">
        <f aca="false">IF(OR(D1296="",E1296=""),"",E1296*(1+D1296/30))</f>
        <v/>
      </c>
      <c r="H1296" s="19" t="n">
        <f aca="false">IF(G1296="",0,G1296)</f>
        <v>0</v>
      </c>
      <c r="I1296" s="18" t="str">
        <f aca="false">IF(H1296&gt;0,IF(H1296&gt;=SUMPRODUCT(MAX(($B$5:$B$2004=B1296)*$H$5:$H$2004)),"Rekor",""),"")</f>
        <v/>
      </c>
      <c r="J1296" s="19" t="n">
        <f aca="false">IF(A1296="",0,IF(COUNTIF(A$5:A1296,A1296)=1,1,0))</f>
        <v>0</v>
      </c>
    </row>
    <row r="1297" customFormat="false" ht="15" hidden="false" customHeight="false" outlineLevel="0" collapsed="false">
      <c r="A1297" s="12"/>
      <c r="B1297" s="13"/>
      <c r="C1297" s="14"/>
      <c r="D1297" s="14"/>
      <c r="E1297" s="15"/>
      <c r="F1297" s="16" t="str">
        <f aca="false">IF(OR(C1297="",D1297="",E1297=""),"",C1297*D1297*E1297)</f>
        <v/>
      </c>
      <c r="G1297" s="17" t="str">
        <f aca="false">IF(OR(D1297="",E1297=""),"",E1297*(1+D1297/30))</f>
        <v/>
      </c>
      <c r="H1297" s="19" t="n">
        <f aca="false">IF(G1297="",0,G1297)</f>
        <v>0</v>
      </c>
      <c r="I1297" s="18" t="str">
        <f aca="false">IF(H1297&gt;0,IF(H1297&gt;=SUMPRODUCT(MAX(($B$5:$B$2004=B1297)*$H$5:$H$2004)),"Rekor",""),"")</f>
        <v/>
      </c>
      <c r="J1297" s="19" t="n">
        <f aca="false">IF(A1297="",0,IF(COUNTIF(A$5:A1297,A1297)=1,1,0))</f>
        <v>0</v>
      </c>
    </row>
    <row r="1298" customFormat="false" ht="15" hidden="false" customHeight="false" outlineLevel="0" collapsed="false">
      <c r="A1298" s="12"/>
      <c r="B1298" s="13"/>
      <c r="C1298" s="14"/>
      <c r="D1298" s="14"/>
      <c r="E1298" s="15"/>
      <c r="F1298" s="16" t="str">
        <f aca="false">IF(OR(C1298="",D1298="",E1298=""),"",C1298*D1298*E1298)</f>
        <v/>
      </c>
      <c r="G1298" s="17" t="str">
        <f aca="false">IF(OR(D1298="",E1298=""),"",E1298*(1+D1298/30))</f>
        <v/>
      </c>
      <c r="H1298" s="19" t="n">
        <f aca="false">IF(G1298="",0,G1298)</f>
        <v>0</v>
      </c>
      <c r="I1298" s="18" t="str">
        <f aca="false">IF(H1298&gt;0,IF(H1298&gt;=SUMPRODUCT(MAX(($B$5:$B$2004=B1298)*$H$5:$H$2004)),"Rekor",""),"")</f>
        <v/>
      </c>
      <c r="J1298" s="19" t="n">
        <f aca="false">IF(A1298="",0,IF(COUNTIF(A$5:A1298,A1298)=1,1,0))</f>
        <v>0</v>
      </c>
    </row>
    <row r="1299" customFormat="false" ht="15" hidden="false" customHeight="false" outlineLevel="0" collapsed="false">
      <c r="A1299" s="12"/>
      <c r="B1299" s="13"/>
      <c r="C1299" s="14"/>
      <c r="D1299" s="14"/>
      <c r="E1299" s="15"/>
      <c r="F1299" s="16" t="str">
        <f aca="false">IF(OR(C1299="",D1299="",E1299=""),"",C1299*D1299*E1299)</f>
        <v/>
      </c>
      <c r="G1299" s="17" t="str">
        <f aca="false">IF(OR(D1299="",E1299=""),"",E1299*(1+D1299/30))</f>
        <v/>
      </c>
      <c r="H1299" s="19" t="n">
        <f aca="false">IF(G1299="",0,G1299)</f>
        <v>0</v>
      </c>
      <c r="I1299" s="18" t="str">
        <f aca="false">IF(H1299&gt;0,IF(H1299&gt;=SUMPRODUCT(MAX(($B$5:$B$2004=B1299)*$H$5:$H$2004)),"Rekor",""),"")</f>
        <v/>
      </c>
      <c r="J1299" s="19" t="n">
        <f aca="false">IF(A1299="",0,IF(COUNTIF(A$5:A1299,A1299)=1,1,0))</f>
        <v>0</v>
      </c>
    </row>
    <row r="1300" customFormat="false" ht="15" hidden="false" customHeight="false" outlineLevel="0" collapsed="false">
      <c r="A1300" s="12"/>
      <c r="B1300" s="13"/>
      <c r="C1300" s="14"/>
      <c r="D1300" s="14"/>
      <c r="E1300" s="15"/>
      <c r="F1300" s="16" t="str">
        <f aca="false">IF(OR(C1300="",D1300="",E1300=""),"",C1300*D1300*E1300)</f>
        <v/>
      </c>
      <c r="G1300" s="17" t="str">
        <f aca="false">IF(OR(D1300="",E1300=""),"",E1300*(1+D1300/30))</f>
        <v/>
      </c>
      <c r="H1300" s="19" t="n">
        <f aca="false">IF(G1300="",0,G1300)</f>
        <v>0</v>
      </c>
      <c r="I1300" s="18" t="str">
        <f aca="false">IF(H1300&gt;0,IF(H1300&gt;=SUMPRODUCT(MAX(($B$5:$B$2004=B1300)*$H$5:$H$2004)),"Rekor",""),"")</f>
        <v/>
      </c>
      <c r="J1300" s="19" t="n">
        <f aca="false">IF(A1300="",0,IF(COUNTIF(A$5:A1300,A1300)=1,1,0))</f>
        <v>0</v>
      </c>
    </row>
    <row r="1301" customFormat="false" ht="15" hidden="false" customHeight="false" outlineLevel="0" collapsed="false">
      <c r="A1301" s="12"/>
      <c r="B1301" s="13"/>
      <c r="C1301" s="14"/>
      <c r="D1301" s="14"/>
      <c r="E1301" s="15"/>
      <c r="F1301" s="16" t="str">
        <f aca="false">IF(OR(C1301="",D1301="",E1301=""),"",C1301*D1301*E1301)</f>
        <v/>
      </c>
      <c r="G1301" s="17" t="str">
        <f aca="false">IF(OR(D1301="",E1301=""),"",E1301*(1+D1301/30))</f>
        <v/>
      </c>
      <c r="H1301" s="19" t="n">
        <f aca="false">IF(G1301="",0,G1301)</f>
        <v>0</v>
      </c>
      <c r="I1301" s="18" t="str">
        <f aca="false">IF(H1301&gt;0,IF(H1301&gt;=SUMPRODUCT(MAX(($B$5:$B$2004=B1301)*$H$5:$H$2004)),"Rekor",""),"")</f>
        <v/>
      </c>
      <c r="J1301" s="19" t="n">
        <f aca="false">IF(A1301="",0,IF(COUNTIF(A$5:A1301,A1301)=1,1,0))</f>
        <v>0</v>
      </c>
    </row>
    <row r="1302" customFormat="false" ht="15" hidden="false" customHeight="false" outlineLevel="0" collapsed="false">
      <c r="A1302" s="12"/>
      <c r="B1302" s="13"/>
      <c r="C1302" s="14"/>
      <c r="D1302" s="14"/>
      <c r="E1302" s="15"/>
      <c r="F1302" s="16" t="str">
        <f aca="false">IF(OR(C1302="",D1302="",E1302=""),"",C1302*D1302*E1302)</f>
        <v/>
      </c>
      <c r="G1302" s="17" t="str">
        <f aca="false">IF(OR(D1302="",E1302=""),"",E1302*(1+D1302/30))</f>
        <v/>
      </c>
      <c r="H1302" s="19" t="n">
        <f aca="false">IF(G1302="",0,G1302)</f>
        <v>0</v>
      </c>
      <c r="I1302" s="18" t="str">
        <f aca="false">IF(H1302&gt;0,IF(H1302&gt;=SUMPRODUCT(MAX(($B$5:$B$2004=B1302)*$H$5:$H$2004)),"Rekor",""),"")</f>
        <v/>
      </c>
      <c r="J1302" s="19" t="n">
        <f aca="false">IF(A1302="",0,IF(COUNTIF(A$5:A1302,A1302)=1,1,0))</f>
        <v>0</v>
      </c>
    </row>
    <row r="1303" customFormat="false" ht="15" hidden="false" customHeight="false" outlineLevel="0" collapsed="false">
      <c r="A1303" s="12"/>
      <c r="B1303" s="13"/>
      <c r="C1303" s="14"/>
      <c r="D1303" s="14"/>
      <c r="E1303" s="15"/>
      <c r="F1303" s="16" t="str">
        <f aca="false">IF(OR(C1303="",D1303="",E1303=""),"",C1303*D1303*E1303)</f>
        <v/>
      </c>
      <c r="G1303" s="17" t="str">
        <f aca="false">IF(OR(D1303="",E1303=""),"",E1303*(1+D1303/30))</f>
        <v/>
      </c>
      <c r="H1303" s="19" t="n">
        <f aca="false">IF(G1303="",0,G1303)</f>
        <v>0</v>
      </c>
      <c r="I1303" s="18" t="str">
        <f aca="false">IF(H1303&gt;0,IF(H1303&gt;=SUMPRODUCT(MAX(($B$5:$B$2004=B1303)*$H$5:$H$2004)),"Rekor",""),"")</f>
        <v/>
      </c>
      <c r="J1303" s="19" t="n">
        <f aca="false">IF(A1303="",0,IF(COUNTIF(A$5:A1303,A1303)=1,1,0))</f>
        <v>0</v>
      </c>
    </row>
    <row r="1304" customFormat="false" ht="15" hidden="false" customHeight="false" outlineLevel="0" collapsed="false">
      <c r="A1304" s="12"/>
      <c r="B1304" s="13"/>
      <c r="C1304" s="14"/>
      <c r="D1304" s="14"/>
      <c r="E1304" s="15"/>
      <c r="F1304" s="16" t="str">
        <f aca="false">IF(OR(C1304="",D1304="",E1304=""),"",C1304*D1304*E1304)</f>
        <v/>
      </c>
      <c r="G1304" s="17" t="str">
        <f aca="false">IF(OR(D1304="",E1304=""),"",E1304*(1+D1304/30))</f>
        <v/>
      </c>
      <c r="H1304" s="19" t="n">
        <f aca="false">IF(G1304="",0,G1304)</f>
        <v>0</v>
      </c>
      <c r="I1304" s="18" t="str">
        <f aca="false">IF(H1304&gt;0,IF(H1304&gt;=SUMPRODUCT(MAX(($B$5:$B$2004=B1304)*$H$5:$H$2004)),"Rekor",""),"")</f>
        <v/>
      </c>
      <c r="J1304" s="19" t="n">
        <f aca="false">IF(A1304="",0,IF(COUNTIF(A$5:A1304,A1304)=1,1,0))</f>
        <v>0</v>
      </c>
    </row>
    <row r="1305" customFormat="false" ht="15" hidden="false" customHeight="false" outlineLevel="0" collapsed="false">
      <c r="A1305" s="12"/>
      <c r="B1305" s="13"/>
      <c r="C1305" s="14"/>
      <c r="D1305" s="14"/>
      <c r="E1305" s="15"/>
      <c r="F1305" s="16" t="str">
        <f aca="false">IF(OR(C1305="",D1305="",E1305=""),"",C1305*D1305*E1305)</f>
        <v/>
      </c>
      <c r="G1305" s="17" t="str">
        <f aca="false">IF(OR(D1305="",E1305=""),"",E1305*(1+D1305/30))</f>
        <v/>
      </c>
      <c r="H1305" s="19" t="n">
        <f aca="false">IF(G1305="",0,G1305)</f>
        <v>0</v>
      </c>
      <c r="I1305" s="18" t="str">
        <f aca="false">IF(H1305&gt;0,IF(H1305&gt;=SUMPRODUCT(MAX(($B$5:$B$2004=B1305)*$H$5:$H$2004)),"Rekor",""),"")</f>
        <v/>
      </c>
      <c r="J1305" s="19" t="n">
        <f aca="false">IF(A1305="",0,IF(COUNTIF(A$5:A1305,A1305)=1,1,0))</f>
        <v>0</v>
      </c>
    </row>
    <row r="1306" customFormat="false" ht="15" hidden="false" customHeight="false" outlineLevel="0" collapsed="false">
      <c r="A1306" s="12"/>
      <c r="B1306" s="13"/>
      <c r="C1306" s="14"/>
      <c r="D1306" s="14"/>
      <c r="E1306" s="15"/>
      <c r="F1306" s="16" t="str">
        <f aca="false">IF(OR(C1306="",D1306="",E1306=""),"",C1306*D1306*E1306)</f>
        <v/>
      </c>
      <c r="G1306" s="17" t="str">
        <f aca="false">IF(OR(D1306="",E1306=""),"",E1306*(1+D1306/30))</f>
        <v/>
      </c>
      <c r="H1306" s="19" t="n">
        <f aca="false">IF(G1306="",0,G1306)</f>
        <v>0</v>
      </c>
      <c r="I1306" s="18" t="str">
        <f aca="false">IF(H1306&gt;0,IF(H1306&gt;=SUMPRODUCT(MAX(($B$5:$B$2004=B1306)*$H$5:$H$2004)),"Rekor",""),"")</f>
        <v/>
      </c>
      <c r="J1306" s="19" t="n">
        <f aca="false">IF(A1306="",0,IF(COUNTIF(A$5:A1306,A1306)=1,1,0))</f>
        <v>0</v>
      </c>
    </row>
    <row r="1307" customFormat="false" ht="15" hidden="false" customHeight="false" outlineLevel="0" collapsed="false">
      <c r="A1307" s="12"/>
      <c r="B1307" s="13"/>
      <c r="C1307" s="14"/>
      <c r="D1307" s="14"/>
      <c r="E1307" s="15"/>
      <c r="F1307" s="16" t="str">
        <f aca="false">IF(OR(C1307="",D1307="",E1307=""),"",C1307*D1307*E1307)</f>
        <v/>
      </c>
      <c r="G1307" s="17" t="str">
        <f aca="false">IF(OR(D1307="",E1307=""),"",E1307*(1+D1307/30))</f>
        <v/>
      </c>
      <c r="H1307" s="19" t="n">
        <f aca="false">IF(G1307="",0,G1307)</f>
        <v>0</v>
      </c>
      <c r="I1307" s="18" t="str">
        <f aca="false">IF(H1307&gt;0,IF(H1307&gt;=SUMPRODUCT(MAX(($B$5:$B$2004=B1307)*$H$5:$H$2004)),"Rekor",""),"")</f>
        <v/>
      </c>
      <c r="J1307" s="19" t="n">
        <f aca="false">IF(A1307="",0,IF(COUNTIF(A$5:A1307,A1307)=1,1,0))</f>
        <v>0</v>
      </c>
    </row>
    <row r="1308" customFormat="false" ht="15" hidden="false" customHeight="false" outlineLevel="0" collapsed="false">
      <c r="A1308" s="12"/>
      <c r="B1308" s="13"/>
      <c r="C1308" s="14"/>
      <c r="D1308" s="14"/>
      <c r="E1308" s="15"/>
      <c r="F1308" s="16" t="str">
        <f aca="false">IF(OR(C1308="",D1308="",E1308=""),"",C1308*D1308*E1308)</f>
        <v/>
      </c>
      <c r="G1308" s="17" t="str">
        <f aca="false">IF(OR(D1308="",E1308=""),"",E1308*(1+D1308/30))</f>
        <v/>
      </c>
      <c r="H1308" s="19" t="n">
        <f aca="false">IF(G1308="",0,G1308)</f>
        <v>0</v>
      </c>
      <c r="I1308" s="18" t="str">
        <f aca="false">IF(H1308&gt;0,IF(H1308&gt;=SUMPRODUCT(MAX(($B$5:$B$2004=B1308)*$H$5:$H$2004)),"Rekor",""),"")</f>
        <v/>
      </c>
      <c r="J1308" s="19" t="n">
        <f aca="false">IF(A1308="",0,IF(COUNTIF(A$5:A1308,A1308)=1,1,0))</f>
        <v>0</v>
      </c>
    </row>
    <row r="1309" customFormat="false" ht="15" hidden="false" customHeight="false" outlineLevel="0" collapsed="false">
      <c r="A1309" s="12"/>
      <c r="B1309" s="13"/>
      <c r="C1309" s="14"/>
      <c r="D1309" s="14"/>
      <c r="E1309" s="15"/>
      <c r="F1309" s="16" t="str">
        <f aca="false">IF(OR(C1309="",D1309="",E1309=""),"",C1309*D1309*E1309)</f>
        <v/>
      </c>
      <c r="G1309" s="17" t="str">
        <f aca="false">IF(OR(D1309="",E1309=""),"",E1309*(1+D1309/30))</f>
        <v/>
      </c>
      <c r="H1309" s="19" t="n">
        <f aca="false">IF(G1309="",0,G1309)</f>
        <v>0</v>
      </c>
      <c r="I1309" s="18" t="str">
        <f aca="false">IF(H1309&gt;0,IF(H1309&gt;=SUMPRODUCT(MAX(($B$5:$B$2004=B1309)*$H$5:$H$2004)),"Rekor",""),"")</f>
        <v/>
      </c>
      <c r="J1309" s="19" t="n">
        <f aca="false">IF(A1309="",0,IF(COUNTIF(A$5:A1309,A1309)=1,1,0))</f>
        <v>0</v>
      </c>
    </row>
    <row r="1310" customFormat="false" ht="15" hidden="false" customHeight="false" outlineLevel="0" collapsed="false">
      <c r="A1310" s="12"/>
      <c r="B1310" s="13"/>
      <c r="C1310" s="14"/>
      <c r="D1310" s="14"/>
      <c r="E1310" s="15"/>
      <c r="F1310" s="16" t="str">
        <f aca="false">IF(OR(C1310="",D1310="",E1310=""),"",C1310*D1310*E1310)</f>
        <v/>
      </c>
      <c r="G1310" s="17" t="str">
        <f aca="false">IF(OR(D1310="",E1310=""),"",E1310*(1+D1310/30))</f>
        <v/>
      </c>
      <c r="H1310" s="19" t="n">
        <f aca="false">IF(G1310="",0,G1310)</f>
        <v>0</v>
      </c>
      <c r="I1310" s="18" t="str">
        <f aca="false">IF(H1310&gt;0,IF(H1310&gt;=SUMPRODUCT(MAX(($B$5:$B$2004=B1310)*$H$5:$H$2004)),"Rekor",""),"")</f>
        <v/>
      </c>
      <c r="J1310" s="19" t="n">
        <f aca="false">IF(A1310="",0,IF(COUNTIF(A$5:A1310,A1310)=1,1,0))</f>
        <v>0</v>
      </c>
    </row>
    <row r="1311" customFormat="false" ht="15" hidden="false" customHeight="false" outlineLevel="0" collapsed="false">
      <c r="A1311" s="12"/>
      <c r="B1311" s="13"/>
      <c r="C1311" s="14"/>
      <c r="D1311" s="14"/>
      <c r="E1311" s="15"/>
      <c r="F1311" s="16" t="str">
        <f aca="false">IF(OR(C1311="",D1311="",E1311=""),"",C1311*D1311*E1311)</f>
        <v/>
      </c>
      <c r="G1311" s="17" t="str">
        <f aca="false">IF(OR(D1311="",E1311=""),"",E1311*(1+D1311/30))</f>
        <v/>
      </c>
      <c r="H1311" s="19" t="n">
        <f aca="false">IF(G1311="",0,G1311)</f>
        <v>0</v>
      </c>
      <c r="I1311" s="18" t="str">
        <f aca="false">IF(H1311&gt;0,IF(H1311&gt;=SUMPRODUCT(MAX(($B$5:$B$2004=B1311)*$H$5:$H$2004)),"Rekor",""),"")</f>
        <v/>
      </c>
      <c r="J1311" s="19" t="n">
        <f aca="false">IF(A1311="",0,IF(COUNTIF(A$5:A1311,A1311)=1,1,0))</f>
        <v>0</v>
      </c>
    </row>
    <row r="1312" customFormat="false" ht="15" hidden="false" customHeight="false" outlineLevel="0" collapsed="false">
      <c r="A1312" s="12"/>
      <c r="B1312" s="13"/>
      <c r="C1312" s="14"/>
      <c r="D1312" s="14"/>
      <c r="E1312" s="15"/>
      <c r="F1312" s="16" t="str">
        <f aca="false">IF(OR(C1312="",D1312="",E1312=""),"",C1312*D1312*E1312)</f>
        <v/>
      </c>
      <c r="G1312" s="17" t="str">
        <f aca="false">IF(OR(D1312="",E1312=""),"",E1312*(1+D1312/30))</f>
        <v/>
      </c>
      <c r="H1312" s="19" t="n">
        <f aca="false">IF(G1312="",0,G1312)</f>
        <v>0</v>
      </c>
      <c r="I1312" s="18" t="str">
        <f aca="false">IF(H1312&gt;0,IF(H1312&gt;=SUMPRODUCT(MAX(($B$5:$B$2004=B1312)*$H$5:$H$2004)),"Rekor",""),"")</f>
        <v/>
      </c>
      <c r="J1312" s="19" t="n">
        <f aca="false">IF(A1312="",0,IF(COUNTIF(A$5:A1312,A1312)=1,1,0))</f>
        <v>0</v>
      </c>
    </row>
    <row r="1313" customFormat="false" ht="15" hidden="false" customHeight="false" outlineLevel="0" collapsed="false">
      <c r="A1313" s="12"/>
      <c r="B1313" s="13"/>
      <c r="C1313" s="14"/>
      <c r="D1313" s="14"/>
      <c r="E1313" s="15"/>
      <c r="F1313" s="16" t="str">
        <f aca="false">IF(OR(C1313="",D1313="",E1313=""),"",C1313*D1313*E1313)</f>
        <v/>
      </c>
      <c r="G1313" s="17" t="str">
        <f aca="false">IF(OR(D1313="",E1313=""),"",E1313*(1+D1313/30))</f>
        <v/>
      </c>
      <c r="H1313" s="19" t="n">
        <f aca="false">IF(G1313="",0,G1313)</f>
        <v>0</v>
      </c>
      <c r="I1313" s="18" t="str">
        <f aca="false">IF(H1313&gt;0,IF(H1313&gt;=SUMPRODUCT(MAX(($B$5:$B$2004=B1313)*$H$5:$H$2004)),"Rekor",""),"")</f>
        <v/>
      </c>
      <c r="J1313" s="19" t="n">
        <f aca="false">IF(A1313="",0,IF(COUNTIF(A$5:A1313,A1313)=1,1,0))</f>
        <v>0</v>
      </c>
    </row>
    <row r="1314" customFormat="false" ht="15" hidden="false" customHeight="false" outlineLevel="0" collapsed="false">
      <c r="A1314" s="12"/>
      <c r="B1314" s="13"/>
      <c r="C1314" s="14"/>
      <c r="D1314" s="14"/>
      <c r="E1314" s="15"/>
      <c r="F1314" s="16" t="str">
        <f aca="false">IF(OR(C1314="",D1314="",E1314=""),"",C1314*D1314*E1314)</f>
        <v/>
      </c>
      <c r="G1314" s="17" t="str">
        <f aca="false">IF(OR(D1314="",E1314=""),"",E1314*(1+D1314/30))</f>
        <v/>
      </c>
      <c r="H1314" s="19" t="n">
        <f aca="false">IF(G1314="",0,G1314)</f>
        <v>0</v>
      </c>
      <c r="I1314" s="18" t="str">
        <f aca="false">IF(H1314&gt;0,IF(H1314&gt;=SUMPRODUCT(MAX(($B$5:$B$2004=B1314)*$H$5:$H$2004)),"Rekor",""),"")</f>
        <v/>
      </c>
      <c r="J1314" s="19" t="n">
        <f aca="false">IF(A1314="",0,IF(COUNTIF(A$5:A1314,A1314)=1,1,0))</f>
        <v>0</v>
      </c>
    </row>
    <row r="1315" customFormat="false" ht="15" hidden="false" customHeight="false" outlineLevel="0" collapsed="false">
      <c r="A1315" s="12"/>
      <c r="B1315" s="13"/>
      <c r="C1315" s="14"/>
      <c r="D1315" s="14"/>
      <c r="E1315" s="15"/>
      <c r="F1315" s="16" t="str">
        <f aca="false">IF(OR(C1315="",D1315="",E1315=""),"",C1315*D1315*E1315)</f>
        <v/>
      </c>
      <c r="G1315" s="17" t="str">
        <f aca="false">IF(OR(D1315="",E1315=""),"",E1315*(1+D1315/30))</f>
        <v/>
      </c>
      <c r="H1315" s="19" t="n">
        <f aca="false">IF(G1315="",0,G1315)</f>
        <v>0</v>
      </c>
      <c r="I1315" s="18" t="str">
        <f aca="false">IF(H1315&gt;0,IF(H1315&gt;=SUMPRODUCT(MAX(($B$5:$B$2004=B1315)*$H$5:$H$2004)),"Rekor",""),"")</f>
        <v/>
      </c>
      <c r="J1315" s="19" t="n">
        <f aca="false">IF(A1315="",0,IF(COUNTIF(A$5:A1315,A1315)=1,1,0))</f>
        <v>0</v>
      </c>
    </row>
    <row r="1316" customFormat="false" ht="15" hidden="false" customHeight="false" outlineLevel="0" collapsed="false">
      <c r="A1316" s="12"/>
      <c r="B1316" s="13"/>
      <c r="C1316" s="14"/>
      <c r="D1316" s="14"/>
      <c r="E1316" s="15"/>
      <c r="F1316" s="16" t="str">
        <f aca="false">IF(OR(C1316="",D1316="",E1316=""),"",C1316*D1316*E1316)</f>
        <v/>
      </c>
      <c r="G1316" s="17" t="str">
        <f aca="false">IF(OR(D1316="",E1316=""),"",E1316*(1+D1316/30))</f>
        <v/>
      </c>
      <c r="H1316" s="19" t="n">
        <f aca="false">IF(G1316="",0,G1316)</f>
        <v>0</v>
      </c>
      <c r="I1316" s="18" t="str">
        <f aca="false">IF(H1316&gt;0,IF(H1316&gt;=SUMPRODUCT(MAX(($B$5:$B$2004=B1316)*$H$5:$H$2004)),"Rekor",""),"")</f>
        <v/>
      </c>
      <c r="J1316" s="19" t="n">
        <f aca="false">IF(A1316="",0,IF(COUNTIF(A$5:A1316,A1316)=1,1,0))</f>
        <v>0</v>
      </c>
    </row>
    <row r="1317" customFormat="false" ht="15" hidden="false" customHeight="false" outlineLevel="0" collapsed="false">
      <c r="A1317" s="12"/>
      <c r="B1317" s="13"/>
      <c r="C1317" s="14"/>
      <c r="D1317" s="14"/>
      <c r="E1317" s="15"/>
      <c r="F1317" s="16" t="str">
        <f aca="false">IF(OR(C1317="",D1317="",E1317=""),"",C1317*D1317*E1317)</f>
        <v/>
      </c>
      <c r="G1317" s="17" t="str">
        <f aca="false">IF(OR(D1317="",E1317=""),"",E1317*(1+D1317/30))</f>
        <v/>
      </c>
      <c r="H1317" s="19" t="n">
        <f aca="false">IF(G1317="",0,G1317)</f>
        <v>0</v>
      </c>
      <c r="I1317" s="18" t="str">
        <f aca="false">IF(H1317&gt;0,IF(H1317&gt;=SUMPRODUCT(MAX(($B$5:$B$2004=B1317)*$H$5:$H$2004)),"Rekor",""),"")</f>
        <v/>
      </c>
      <c r="J1317" s="19" t="n">
        <f aca="false">IF(A1317="",0,IF(COUNTIF(A$5:A1317,A1317)=1,1,0))</f>
        <v>0</v>
      </c>
    </row>
    <row r="1318" customFormat="false" ht="15" hidden="false" customHeight="false" outlineLevel="0" collapsed="false">
      <c r="A1318" s="12"/>
      <c r="B1318" s="13"/>
      <c r="C1318" s="14"/>
      <c r="D1318" s="14"/>
      <c r="E1318" s="15"/>
      <c r="F1318" s="16" t="str">
        <f aca="false">IF(OR(C1318="",D1318="",E1318=""),"",C1318*D1318*E1318)</f>
        <v/>
      </c>
      <c r="G1318" s="17" t="str">
        <f aca="false">IF(OR(D1318="",E1318=""),"",E1318*(1+D1318/30))</f>
        <v/>
      </c>
      <c r="H1318" s="19" t="n">
        <f aca="false">IF(G1318="",0,G1318)</f>
        <v>0</v>
      </c>
      <c r="I1318" s="18" t="str">
        <f aca="false">IF(H1318&gt;0,IF(H1318&gt;=SUMPRODUCT(MAX(($B$5:$B$2004=B1318)*$H$5:$H$2004)),"Rekor",""),"")</f>
        <v/>
      </c>
      <c r="J1318" s="19" t="n">
        <f aca="false">IF(A1318="",0,IF(COUNTIF(A$5:A1318,A1318)=1,1,0))</f>
        <v>0</v>
      </c>
    </row>
    <row r="1319" customFormat="false" ht="15" hidden="false" customHeight="false" outlineLevel="0" collapsed="false">
      <c r="A1319" s="12"/>
      <c r="B1319" s="13"/>
      <c r="C1319" s="14"/>
      <c r="D1319" s="14"/>
      <c r="E1319" s="15"/>
      <c r="F1319" s="16" t="str">
        <f aca="false">IF(OR(C1319="",D1319="",E1319=""),"",C1319*D1319*E1319)</f>
        <v/>
      </c>
      <c r="G1319" s="17" t="str">
        <f aca="false">IF(OR(D1319="",E1319=""),"",E1319*(1+D1319/30))</f>
        <v/>
      </c>
      <c r="H1319" s="19" t="n">
        <f aca="false">IF(G1319="",0,G1319)</f>
        <v>0</v>
      </c>
      <c r="I1319" s="18" t="str">
        <f aca="false">IF(H1319&gt;0,IF(H1319&gt;=SUMPRODUCT(MAX(($B$5:$B$2004=B1319)*$H$5:$H$2004)),"Rekor",""),"")</f>
        <v/>
      </c>
      <c r="J1319" s="19" t="n">
        <f aca="false">IF(A1319="",0,IF(COUNTIF(A$5:A1319,A1319)=1,1,0))</f>
        <v>0</v>
      </c>
    </row>
    <row r="1320" customFormat="false" ht="15" hidden="false" customHeight="false" outlineLevel="0" collapsed="false">
      <c r="A1320" s="12"/>
      <c r="B1320" s="13"/>
      <c r="C1320" s="14"/>
      <c r="D1320" s="14"/>
      <c r="E1320" s="15"/>
      <c r="F1320" s="16" t="str">
        <f aca="false">IF(OR(C1320="",D1320="",E1320=""),"",C1320*D1320*E1320)</f>
        <v/>
      </c>
      <c r="G1320" s="17" t="str">
        <f aca="false">IF(OR(D1320="",E1320=""),"",E1320*(1+D1320/30))</f>
        <v/>
      </c>
      <c r="H1320" s="19" t="n">
        <f aca="false">IF(G1320="",0,G1320)</f>
        <v>0</v>
      </c>
      <c r="I1320" s="18" t="str">
        <f aca="false">IF(H1320&gt;0,IF(H1320&gt;=SUMPRODUCT(MAX(($B$5:$B$2004=B1320)*$H$5:$H$2004)),"Rekor",""),"")</f>
        <v/>
      </c>
      <c r="J1320" s="19" t="n">
        <f aca="false">IF(A1320="",0,IF(COUNTIF(A$5:A1320,A1320)=1,1,0))</f>
        <v>0</v>
      </c>
    </row>
    <row r="1321" customFormat="false" ht="15" hidden="false" customHeight="false" outlineLevel="0" collapsed="false">
      <c r="A1321" s="12"/>
      <c r="B1321" s="13"/>
      <c r="C1321" s="14"/>
      <c r="D1321" s="14"/>
      <c r="E1321" s="15"/>
      <c r="F1321" s="16" t="str">
        <f aca="false">IF(OR(C1321="",D1321="",E1321=""),"",C1321*D1321*E1321)</f>
        <v/>
      </c>
      <c r="G1321" s="17" t="str">
        <f aca="false">IF(OR(D1321="",E1321=""),"",E1321*(1+D1321/30))</f>
        <v/>
      </c>
      <c r="H1321" s="19" t="n">
        <f aca="false">IF(G1321="",0,G1321)</f>
        <v>0</v>
      </c>
      <c r="I1321" s="18" t="str">
        <f aca="false">IF(H1321&gt;0,IF(H1321&gt;=SUMPRODUCT(MAX(($B$5:$B$2004=B1321)*$H$5:$H$2004)),"Rekor",""),"")</f>
        <v/>
      </c>
      <c r="J1321" s="19" t="n">
        <f aca="false">IF(A1321="",0,IF(COUNTIF(A$5:A1321,A1321)=1,1,0))</f>
        <v>0</v>
      </c>
    </row>
    <row r="1322" customFormat="false" ht="15" hidden="false" customHeight="false" outlineLevel="0" collapsed="false">
      <c r="A1322" s="12"/>
      <c r="B1322" s="13"/>
      <c r="C1322" s="14"/>
      <c r="D1322" s="14"/>
      <c r="E1322" s="15"/>
      <c r="F1322" s="16" t="str">
        <f aca="false">IF(OR(C1322="",D1322="",E1322=""),"",C1322*D1322*E1322)</f>
        <v/>
      </c>
      <c r="G1322" s="17" t="str">
        <f aca="false">IF(OR(D1322="",E1322=""),"",E1322*(1+D1322/30))</f>
        <v/>
      </c>
      <c r="H1322" s="19" t="n">
        <f aca="false">IF(G1322="",0,G1322)</f>
        <v>0</v>
      </c>
      <c r="I1322" s="18" t="str">
        <f aca="false">IF(H1322&gt;0,IF(H1322&gt;=SUMPRODUCT(MAX(($B$5:$B$2004=B1322)*$H$5:$H$2004)),"Rekor",""),"")</f>
        <v/>
      </c>
      <c r="J1322" s="19" t="n">
        <f aca="false">IF(A1322="",0,IF(COUNTIF(A$5:A1322,A1322)=1,1,0))</f>
        <v>0</v>
      </c>
    </row>
    <row r="1323" customFormat="false" ht="15" hidden="false" customHeight="false" outlineLevel="0" collapsed="false">
      <c r="A1323" s="12"/>
      <c r="B1323" s="13"/>
      <c r="C1323" s="14"/>
      <c r="D1323" s="14"/>
      <c r="E1323" s="15"/>
      <c r="F1323" s="16" t="str">
        <f aca="false">IF(OR(C1323="",D1323="",E1323=""),"",C1323*D1323*E1323)</f>
        <v/>
      </c>
      <c r="G1323" s="17" t="str">
        <f aca="false">IF(OR(D1323="",E1323=""),"",E1323*(1+D1323/30))</f>
        <v/>
      </c>
      <c r="H1323" s="19" t="n">
        <f aca="false">IF(G1323="",0,G1323)</f>
        <v>0</v>
      </c>
      <c r="I1323" s="18" t="str">
        <f aca="false">IF(H1323&gt;0,IF(H1323&gt;=SUMPRODUCT(MAX(($B$5:$B$2004=B1323)*$H$5:$H$2004)),"Rekor",""),"")</f>
        <v/>
      </c>
      <c r="J1323" s="19" t="n">
        <f aca="false">IF(A1323="",0,IF(COUNTIF(A$5:A1323,A1323)=1,1,0))</f>
        <v>0</v>
      </c>
    </row>
    <row r="1324" customFormat="false" ht="15" hidden="false" customHeight="false" outlineLevel="0" collapsed="false">
      <c r="A1324" s="12"/>
      <c r="B1324" s="13"/>
      <c r="C1324" s="14"/>
      <c r="D1324" s="14"/>
      <c r="E1324" s="15"/>
      <c r="F1324" s="16" t="str">
        <f aca="false">IF(OR(C1324="",D1324="",E1324=""),"",C1324*D1324*E1324)</f>
        <v/>
      </c>
      <c r="G1324" s="17" t="str">
        <f aca="false">IF(OR(D1324="",E1324=""),"",E1324*(1+D1324/30))</f>
        <v/>
      </c>
      <c r="H1324" s="19" t="n">
        <f aca="false">IF(G1324="",0,G1324)</f>
        <v>0</v>
      </c>
      <c r="I1324" s="18" t="str">
        <f aca="false">IF(H1324&gt;0,IF(H1324&gt;=SUMPRODUCT(MAX(($B$5:$B$2004=B1324)*$H$5:$H$2004)),"Rekor",""),"")</f>
        <v/>
      </c>
      <c r="J1324" s="19" t="n">
        <f aca="false">IF(A1324="",0,IF(COUNTIF(A$5:A1324,A1324)=1,1,0))</f>
        <v>0</v>
      </c>
    </row>
    <row r="1325" customFormat="false" ht="15" hidden="false" customHeight="false" outlineLevel="0" collapsed="false">
      <c r="A1325" s="12"/>
      <c r="B1325" s="13"/>
      <c r="C1325" s="14"/>
      <c r="D1325" s="14"/>
      <c r="E1325" s="15"/>
      <c r="F1325" s="16" t="str">
        <f aca="false">IF(OR(C1325="",D1325="",E1325=""),"",C1325*D1325*E1325)</f>
        <v/>
      </c>
      <c r="G1325" s="17" t="str">
        <f aca="false">IF(OR(D1325="",E1325=""),"",E1325*(1+D1325/30))</f>
        <v/>
      </c>
      <c r="H1325" s="19" t="n">
        <f aca="false">IF(G1325="",0,G1325)</f>
        <v>0</v>
      </c>
      <c r="I1325" s="18" t="str">
        <f aca="false">IF(H1325&gt;0,IF(H1325&gt;=SUMPRODUCT(MAX(($B$5:$B$2004=B1325)*$H$5:$H$2004)),"Rekor",""),"")</f>
        <v/>
      </c>
      <c r="J1325" s="19" t="n">
        <f aca="false">IF(A1325="",0,IF(COUNTIF(A$5:A1325,A1325)=1,1,0))</f>
        <v>0</v>
      </c>
    </row>
    <row r="1326" customFormat="false" ht="15" hidden="false" customHeight="false" outlineLevel="0" collapsed="false">
      <c r="A1326" s="12"/>
      <c r="B1326" s="13"/>
      <c r="C1326" s="14"/>
      <c r="D1326" s="14"/>
      <c r="E1326" s="15"/>
      <c r="F1326" s="16" t="str">
        <f aca="false">IF(OR(C1326="",D1326="",E1326=""),"",C1326*D1326*E1326)</f>
        <v/>
      </c>
      <c r="G1326" s="17" t="str">
        <f aca="false">IF(OR(D1326="",E1326=""),"",E1326*(1+D1326/30))</f>
        <v/>
      </c>
      <c r="H1326" s="19" t="n">
        <f aca="false">IF(G1326="",0,G1326)</f>
        <v>0</v>
      </c>
      <c r="I1326" s="18" t="str">
        <f aca="false">IF(H1326&gt;0,IF(H1326&gt;=SUMPRODUCT(MAX(($B$5:$B$2004=B1326)*$H$5:$H$2004)),"Rekor",""),"")</f>
        <v/>
      </c>
      <c r="J1326" s="19" t="n">
        <f aca="false">IF(A1326="",0,IF(COUNTIF(A$5:A1326,A1326)=1,1,0))</f>
        <v>0</v>
      </c>
    </row>
    <row r="1327" customFormat="false" ht="15" hidden="false" customHeight="false" outlineLevel="0" collapsed="false">
      <c r="A1327" s="12"/>
      <c r="B1327" s="13"/>
      <c r="C1327" s="14"/>
      <c r="D1327" s="14"/>
      <c r="E1327" s="15"/>
      <c r="F1327" s="16" t="str">
        <f aca="false">IF(OR(C1327="",D1327="",E1327=""),"",C1327*D1327*E1327)</f>
        <v/>
      </c>
      <c r="G1327" s="17" t="str">
        <f aca="false">IF(OR(D1327="",E1327=""),"",E1327*(1+D1327/30))</f>
        <v/>
      </c>
      <c r="H1327" s="19" t="n">
        <f aca="false">IF(G1327="",0,G1327)</f>
        <v>0</v>
      </c>
      <c r="I1327" s="18" t="str">
        <f aca="false">IF(H1327&gt;0,IF(H1327&gt;=SUMPRODUCT(MAX(($B$5:$B$2004=B1327)*$H$5:$H$2004)),"Rekor",""),"")</f>
        <v/>
      </c>
      <c r="J1327" s="19" t="n">
        <f aca="false">IF(A1327="",0,IF(COUNTIF(A$5:A1327,A1327)=1,1,0))</f>
        <v>0</v>
      </c>
    </row>
    <row r="1328" customFormat="false" ht="15" hidden="false" customHeight="false" outlineLevel="0" collapsed="false">
      <c r="A1328" s="12"/>
      <c r="B1328" s="13"/>
      <c r="C1328" s="14"/>
      <c r="D1328" s="14"/>
      <c r="E1328" s="15"/>
      <c r="F1328" s="16" t="str">
        <f aca="false">IF(OR(C1328="",D1328="",E1328=""),"",C1328*D1328*E1328)</f>
        <v/>
      </c>
      <c r="G1328" s="17" t="str">
        <f aca="false">IF(OR(D1328="",E1328=""),"",E1328*(1+D1328/30))</f>
        <v/>
      </c>
      <c r="H1328" s="19" t="n">
        <f aca="false">IF(G1328="",0,G1328)</f>
        <v>0</v>
      </c>
      <c r="I1328" s="18" t="str">
        <f aca="false">IF(H1328&gt;0,IF(H1328&gt;=SUMPRODUCT(MAX(($B$5:$B$2004=B1328)*$H$5:$H$2004)),"Rekor",""),"")</f>
        <v/>
      </c>
      <c r="J1328" s="19" t="n">
        <f aca="false">IF(A1328="",0,IF(COUNTIF(A$5:A1328,A1328)=1,1,0))</f>
        <v>0</v>
      </c>
    </row>
    <row r="1329" customFormat="false" ht="15" hidden="false" customHeight="false" outlineLevel="0" collapsed="false">
      <c r="A1329" s="12"/>
      <c r="B1329" s="13"/>
      <c r="C1329" s="14"/>
      <c r="D1329" s="14"/>
      <c r="E1329" s="15"/>
      <c r="F1329" s="16" t="str">
        <f aca="false">IF(OR(C1329="",D1329="",E1329=""),"",C1329*D1329*E1329)</f>
        <v/>
      </c>
      <c r="G1329" s="17" t="str">
        <f aca="false">IF(OR(D1329="",E1329=""),"",E1329*(1+D1329/30))</f>
        <v/>
      </c>
      <c r="H1329" s="19" t="n">
        <f aca="false">IF(G1329="",0,G1329)</f>
        <v>0</v>
      </c>
      <c r="I1329" s="18" t="str">
        <f aca="false">IF(H1329&gt;0,IF(H1329&gt;=SUMPRODUCT(MAX(($B$5:$B$2004=B1329)*$H$5:$H$2004)),"Rekor",""),"")</f>
        <v/>
      </c>
      <c r="J1329" s="19" t="n">
        <f aca="false">IF(A1329="",0,IF(COUNTIF(A$5:A1329,A1329)=1,1,0))</f>
        <v>0</v>
      </c>
    </row>
    <row r="1330" customFormat="false" ht="15" hidden="false" customHeight="false" outlineLevel="0" collapsed="false">
      <c r="A1330" s="12"/>
      <c r="B1330" s="13"/>
      <c r="C1330" s="14"/>
      <c r="D1330" s="14"/>
      <c r="E1330" s="15"/>
      <c r="F1330" s="16" t="str">
        <f aca="false">IF(OR(C1330="",D1330="",E1330=""),"",C1330*D1330*E1330)</f>
        <v/>
      </c>
      <c r="G1330" s="17" t="str">
        <f aca="false">IF(OR(D1330="",E1330=""),"",E1330*(1+D1330/30))</f>
        <v/>
      </c>
      <c r="H1330" s="19" t="n">
        <f aca="false">IF(G1330="",0,G1330)</f>
        <v>0</v>
      </c>
      <c r="I1330" s="18" t="str">
        <f aca="false">IF(H1330&gt;0,IF(H1330&gt;=SUMPRODUCT(MAX(($B$5:$B$2004=B1330)*$H$5:$H$2004)),"Rekor",""),"")</f>
        <v/>
      </c>
      <c r="J1330" s="19" t="n">
        <f aca="false">IF(A1330="",0,IF(COUNTIF(A$5:A1330,A1330)=1,1,0))</f>
        <v>0</v>
      </c>
    </row>
    <row r="1331" customFormat="false" ht="15" hidden="false" customHeight="false" outlineLevel="0" collapsed="false">
      <c r="A1331" s="12"/>
      <c r="B1331" s="13"/>
      <c r="C1331" s="14"/>
      <c r="D1331" s="14"/>
      <c r="E1331" s="15"/>
      <c r="F1331" s="16" t="str">
        <f aca="false">IF(OR(C1331="",D1331="",E1331=""),"",C1331*D1331*E1331)</f>
        <v/>
      </c>
      <c r="G1331" s="17" t="str">
        <f aca="false">IF(OR(D1331="",E1331=""),"",E1331*(1+D1331/30))</f>
        <v/>
      </c>
      <c r="H1331" s="19" t="n">
        <f aca="false">IF(G1331="",0,G1331)</f>
        <v>0</v>
      </c>
      <c r="I1331" s="18" t="str">
        <f aca="false">IF(H1331&gt;0,IF(H1331&gt;=SUMPRODUCT(MAX(($B$5:$B$2004=B1331)*$H$5:$H$2004)),"Rekor",""),"")</f>
        <v/>
      </c>
      <c r="J1331" s="19" t="n">
        <f aca="false">IF(A1331="",0,IF(COUNTIF(A$5:A1331,A1331)=1,1,0))</f>
        <v>0</v>
      </c>
    </row>
    <row r="1332" customFormat="false" ht="15" hidden="false" customHeight="false" outlineLevel="0" collapsed="false">
      <c r="A1332" s="12"/>
      <c r="B1332" s="13"/>
      <c r="C1332" s="14"/>
      <c r="D1332" s="14"/>
      <c r="E1332" s="15"/>
      <c r="F1332" s="16" t="str">
        <f aca="false">IF(OR(C1332="",D1332="",E1332=""),"",C1332*D1332*E1332)</f>
        <v/>
      </c>
      <c r="G1332" s="17" t="str">
        <f aca="false">IF(OR(D1332="",E1332=""),"",E1332*(1+D1332/30))</f>
        <v/>
      </c>
      <c r="H1332" s="19" t="n">
        <f aca="false">IF(G1332="",0,G1332)</f>
        <v>0</v>
      </c>
      <c r="I1332" s="18" t="str">
        <f aca="false">IF(H1332&gt;0,IF(H1332&gt;=SUMPRODUCT(MAX(($B$5:$B$2004=B1332)*$H$5:$H$2004)),"Rekor",""),"")</f>
        <v/>
      </c>
      <c r="J1332" s="19" t="n">
        <f aca="false">IF(A1332="",0,IF(COUNTIF(A$5:A1332,A1332)=1,1,0))</f>
        <v>0</v>
      </c>
    </row>
    <row r="1333" customFormat="false" ht="15" hidden="false" customHeight="false" outlineLevel="0" collapsed="false">
      <c r="A1333" s="12"/>
      <c r="B1333" s="13"/>
      <c r="C1333" s="14"/>
      <c r="D1333" s="14"/>
      <c r="E1333" s="15"/>
      <c r="F1333" s="16" t="str">
        <f aca="false">IF(OR(C1333="",D1333="",E1333=""),"",C1333*D1333*E1333)</f>
        <v/>
      </c>
      <c r="G1333" s="17" t="str">
        <f aca="false">IF(OR(D1333="",E1333=""),"",E1333*(1+D1333/30))</f>
        <v/>
      </c>
      <c r="H1333" s="19" t="n">
        <f aca="false">IF(G1333="",0,G1333)</f>
        <v>0</v>
      </c>
      <c r="I1333" s="18" t="str">
        <f aca="false">IF(H1333&gt;0,IF(H1333&gt;=SUMPRODUCT(MAX(($B$5:$B$2004=B1333)*$H$5:$H$2004)),"Rekor",""),"")</f>
        <v/>
      </c>
      <c r="J1333" s="19" t="n">
        <f aca="false">IF(A1333="",0,IF(COUNTIF(A$5:A1333,A1333)=1,1,0))</f>
        <v>0</v>
      </c>
    </row>
    <row r="1334" customFormat="false" ht="15" hidden="false" customHeight="false" outlineLevel="0" collapsed="false">
      <c r="A1334" s="12"/>
      <c r="B1334" s="13"/>
      <c r="C1334" s="14"/>
      <c r="D1334" s="14"/>
      <c r="E1334" s="15"/>
      <c r="F1334" s="16" t="str">
        <f aca="false">IF(OR(C1334="",D1334="",E1334=""),"",C1334*D1334*E1334)</f>
        <v/>
      </c>
      <c r="G1334" s="17" t="str">
        <f aca="false">IF(OR(D1334="",E1334=""),"",E1334*(1+D1334/30))</f>
        <v/>
      </c>
      <c r="H1334" s="19" t="n">
        <f aca="false">IF(G1334="",0,G1334)</f>
        <v>0</v>
      </c>
      <c r="I1334" s="18" t="str">
        <f aca="false">IF(H1334&gt;0,IF(H1334&gt;=SUMPRODUCT(MAX(($B$5:$B$2004=B1334)*$H$5:$H$2004)),"Rekor",""),"")</f>
        <v/>
      </c>
      <c r="J1334" s="19" t="n">
        <f aca="false">IF(A1334="",0,IF(COUNTIF(A$5:A1334,A1334)=1,1,0))</f>
        <v>0</v>
      </c>
    </row>
    <row r="1335" customFormat="false" ht="15" hidden="false" customHeight="false" outlineLevel="0" collapsed="false">
      <c r="A1335" s="12"/>
      <c r="B1335" s="13"/>
      <c r="C1335" s="14"/>
      <c r="D1335" s="14"/>
      <c r="E1335" s="15"/>
      <c r="F1335" s="16" t="str">
        <f aca="false">IF(OR(C1335="",D1335="",E1335=""),"",C1335*D1335*E1335)</f>
        <v/>
      </c>
      <c r="G1335" s="17" t="str">
        <f aca="false">IF(OR(D1335="",E1335=""),"",E1335*(1+D1335/30))</f>
        <v/>
      </c>
      <c r="H1335" s="19" t="n">
        <f aca="false">IF(G1335="",0,G1335)</f>
        <v>0</v>
      </c>
      <c r="I1335" s="18" t="str">
        <f aca="false">IF(H1335&gt;0,IF(H1335&gt;=SUMPRODUCT(MAX(($B$5:$B$2004=B1335)*$H$5:$H$2004)),"Rekor",""),"")</f>
        <v/>
      </c>
      <c r="J1335" s="19" t="n">
        <f aca="false">IF(A1335="",0,IF(COUNTIF(A$5:A1335,A1335)=1,1,0))</f>
        <v>0</v>
      </c>
    </row>
    <row r="1336" customFormat="false" ht="15" hidden="false" customHeight="false" outlineLevel="0" collapsed="false">
      <c r="A1336" s="12"/>
      <c r="B1336" s="13"/>
      <c r="C1336" s="14"/>
      <c r="D1336" s="14"/>
      <c r="E1336" s="15"/>
      <c r="F1336" s="16" t="str">
        <f aca="false">IF(OR(C1336="",D1336="",E1336=""),"",C1336*D1336*E1336)</f>
        <v/>
      </c>
      <c r="G1336" s="17" t="str">
        <f aca="false">IF(OR(D1336="",E1336=""),"",E1336*(1+D1336/30))</f>
        <v/>
      </c>
      <c r="H1336" s="19" t="n">
        <f aca="false">IF(G1336="",0,G1336)</f>
        <v>0</v>
      </c>
      <c r="I1336" s="18" t="str">
        <f aca="false">IF(H1336&gt;0,IF(H1336&gt;=SUMPRODUCT(MAX(($B$5:$B$2004=B1336)*$H$5:$H$2004)),"Rekor",""),"")</f>
        <v/>
      </c>
      <c r="J1336" s="19" t="n">
        <f aca="false">IF(A1336="",0,IF(COUNTIF(A$5:A1336,A1336)=1,1,0))</f>
        <v>0</v>
      </c>
    </row>
    <row r="1337" customFormat="false" ht="15" hidden="false" customHeight="false" outlineLevel="0" collapsed="false">
      <c r="A1337" s="12"/>
      <c r="B1337" s="13"/>
      <c r="C1337" s="14"/>
      <c r="D1337" s="14"/>
      <c r="E1337" s="15"/>
      <c r="F1337" s="16" t="str">
        <f aca="false">IF(OR(C1337="",D1337="",E1337=""),"",C1337*D1337*E1337)</f>
        <v/>
      </c>
      <c r="G1337" s="17" t="str">
        <f aca="false">IF(OR(D1337="",E1337=""),"",E1337*(1+D1337/30))</f>
        <v/>
      </c>
      <c r="H1337" s="19" t="n">
        <f aca="false">IF(G1337="",0,G1337)</f>
        <v>0</v>
      </c>
      <c r="I1337" s="18" t="str">
        <f aca="false">IF(H1337&gt;0,IF(H1337&gt;=SUMPRODUCT(MAX(($B$5:$B$2004=B1337)*$H$5:$H$2004)),"Rekor",""),"")</f>
        <v/>
      </c>
      <c r="J1337" s="19" t="n">
        <f aca="false">IF(A1337="",0,IF(COUNTIF(A$5:A1337,A1337)=1,1,0))</f>
        <v>0</v>
      </c>
    </row>
    <row r="1338" customFormat="false" ht="15" hidden="false" customHeight="false" outlineLevel="0" collapsed="false">
      <c r="A1338" s="12"/>
      <c r="B1338" s="13"/>
      <c r="C1338" s="14"/>
      <c r="D1338" s="14"/>
      <c r="E1338" s="15"/>
      <c r="F1338" s="16" t="str">
        <f aca="false">IF(OR(C1338="",D1338="",E1338=""),"",C1338*D1338*E1338)</f>
        <v/>
      </c>
      <c r="G1338" s="17" t="str">
        <f aca="false">IF(OR(D1338="",E1338=""),"",E1338*(1+D1338/30))</f>
        <v/>
      </c>
      <c r="H1338" s="19" t="n">
        <f aca="false">IF(G1338="",0,G1338)</f>
        <v>0</v>
      </c>
      <c r="I1338" s="18" t="str">
        <f aca="false">IF(H1338&gt;0,IF(H1338&gt;=SUMPRODUCT(MAX(($B$5:$B$2004=B1338)*$H$5:$H$2004)),"Rekor",""),"")</f>
        <v/>
      </c>
      <c r="J1338" s="19" t="n">
        <f aca="false">IF(A1338="",0,IF(COUNTIF(A$5:A1338,A1338)=1,1,0))</f>
        <v>0</v>
      </c>
    </row>
    <row r="1339" customFormat="false" ht="15" hidden="false" customHeight="false" outlineLevel="0" collapsed="false">
      <c r="A1339" s="12"/>
      <c r="B1339" s="13"/>
      <c r="C1339" s="14"/>
      <c r="D1339" s="14"/>
      <c r="E1339" s="15"/>
      <c r="F1339" s="16" t="str">
        <f aca="false">IF(OR(C1339="",D1339="",E1339=""),"",C1339*D1339*E1339)</f>
        <v/>
      </c>
      <c r="G1339" s="17" t="str">
        <f aca="false">IF(OR(D1339="",E1339=""),"",E1339*(1+D1339/30))</f>
        <v/>
      </c>
      <c r="H1339" s="19" t="n">
        <f aca="false">IF(G1339="",0,G1339)</f>
        <v>0</v>
      </c>
      <c r="I1339" s="18" t="str">
        <f aca="false">IF(H1339&gt;0,IF(H1339&gt;=SUMPRODUCT(MAX(($B$5:$B$2004=B1339)*$H$5:$H$2004)),"Rekor",""),"")</f>
        <v/>
      </c>
      <c r="J1339" s="19" t="n">
        <f aca="false">IF(A1339="",0,IF(COUNTIF(A$5:A1339,A1339)=1,1,0))</f>
        <v>0</v>
      </c>
    </row>
    <row r="1340" customFormat="false" ht="15" hidden="false" customHeight="false" outlineLevel="0" collapsed="false">
      <c r="A1340" s="12"/>
      <c r="B1340" s="13"/>
      <c r="C1340" s="14"/>
      <c r="D1340" s="14"/>
      <c r="E1340" s="15"/>
      <c r="F1340" s="16" t="str">
        <f aca="false">IF(OR(C1340="",D1340="",E1340=""),"",C1340*D1340*E1340)</f>
        <v/>
      </c>
      <c r="G1340" s="17" t="str">
        <f aca="false">IF(OR(D1340="",E1340=""),"",E1340*(1+D1340/30))</f>
        <v/>
      </c>
      <c r="H1340" s="19" t="n">
        <f aca="false">IF(G1340="",0,G1340)</f>
        <v>0</v>
      </c>
      <c r="I1340" s="18" t="str">
        <f aca="false">IF(H1340&gt;0,IF(H1340&gt;=SUMPRODUCT(MAX(($B$5:$B$2004=B1340)*$H$5:$H$2004)),"Rekor",""),"")</f>
        <v/>
      </c>
      <c r="J1340" s="19" t="n">
        <f aca="false">IF(A1340="",0,IF(COUNTIF(A$5:A1340,A1340)=1,1,0))</f>
        <v>0</v>
      </c>
    </row>
    <row r="1341" customFormat="false" ht="15" hidden="false" customHeight="false" outlineLevel="0" collapsed="false">
      <c r="A1341" s="12"/>
      <c r="B1341" s="13"/>
      <c r="C1341" s="14"/>
      <c r="D1341" s="14"/>
      <c r="E1341" s="15"/>
      <c r="F1341" s="16" t="str">
        <f aca="false">IF(OR(C1341="",D1341="",E1341=""),"",C1341*D1341*E1341)</f>
        <v/>
      </c>
      <c r="G1341" s="17" t="str">
        <f aca="false">IF(OR(D1341="",E1341=""),"",E1341*(1+D1341/30))</f>
        <v/>
      </c>
      <c r="H1341" s="19" t="n">
        <f aca="false">IF(G1341="",0,G1341)</f>
        <v>0</v>
      </c>
      <c r="I1341" s="18" t="str">
        <f aca="false">IF(H1341&gt;0,IF(H1341&gt;=SUMPRODUCT(MAX(($B$5:$B$2004=B1341)*$H$5:$H$2004)),"Rekor",""),"")</f>
        <v/>
      </c>
      <c r="J1341" s="19" t="n">
        <f aca="false">IF(A1341="",0,IF(COUNTIF(A$5:A1341,A1341)=1,1,0))</f>
        <v>0</v>
      </c>
    </row>
    <row r="1342" customFormat="false" ht="15" hidden="false" customHeight="false" outlineLevel="0" collapsed="false">
      <c r="A1342" s="12"/>
      <c r="B1342" s="13"/>
      <c r="C1342" s="14"/>
      <c r="D1342" s="14"/>
      <c r="E1342" s="15"/>
      <c r="F1342" s="16" t="str">
        <f aca="false">IF(OR(C1342="",D1342="",E1342=""),"",C1342*D1342*E1342)</f>
        <v/>
      </c>
      <c r="G1342" s="17" t="str">
        <f aca="false">IF(OR(D1342="",E1342=""),"",E1342*(1+D1342/30))</f>
        <v/>
      </c>
      <c r="H1342" s="19" t="n">
        <f aca="false">IF(G1342="",0,G1342)</f>
        <v>0</v>
      </c>
      <c r="I1342" s="18" t="str">
        <f aca="false">IF(H1342&gt;0,IF(H1342&gt;=SUMPRODUCT(MAX(($B$5:$B$2004=B1342)*$H$5:$H$2004)),"Rekor",""),"")</f>
        <v/>
      </c>
      <c r="J1342" s="19" t="n">
        <f aca="false">IF(A1342="",0,IF(COUNTIF(A$5:A1342,A1342)=1,1,0))</f>
        <v>0</v>
      </c>
    </row>
    <row r="1343" customFormat="false" ht="15" hidden="false" customHeight="false" outlineLevel="0" collapsed="false">
      <c r="A1343" s="12"/>
      <c r="B1343" s="13"/>
      <c r="C1343" s="14"/>
      <c r="D1343" s="14"/>
      <c r="E1343" s="15"/>
      <c r="F1343" s="16" t="str">
        <f aca="false">IF(OR(C1343="",D1343="",E1343=""),"",C1343*D1343*E1343)</f>
        <v/>
      </c>
      <c r="G1343" s="17" t="str">
        <f aca="false">IF(OR(D1343="",E1343=""),"",E1343*(1+D1343/30))</f>
        <v/>
      </c>
      <c r="H1343" s="19" t="n">
        <f aca="false">IF(G1343="",0,G1343)</f>
        <v>0</v>
      </c>
      <c r="I1343" s="18" t="str">
        <f aca="false">IF(H1343&gt;0,IF(H1343&gt;=SUMPRODUCT(MAX(($B$5:$B$2004=B1343)*$H$5:$H$2004)),"Rekor",""),"")</f>
        <v/>
      </c>
      <c r="J1343" s="19" t="n">
        <f aca="false">IF(A1343="",0,IF(COUNTIF(A$5:A1343,A1343)=1,1,0))</f>
        <v>0</v>
      </c>
    </row>
    <row r="1344" customFormat="false" ht="15" hidden="false" customHeight="false" outlineLevel="0" collapsed="false">
      <c r="A1344" s="12"/>
      <c r="B1344" s="13"/>
      <c r="C1344" s="14"/>
      <c r="D1344" s="14"/>
      <c r="E1344" s="15"/>
      <c r="F1344" s="16" t="str">
        <f aca="false">IF(OR(C1344="",D1344="",E1344=""),"",C1344*D1344*E1344)</f>
        <v/>
      </c>
      <c r="G1344" s="17" t="str">
        <f aca="false">IF(OR(D1344="",E1344=""),"",E1344*(1+D1344/30))</f>
        <v/>
      </c>
      <c r="H1344" s="19" t="n">
        <f aca="false">IF(G1344="",0,G1344)</f>
        <v>0</v>
      </c>
      <c r="I1344" s="18" t="str">
        <f aca="false">IF(H1344&gt;0,IF(H1344&gt;=SUMPRODUCT(MAX(($B$5:$B$2004=B1344)*$H$5:$H$2004)),"Rekor",""),"")</f>
        <v/>
      </c>
      <c r="J1344" s="19" t="n">
        <f aca="false">IF(A1344="",0,IF(COUNTIF(A$5:A1344,A1344)=1,1,0))</f>
        <v>0</v>
      </c>
    </row>
    <row r="1345" customFormat="false" ht="15" hidden="false" customHeight="false" outlineLevel="0" collapsed="false">
      <c r="A1345" s="12"/>
      <c r="B1345" s="13"/>
      <c r="C1345" s="14"/>
      <c r="D1345" s="14"/>
      <c r="E1345" s="15"/>
      <c r="F1345" s="16" t="str">
        <f aca="false">IF(OR(C1345="",D1345="",E1345=""),"",C1345*D1345*E1345)</f>
        <v/>
      </c>
      <c r="G1345" s="17" t="str">
        <f aca="false">IF(OR(D1345="",E1345=""),"",E1345*(1+D1345/30))</f>
        <v/>
      </c>
      <c r="H1345" s="19" t="n">
        <f aca="false">IF(G1345="",0,G1345)</f>
        <v>0</v>
      </c>
      <c r="I1345" s="18" t="str">
        <f aca="false">IF(H1345&gt;0,IF(H1345&gt;=SUMPRODUCT(MAX(($B$5:$B$2004=B1345)*$H$5:$H$2004)),"Rekor",""),"")</f>
        <v/>
      </c>
      <c r="J1345" s="19" t="n">
        <f aca="false">IF(A1345="",0,IF(COUNTIF(A$5:A1345,A1345)=1,1,0))</f>
        <v>0</v>
      </c>
    </row>
    <row r="1346" customFormat="false" ht="15" hidden="false" customHeight="false" outlineLevel="0" collapsed="false">
      <c r="A1346" s="12"/>
      <c r="B1346" s="13"/>
      <c r="C1346" s="14"/>
      <c r="D1346" s="14"/>
      <c r="E1346" s="15"/>
      <c r="F1346" s="16" t="str">
        <f aca="false">IF(OR(C1346="",D1346="",E1346=""),"",C1346*D1346*E1346)</f>
        <v/>
      </c>
      <c r="G1346" s="17" t="str">
        <f aca="false">IF(OR(D1346="",E1346=""),"",E1346*(1+D1346/30))</f>
        <v/>
      </c>
      <c r="H1346" s="19" t="n">
        <f aca="false">IF(G1346="",0,G1346)</f>
        <v>0</v>
      </c>
      <c r="I1346" s="18" t="str">
        <f aca="false">IF(H1346&gt;0,IF(H1346&gt;=SUMPRODUCT(MAX(($B$5:$B$2004=B1346)*$H$5:$H$2004)),"Rekor",""),"")</f>
        <v/>
      </c>
      <c r="J1346" s="19" t="n">
        <f aca="false">IF(A1346="",0,IF(COUNTIF(A$5:A1346,A1346)=1,1,0))</f>
        <v>0</v>
      </c>
    </row>
    <row r="1347" customFormat="false" ht="15" hidden="false" customHeight="false" outlineLevel="0" collapsed="false">
      <c r="A1347" s="12"/>
      <c r="B1347" s="13"/>
      <c r="C1347" s="14"/>
      <c r="D1347" s="14"/>
      <c r="E1347" s="15"/>
      <c r="F1347" s="16" t="str">
        <f aca="false">IF(OR(C1347="",D1347="",E1347=""),"",C1347*D1347*E1347)</f>
        <v/>
      </c>
      <c r="G1347" s="17" t="str">
        <f aca="false">IF(OR(D1347="",E1347=""),"",E1347*(1+D1347/30))</f>
        <v/>
      </c>
      <c r="H1347" s="19" t="n">
        <f aca="false">IF(G1347="",0,G1347)</f>
        <v>0</v>
      </c>
      <c r="I1347" s="18" t="str">
        <f aca="false">IF(H1347&gt;0,IF(H1347&gt;=SUMPRODUCT(MAX(($B$5:$B$2004=B1347)*$H$5:$H$2004)),"Rekor",""),"")</f>
        <v/>
      </c>
      <c r="J1347" s="19" t="n">
        <f aca="false">IF(A1347="",0,IF(COUNTIF(A$5:A1347,A1347)=1,1,0))</f>
        <v>0</v>
      </c>
    </row>
    <row r="1348" customFormat="false" ht="15" hidden="false" customHeight="false" outlineLevel="0" collapsed="false">
      <c r="A1348" s="12"/>
      <c r="B1348" s="13"/>
      <c r="C1348" s="14"/>
      <c r="D1348" s="14"/>
      <c r="E1348" s="15"/>
      <c r="F1348" s="16" t="str">
        <f aca="false">IF(OR(C1348="",D1348="",E1348=""),"",C1348*D1348*E1348)</f>
        <v/>
      </c>
      <c r="G1348" s="17" t="str">
        <f aca="false">IF(OR(D1348="",E1348=""),"",E1348*(1+D1348/30))</f>
        <v/>
      </c>
      <c r="H1348" s="19" t="n">
        <f aca="false">IF(G1348="",0,G1348)</f>
        <v>0</v>
      </c>
      <c r="I1348" s="18" t="str">
        <f aca="false">IF(H1348&gt;0,IF(H1348&gt;=SUMPRODUCT(MAX(($B$5:$B$2004=B1348)*$H$5:$H$2004)),"Rekor",""),"")</f>
        <v/>
      </c>
      <c r="J1348" s="19" t="n">
        <f aca="false">IF(A1348="",0,IF(COUNTIF(A$5:A1348,A1348)=1,1,0))</f>
        <v>0</v>
      </c>
    </row>
    <row r="1349" customFormat="false" ht="15" hidden="false" customHeight="false" outlineLevel="0" collapsed="false">
      <c r="A1349" s="12"/>
      <c r="B1349" s="13"/>
      <c r="C1349" s="14"/>
      <c r="D1349" s="14"/>
      <c r="E1349" s="15"/>
      <c r="F1349" s="16" t="str">
        <f aca="false">IF(OR(C1349="",D1349="",E1349=""),"",C1349*D1349*E1349)</f>
        <v/>
      </c>
      <c r="G1349" s="17" t="str">
        <f aca="false">IF(OR(D1349="",E1349=""),"",E1349*(1+D1349/30))</f>
        <v/>
      </c>
      <c r="H1349" s="19" t="n">
        <f aca="false">IF(G1349="",0,G1349)</f>
        <v>0</v>
      </c>
      <c r="I1349" s="18" t="str">
        <f aca="false">IF(H1349&gt;0,IF(H1349&gt;=SUMPRODUCT(MAX(($B$5:$B$2004=B1349)*$H$5:$H$2004)),"Rekor",""),"")</f>
        <v/>
      </c>
      <c r="J1349" s="19" t="n">
        <f aca="false">IF(A1349="",0,IF(COUNTIF(A$5:A1349,A1349)=1,1,0))</f>
        <v>0</v>
      </c>
    </row>
    <row r="1350" customFormat="false" ht="15" hidden="false" customHeight="false" outlineLevel="0" collapsed="false">
      <c r="A1350" s="12"/>
      <c r="B1350" s="13"/>
      <c r="C1350" s="14"/>
      <c r="D1350" s="14"/>
      <c r="E1350" s="15"/>
      <c r="F1350" s="16" t="str">
        <f aca="false">IF(OR(C1350="",D1350="",E1350=""),"",C1350*D1350*E1350)</f>
        <v/>
      </c>
      <c r="G1350" s="17" t="str">
        <f aca="false">IF(OR(D1350="",E1350=""),"",E1350*(1+D1350/30))</f>
        <v/>
      </c>
      <c r="H1350" s="19" t="n">
        <f aca="false">IF(G1350="",0,G1350)</f>
        <v>0</v>
      </c>
      <c r="I1350" s="18" t="str">
        <f aca="false">IF(H1350&gt;0,IF(H1350&gt;=SUMPRODUCT(MAX(($B$5:$B$2004=B1350)*$H$5:$H$2004)),"Rekor",""),"")</f>
        <v/>
      </c>
      <c r="J1350" s="19" t="n">
        <f aca="false">IF(A1350="",0,IF(COUNTIF(A$5:A1350,A1350)=1,1,0))</f>
        <v>0</v>
      </c>
    </row>
    <row r="1351" customFormat="false" ht="15" hidden="false" customHeight="false" outlineLevel="0" collapsed="false">
      <c r="A1351" s="12"/>
      <c r="B1351" s="13"/>
      <c r="C1351" s="14"/>
      <c r="D1351" s="14"/>
      <c r="E1351" s="15"/>
      <c r="F1351" s="16" t="str">
        <f aca="false">IF(OR(C1351="",D1351="",E1351=""),"",C1351*D1351*E1351)</f>
        <v/>
      </c>
      <c r="G1351" s="17" t="str">
        <f aca="false">IF(OR(D1351="",E1351=""),"",E1351*(1+D1351/30))</f>
        <v/>
      </c>
      <c r="H1351" s="19" t="n">
        <f aca="false">IF(G1351="",0,G1351)</f>
        <v>0</v>
      </c>
      <c r="I1351" s="18" t="str">
        <f aca="false">IF(H1351&gt;0,IF(H1351&gt;=SUMPRODUCT(MAX(($B$5:$B$2004=B1351)*$H$5:$H$2004)),"Rekor",""),"")</f>
        <v/>
      </c>
      <c r="J1351" s="19" t="n">
        <f aca="false">IF(A1351="",0,IF(COUNTIF(A$5:A1351,A1351)=1,1,0))</f>
        <v>0</v>
      </c>
    </row>
    <row r="1352" customFormat="false" ht="15" hidden="false" customHeight="false" outlineLevel="0" collapsed="false">
      <c r="A1352" s="12"/>
      <c r="B1352" s="13"/>
      <c r="C1352" s="14"/>
      <c r="D1352" s="14"/>
      <c r="E1352" s="15"/>
      <c r="F1352" s="16" t="str">
        <f aca="false">IF(OR(C1352="",D1352="",E1352=""),"",C1352*D1352*E1352)</f>
        <v/>
      </c>
      <c r="G1352" s="17" t="str">
        <f aca="false">IF(OR(D1352="",E1352=""),"",E1352*(1+D1352/30))</f>
        <v/>
      </c>
      <c r="H1352" s="19" t="n">
        <f aca="false">IF(G1352="",0,G1352)</f>
        <v>0</v>
      </c>
      <c r="I1352" s="18" t="str">
        <f aca="false">IF(H1352&gt;0,IF(H1352&gt;=SUMPRODUCT(MAX(($B$5:$B$2004=B1352)*$H$5:$H$2004)),"Rekor",""),"")</f>
        <v/>
      </c>
      <c r="J1352" s="19" t="n">
        <f aca="false">IF(A1352="",0,IF(COUNTIF(A$5:A1352,A1352)=1,1,0))</f>
        <v>0</v>
      </c>
    </row>
    <row r="1353" customFormat="false" ht="15" hidden="false" customHeight="false" outlineLevel="0" collapsed="false">
      <c r="A1353" s="12"/>
      <c r="B1353" s="13"/>
      <c r="C1353" s="14"/>
      <c r="D1353" s="14"/>
      <c r="E1353" s="15"/>
      <c r="F1353" s="16" t="str">
        <f aca="false">IF(OR(C1353="",D1353="",E1353=""),"",C1353*D1353*E1353)</f>
        <v/>
      </c>
      <c r="G1353" s="17" t="str">
        <f aca="false">IF(OR(D1353="",E1353=""),"",E1353*(1+D1353/30))</f>
        <v/>
      </c>
      <c r="H1353" s="19" t="n">
        <f aca="false">IF(G1353="",0,G1353)</f>
        <v>0</v>
      </c>
      <c r="I1353" s="18" t="str">
        <f aca="false">IF(H1353&gt;0,IF(H1353&gt;=SUMPRODUCT(MAX(($B$5:$B$2004=B1353)*$H$5:$H$2004)),"Rekor",""),"")</f>
        <v/>
      </c>
      <c r="J1353" s="19" t="n">
        <f aca="false">IF(A1353="",0,IF(COUNTIF(A$5:A1353,A1353)=1,1,0))</f>
        <v>0</v>
      </c>
    </row>
    <row r="1354" customFormat="false" ht="15" hidden="false" customHeight="false" outlineLevel="0" collapsed="false">
      <c r="A1354" s="12"/>
      <c r="B1354" s="13"/>
      <c r="C1354" s="14"/>
      <c r="D1354" s="14"/>
      <c r="E1354" s="15"/>
      <c r="F1354" s="16" t="str">
        <f aca="false">IF(OR(C1354="",D1354="",E1354=""),"",C1354*D1354*E1354)</f>
        <v/>
      </c>
      <c r="G1354" s="17" t="str">
        <f aca="false">IF(OR(D1354="",E1354=""),"",E1354*(1+D1354/30))</f>
        <v/>
      </c>
      <c r="H1354" s="19" t="n">
        <f aca="false">IF(G1354="",0,G1354)</f>
        <v>0</v>
      </c>
      <c r="I1354" s="18" t="str">
        <f aca="false">IF(H1354&gt;0,IF(H1354&gt;=SUMPRODUCT(MAX(($B$5:$B$2004=B1354)*$H$5:$H$2004)),"Rekor",""),"")</f>
        <v/>
      </c>
      <c r="J1354" s="19" t="n">
        <f aca="false">IF(A1354="",0,IF(COUNTIF(A$5:A1354,A1354)=1,1,0))</f>
        <v>0</v>
      </c>
    </row>
    <row r="1355" customFormat="false" ht="15" hidden="false" customHeight="false" outlineLevel="0" collapsed="false">
      <c r="A1355" s="12"/>
      <c r="B1355" s="13"/>
      <c r="C1355" s="14"/>
      <c r="D1355" s="14"/>
      <c r="E1355" s="15"/>
      <c r="F1355" s="16" t="str">
        <f aca="false">IF(OR(C1355="",D1355="",E1355=""),"",C1355*D1355*E1355)</f>
        <v/>
      </c>
      <c r="G1355" s="17" t="str">
        <f aca="false">IF(OR(D1355="",E1355=""),"",E1355*(1+D1355/30))</f>
        <v/>
      </c>
      <c r="H1355" s="19" t="n">
        <f aca="false">IF(G1355="",0,G1355)</f>
        <v>0</v>
      </c>
      <c r="I1355" s="18" t="str">
        <f aca="false">IF(H1355&gt;0,IF(H1355&gt;=SUMPRODUCT(MAX(($B$5:$B$2004=B1355)*$H$5:$H$2004)),"Rekor",""),"")</f>
        <v/>
      </c>
      <c r="J1355" s="19" t="n">
        <f aca="false">IF(A1355="",0,IF(COUNTIF(A$5:A1355,A1355)=1,1,0))</f>
        <v>0</v>
      </c>
    </row>
    <row r="1356" customFormat="false" ht="15" hidden="false" customHeight="false" outlineLevel="0" collapsed="false">
      <c r="A1356" s="12"/>
      <c r="B1356" s="13"/>
      <c r="C1356" s="14"/>
      <c r="D1356" s="14"/>
      <c r="E1356" s="15"/>
      <c r="F1356" s="16" t="str">
        <f aca="false">IF(OR(C1356="",D1356="",E1356=""),"",C1356*D1356*E1356)</f>
        <v/>
      </c>
      <c r="G1356" s="17" t="str">
        <f aca="false">IF(OR(D1356="",E1356=""),"",E1356*(1+D1356/30))</f>
        <v/>
      </c>
      <c r="H1356" s="19" t="n">
        <f aca="false">IF(G1356="",0,G1356)</f>
        <v>0</v>
      </c>
      <c r="I1356" s="18" t="str">
        <f aca="false">IF(H1356&gt;0,IF(H1356&gt;=SUMPRODUCT(MAX(($B$5:$B$2004=B1356)*$H$5:$H$2004)),"Rekor",""),"")</f>
        <v/>
      </c>
      <c r="J1356" s="19" t="n">
        <f aca="false">IF(A1356="",0,IF(COUNTIF(A$5:A1356,A1356)=1,1,0))</f>
        <v>0</v>
      </c>
    </row>
    <row r="1357" customFormat="false" ht="15" hidden="false" customHeight="false" outlineLevel="0" collapsed="false">
      <c r="A1357" s="12"/>
      <c r="B1357" s="13"/>
      <c r="C1357" s="14"/>
      <c r="D1357" s="14"/>
      <c r="E1357" s="15"/>
      <c r="F1357" s="16" t="str">
        <f aca="false">IF(OR(C1357="",D1357="",E1357=""),"",C1357*D1357*E1357)</f>
        <v/>
      </c>
      <c r="G1357" s="17" t="str">
        <f aca="false">IF(OR(D1357="",E1357=""),"",E1357*(1+D1357/30))</f>
        <v/>
      </c>
      <c r="H1357" s="19" t="n">
        <f aca="false">IF(G1357="",0,G1357)</f>
        <v>0</v>
      </c>
      <c r="I1357" s="18" t="str">
        <f aca="false">IF(H1357&gt;0,IF(H1357&gt;=SUMPRODUCT(MAX(($B$5:$B$2004=B1357)*$H$5:$H$2004)),"Rekor",""),"")</f>
        <v/>
      </c>
      <c r="J1357" s="19" t="n">
        <f aca="false">IF(A1357="",0,IF(COUNTIF(A$5:A1357,A1357)=1,1,0))</f>
        <v>0</v>
      </c>
    </row>
    <row r="1358" customFormat="false" ht="15" hidden="false" customHeight="false" outlineLevel="0" collapsed="false">
      <c r="A1358" s="12"/>
      <c r="B1358" s="13"/>
      <c r="C1358" s="14"/>
      <c r="D1358" s="14"/>
      <c r="E1358" s="15"/>
      <c r="F1358" s="16" t="str">
        <f aca="false">IF(OR(C1358="",D1358="",E1358=""),"",C1358*D1358*E1358)</f>
        <v/>
      </c>
      <c r="G1358" s="17" t="str">
        <f aca="false">IF(OR(D1358="",E1358=""),"",E1358*(1+D1358/30))</f>
        <v/>
      </c>
      <c r="H1358" s="19" t="n">
        <f aca="false">IF(G1358="",0,G1358)</f>
        <v>0</v>
      </c>
      <c r="I1358" s="18" t="str">
        <f aca="false">IF(H1358&gt;0,IF(H1358&gt;=SUMPRODUCT(MAX(($B$5:$B$2004=B1358)*$H$5:$H$2004)),"Rekor",""),"")</f>
        <v/>
      </c>
      <c r="J1358" s="19" t="n">
        <f aca="false">IF(A1358="",0,IF(COUNTIF(A$5:A1358,A1358)=1,1,0))</f>
        <v>0</v>
      </c>
    </row>
    <row r="1359" customFormat="false" ht="15" hidden="false" customHeight="false" outlineLevel="0" collapsed="false">
      <c r="A1359" s="12"/>
      <c r="B1359" s="13"/>
      <c r="C1359" s="14"/>
      <c r="D1359" s="14"/>
      <c r="E1359" s="15"/>
      <c r="F1359" s="16" t="str">
        <f aca="false">IF(OR(C1359="",D1359="",E1359=""),"",C1359*D1359*E1359)</f>
        <v/>
      </c>
      <c r="G1359" s="17" t="str">
        <f aca="false">IF(OR(D1359="",E1359=""),"",E1359*(1+D1359/30))</f>
        <v/>
      </c>
      <c r="H1359" s="19" t="n">
        <f aca="false">IF(G1359="",0,G1359)</f>
        <v>0</v>
      </c>
      <c r="I1359" s="18" t="str">
        <f aca="false">IF(H1359&gt;0,IF(H1359&gt;=SUMPRODUCT(MAX(($B$5:$B$2004=B1359)*$H$5:$H$2004)),"Rekor",""),"")</f>
        <v/>
      </c>
      <c r="J1359" s="19" t="n">
        <f aca="false">IF(A1359="",0,IF(COUNTIF(A$5:A1359,A1359)=1,1,0))</f>
        <v>0</v>
      </c>
    </row>
    <row r="1360" customFormat="false" ht="15" hidden="false" customHeight="false" outlineLevel="0" collapsed="false">
      <c r="A1360" s="12"/>
      <c r="B1360" s="13"/>
      <c r="C1360" s="14"/>
      <c r="D1360" s="14"/>
      <c r="E1360" s="15"/>
      <c r="F1360" s="16" t="str">
        <f aca="false">IF(OR(C1360="",D1360="",E1360=""),"",C1360*D1360*E1360)</f>
        <v/>
      </c>
      <c r="G1360" s="17" t="str">
        <f aca="false">IF(OR(D1360="",E1360=""),"",E1360*(1+D1360/30))</f>
        <v/>
      </c>
      <c r="H1360" s="19" t="n">
        <f aca="false">IF(G1360="",0,G1360)</f>
        <v>0</v>
      </c>
      <c r="I1360" s="18" t="str">
        <f aca="false">IF(H1360&gt;0,IF(H1360&gt;=SUMPRODUCT(MAX(($B$5:$B$2004=B1360)*$H$5:$H$2004)),"Rekor",""),"")</f>
        <v/>
      </c>
      <c r="J1360" s="19" t="n">
        <f aca="false">IF(A1360="",0,IF(COUNTIF(A$5:A1360,A1360)=1,1,0))</f>
        <v>0</v>
      </c>
    </row>
    <row r="1361" customFormat="false" ht="15" hidden="false" customHeight="false" outlineLevel="0" collapsed="false">
      <c r="A1361" s="12"/>
      <c r="B1361" s="13"/>
      <c r="C1361" s="14"/>
      <c r="D1361" s="14"/>
      <c r="E1361" s="15"/>
      <c r="F1361" s="16" t="str">
        <f aca="false">IF(OR(C1361="",D1361="",E1361=""),"",C1361*D1361*E1361)</f>
        <v/>
      </c>
      <c r="G1361" s="17" t="str">
        <f aca="false">IF(OR(D1361="",E1361=""),"",E1361*(1+D1361/30))</f>
        <v/>
      </c>
      <c r="H1361" s="19" t="n">
        <f aca="false">IF(G1361="",0,G1361)</f>
        <v>0</v>
      </c>
      <c r="I1361" s="18" t="str">
        <f aca="false">IF(H1361&gt;0,IF(H1361&gt;=SUMPRODUCT(MAX(($B$5:$B$2004=B1361)*$H$5:$H$2004)),"Rekor",""),"")</f>
        <v/>
      </c>
      <c r="J1361" s="19" t="n">
        <f aca="false">IF(A1361="",0,IF(COUNTIF(A$5:A1361,A1361)=1,1,0))</f>
        <v>0</v>
      </c>
    </row>
    <row r="1362" customFormat="false" ht="15" hidden="false" customHeight="false" outlineLevel="0" collapsed="false">
      <c r="A1362" s="12"/>
      <c r="B1362" s="13"/>
      <c r="C1362" s="14"/>
      <c r="D1362" s="14"/>
      <c r="E1362" s="15"/>
      <c r="F1362" s="16" t="str">
        <f aca="false">IF(OR(C1362="",D1362="",E1362=""),"",C1362*D1362*E1362)</f>
        <v/>
      </c>
      <c r="G1362" s="17" t="str">
        <f aca="false">IF(OR(D1362="",E1362=""),"",E1362*(1+D1362/30))</f>
        <v/>
      </c>
      <c r="H1362" s="19" t="n">
        <f aca="false">IF(G1362="",0,G1362)</f>
        <v>0</v>
      </c>
      <c r="I1362" s="18" t="str">
        <f aca="false">IF(H1362&gt;0,IF(H1362&gt;=SUMPRODUCT(MAX(($B$5:$B$2004=B1362)*$H$5:$H$2004)),"Rekor",""),"")</f>
        <v/>
      </c>
      <c r="J1362" s="19" t="n">
        <f aca="false">IF(A1362="",0,IF(COUNTIF(A$5:A1362,A1362)=1,1,0))</f>
        <v>0</v>
      </c>
    </row>
    <row r="1363" customFormat="false" ht="15" hidden="false" customHeight="false" outlineLevel="0" collapsed="false">
      <c r="A1363" s="12"/>
      <c r="B1363" s="13"/>
      <c r="C1363" s="14"/>
      <c r="D1363" s="14"/>
      <c r="E1363" s="15"/>
      <c r="F1363" s="16" t="str">
        <f aca="false">IF(OR(C1363="",D1363="",E1363=""),"",C1363*D1363*E1363)</f>
        <v/>
      </c>
      <c r="G1363" s="17" t="str">
        <f aca="false">IF(OR(D1363="",E1363=""),"",E1363*(1+D1363/30))</f>
        <v/>
      </c>
      <c r="H1363" s="19" t="n">
        <f aca="false">IF(G1363="",0,G1363)</f>
        <v>0</v>
      </c>
      <c r="I1363" s="18" t="str">
        <f aca="false">IF(H1363&gt;0,IF(H1363&gt;=SUMPRODUCT(MAX(($B$5:$B$2004=B1363)*$H$5:$H$2004)),"Rekor",""),"")</f>
        <v/>
      </c>
      <c r="J1363" s="19" t="n">
        <f aca="false">IF(A1363="",0,IF(COUNTIF(A$5:A1363,A1363)=1,1,0))</f>
        <v>0</v>
      </c>
    </row>
    <row r="1364" customFormat="false" ht="15" hidden="false" customHeight="false" outlineLevel="0" collapsed="false">
      <c r="A1364" s="12"/>
      <c r="B1364" s="13"/>
      <c r="C1364" s="14"/>
      <c r="D1364" s="14"/>
      <c r="E1364" s="15"/>
      <c r="F1364" s="16" t="str">
        <f aca="false">IF(OR(C1364="",D1364="",E1364=""),"",C1364*D1364*E1364)</f>
        <v/>
      </c>
      <c r="G1364" s="17" t="str">
        <f aca="false">IF(OR(D1364="",E1364=""),"",E1364*(1+D1364/30))</f>
        <v/>
      </c>
      <c r="H1364" s="19" t="n">
        <f aca="false">IF(G1364="",0,G1364)</f>
        <v>0</v>
      </c>
      <c r="I1364" s="18" t="str">
        <f aca="false">IF(H1364&gt;0,IF(H1364&gt;=SUMPRODUCT(MAX(($B$5:$B$2004=B1364)*$H$5:$H$2004)),"Rekor",""),"")</f>
        <v/>
      </c>
      <c r="J1364" s="19" t="n">
        <f aca="false">IF(A1364="",0,IF(COUNTIF(A$5:A1364,A1364)=1,1,0))</f>
        <v>0</v>
      </c>
    </row>
    <row r="1365" customFormat="false" ht="15" hidden="false" customHeight="false" outlineLevel="0" collapsed="false">
      <c r="A1365" s="12"/>
      <c r="B1365" s="13"/>
      <c r="C1365" s="14"/>
      <c r="D1365" s="14"/>
      <c r="E1365" s="15"/>
      <c r="F1365" s="16" t="str">
        <f aca="false">IF(OR(C1365="",D1365="",E1365=""),"",C1365*D1365*E1365)</f>
        <v/>
      </c>
      <c r="G1365" s="17" t="str">
        <f aca="false">IF(OR(D1365="",E1365=""),"",E1365*(1+D1365/30))</f>
        <v/>
      </c>
      <c r="H1365" s="19" t="n">
        <f aca="false">IF(G1365="",0,G1365)</f>
        <v>0</v>
      </c>
      <c r="I1365" s="18" t="str">
        <f aca="false">IF(H1365&gt;0,IF(H1365&gt;=SUMPRODUCT(MAX(($B$5:$B$2004=B1365)*$H$5:$H$2004)),"Rekor",""),"")</f>
        <v/>
      </c>
      <c r="J1365" s="19" t="n">
        <f aca="false">IF(A1365="",0,IF(COUNTIF(A$5:A1365,A1365)=1,1,0))</f>
        <v>0</v>
      </c>
    </row>
    <row r="1366" customFormat="false" ht="15" hidden="false" customHeight="false" outlineLevel="0" collapsed="false">
      <c r="A1366" s="12"/>
      <c r="B1366" s="13"/>
      <c r="C1366" s="14"/>
      <c r="D1366" s="14"/>
      <c r="E1366" s="15"/>
      <c r="F1366" s="16" t="str">
        <f aca="false">IF(OR(C1366="",D1366="",E1366=""),"",C1366*D1366*E1366)</f>
        <v/>
      </c>
      <c r="G1366" s="17" t="str">
        <f aca="false">IF(OR(D1366="",E1366=""),"",E1366*(1+D1366/30))</f>
        <v/>
      </c>
      <c r="H1366" s="19" t="n">
        <f aca="false">IF(G1366="",0,G1366)</f>
        <v>0</v>
      </c>
      <c r="I1366" s="18" t="str">
        <f aca="false">IF(H1366&gt;0,IF(H1366&gt;=SUMPRODUCT(MAX(($B$5:$B$2004=B1366)*$H$5:$H$2004)),"Rekor",""),"")</f>
        <v/>
      </c>
      <c r="J1366" s="19" t="n">
        <f aca="false">IF(A1366="",0,IF(COUNTIF(A$5:A1366,A1366)=1,1,0))</f>
        <v>0</v>
      </c>
    </row>
    <row r="1367" customFormat="false" ht="15" hidden="false" customHeight="false" outlineLevel="0" collapsed="false">
      <c r="A1367" s="12"/>
      <c r="B1367" s="13"/>
      <c r="C1367" s="14"/>
      <c r="D1367" s="14"/>
      <c r="E1367" s="15"/>
      <c r="F1367" s="16" t="str">
        <f aca="false">IF(OR(C1367="",D1367="",E1367=""),"",C1367*D1367*E1367)</f>
        <v/>
      </c>
      <c r="G1367" s="17" t="str">
        <f aca="false">IF(OR(D1367="",E1367=""),"",E1367*(1+D1367/30))</f>
        <v/>
      </c>
      <c r="H1367" s="19" t="n">
        <f aca="false">IF(G1367="",0,G1367)</f>
        <v>0</v>
      </c>
      <c r="I1367" s="18" t="str">
        <f aca="false">IF(H1367&gt;0,IF(H1367&gt;=SUMPRODUCT(MAX(($B$5:$B$2004=B1367)*$H$5:$H$2004)),"Rekor",""),"")</f>
        <v/>
      </c>
      <c r="J1367" s="19" t="n">
        <f aca="false">IF(A1367="",0,IF(COUNTIF(A$5:A1367,A1367)=1,1,0))</f>
        <v>0</v>
      </c>
    </row>
    <row r="1368" customFormat="false" ht="15" hidden="false" customHeight="false" outlineLevel="0" collapsed="false">
      <c r="A1368" s="12"/>
      <c r="B1368" s="13"/>
      <c r="C1368" s="14"/>
      <c r="D1368" s="14"/>
      <c r="E1368" s="15"/>
      <c r="F1368" s="16" t="str">
        <f aca="false">IF(OR(C1368="",D1368="",E1368=""),"",C1368*D1368*E1368)</f>
        <v/>
      </c>
      <c r="G1368" s="17" t="str">
        <f aca="false">IF(OR(D1368="",E1368=""),"",E1368*(1+D1368/30))</f>
        <v/>
      </c>
      <c r="H1368" s="19" t="n">
        <f aca="false">IF(G1368="",0,G1368)</f>
        <v>0</v>
      </c>
      <c r="I1368" s="18" t="str">
        <f aca="false">IF(H1368&gt;0,IF(H1368&gt;=SUMPRODUCT(MAX(($B$5:$B$2004=B1368)*$H$5:$H$2004)),"Rekor",""),"")</f>
        <v/>
      </c>
      <c r="J1368" s="19" t="n">
        <f aca="false">IF(A1368="",0,IF(COUNTIF(A$5:A1368,A1368)=1,1,0))</f>
        <v>0</v>
      </c>
    </row>
    <row r="1369" customFormat="false" ht="15" hidden="false" customHeight="false" outlineLevel="0" collapsed="false">
      <c r="A1369" s="12"/>
      <c r="B1369" s="13"/>
      <c r="C1369" s="14"/>
      <c r="D1369" s="14"/>
      <c r="E1369" s="15"/>
      <c r="F1369" s="16" t="str">
        <f aca="false">IF(OR(C1369="",D1369="",E1369=""),"",C1369*D1369*E1369)</f>
        <v/>
      </c>
      <c r="G1369" s="17" t="str">
        <f aca="false">IF(OR(D1369="",E1369=""),"",E1369*(1+D1369/30))</f>
        <v/>
      </c>
      <c r="H1369" s="19" t="n">
        <f aca="false">IF(G1369="",0,G1369)</f>
        <v>0</v>
      </c>
      <c r="I1369" s="18" t="str">
        <f aca="false">IF(H1369&gt;0,IF(H1369&gt;=SUMPRODUCT(MAX(($B$5:$B$2004=B1369)*$H$5:$H$2004)),"Rekor",""),"")</f>
        <v/>
      </c>
      <c r="J1369" s="19" t="n">
        <f aca="false">IF(A1369="",0,IF(COUNTIF(A$5:A1369,A1369)=1,1,0))</f>
        <v>0</v>
      </c>
    </row>
    <row r="1370" customFormat="false" ht="15" hidden="false" customHeight="false" outlineLevel="0" collapsed="false">
      <c r="A1370" s="12"/>
      <c r="B1370" s="13"/>
      <c r="C1370" s="14"/>
      <c r="D1370" s="14"/>
      <c r="E1370" s="15"/>
      <c r="F1370" s="16" t="str">
        <f aca="false">IF(OR(C1370="",D1370="",E1370=""),"",C1370*D1370*E1370)</f>
        <v/>
      </c>
      <c r="G1370" s="17" t="str">
        <f aca="false">IF(OR(D1370="",E1370=""),"",E1370*(1+D1370/30))</f>
        <v/>
      </c>
      <c r="H1370" s="19" t="n">
        <f aca="false">IF(G1370="",0,G1370)</f>
        <v>0</v>
      </c>
      <c r="I1370" s="18" t="str">
        <f aca="false">IF(H1370&gt;0,IF(H1370&gt;=SUMPRODUCT(MAX(($B$5:$B$2004=B1370)*$H$5:$H$2004)),"Rekor",""),"")</f>
        <v/>
      </c>
      <c r="J1370" s="19" t="n">
        <f aca="false">IF(A1370="",0,IF(COUNTIF(A$5:A1370,A1370)=1,1,0))</f>
        <v>0</v>
      </c>
    </row>
    <row r="1371" customFormat="false" ht="15" hidden="false" customHeight="false" outlineLevel="0" collapsed="false">
      <c r="A1371" s="12"/>
      <c r="B1371" s="13"/>
      <c r="C1371" s="14"/>
      <c r="D1371" s="14"/>
      <c r="E1371" s="15"/>
      <c r="F1371" s="16" t="str">
        <f aca="false">IF(OR(C1371="",D1371="",E1371=""),"",C1371*D1371*E1371)</f>
        <v/>
      </c>
      <c r="G1371" s="17" t="str">
        <f aca="false">IF(OR(D1371="",E1371=""),"",E1371*(1+D1371/30))</f>
        <v/>
      </c>
      <c r="H1371" s="19" t="n">
        <f aca="false">IF(G1371="",0,G1371)</f>
        <v>0</v>
      </c>
      <c r="I1371" s="18" t="str">
        <f aca="false">IF(H1371&gt;0,IF(H1371&gt;=SUMPRODUCT(MAX(($B$5:$B$2004=B1371)*$H$5:$H$2004)),"Rekor",""),"")</f>
        <v/>
      </c>
      <c r="J1371" s="19" t="n">
        <f aca="false">IF(A1371="",0,IF(COUNTIF(A$5:A1371,A1371)=1,1,0))</f>
        <v>0</v>
      </c>
    </row>
    <row r="1372" customFormat="false" ht="15" hidden="false" customHeight="false" outlineLevel="0" collapsed="false">
      <c r="A1372" s="12"/>
      <c r="B1372" s="13"/>
      <c r="C1372" s="14"/>
      <c r="D1372" s="14"/>
      <c r="E1372" s="15"/>
      <c r="F1372" s="16" t="str">
        <f aca="false">IF(OR(C1372="",D1372="",E1372=""),"",C1372*D1372*E1372)</f>
        <v/>
      </c>
      <c r="G1372" s="17" t="str">
        <f aca="false">IF(OR(D1372="",E1372=""),"",E1372*(1+D1372/30))</f>
        <v/>
      </c>
      <c r="H1372" s="19" t="n">
        <f aca="false">IF(G1372="",0,G1372)</f>
        <v>0</v>
      </c>
      <c r="I1372" s="18" t="str">
        <f aca="false">IF(H1372&gt;0,IF(H1372&gt;=SUMPRODUCT(MAX(($B$5:$B$2004=B1372)*$H$5:$H$2004)),"Rekor",""),"")</f>
        <v/>
      </c>
      <c r="J1372" s="19" t="n">
        <f aca="false">IF(A1372="",0,IF(COUNTIF(A$5:A1372,A1372)=1,1,0))</f>
        <v>0</v>
      </c>
    </row>
    <row r="1373" customFormat="false" ht="15" hidden="false" customHeight="false" outlineLevel="0" collapsed="false">
      <c r="A1373" s="12"/>
      <c r="B1373" s="13"/>
      <c r="C1373" s="14"/>
      <c r="D1373" s="14"/>
      <c r="E1373" s="15"/>
      <c r="F1373" s="16" t="str">
        <f aca="false">IF(OR(C1373="",D1373="",E1373=""),"",C1373*D1373*E1373)</f>
        <v/>
      </c>
      <c r="G1373" s="17" t="str">
        <f aca="false">IF(OR(D1373="",E1373=""),"",E1373*(1+D1373/30))</f>
        <v/>
      </c>
      <c r="H1373" s="19" t="n">
        <f aca="false">IF(G1373="",0,G1373)</f>
        <v>0</v>
      </c>
      <c r="I1373" s="18" t="str">
        <f aca="false">IF(H1373&gt;0,IF(H1373&gt;=SUMPRODUCT(MAX(($B$5:$B$2004=B1373)*$H$5:$H$2004)),"Rekor",""),"")</f>
        <v/>
      </c>
      <c r="J1373" s="19" t="n">
        <f aca="false">IF(A1373="",0,IF(COUNTIF(A$5:A1373,A1373)=1,1,0))</f>
        <v>0</v>
      </c>
    </row>
    <row r="1374" customFormat="false" ht="15" hidden="false" customHeight="false" outlineLevel="0" collapsed="false">
      <c r="A1374" s="12"/>
      <c r="B1374" s="13"/>
      <c r="C1374" s="14"/>
      <c r="D1374" s="14"/>
      <c r="E1374" s="15"/>
      <c r="F1374" s="16" t="str">
        <f aca="false">IF(OR(C1374="",D1374="",E1374=""),"",C1374*D1374*E1374)</f>
        <v/>
      </c>
      <c r="G1374" s="17" t="str">
        <f aca="false">IF(OR(D1374="",E1374=""),"",E1374*(1+D1374/30))</f>
        <v/>
      </c>
      <c r="H1374" s="19" t="n">
        <f aca="false">IF(G1374="",0,G1374)</f>
        <v>0</v>
      </c>
      <c r="I1374" s="18" t="str">
        <f aca="false">IF(H1374&gt;0,IF(H1374&gt;=SUMPRODUCT(MAX(($B$5:$B$2004=B1374)*$H$5:$H$2004)),"Rekor",""),"")</f>
        <v/>
      </c>
      <c r="J1374" s="19" t="n">
        <f aca="false">IF(A1374="",0,IF(COUNTIF(A$5:A1374,A1374)=1,1,0))</f>
        <v>0</v>
      </c>
    </row>
    <row r="1375" customFormat="false" ht="15" hidden="false" customHeight="false" outlineLevel="0" collapsed="false">
      <c r="A1375" s="12"/>
      <c r="B1375" s="13"/>
      <c r="C1375" s="14"/>
      <c r="D1375" s="14"/>
      <c r="E1375" s="15"/>
      <c r="F1375" s="16" t="str">
        <f aca="false">IF(OR(C1375="",D1375="",E1375=""),"",C1375*D1375*E1375)</f>
        <v/>
      </c>
      <c r="G1375" s="17" t="str">
        <f aca="false">IF(OR(D1375="",E1375=""),"",E1375*(1+D1375/30))</f>
        <v/>
      </c>
      <c r="H1375" s="19" t="n">
        <f aca="false">IF(G1375="",0,G1375)</f>
        <v>0</v>
      </c>
      <c r="I1375" s="18" t="str">
        <f aca="false">IF(H1375&gt;0,IF(H1375&gt;=SUMPRODUCT(MAX(($B$5:$B$2004=B1375)*$H$5:$H$2004)),"Rekor",""),"")</f>
        <v/>
      </c>
      <c r="J1375" s="19" t="n">
        <f aca="false">IF(A1375="",0,IF(COUNTIF(A$5:A1375,A1375)=1,1,0))</f>
        <v>0</v>
      </c>
    </row>
    <row r="1376" customFormat="false" ht="15" hidden="false" customHeight="false" outlineLevel="0" collapsed="false">
      <c r="A1376" s="12"/>
      <c r="B1376" s="13"/>
      <c r="C1376" s="14"/>
      <c r="D1376" s="14"/>
      <c r="E1376" s="15"/>
      <c r="F1376" s="16" t="str">
        <f aca="false">IF(OR(C1376="",D1376="",E1376=""),"",C1376*D1376*E1376)</f>
        <v/>
      </c>
      <c r="G1376" s="17" t="str">
        <f aca="false">IF(OR(D1376="",E1376=""),"",E1376*(1+D1376/30))</f>
        <v/>
      </c>
      <c r="H1376" s="19" t="n">
        <f aca="false">IF(G1376="",0,G1376)</f>
        <v>0</v>
      </c>
      <c r="I1376" s="18" t="str">
        <f aca="false">IF(H1376&gt;0,IF(H1376&gt;=SUMPRODUCT(MAX(($B$5:$B$2004=B1376)*$H$5:$H$2004)),"Rekor",""),"")</f>
        <v/>
      </c>
      <c r="J1376" s="19" t="n">
        <f aca="false">IF(A1376="",0,IF(COUNTIF(A$5:A1376,A1376)=1,1,0))</f>
        <v>0</v>
      </c>
    </row>
    <row r="1377" customFormat="false" ht="15" hidden="false" customHeight="false" outlineLevel="0" collapsed="false">
      <c r="A1377" s="12"/>
      <c r="B1377" s="13"/>
      <c r="C1377" s="14"/>
      <c r="D1377" s="14"/>
      <c r="E1377" s="15"/>
      <c r="F1377" s="16" t="str">
        <f aca="false">IF(OR(C1377="",D1377="",E1377=""),"",C1377*D1377*E1377)</f>
        <v/>
      </c>
      <c r="G1377" s="17" t="str">
        <f aca="false">IF(OR(D1377="",E1377=""),"",E1377*(1+D1377/30))</f>
        <v/>
      </c>
      <c r="H1377" s="19" t="n">
        <f aca="false">IF(G1377="",0,G1377)</f>
        <v>0</v>
      </c>
      <c r="I1377" s="18" t="str">
        <f aca="false">IF(H1377&gt;0,IF(H1377&gt;=SUMPRODUCT(MAX(($B$5:$B$2004=B1377)*$H$5:$H$2004)),"Rekor",""),"")</f>
        <v/>
      </c>
      <c r="J1377" s="19" t="n">
        <f aca="false">IF(A1377="",0,IF(COUNTIF(A$5:A1377,A1377)=1,1,0))</f>
        <v>0</v>
      </c>
    </row>
    <row r="1378" customFormat="false" ht="15" hidden="false" customHeight="false" outlineLevel="0" collapsed="false">
      <c r="A1378" s="12"/>
      <c r="B1378" s="13"/>
      <c r="C1378" s="14"/>
      <c r="D1378" s="14"/>
      <c r="E1378" s="15"/>
      <c r="F1378" s="16" t="str">
        <f aca="false">IF(OR(C1378="",D1378="",E1378=""),"",C1378*D1378*E1378)</f>
        <v/>
      </c>
      <c r="G1378" s="17" t="str">
        <f aca="false">IF(OR(D1378="",E1378=""),"",E1378*(1+D1378/30))</f>
        <v/>
      </c>
      <c r="H1378" s="19" t="n">
        <f aca="false">IF(G1378="",0,G1378)</f>
        <v>0</v>
      </c>
      <c r="I1378" s="18" t="str">
        <f aca="false">IF(H1378&gt;0,IF(H1378&gt;=SUMPRODUCT(MAX(($B$5:$B$2004=B1378)*$H$5:$H$2004)),"Rekor",""),"")</f>
        <v/>
      </c>
      <c r="J1378" s="19" t="n">
        <f aca="false">IF(A1378="",0,IF(COUNTIF(A$5:A1378,A1378)=1,1,0))</f>
        <v>0</v>
      </c>
    </row>
    <row r="1379" customFormat="false" ht="15" hidden="false" customHeight="false" outlineLevel="0" collapsed="false">
      <c r="A1379" s="12"/>
      <c r="B1379" s="13"/>
      <c r="C1379" s="14"/>
      <c r="D1379" s="14"/>
      <c r="E1379" s="15"/>
      <c r="F1379" s="16" t="str">
        <f aca="false">IF(OR(C1379="",D1379="",E1379=""),"",C1379*D1379*E1379)</f>
        <v/>
      </c>
      <c r="G1379" s="17" t="str">
        <f aca="false">IF(OR(D1379="",E1379=""),"",E1379*(1+D1379/30))</f>
        <v/>
      </c>
      <c r="H1379" s="19" t="n">
        <f aca="false">IF(G1379="",0,G1379)</f>
        <v>0</v>
      </c>
      <c r="I1379" s="18" t="str">
        <f aca="false">IF(H1379&gt;0,IF(H1379&gt;=SUMPRODUCT(MAX(($B$5:$B$2004=B1379)*$H$5:$H$2004)),"Rekor",""),"")</f>
        <v/>
      </c>
      <c r="J1379" s="19" t="n">
        <f aca="false">IF(A1379="",0,IF(COUNTIF(A$5:A1379,A1379)=1,1,0))</f>
        <v>0</v>
      </c>
    </row>
    <row r="1380" customFormat="false" ht="15" hidden="false" customHeight="false" outlineLevel="0" collapsed="false">
      <c r="A1380" s="12"/>
      <c r="B1380" s="13"/>
      <c r="C1380" s="14"/>
      <c r="D1380" s="14"/>
      <c r="E1380" s="15"/>
      <c r="F1380" s="16" t="str">
        <f aca="false">IF(OR(C1380="",D1380="",E1380=""),"",C1380*D1380*E1380)</f>
        <v/>
      </c>
      <c r="G1380" s="17" t="str">
        <f aca="false">IF(OR(D1380="",E1380=""),"",E1380*(1+D1380/30))</f>
        <v/>
      </c>
      <c r="H1380" s="19" t="n">
        <f aca="false">IF(G1380="",0,G1380)</f>
        <v>0</v>
      </c>
      <c r="I1380" s="18" t="str">
        <f aca="false">IF(H1380&gt;0,IF(H1380&gt;=SUMPRODUCT(MAX(($B$5:$B$2004=B1380)*$H$5:$H$2004)),"Rekor",""),"")</f>
        <v/>
      </c>
      <c r="J1380" s="19" t="n">
        <f aca="false">IF(A1380="",0,IF(COUNTIF(A$5:A1380,A1380)=1,1,0))</f>
        <v>0</v>
      </c>
    </row>
    <row r="1381" customFormat="false" ht="15" hidden="false" customHeight="false" outlineLevel="0" collapsed="false">
      <c r="A1381" s="12"/>
      <c r="B1381" s="13"/>
      <c r="C1381" s="14"/>
      <c r="D1381" s="14"/>
      <c r="E1381" s="15"/>
      <c r="F1381" s="16" t="str">
        <f aca="false">IF(OR(C1381="",D1381="",E1381=""),"",C1381*D1381*E1381)</f>
        <v/>
      </c>
      <c r="G1381" s="17" t="str">
        <f aca="false">IF(OR(D1381="",E1381=""),"",E1381*(1+D1381/30))</f>
        <v/>
      </c>
      <c r="H1381" s="19" t="n">
        <f aca="false">IF(G1381="",0,G1381)</f>
        <v>0</v>
      </c>
      <c r="I1381" s="18" t="str">
        <f aca="false">IF(H1381&gt;0,IF(H1381&gt;=SUMPRODUCT(MAX(($B$5:$B$2004=B1381)*$H$5:$H$2004)),"Rekor",""),"")</f>
        <v/>
      </c>
      <c r="J1381" s="19" t="n">
        <f aca="false">IF(A1381="",0,IF(COUNTIF(A$5:A1381,A1381)=1,1,0))</f>
        <v>0</v>
      </c>
    </row>
    <row r="1382" customFormat="false" ht="15" hidden="false" customHeight="false" outlineLevel="0" collapsed="false">
      <c r="A1382" s="12"/>
      <c r="B1382" s="13"/>
      <c r="C1382" s="14"/>
      <c r="D1382" s="14"/>
      <c r="E1382" s="15"/>
      <c r="F1382" s="16" t="str">
        <f aca="false">IF(OR(C1382="",D1382="",E1382=""),"",C1382*D1382*E1382)</f>
        <v/>
      </c>
      <c r="G1382" s="17" t="str">
        <f aca="false">IF(OR(D1382="",E1382=""),"",E1382*(1+D1382/30))</f>
        <v/>
      </c>
      <c r="H1382" s="19" t="n">
        <f aca="false">IF(G1382="",0,G1382)</f>
        <v>0</v>
      </c>
      <c r="I1382" s="18" t="str">
        <f aca="false">IF(H1382&gt;0,IF(H1382&gt;=SUMPRODUCT(MAX(($B$5:$B$2004=B1382)*$H$5:$H$2004)),"Rekor",""),"")</f>
        <v/>
      </c>
      <c r="J1382" s="19" t="n">
        <f aca="false">IF(A1382="",0,IF(COUNTIF(A$5:A1382,A1382)=1,1,0))</f>
        <v>0</v>
      </c>
    </row>
    <row r="1383" customFormat="false" ht="15" hidden="false" customHeight="false" outlineLevel="0" collapsed="false">
      <c r="A1383" s="12"/>
      <c r="B1383" s="13"/>
      <c r="C1383" s="14"/>
      <c r="D1383" s="14"/>
      <c r="E1383" s="15"/>
      <c r="F1383" s="16" t="str">
        <f aca="false">IF(OR(C1383="",D1383="",E1383=""),"",C1383*D1383*E1383)</f>
        <v/>
      </c>
      <c r="G1383" s="17" t="str">
        <f aca="false">IF(OR(D1383="",E1383=""),"",E1383*(1+D1383/30))</f>
        <v/>
      </c>
      <c r="H1383" s="19" t="n">
        <f aca="false">IF(G1383="",0,G1383)</f>
        <v>0</v>
      </c>
      <c r="I1383" s="18" t="str">
        <f aca="false">IF(H1383&gt;0,IF(H1383&gt;=SUMPRODUCT(MAX(($B$5:$B$2004=B1383)*$H$5:$H$2004)),"Rekor",""),"")</f>
        <v/>
      </c>
      <c r="J1383" s="19" t="n">
        <f aca="false">IF(A1383="",0,IF(COUNTIF(A$5:A1383,A1383)=1,1,0))</f>
        <v>0</v>
      </c>
    </row>
    <row r="1384" customFormat="false" ht="15" hidden="false" customHeight="false" outlineLevel="0" collapsed="false">
      <c r="A1384" s="12"/>
      <c r="B1384" s="13"/>
      <c r="C1384" s="14"/>
      <c r="D1384" s="14"/>
      <c r="E1384" s="15"/>
      <c r="F1384" s="16" t="str">
        <f aca="false">IF(OR(C1384="",D1384="",E1384=""),"",C1384*D1384*E1384)</f>
        <v/>
      </c>
      <c r="G1384" s="17" t="str">
        <f aca="false">IF(OR(D1384="",E1384=""),"",E1384*(1+D1384/30))</f>
        <v/>
      </c>
      <c r="H1384" s="19" t="n">
        <f aca="false">IF(G1384="",0,G1384)</f>
        <v>0</v>
      </c>
      <c r="I1384" s="18" t="str">
        <f aca="false">IF(H1384&gt;0,IF(H1384&gt;=SUMPRODUCT(MAX(($B$5:$B$2004=B1384)*$H$5:$H$2004)),"Rekor",""),"")</f>
        <v/>
      </c>
      <c r="J1384" s="19" t="n">
        <f aca="false">IF(A1384="",0,IF(COUNTIF(A$5:A1384,A1384)=1,1,0))</f>
        <v>0</v>
      </c>
    </row>
    <row r="1385" customFormat="false" ht="15" hidden="false" customHeight="false" outlineLevel="0" collapsed="false">
      <c r="A1385" s="12"/>
      <c r="B1385" s="13"/>
      <c r="C1385" s="14"/>
      <c r="D1385" s="14"/>
      <c r="E1385" s="15"/>
      <c r="F1385" s="16" t="str">
        <f aca="false">IF(OR(C1385="",D1385="",E1385=""),"",C1385*D1385*E1385)</f>
        <v/>
      </c>
      <c r="G1385" s="17" t="str">
        <f aca="false">IF(OR(D1385="",E1385=""),"",E1385*(1+D1385/30))</f>
        <v/>
      </c>
      <c r="H1385" s="19" t="n">
        <f aca="false">IF(G1385="",0,G1385)</f>
        <v>0</v>
      </c>
      <c r="I1385" s="18" t="str">
        <f aca="false">IF(H1385&gt;0,IF(H1385&gt;=SUMPRODUCT(MAX(($B$5:$B$2004=B1385)*$H$5:$H$2004)),"Rekor",""),"")</f>
        <v/>
      </c>
      <c r="J1385" s="19" t="n">
        <f aca="false">IF(A1385="",0,IF(COUNTIF(A$5:A1385,A1385)=1,1,0))</f>
        <v>0</v>
      </c>
    </row>
    <row r="1386" customFormat="false" ht="15" hidden="false" customHeight="false" outlineLevel="0" collapsed="false">
      <c r="A1386" s="12"/>
      <c r="B1386" s="13"/>
      <c r="C1386" s="14"/>
      <c r="D1386" s="14"/>
      <c r="E1386" s="15"/>
      <c r="F1386" s="16" t="str">
        <f aca="false">IF(OR(C1386="",D1386="",E1386=""),"",C1386*D1386*E1386)</f>
        <v/>
      </c>
      <c r="G1386" s="17" t="str">
        <f aca="false">IF(OR(D1386="",E1386=""),"",E1386*(1+D1386/30))</f>
        <v/>
      </c>
      <c r="H1386" s="19" t="n">
        <f aca="false">IF(G1386="",0,G1386)</f>
        <v>0</v>
      </c>
      <c r="I1386" s="18" t="str">
        <f aca="false">IF(H1386&gt;0,IF(H1386&gt;=SUMPRODUCT(MAX(($B$5:$B$2004=B1386)*$H$5:$H$2004)),"Rekor",""),"")</f>
        <v/>
      </c>
      <c r="J1386" s="19" t="n">
        <f aca="false">IF(A1386="",0,IF(COUNTIF(A$5:A1386,A1386)=1,1,0))</f>
        <v>0</v>
      </c>
    </row>
    <row r="1387" customFormat="false" ht="15" hidden="false" customHeight="false" outlineLevel="0" collapsed="false">
      <c r="A1387" s="12"/>
      <c r="B1387" s="13"/>
      <c r="C1387" s="14"/>
      <c r="D1387" s="14"/>
      <c r="E1387" s="15"/>
      <c r="F1387" s="16" t="str">
        <f aca="false">IF(OR(C1387="",D1387="",E1387=""),"",C1387*D1387*E1387)</f>
        <v/>
      </c>
      <c r="G1387" s="17" t="str">
        <f aca="false">IF(OR(D1387="",E1387=""),"",E1387*(1+D1387/30))</f>
        <v/>
      </c>
      <c r="H1387" s="19" t="n">
        <f aca="false">IF(G1387="",0,G1387)</f>
        <v>0</v>
      </c>
      <c r="I1387" s="18" t="str">
        <f aca="false">IF(H1387&gt;0,IF(H1387&gt;=SUMPRODUCT(MAX(($B$5:$B$2004=B1387)*$H$5:$H$2004)),"Rekor",""),"")</f>
        <v/>
      </c>
      <c r="J1387" s="19" t="n">
        <f aca="false">IF(A1387="",0,IF(COUNTIF(A$5:A1387,A1387)=1,1,0))</f>
        <v>0</v>
      </c>
    </row>
    <row r="1388" customFormat="false" ht="15" hidden="false" customHeight="false" outlineLevel="0" collapsed="false">
      <c r="A1388" s="12"/>
      <c r="B1388" s="13"/>
      <c r="C1388" s="14"/>
      <c r="D1388" s="14"/>
      <c r="E1388" s="15"/>
      <c r="F1388" s="16" t="str">
        <f aca="false">IF(OR(C1388="",D1388="",E1388=""),"",C1388*D1388*E1388)</f>
        <v/>
      </c>
      <c r="G1388" s="17" t="str">
        <f aca="false">IF(OR(D1388="",E1388=""),"",E1388*(1+D1388/30))</f>
        <v/>
      </c>
      <c r="H1388" s="19" t="n">
        <f aca="false">IF(G1388="",0,G1388)</f>
        <v>0</v>
      </c>
      <c r="I1388" s="18" t="str">
        <f aca="false">IF(H1388&gt;0,IF(H1388&gt;=SUMPRODUCT(MAX(($B$5:$B$2004=B1388)*$H$5:$H$2004)),"Rekor",""),"")</f>
        <v/>
      </c>
      <c r="J1388" s="19" t="n">
        <f aca="false">IF(A1388="",0,IF(COUNTIF(A$5:A1388,A1388)=1,1,0))</f>
        <v>0</v>
      </c>
    </row>
    <row r="1389" customFormat="false" ht="15" hidden="false" customHeight="false" outlineLevel="0" collapsed="false">
      <c r="A1389" s="12"/>
      <c r="B1389" s="13"/>
      <c r="C1389" s="14"/>
      <c r="D1389" s="14"/>
      <c r="E1389" s="15"/>
      <c r="F1389" s="16" t="str">
        <f aca="false">IF(OR(C1389="",D1389="",E1389=""),"",C1389*D1389*E1389)</f>
        <v/>
      </c>
      <c r="G1389" s="17" t="str">
        <f aca="false">IF(OR(D1389="",E1389=""),"",E1389*(1+D1389/30))</f>
        <v/>
      </c>
      <c r="H1389" s="19" t="n">
        <f aca="false">IF(G1389="",0,G1389)</f>
        <v>0</v>
      </c>
      <c r="I1389" s="18" t="str">
        <f aca="false">IF(H1389&gt;0,IF(H1389&gt;=SUMPRODUCT(MAX(($B$5:$B$2004=B1389)*$H$5:$H$2004)),"Rekor",""),"")</f>
        <v/>
      </c>
      <c r="J1389" s="19" t="n">
        <f aca="false">IF(A1389="",0,IF(COUNTIF(A$5:A1389,A1389)=1,1,0))</f>
        <v>0</v>
      </c>
    </row>
    <row r="1390" customFormat="false" ht="15" hidden="false" customHeight="false" outlineLevel="0" collapsed="false">
      <c r="A1390" s="12"/>
      <c r="B1390" s="13"/>
      <c r="C1390" s="14"/>
      <c r="D1390" s="14"/>
      <c r="E1390" s="15"/>
      <c r="F1390" s="16" t="str">
        <f aca="false">IF(OR(C1390="",D1390="",E1390=""),"",C1390*D1390*E1390)</f>
        <v/>
      </c>
      <c r="G1390" s="17" t="str">
        <f aca="false">IF(OR(D1390="",E1390=""),"",E1390*(1+D1390/30))</f>
        <v/>
      </c>
      <c r="H1390" s="19" t="n">
        <f aca="false">IF(G1390="",0,G1390)</f>
        <v>0</v>
      </c>
      <c r="I1390" s="18" t="str">
        <f aca="false">IF(H1390&gt;0,IF(H1390&gt;=SUMPRODUCT(MAX(($B$5:$B$2004=B1390)*$H$5:$H$2004)),"Rekor",""),"")</f>
        <v/>
      </c>
      <c r="J1390" s="19" t="n">
        <f aca="false">IF(A1390="",0,IF(COUNTIF(A$5:A1390,A1390)=1,1,0))</f>
        <v>0</v>
      </c>
    </row>
    <row r="1391" customFormat="false" ht="15" hidden="false" customHeight="false" outlineLevel="0" collapsed="false">
      <c r="A1391" s="12"/>
      <c r="B1391" s="13"/>
      <c r="C1391" s="14"/>
      <c r="D1391" s="14"/>
      <c r="E1391" s="15"/>
      <c r="F1391" s="16" t="str">
        <f aca="false">IF(OR(C1391="",D1391="",E1391=""),"",C1391*D1391*E1391)</f>
        <v/>
      </c>
      <c r="G1391" s="17" t="str">
        <f aca="false">IF(OR(D1391="",E1391=""),"",E1391*(1+D1391/30))</f>
        <v/>
      </c>
      <c r="H1391" s="19" t="n">
        <f aca="false">IF(G1391="",0,G1391)</f>
        <v>0</v>
      </c>
      <c r="I1391" s="18" t="str">
        <f aca="false">IF(H1391&gt;0,IF(H1391&gt;=SUMPRODUCT(MAX(($B$5:$B$2004=B1391)*$H$5:$H$2004)),"Rekor",""),"")</f>
        <v/>
      </c>
      <c r="J1391" s="19" t="n">
        <f aca="false">IF(A1391="",0,IF(COUNTIF(A$5:A1391,A1391)=1,1,0))</f>
        <v>0</v>
      </c>
    </row>
    <row r="1392" customFormat="false" ht="15" hidden="false" customHeight="false" outlineLevel="0" collapsed="false">
      <c r="A1392" s="12"/>
      <c r="B1392" s="13"/>
      <c r="C1392" s="14"/>
      <c r="D1392" s="14"/>
      <c r="E1392" s="15"/>
      <c r="F1392" s="16" t="str">
        <f aca="false">IF(OR(C1392="",D1392="",E1392=""),"",C1392*D1392*E1392)</f>
        <v/>
      </c>
      <c r="G1392" s="17" t="str">
        <f aca="false">IF(OR(D1392="",E1392=""),"",E1392*(1+D1392/30))</f>
        <v/>
      </c>
      <c r="H1392" s="19" t="n">
        <f aca="false">IF(G1392="",0,G1392)</f>
        <v>0</v>
      </c>
      <c r="I1392" s="18" t="str">
        <f aca="false">IF(H1392&gt;0,IF(H1392&gt;=SUMPRODUCT(MAX(($B$5:$B$2004=B1392)*$H$5:$H$2004)),"Rekor",""),"")</f>
        <v/>
      </c>
      <c r="J1392" s="19" t="n">
        <f aca="false">IF(A1392="",0,IF(COUNTIF(A$5:A1392,A1392)=1,1,0))</f>
        <v>0</v>
      </c>
    </row>
    <row r="1393" customFormat="false" ht="15" hidden="false" customHeight="false" outlineLevel="0" collapsed="false">
      <c r="A1393" s="12"/>
      <c r="B1393" s="13"/>
      <c r="C1393" s="14"/>
      <c r="D1393" s="14"/>
      <c r="E1393" s="15"/>
      <c r="F1393" s="16" t="str">
        <f aca="false">IF(OR(C1393="",D1393="",E1393=""),"",C1393*D1393*E1393)</f>
        <v/>
      </c>
      <c r="G1393" s="17" t="str">
        <f aca="false">IF(OR(D1393="",E1393=""),"",E1393*(1+D1393/30))</f>
        <v/>
      </c>
      <c r="H1393" s="19" t="n">
        <f aca="false">IF(G1393="",0,G1393)</f>
        <v>0</v>
      </c>
      <c r="I1393" s="18" t="str">
        <f aca="false">IF(H1393&gt;0,IF(H1393&gt;=SUMPRODUCT(MAX(($B$5:$B$2004=B1393)*$H$5:$H$2004)),"Rekor",""),"")</f>
        <v/>
      </c>
      <c r="J1393" s="19" t="n">
        <f aca="false">IF(A1393="",0,IF(COUNTIF(A$5:A1393,A1393)=1,1,0))</f>
        <v>0</v>
      </c>
    </row>
    <row r="1394" customFormat="false" ht="15" hidden="false" customHeight="false" outlineLevel="0" collapsed="false">
      <c r="A1394" s="12"/>
      <c r="B1394" s="13"/>
      <c r="C1394" s="14"/>
      <c r="D1394" s="14"/>
      <c r="E1394" s="15"/>
      <c r="F1394" s="16" t="str">
        <f aca="false">IF(OR(C1394="",D1394="",E1394=""),"",C1394*D1394*E1394)</f>
        <v/>
      </c>
      <c r="G1394" s="17" t="str">
        <f aca="false">IF(OR(D1394="",E1394=""),"",E1394*(1+D1394/30))</f>
        <v/>
      </c>
      <c r="H1394" s="19" t="n">
        <f aca="false">IF(G1394="",0,G1394)</f>
        <v>0</v>
      </c>
      <c r="I1394" s="18" t="str">
        <f aca="false">IF(H1394&gt;0,IF(H1394&gt;=SUMPRODUCT(MAX(($B$5:$B$2004=B1394)*$H$5:$H$2004)),"Rekor",""),"")</f>
        <v/>
      </c>
      <c r="J1394" s="19" t="n">
        <f aca="false">IF(A1394="",0,IF(COUNTIF(A$5:A1394,A1394)=1,1,0))</f>
        <v>0</v>
      </c>
    </row>
    <row r="1395" customFormat="false" ht="15" hidden="false" customHeight="false" outlineLevel="0" collapsed="false">
      <c r="A1395" s="12"/>
      <c r="B1395" s="13"/>
      <c r="C1395" s="14"/>
      <c r="D1395" s="14"/>
      <c r="E1395" s="15"/>
      <c r="F1395" s="16" t="str">
        <f aca="false">IF(OR(C1395="",D1395="",E1395=""),"",C1395*D1395*E1395)</f>
        <v/>
      </c>
      <c r="G1395" s="17" t="str">
        <f aca="false">IF(OR(D1395="",E1395=""),"",E1395*(1+D1395/30))</f>
        <v/>
      </c>
      <c r="H1395" s="19" t="n">
        <f aca="false">IF(G1395="",0,G1395)</f>
        <v>0</v>
      </c>
      <c r="I1395" s="18" t="str">
        <f aca="false">IF(H1395&gt;0,IF(H1395&gt;=SUMPRODUCT(MAX(($B$5:$B$2004=B1395)*$H$5:$H$2004)),"Rekor",""),"")</f>
        <v/>
      </c>
      <c r="J1395" s="19" t="n">
        <f aca="false">IF(A1395="",0,IF(COUNTIF(A$5:A1395,A1395)=1,1,0))</f>
        <v>0</v>
      </c>
    </row>
    <row r="1396" customFormat="false" ht="15" hidden="false" customHeight="false" outlineLevel="0" collapsed="false">
      <c r="A1396" s="12"/>
      <c r="B1396" s="13"/>
      <c r="C1396" s="14"/>
      <c r="D1396" s="14"/>
      <c r="E1396" s="15"/>
      <c r="F1396" s="16" t="str">
        <f aca="false">IF(OR(C1396="",D1396="",E1396=""),"",C1396*D1396*E1396)</f>
        <v/>
      </c>
      <c r="G1396" s="17" t="str">
        <f aca="false">IF(OR(D1396="",E1396=""),"",E1396*(1+D1396/30))</f>
        <v/>
      </c>
      <c r="H1396" s="19" t="n">
        <f aca="false">IF(G1396="",0,G1396)</f>
        <v>0</v>
      </c>
      <c r="I1396" s="18" t="str">
        <f aca="false">IF(H1396&gt;0,IF(H1396&gt;=SUMPRODUCT(MAX(($B$5:$B$2004=B1396)*$H$5:$H$2004)),"Rekor",""),"")</f>
        <v/>
      </c>
      <c r="J1396" s="19" t="n">
        <f aca="false">IF(A1396="",0,IF(COUNTIF(A$5:A1396,A1396)=1,1,0))</f>
        <v>0</v>
      </c>
    </row>
    <row r="1397" customFormat="false" ht="15" hidden="false" customHeight="false" outlineLevel="0" collapsed="false">
      <c r="A1397" s="12"/>
      <c r="B1397" s="13"/>
      <c r="C1397" s="14"/>
      <c r="D1397" s="14"/>
      <c r="E1397" s="15"/>
      <c r="F1397" s="16" t="str">
        <f aca="false">IF(OR(C1397="",D1397="",E1397=""),"",C1397*D1397*E1397)</f>
        <v/>
      </c>
      <c r="G1397" s="17" t="str">
        <f aca="false">IF(OR(D1397="",E1397=""),"",E1397*(1+D1397/30))</f>
        <v/>
      </c>
      <c r="H1397" s="19" t="n">
        <f aca="false">IF(G1397="",0,G1397)</f>
        <v>0</v>
      </c>
      <c r="I1397" s="18" t="str">
        <f aca="false">IF(H1397&gt;0,IF(H1397&gt;=SUMPRODUCT(MAX(($B$5:$B$2004=B1397)*$H$5:$H$2004)),"Rekor",""),"")</f>
        <v/>
      </c>
      <c r="J1397" s="19" t="n">
        <f aca="false">IF(A1397="",0,IF(COUNTIF(A$5:A1397,A1397)=1,1,0))</f>
        <v>0</v>
      </c>
    </row>
    <row r="1398" customFormat="false" ht="15" hidden="false" customHeight="false" outlineLevel="0" collapsed="false">
      <c r="A1398" s="12"/>
      <c r="B1398" s="13"/>
      <c r="C1398" s="14"/>
      <c r="D1398" s="14"/>
      <c r="E1398" s="15"/>
      <c r="F1398" s="16" t="str">
        <f aca="false">IF(OR(C1398="",D1398="",E1398=""),"",C1398*D1398*E1398)</f>
        <v/>
      </c>
      <c r="G1398" s="17" t="str">
        <f aca="false">IF(OR(D1398="",E1398=""),"",E1398*(1+D1398/30))</f>
        <v/>
      </c>
      <c r="H1398" s="19" t="n">
        <f aca="false">IF(G1398="",0,G1398)</f>
        <v>0</v>
      </c>
      <c r="I1398" s="18" t="str">
        <f aca="false">IF(H1398&gt;0,IF(H1398&gt;=SUMPRODUCT(MAX(($B$5:$B$2004=B1398)*$H$5:$H$2004)),"Rekor",""),"")</f>
        <v/>
      </c>
      <c r="J1398" s="19" t="n">
        <f aca="false">IF(A1398="",0,IF(COUNTIF(A$5:A1398,A1398)=1,1,0))</f>
        <v>0</v>
      </c>
    </row>
    <row r="1399" customFormat="false" ht="15" hidden="false" customHeight="false" outlineLevel="0" collapsed="false">
      <c r="A1399" s="12"/>
      <c r="B1399" s="13"/>
      <c r="C1399" s="14"/>
      <c r="D1399" s="14"/>
      <c r="E1399" s="15"/>
      <c r="F1399" s="16" t="str">
        <f aca="false">IF(OR(C1399="",D1399="",E1399=""),"",C1399*D1399*E1399)</f>
        <v/>
      </c>
      <c r="G1399" s="17" t="str">
        <f aca="false">IF(OR(D1399="",E1399=""),"",E1399*(1+D1399/30))</f>
        <v/>
      </c>
      <c r="H1399" s="19" t="n">
        <f aca="false">IF(G1399="",0,G1399)</f>
        <v>0</v>
      </c>
      <c r="I1399" s="18" t="str">
        <f aca="false">IF(H1399&gt;0,IF(H1399&gt;=SUMPRODUCT(MAX(($B$5:$B$2004=B1399)*$H$5:$H$2004)),"Rekor",""),"")</f>
        <v/>
      </c>
      <c r="J1399" s="19" t="n">
        <f aca="false">IF(A1399="",0,IF(COUNTIF(A$5:A1399,A1399)=1,1,0))</f>
        <v>0</v>
      </c>
    </row>
    <row r="1400" customFormat="false" ht="15" hidden="false" customHeight="false" outlineLevel="0" collapsed="false">
      <c r="A1400" s="12"/>
      <c r="B1400" s="13"/>
      <c r="C1400" s="14"/>
      <c r="D1400" s="14"/>
      <c r="E1400" s="15"/>
      <c r="F1400" s="16" t="str">
        <f aca="false">IF(OR(C1400="",D1400="",E1400=""),"",C1400*D1400*E1400)</f>
        <v/>
      </c>
      <c r="G1400" s="17" t="str">
        <f aca="false">IF(OR(D1400="",E1400=""),"",E1400*(1+D1400/30))</f>
        <v/>
      </c>
      <c r="H1400" s="19" t="n">
        <f aca="false">IF(G1400="",0,G1400)</f>
        <v>0</v>
      </c>
      <c r="I1400" s="18" t="str">
        <f aca="false">IF(H1400&gt;0,IF(H1400&gt;=SUMPRODUCT(MAX(($B$5:$B$2004=B1400)*$H$5:$H$2004)),"Rekor",""),"")</f>
        <v/>
      </c>
      <c r="J1400" s="19" t="n">
        <f aca="false">IF(A1400="",0,IF(COUNTIF(A$5:A1400,A1400)=1,1,0))</f>
        <v>0</v>
      </c>
    </row>
    <row r="1401" customFormat="false" ht="15" hidden="false" customHeight="false" outlineLevel="0" collapsed="false">
      <c r="A1401" s="12"/>
      <c r="B1401" s="13"/>
      <c r="C1401" s="14"/>
      <c r="D1401" s="14"/>
      <c r="E1401" s="15"/>
      <c r="F1401" s="16" t="str">
        <f aca="false">IF(OR(C1401="",D1401="",E1401=""),"",C1401*D1401*E1401)</f>
        <v/>
      </c>
      <c r="G1401" s="17" t="str">
        <f aca="false">IF(OR(D1401="",E1401=""),"",E1401*(1+D1401/30))</f>
        <v/>
      </c>
      <c r="H1401" s="19" t="n">
        <f aca="false">IF(G1401="",0,G1401)</f>
        <v>0</v>
      </c>
      <c r="I1401" s="18" t="str">
        <f aca="false">IF(H1401&gt;0,IF(H1401&gt;=SUMPRODUCT(MAX(($B$5:$B$2004=B1401)*$H$5:$H$2004)),"Rekor",""),"")</f>
        <v/>
      </c>
      <c r="J1401" s="19" t="n">
        <f aca="false">IF(A1401="",0,IF(COUNTIF(A$5:A1401,A1401)=1,1,0))</f>
        <v>0</v>
      </c>
    </row>
    <row r="1402" customFormat="false" ht="15" hidden="false" customHeight="false" outlineLevel="0" collapsed="false">
      <c r="A1402" s="12"/>
      <c r="B1402" s="13"/>
      <c r="C1402" s="14"/>
      <c r="D1402" s="14"/>
      <c r="E1402" s="15"/>
      <c r="F1402" s="16" t="str">
        <f aca="false">IF(OR(C1402="",D1402="",E1402=""),"",C1402*D1402*E1402)</f>
        <v/>
      </c>
      <c r="G1402" s="17" t="str">
        <f aca="false">IF(OR(D1402="",E1402=""),"",E1402*(1+D1402/30))</f>
        <v/>
      </c>
      <c r="H1402" s="19" t="n">
        <f aca="false">IF(G1402="",0,G1402)</f>
        <v>0</v>
      </c>
      <c r="I1402" s="18" t="str">
        <f aca="false">IF(H1402&gt;0,IF(H1402&gt;=SUMPRODUCT(MAX(($B$5:$B$2004=B1402)*$H$5:$H$2004)),"Rekor",""),"")</f>
        <v/>
      </c>
      <c r="J1402" s="19" t="n">
        <f aca="false">IF(A1402="",0,IF(COUNTIF(A$5:A1402,A1402)=1,1,0))</f>
        <v>0</v>
      </c>
    </row>
    <row r="1403" customFormat="false" ht="15" hidden="false" customHeight="false" outlineLevel="0" collapsed="false">
      <c r="A1403" s="12"/>
      <c r="B1403" s="13"/>
      <c r="C1403" s="14"/>
      <c r="D1403" s="14"/>
      <c r="E1403" s="15"/>
      <c r="F1403" s="16" t="str">
        <f aca="false">IF(OR(C1403="",D1403="",E1403=""),"",C1403*D1403*E1403)</f>
        <v/>
      </c>
      <c r="G1403" s="17" t="str">
        <f aca="false">IF(OR(D1403="",E1403=""),"",E1403*(1+D1403/30))</f>
        <v/>
      </c>
      <c r="H1403" s="19" t="n">
        <f aca="false">IF(G1403="",0,G1403)</f>
        <v>0</v>
      </c>
      <c r="I1403" s="18" t="str">
        <f aca="false">IF(H1403&gt;0,IF(H1403&gt;=SUMPRODUCT(MAX(($B$5:$B$2004=B1403)*$H$5:$H$2004)),"Rekor",""),"")</f>
        <v/>
      </c>
      <c r="J1403" s="19" t="n">
        <f aca="false">IF(A1403="",0,IF(COUNTIF(A$5:A1403,A1403)=1,1,0))</f>
        <v>0</v>
      </c>
    </row>
    <row r="1404" customFormat="false" ht="15" hidden="false" customHeight="false" outlineLevel="0" collapsed="false">
      <c r="A1404" s="12"/>
      <c r="B1404" s="13"/>
      <c r="C1404" s="14"/>
      <c r="D1404" s="14"/>
      <c r="E1404" s="15"/>
      <c r="F1404" s="16" t="str">
        <f aca="false">IF(OR(C1404="",D1404="",E1404=""),"",C1404*D1404*E1404)</f>
        <v/>
      </c>
      <c r="G1404" s="17" t="str">
        <f aca="false">IF(OR(D1404="",E1404=""),"",E1404*(1+D1404/30))</f>
        <v/>
      </c>
      <c r="H1404" s="19" t="n">
        <f aca="false">IF(G1404="",0,G1404)</f>
        <v>0</v>
      </c>
      <c r="I1404" s="18" t="str">
        <f aca="false">IF(H1404&gt;0,IF(H1404&gt;=SUMPRODUCT(MAX(($B$5:$B$2004=B1404)*$H$5:$H$2004)),"Rekor",""),"")</f>
        <v/>
      </c>
      <c r="J1404" s="19" t="n">
        <f aca="false">IF(A1404="",0,IF(COUNTIF(A$5:A1404,A1404)=1,1,0))</f>
        <v>0</v>
      </c>
    </row>
    <row r="1405" customFormat="false" ht="15" hidden="false" customHeight="false" outlineLevel="0" collapsed="false">
      <c r="A1405" s="12"/>
      <c r="B1405" s="13"/>
      <c r="C1405" s="14"/>
      <c r="D1405" s="14"/>
      <c r="E1405" s="15"/>
      <c r="F1405" s="16" t="str">
        <f aca="false">IF(OR(C1405="",D1405="",E1405=""),"",C1405*D1405*E1405)</f>
        <v/>
      </c>
      <c r="G1405" s="17" t="str">
        <f aca="false">IF(OR(D1405="",E1405=""),"",E1405*(1+D1405/30))</f>
        <v/>
      </c>
      <c r="H1405" s="19" t="n">
        <f aca="false">IF(G1405="",0,G1405)</f>
        <v>0</v>
      </c>
      <c r="I1405" s="18" t="str">
        <f aca="false">IF(H1405&gt;0,IF(H1405&gt;=SUMPRODUCT(MAX(($B$5:$B$2004=B1405)*$H$5:$H$2004)),"Rekor",""),"")</f>
        <v/>
      </c>
      <c r="J1405" s="19" t="n">
        <f aca="false">IF(A1405="",0,IF(COUNTIF(A$5:A1405,A1405)=1,1,0))</f>
        <v>0</v>
      </c>
    </row>
    <row r="1406" customFormat="false" ht="15" hidden="false" customHeight="false" outlineLevel="0" collapsed="false">
      <c r="A1406" s="12"/>
      <c r="B1406" s="13"/>
      <c r="C1406" s="14"/>
      <c r="D1406" s="14"/>
      <c r="E1406" s="15"/>
      <c r="F1406" s="16" t="str">
        <f aca="false">IF(OR(C1406="",D1406="",E1406=""),"",C1406*D1406*E1406)</f>
        <v/>
      </c>
      <c r="G1406" s="17" t="str">
        <f aca="false">IF(OR(D1406="",E1406=""),"",E1406*(1+D1406/30))</f>
        <v/>
      </c>
      <c r="H1406" s="19" t="n">
        <f aca="false">IF(G1406="",0,G1406)</f>
        <v>0</v>
      </c>
      <c r="I1406" s="18" t="str">
        <f aca="false">IF(H1406&gt;0,IF(H1406&gt;=SUMPRODUCT(MAX(($B$5:$B$2004=B1406)*$H$5:$H$2004)),"Rekor",""),"")</f>
        <v/>
      </c>
      <c r="J1406" s="19" t="n">
        <f aca="false">IF(A1406="",0,IF(COUNTIF(A$5:A1406,A1406)=1,1,0))</f>
        <v>0</v>
      </c>
    </row>
    <row r="1407" customFormat="false" ht="15" hidden="false" customHeight="false" outlineLevel="0" collapsed="false">
      <c r="A1407" s="12"/>
      <c r="B1407" s="13"/>
      <c r="C1407" s="14"/>
      <c r="D1407" s="14"/>
      <c r="E1407" s="15"/>
      <c r="F1407" s="16" t="str">
        <f aca="false">IF(OR(C1407="",D1407="",E1407=""),"",C1407*D1407*E1407)</f>
        <v/>
      </c>
      <c r="G1407" s="17" t="str">
        <f aca="false">IF(OR(D1407="",E1407=""),"",E1407*(1+D1407/30))</f>
        <v/>
      </c>
      <c r="H1407" s="19" t="n">
        <f aca="false">IF(G1407="",0,G1407)</f>
        <v>0</v>
      </c>
      <c r="I1407" s="18" t="str">
        <f aca="false">IF(H1407&gt;0,IF(H1407&gt;=SUMPRODUCT(MAX(($B$5:$B$2004=B1407)*$H$5:$H$2004)),"Rekor",""),"")</f>
        <v/>
      </c>
      <c r="J1407" s="19" t="n">
        <f aca="false">IF(A1407="",0,IF(COUNTIF(A$5:A1407,A1407)=1,1,0))</f>
        <v>0</v>
      </c>
    </row>
    <row r="1408" customFormat="false" ht="15" hidden="false" customHeight="false" outlineLevel="0" collapsed="false">
      <c r="A1408" s="12"/>
      <c r="B1408" s="13"/>
      <c r="C1408" s="14"/>
      <c r="D1408" s="14"/>
      <c r="E1408" s="15"/>
      <c r="F1408" s="16" t="str">
        <f aca="false">IF(OR(C1408="",D1408="",E1408=""),"",C1408*D1408*E1408)</f>
        <v/>
      </c>
      <c r="G1408" s="17" t="str">
        <f aca="false">IF(OR(D1408="",E1408=""),"",E1408*(1+D1408/30))</f>
        <v/>
      </c>
      <c r="H1408" s="19" t="n">
        <f aca="false">IF(G1408="",0,G1408)</f>
        <v>0</v>
      </c>
      <c r="I1408" s="18" t="str">
        <f aca="false">IF(H1408&gt;0,IF(H1408&gt;=SUMPRODUCT(MAX(($B$5:$B$2004=B1408)*$H$5:$H$2004)),"Rekor",""),"")</f>
        <v/>
      </c>
      <c r="J1408" s="19" t="n">
        <f aca="false">IF(A1408="",0,IF(COUNTIF(A$5:A1408,A1408)=1,1,0))</f>
        <v>0</v>
      </c>
    </row>
    <row r="1409" customFormat="false" ht="15" hidden="false" customHeight="false" outlineLevel="0" collapsed="false">
      <c r="A1409" s="12"/>
      <c r="B1409" s="13"/>
      <c r="C1409" s="14"/>
      <c r="D1409" s="14"/>
      <c r="E1409" s="15"/>
      <c r="F1409" s="16" t="str">
        <f aca="false">IF(OR(C1409="",D1409="",E1409=""),"",C1409*D1409*E1409)</f>
        <v/>
      </c>
      <c r="G1409" s="17" t="str">
        <f aca="false">IF(OR(D1409="",E1409=""),"",E1409*(1+D1409/30))</f>
        <v/>
      </c>
      <c r="H1409" s="19" t="n">
        <f aca="false">IF(G1409="",0,G1409)</f>
        <v>0</v>
      </c>
      <c r="I1409" s="18" t="str">
        <f aca="false">IF(H1409&gt;0,IF(H1409&gt;=SUMPRODUCT(MAX(($B$5:$B$2004=B1409)*$H$5:$H$2004)),"Rekor",""),"")</f>
        <v/>
      </c>
      <c r="J1409" s="19" t="n">
        <f aca="false">IF(A1409="",0,IF(COUNTIF(A$5:A1409,A1409)=1,1,0))</f>
        <v>0</v>
      </c>
    </row>
    <row r="1410" customFormat="false" ht="15" hidden="false" customHeight="false" outlineLevel="0" collapsed="false">
      <c r="A1410" s="12"/>
      <c r="B1410" s="13"/>
      <c r="C1410" s="14"/>
      <c r="D1410" s="14"/>
      <c r="E1410" s="15"/>
      <c r="F1410" s="16" t="str">
        <f aca="false">IF(OR(C1410="",D1410="",E1410=""),"",C1410*D1410*E1410)</f>
        <v/>
      </c>
      <c r="G1410" s="17" t="str">
        <f aca="false">IF(OR(D1410="",E1410=""),"",E1410*(1+D1410/30))</f>
        <v/>
      </c>
      <c r="H1410" s="19" t="n">
        <f aca="false">IF(G1410="",0,G1410)</f>
        <v>0</v>
      </c>
      <c r="I1410" s="18" t="str">
        <f aca="false">IF(H1410&gt;0,IF(H1410&gt;=SUMPRODUCT(MAX(($B$5:$B$2004=B1410)*$H$5:$H$2004)),"Rekor",""),"")</f>
        <v/>
      </c>
      <c r="J1410" s="19" t="n">
        <f aca="false">IF(A1410="",0,IF(COUNTIF(A$5:A1410,A1410)=1,1,0))</f>
        <v>0</v>
      </c>
    </row>
    <row r="1411" customFormat="false" ht="15" hidden="false" customHeight="false" outlineLevel="0" collapsed="false">
      <c r="A1411" s="12"/>
      <c r="B1411" s="13"/>
      <c r="C1411" s="14"/>
      <c r="D1411" s="14"/>
      <c r="E1411" s="15"/>
      <c r="F1411" s="16" t="str">
        <f aca="false">IF(OR(C1411="",D1411="",E1411=""),"",C1411*D1411*E1411)</f>
        <v/>
      </c>
      <c r="G1411" s="17" t="str">
        <f aca="false">IF(OR(D1411="",E1411=""),"",E1411*(1+D1411/30))</f>
        <v/>
      </c>
      <c r="H1411" s="19" t="n">
        <f aca="false">IF(G1411="",0,G1411)</f>
        <v>0</v>
      </c>
      <c r="I1411" s="18" t="str">
        <f aca="false">IF(H1411&gt;0,IF(H1411&gt;=SUMPRODUCT(MAX(($B$5:$B$2004=B1411)*$H$5:$H$2004)),"Rekor",""),"")</f>
        <v/>
      </c>
      <c r="J1411" s="19" t="n">
        <f aca="false">IF(A1411="",0,IF(COUNTIF(A$5:A1411,A1411)=1,1,0))</f>
        <v>0</v>
      </c>
    </row>
    <row r="1412" customFormat="false" ht="15" hidden="false" customHeight="false" outlineLevel="0" collapsed="false">
      <c r="A1412" s="12"/>
      <c r="B1412" s="13"/>
      <c r="C1412" s="14"/>
      <c r="D1412" s="14"/>
      <c r="E1412" s="15"/>
      <c r="F1412" s="16" t="str">
        <f aca="false">IF(OR(C1412="",D1412="",E1412=""),"",C1412*D1412*E1412)</f>
        <v/>
      </c>
      <c r="G1412" s="17" t="str">
        <f aca="false">IF(OR(D1412="",E1412=""),"",E1412*(1+D1412/30))</f>
        <v/>
      </c>
      <c r="H1412" s="19" t="n">
        <f aca="false">IF(G1412="",0,G1412)</f>
        <v>0</v>
      </c>
      <c r="I1412" s="18" t="str">
        <f aca="false">IF(H1412&gt;0,IF(H1412&gt;=SUMPRODUCT(MAX(($B$5:$B$2004=B1412)*$H$5:$H$2004)),"Rekor",""),"")</f>
        <v/>
      </c>
      <c r="J1412" s="19" t="n">
        <f aca="false">IF(A1412="",0,IF(COUNTIF(A$5:A1412,A1412)=1,1,0))</f>
        <v>0</v>
      </c>
    </row>
    <row r="1413" customFormat="false" ht="15" hidden="false" customHeight="false" outlineLevel="0" collapsed="false">
      <c r="A1413" s="12"/>
      <c r="B1413" s="13"/>
      <c r="C1413" s="14"/>
      <c r="D1413" s="14"/>
      <c r="E1413" s="15"/>
      <c r="F1413" s="16" t="str">
        <f aca="false">IF(OR(C1413="",D1413="",E1413=""),"",C1413*D1413*E1413)</f>
        <v/>
      </c>
      <c r="G1413" s="17" t="str">
        <f aca="false">IF(OR(D1413="",E1413=""),"",E1413*(1+D1413/30))</f>
        <v/>
      </c>
      <c r="H1413" s="19" t="n">
        <f aca="false">IF(G1413="",0,G1413)</f>
        <v>0</v>
      </c>
      <c r="I1413" s="18" t="str">
        <f aca="false">IF(H1413&gt;0,IF(H1413&gt;=SUMPRODUCT(MAX(($B$5:$B$2004=B1413)*$H$5:$H$2004)),"Rekor",""),"")</f>
        <v/>
      </c>
      <c r="J1413" s="19" t="n">
        <f aca="false">IF(A1413="",0,IF(COUNTIF(A$5:A1413,A1413)=1,1,0))</f>
        <v>0</v>
      </c>
    </row>
    <row r="1414" customFormat="false" ht="15" hidden="false" customHeight="false" outlineLevel="0" collapsed="false">
      <c r="A1414" s="12"/>
      <c r="B1414" s="13"/>
      <c r="C1414" s="14"/>
      <c r="D1414" s="14"/>
      <c r="E1414" s="15"/>
      <c r="F1414" s="16" t="str">
        <f aca="false">IF(OR(C1414="",D1414="",E1414=""),"",C1414*D1414*E1414)</f>
        <v/>
      </c>
      <c r="G1414" s="17" t="str">
        <f aca="false">IF(OR(D1414="",E1414=""),"",E1414*(1+D1414/30))</f>
        <v/>
      </c>
      <c r="H1414" s="19" t="n">
        <f aca="false">IF(G1414="",0,G1414)</f>
        <v>0</v>
      </c>
      <c r="I1414" s="18" t="str">
        <f aca="false">IF(H1414&gt;0,IF(H1414&gt;=SUMPRODUCT(MAX(($B$5:$B$2004=B1414)*$H$5:$H$2004)),"Rekor",""),"")</f>
        <v/>
      </c>
      <c r="J1414" s="19" t="n">
        <f aca="false">IF(A1414="",0,IF(COUNTIF(A$5:A1414,A1414)=1,1,0))</f>
        <v>0</v>
      </c>
    </row>
    <row r="1415" customFormat="false" ht="15" hidden="false" customHeight="false" outlineLevel="0" collapsed="false">
      <c r="A1415" s="12"/>
      <c r="B1415" s="13"/>
      <c r="C1415" s="14"/>
      <c r="D1415" s="14"/>
      <c r="E1415" s="15"/>
      <c r="F1415" s="16" t="str">
        <f aca="false">IF(OR(C1415="",D1415="",E1415=""),"",C1415*D1415*E1415)</f>
        <v/>
      </c>
      <c r="G1415" s="17" t="str">
        <f aca="false">IF(OR(D1415="",E1415=""),"",E1415*(1+D1415/30))</f>
        <v/>
      </c>
      <c r="H1415" s="19" t="n">
        <f aca="false">IF(G1415="",0,G1415)</f>
        <v>0</v>
      </c>
      <c r="I1415" s="18" t="str">
        <f aca="false">IF(H1415&gt;0,IF(H1415&gt;=SUMPRODUCT(MAX(($B$5:$B$2004=B1415)*$H$5:$H$2004)),"Rekor",""),"")</f>
        <v/>
      </c>
      <c r="J1415" s="19" t="n">
        <f aca="false">IF(A1415="",0,IF(COUNTIF(A$5:A1415,A1415)=1,1,0))</f>
        <v>0</v>
      </c>
    </row>
    <row r="1416" customFormat="false" ht="15" hidden="false" customHeight="false" outlineLevel="0" collapsed="false">
      <c r="A1416" s="12"/>
      <c r="B1416" s="13"/>
      <c r="C1416" s="14"/>
      <c r="D1416" s="14"/>
      <c r="E1416" s="15"/>
      <c r="F1416" s="16" t="str">
        <f aca="false">IF(OR(C1416="",D1416="",E1416=""),"",C1416*D1416*E1416)</f>
        <v/>
      </c>
      <c r="G1416" s="17" t="str">
        <f aca="false">IF(OR(D1416="",E1416=""),"",E1416*(1+D1416/30))</f>
        <v/>
      </c>
      <c r="H1416" s="19" t="n">
        <f aca="false">IF(G1416="",0,G1416)</f>
        <v>0</v>
      </c>
      <c r="I1416" s="18" t="str">
        <f aca="false">IF(H1416&gt;0,IF(H1416&gt;=SUMPRODUCT(MAX(($B$5:$B$2004=B1416)*$H$5:$H$2004)),"Rekor",""),"")</f>
        <v/>
      </c>
      <c r="J1416" s="19" t="n">
        <f aca="false">IF(A1416="",0,IF(COUNTIF(A$5:A1416,A1416)=1,1,0))</f>
        <v>0</v>
      </c>
    </row>
    <row r="1417" customFormat="false" ht="15" hidden="false" customHeight="false" outlineLevel="0" collapsed="false">
      <c r="A1417" s="12"/>
      <c r="B1417" s="13"/>
      <c r="C1417" s="14"/>
      <c r="D1417" s="14"/>
      <c r="E1417" s="15"/>
      <c r="F1417" s="16" t="str">
        <f aca="false">IF(OR(C1417="",D1417="",E1417=""),"",C1417*D1417*E1417)</f>
        <v/>
      </c>
      <c r="G1417" s="17" t="str">
        <f aca="false">IF(OR(D1417="",E1417=""),"",E1417*(1+D1417/30))</f>
        <v/>
      </c>
      <c r="H1417" s="19" t="n">
        <f aca="false">IF(G1417="",0,G1417)</f>
        <v>0</v>
      </c>
      <c r="I1417" s="18" t="str">
        <f aca="false">IF(H1417&gt;0,IF(H1417&gt;=SUMPRODUCT(MAX(($B$5:$B$2004=B1417)*$H$5:$H$2004)),"Rekor",""),"")</f>
        <v/>
      </c>
      <c r="J1417" s="19" t="n">
        <f aca="false">IF(A1417="",0,IF(COUNTIF(A$5:A1417,A1417)=1,1,0))</f>
        <v>0</v>
      </c>
    </row>
    <row r="1418" customFormat="false" ht="15" hidden="false" customHeight="false" outlineLevel="0" collapsed="false">
      <c r="A1418" s="12"/>
      <c r="B1418" s="13"/>
      <c r="C1418" s="14"/>
      <c r="D1418" s="14"/>
      <c r="E1418" s="15"/>
      <c r="F1418" s="16" t="str">
        <f aca="false">IF(OR(C1418="",D1418="",E1418=""),"",C1418*D1418*E1418)</f>
        <v/>
      </c>
      <c r="G1418" s="17" t="str">
        <f aca="false">IF(OR(D1418="",E1418=""),"",E1418*(1+D1418/30))</f>
        <v/>
      </c>
      <c r="H1418" s="19" t="n">
        <f aca="false">IF(G1418="",0,G1418)</f>
        <v>0</v>
      </c>
      <c r="I1418" s="18" t="str">
        <f aca="false">IF(H1418&gt;0,IF(H1418&gt;=SUMPRODUCT(MAX(($B$5:$B$2004=B1418)*$H$5:$H$2004)),"Rekor",""),"")</f>
        <v/>
      </c>
      <c r="J1418" s="19" t="n">
        <f aca="false">IF(A1418="",0,IF(COUNTIF(A$5:A1418,A1418)=1,1,0))</f>
        <v>0</v>
      </c>
    </row>
    <row r="1419" customFormat="false" ht="15" hidden="false" customHeight="false" outlineLevel="0" collapsed="false">
      <c r="A1419" s="12"/>
      <c r="B1419" s="13"/>
      <c r="C1419" s="14"/>
      <c r="D1419" s="14"/>
      <c r="E1419" s="15"/>
      <c r="F1419" s="16" t="str">
        <f aca="false">IF(OR(C1419="",D1419="",E1419=""),"",C1419*D1419*E1419)</f>
        <v/>
      </c>
      <c r="G1419" s="17" t="str">
        <f aca="false">IF(OR(D1419="",E1419=""),"",E1419*(1+D1419/30))</f>
        <v/>
      </c>
      <c r="H1419" s="19" t="n">
        <f aca="false">IF(G1419="",0,G1419)</f>
        <v>0</v>
      </c>
      <c r="I1419" s="18" t="str">
        <f aca="false">IF(H1419&gt;0,IF(H1419&gt;=SUMPRODUCT(MAX(($B$5:$B$2004=B1419)*$H$5:$H$2004)),"Rekor",""),"")</f>
        <v/>
      </c>
      <c r="J1419" s="19" t="n">
        <f aca="false">IF(A1419="",0,IF(COUNTIF(A$5:A1419,A1419)=1,1,0))</f>
        <v>0</v>
      </c>
    </row>
    <row r="1420" customFormat="false" ht="15" hidden="false" customHeight="false" outlineLevel="0" collapsed="false">
      <c r="A1420" s="12"/>
      <c r="B1420" s="13"/>
      <c r="C1420" s="14"/>
      <c r="D1420" s="14"/>
      <c r="E1420" s="15"/>
      <c r="F1420" s="16" t="str">
        <f aca="false">IF(OR(C1420="",D1420="",E1420=""),"",C1420*D1420*E1420)</f>
        <v/>
      </c>
      <c r="G1420" s="17" t="str">
        <f aca="false">IF(OR(D1420="",E1420=""),"",E1420*(1+D1420/30))</f>
        <v/>
      </c>
      <c r="H1420" s="19" t="n">
        <f aca="false">IF(G1420="",0,G1420)</f>
        <v>0</v>
      </c>
      <c r="I1420" s="18" t="str">
        <f aca="false">IF(H1420&gt;0,IF(H1420&gt;=SUMPRODUCT(MAX(($B$5:$B$2004=B1420)*$H$5:$H$2004)),"Rekor",""),"")</f>
        <v/>
      </c>
      <c r="J1420" s="19" t="n">
        <f aca="false">IF(A1420="",0,IF(COUNTIF(A$5:A1420,A1420)=1,1,0))</f>
        <v>0</v>
      </c>
    </row>
    <row r="1421" customFormat="false" ht="15" hidden="false" customHeight="false" outlineLevel="0" collapsed="false">
      <c r="A1421" s="12"/>
      <c r="B1421" s="13"/>
      <c r="C1421" s="14"/>
      <c r="D1421" s="14"/>
      <c r="E1421" s="15"/>
      <c r="F1421" s="16" t="str">
        <f aca="false">IF(OR(C1421="",D1421="",E1421=""),"",C1421*D1421*E1421)</f>
        <v/>
      </c>
      <c r="G1421" s="17" t="str">
        <f aca="false">IF(OR(D1421="",E1421=""),"",E1421*(1+D1421/30))</f>
        <v/>
      </c>
      <c r="H1421" s="19" t="n">
        <f aca="false">IF(G1421="",0,G1421)</f>
        <v>0</v>
      </c>
      <c r="I1421" s="18" t="str">
        <f aca="false">IF(H1421&gt;0,IF(H1421&gt;=SUMPRODUCT(MAX(($B$5:$B$2004=B1421)*$H$5:$H$2004)),"Rekor",""),"")</f>
        <v/>
      </c>
      <c r="J1421" s="19" t="n">
        <f aca="false">IF(A1421="",0,IF(COUNTIF(A$5:A1421,A1421)=1,1,0))</f>
        <v>0</v>
      </c>
    </row>
    <row r="1422" customFormat="false" ht="15" hidden="false" customHeight="false" outlineLevel="0" collapsed="false">
      <c r="A1422" s="12"/>
      <c r="B1422" s="13"/>
      <c r="C1422" s="14"/>
      <c r="D1422" s="14"/>
      <c r="E1422" s="15"/>
      <c r="F1422" s="16" t="str">
        <f aca="false">IF(OR(C1422="",D1422="",E1422=""),"",C1422*D1422*E1422)</f>
        <v/>
      </c>
      <c r="G1422" s="17" t="str">
        <f aca="false">IF(OR(D1422="",E1422=""),"",E1422*(1+D1422/30))</f>
        <v/>
      </c>
      <c r="H1422" s="19" t="n">
        <f aca="false">IF(G1422="",0,G1422)</f>
        <v>0</v>
      </c>
      <c r="I1422" s="18" t="str">
        <f aca="false">IF(H1422&gt;0,IF(H1422&gt;=SUMPRODUCT(MAX(($B$5:$B$2004=B1422)*$H$5:$H$2004)),"Rekor",""),"")</f>
        <v/>
      </c>
      <c r="J1422" s="19" t="n">
        <f aca="false">IF(A1422="",0,IF(COUNTIF(A$5:A1422,A1422)=1,1,0))</f>
        <v>0</v>
      </c>
    </row>
    <row r="1423" customFormat="false" ht="15" hidden="false" customHeight="false" outlineLevel="0" collapsed="false">
      <c r="A1423" s="12"/>
      <c r="B1423" s="13"/>
      <c r="C1423" s="14"/>
      <c r="D1423" s="14"/>
      <c r="E1423" s="15"/>
      <c r="F1423" s="16" t="str">
        <f aca="false">IF(OR(C1423="",D1423="",E1423=""),"",C1423*D1423*E1423)</f>
        <v/>
      </c>
      <c r="G1423" s="17" t="str">
        <f aca="false">IF(OR(D1423="",E1423=""),"",E1423*(1+D1423/30))</f>
        <v/>
      </c>
      <c r="H1423" s="19" t="n">
        <f aca="false">IF(G1423="",0,G1423)</f>
        <v>0</v>
      </c>
      <c r="I1423" s="18" t="str">
        <f aca="false">IF(H1423&gt;0,IF(H1423&gt;=SUMPRODUCT(MAX(($B$5:$B$2004=B1423)*$H$5:$H$2004)),"Rekor",""),"")</f>
        <v/>
      </c>
      <c r="J1423" s="19" t="n">
        <f aca="false">IF(A1423="",0,IF(COUNTIF(A$5:A1423,A1423)=1,1,0))</f>
        <v>0</v>
      </c>
    </row>
    <row r="1424" customFormat="false" ht="15" hidden="false" customHeight="false" outlineLevel="0" collapsed="false">
      <c r="A1424" s="12"/>
      <c r="B1424" s="13"/>
      <c r="C1424" s="14"/>
      <c r="D1424" s="14"/>
      <c r="E1424" s="15"/>
      <c r="F1424" s="16" t="str">
        <f aca="false">IF(OR(C1424="",D1424="",E1424=""),"",C1424*D1424*E1424)</f>
        <v/>
      </c>
      <c r="G1424" s="17" t="str">
        <f aca="false">IF(OR(D1424="",E1424=""),"",E1424*(1+D1424/30))</f>
        <v/>
      </c>
      <c r="H1424" s="19" t="n">
        <f aca="false">IF(G1424="",0,G1424)</f>
        <v>0</v>
      </c>
      <c r="I1424" s="18" t="str">
        <f aca="false">IF(H1424&gt;0,IF(H1424&gt;=SUMPRODUCT(MAX(($B$5:$B$2004=B1424)*$H$5:$H$2004)),"Rekor",""),"")</f>
        <v/>
      </c>
      <c r="J1424" s="19" t="n">
        <f aca="false">IF(A1424="",0,IF(COUNTIF(A$5:A1424,A1424)=1,1,0))</f>
        <v>0</v>
      </c>
    </row>
    <row r="1425" customFormat="false" ht="15" hidden="false" customHeight="false" outlineLevel="0" collapsed="false">
      <c r="A1425" s="12"/>
      <c r="B1425" s="13"/>
      <c r="C1425" s="14"/>
      <c r="D1425" s="14"/>
      <c r="E1425" s="15"/>
      <c r="F1425" s="16" t="str">
        <f aca="false">IF(OR(C1425="",D1425="",E1425=""),"",C1425*D1425*E1425)</f>
        <v/>
      </c>
      <c r="G1425" s="17" t="str">
        <f aca="false">IF(OR(D1425="",E1425=""),"",E1425*(1+D1425/30))</f>
        <v/>
      </c>
      <c r="H1425" s="19" t="n">
        <f aca="false">IF(G1425="",0,G1425)</f>
        <v>0</v>
      </c>
      <c r="I1425" s="18" t="str">
        <f aca="false">IF(H1425&gt;0,IF(H1425&gt;=SUMPRODUCT(MAX(($B$5:$B$2004=B1425)*$H$5:$H$2004)),"Rekor",""),"")</f>
        <v/>
      </c>
      <c r="J1425" s="19" t="n">
        <f aca="false">IF(A1425="",0,IF(COUNTIF(A$5:A1425,A1425)=1,1,0))</f>
        <v>0</v>
      </c>
    </row>
    <row r="1426" customFormat="false" ht="15" hidden="false" customHeight="false" outlineLevel="0" collapsed="false">
      <c r="A1426" s="12"/>
      <c r="B1426" s="13"/>
      <c r="C1426" s="14"/>
      <c r="D1426" s="14"/>
      <c r="E1426" s="15"/>
      <c r="F1426" s="16" t="str">
        <f aca="false">IF(OR(C1426="",D1426="",E1426=""),"",C1426*D1426*E1426)</f>
        <v/>
      </c>
      <c r="G1426" s="17" t="str">
        <f aca="false">IF(OR(D1426="",E1426=""),"",E1426*(1+D1426/30))</f>
        <v/>
      </c>
      <c r="H1426" s="19" t="n">
        <f aca="false">IF(G1426="",0,G1426)</f>
        <v>0</v>
      </c>
      <c r="I1426" s="18" t="str">
        <f aca="false">IF(H1426&gt;0,IF(H1426&gt;=SUMPRODUCT(MAX(($B$5:$B$2004=B1426)*$H$5:$H$2004)),"Rekor",""),"")</f>
        <v/>
      </c>
      <c r="J1426" s="19" t="n">
        <f aca="false">IF(A1426="",0,IF(COUNTIF(A$5:A1426,A1426)=1,1,0))</f>
        <v>0</v>
      </c>
    </row>
    <row r="1427" customFormat="false" ht="15" hidden="false" customHeight="false" outlineLevel="0" collapsed="false">
      <c r="A1427" s="12"/>
      <c r="B1427" s="13"/>
      <c r="C1427" s="14"/>
      <c r="D1427" s="14"/>
      <c r="E1427" s="15"/>
      <c r="F1427" s="16" t="str">
        <f aca="false">IF(OR(C1427="",D1427="",E1427=""),"",C1427*D1427*E1427)</f>
        <v/>
      </c>
      <c r="G1427" s="17" t="str">
        <f aca="false">IF(OR(D1427="",E1427=""),"",E1427*(1+D1427/30))</f>
        <v/>
      </c>
      <c r="H1427" s="19" t="n">
        <f aca="false">IF(G1427="",0,G1427)</f>
        <v>0</v>
      </c>
      <c r="I1427" s="18" t="str">
        <f aca="false">IF(H1427&gt;0,IF(H1427&gt;=SUMPRODUCT(MAX(($B$5:$B$2004=B1427)*$H$5:$H$2004)),"Rekor",""),"")</f>
        <v/>
      </c>
      <c r="J1427" s="19" t="n">
        <f aca="false">IF(A1427="",0,IF(COUNTIF(A$5:A1427,A1427)=1,1,0))</f>
        <v>0</v>
      </c>
    </row>
    <row r="1428" customFormat="false" ht="15" hidden="false" customHeight="false" outlineLevel="0" collapsed="false">
      <c r="A1428" s="12"/>
      <c r="B1428" s="13"/>
      <c r="C1428" s="14"/>
      <c r="D1428" s="14"/>
      <c r="E1428" s="15"/>
      <c r="F1428" s="16" t="str">
        <f aca="false">IF(OR(C1428="",D1428="",E1428=""),"",C1428*D1428*E1428)</f>
        <v/>
      </c>
      <c r="G1428" s="17" t="str">
        <f aca="false">IF(OR(D1428="",E1428=""),"",E1428*(1+D1428/30))</f>
        <v/>
      </c>
      <c r="H1428" s="19" t="n">
        <f aca="false">IF(G1428="",0,G1428)</f>
        <v>0</v>
      </c>
      <c r="I1428" s="18" t="str">
        <f aca="false">IF(H1428&gt;0,IF(H1428&gt;=SUMPRODUCT(MAX(($B$5:$B$2004=B1428)*$H$5:$H$2004)),"Rekor",""),"")</f>
        <v/>
      </c>
      <c r="J1428" s="19" t="n">
        <f aca="false">IF(A1428="",0,IF(COUNTIF(A$5:A1428,A1428)=1,1,0))</f>
        <v>0</v>
      </c>
    </row>
    <row r="1429" customFormat="false" ht="15" hidden="false" customHeight="false" outlineLevel="0" collapsed="false">
      <c r="A1429" s="12"/>
      <c r="B1429" s="13"/>
      <c r="C1429" s="14"/>
      <c r="D1429" s="14"/>
      <c r="E1429" s="15"/>
      <c r="F1429" s="16" t="str">
        <f aca="false">IF(OR(C1429="",D1429="",E1429=""),"",C1429*D1429*E1429)</f>
        <v/>
      </c>
      <c r="G1429" s="17" t="str">
        <f aca="false">IF(OR(D1429="",E1429=""),"",E1429*(1+D1429/30))</f>
        <v/>
      </c>
      <c r="H1429" s="19" t="n">
        <f aca="false">IF(G1429="",0,G1429)</f>
        <v>0</v>
      </c>
      <c r="I1429" s="18" t="str">
        <f aca="false">IF(H1429&gt;0,IF(H1429&gt;=SUMPRODUCT(MAX(($B$5:$B$2004=B1429)*$H$5:$H$2004)),"Rekor",""),"")</f>
        <v/>
      </c>
      <c r="J1429" s="19" t="n">
        <f aca="false">IF(A1429="",0,IF(COUNTIF(A$5:A1429,A1429)=1,1,0))</f>
        <v>0</v>
      </c>
    </row>
    <row r="1430" customFormat="false" ht="15" hidden="false" customHeight="false" outlineLevel="0" collapsed="false">
      <c r="A1430" s="12"/>
      <c r="B1430" s="13"/>
      <c r="C1430" s="14"/>
      <c r="D1430" s="14"/>
      <c r="E1430" s="15"/>
      <c r="F1430" s="16" t="str">
        <f aca="false">IF(OR(C1430="",D1430="",E1430=""),"",C1430*D1430*E1430)</f>
        <v/>
      </c>
      <c r="G1430" s="17" t="str">
        <f aca="false">IF(OR(D1430="",E1430=""),"",E1430*(1+D1430/30))</f>
        <v/>
      </c>
      <c r="H1430" s="19" t="n">
        <f aca="false">IF(G1430="",0,G1430)</f>
        <v>0</v>
      </c>
      <c r="I1430" s="18" t="str">
        <f aca="false">IF(H1430&gt;0,IF(H1430&gt;=SUMPRODUCT(MAX(($B$5:$B$2004=B1430)*$H$5:$H$2004)),"Rekor",""),"")</f>
        <v/>
      </c>
      <c r="J1430" s="19" t="n">
        <f aca="false">IF(A1430="",0,IF(COUNTIF(A$5:A1430,A1430)=1,1,0))</f>
        <v>0</v>
      </c>
    </row>
    <row r="1431" customFormat="false" ht="15" hidden="false" customHeight="false" outlineLevel="0" collapsed="false">
      <c r="A1431" s="12"/>
      <c r="B1431" s="13"/>
      <c r="C1431" s="14"/>
      <c r="D1431" s="14"/>
      <c r="E1431" s="15"/>
      <c r="F1431" s="16" t="str">
        <f aca="false">IF(OR(C1431="",D1431="",E1431=""),"",C1431*D1431*E1431)</f>
        <v/>
      </c>
      <c r="G1431" s="17" t="str">
        <f aca="false">IF(OR(D1431="",E1431=""),"",E1431*(1+D1431/30))</f>
        <v/>
      </c>
      <c r="H1431" s="19" t="n">
        <f aca="false">IF(G1431="",0,G1431)</f>
        <v>0</v>
      </c>
      <c r="I1431" s="18" t="str">
        <f aca="false">IF(H1431&gt;0,IF(H1431&gt;=SUMPRODUCT(MAX(($B$5:$B$2004=B1431)*$H$5:$H$2004)),"Rekor",""),"")</f>
        <v/>
      </c>
      <c r="J1431" s="19" t="n">
        <f aca="false">IF(A1431="",0,IF(COUNTIF(A$5:A1431,A1431)=1,1,0))</f>
        <v>0</v>
      </c>
    </row>
    <row r="1432" customFormat="false" ht="15" hidden="false" customHeight="false" outlineLevel="0" collapsed="false">
      <c r="A1432" s="12"/>
      <c r="B1432" s="13"/>
      <c r="C1432" s="14"/>
      <c r="D1432" s="14"/>
      <c r="E1432" s="15"/>
      <c r="F1432" s="16" t="str">
        <f aca="false">IF(OR(C1432="",D1432="",E1432=""),"",C1432*D1432*E1432)</f>
        <v/>
      </c>
      <c r="G1432" s="17" t="str">
        <f aca="false">IF(OR(D1432="",E1432=""),"",E1432*(1+D1432/30))</f>
        <v/>
      </c>
      <c r="H1432" s="19" t="n">
        <f aca="false">IF(G1432="",0,G1432)</f>
        <v>0</v>
      </c>
      <c r="I1432" s="18" t="str">
        <f aca="false">IF(H1432&gt;0,IF(H1432&gt;=SUMPRODUCT(MAX(($B$5:$B$2004=B1432)*$H$5:$H$2004)),"Rekor",""),"")</f>
        <v/>
      </c>
      <c r="J1432" s="19" t="n">
        <f aca="false">IF(A1432="",0,IF(COUNTIF(A$5:A1432,A1432)=1,1,0))</f>
        <v>0</v>
      </c>
    </row>
    <row r="1433" customFormat="false" ht="15" hidden="false" customHeight="false" outlineLevel="0" collapsed="false">
      <c r="A1433" s="12"/>
      <c r="B1433" s="13"/>
      <c r="C1433" s="14"/>
      <c r="D1433" s="14"/>
      <c r="E1433" s="15"/>
      <c r="F1433" s="16" t="str">
        <f aca="false">IF(OR(C1433="",D1433="",E1433=""),"",C1433*D1433*E1433)</f>
        <v/>
      </c>
      <c r="G1433" s="17" t="str">
        <f aca="false">IF(OR(D1433="",E1433=""),"",E1433*(1+D1433/30))</f>
        <v/>
      </c>
      <c r="H1433" s="19" t="n">
        <f aca="false">IF(G1433="",0,G1433)</f>
        <v>0</v>
      </c>
      <c r="I1433" s="18" t="str">
        <f aca="false">IF(H1433&gt;0,IF(H1433&gt;=SUMPRODUCT(MAX(($B$5:$B$2004=B1433)*$H$5:$H$2004)),"Rekor",""),"")</f>
        <v/>
      </c>
      <c r="J1433" s="19" t="n">
        <f aca="false">IF(A1433="",0,IF(COUNTIF(A$5:A1433,A1433)=1,1,0))</f>
        <v>0</v>
      </c>
    </row>
    <row r="1434" customFormat="false" ht="15" hidden="false" customHeight="false" outlineLevel="0" collapsed="false">
      <c r="A1434" s="12"/>
      <c r="B1434" s="13"/>
      <c r="C1434" s="14"/>
      <c r="D1434" s="14"/>
      <c r="E1434" s="15"/>
      <c r="F1434" s="16" t="str">
        <f aca="false">IF(OR(C1434="",D1434="",E1434=""),"",C1434*D1434*E1434)</f>
        <v/>
      </c>
      <c r="G1434" s="17" t="str">
        <f aca="false">IF(OR(D1434="",E1434=""),"",E1434*(1+D1434/30))</f>
        <v/>
      </c>
      <c r="H1434" s="19" t="n">
        <f aca="false">IF(G1434="",0,G1434)</f>
        <v>0</v>
      </c>
      <c r="I1434" s="18" t="str">
        <f aca="false">IF(H1434&gt;0,IF(H1434&gt;=SUMPRODUCT(MAX(($B$5:$B$2004=B1434)*$H$5:$H$2004)),"Rekor",""),"")</f>
        <v/>
      </c>
      <c r="J1434" s="19" t="n">
        <f aca="false">IF(A1434="",0,IF(COUNTIF(A$5:A1434,A1434)=1,1,0))</f>
        <v>0</v>
      </c>
    </row>
    <row r="1435" customFormat="false" ht="15" hidden="false" customHeight="false" outlineLevel="0" collapsed="false">
      <c r="A1435" s="12"/>
      <c r="B1435" s="13"/>
      <c r="C1435" s="14"/>
      <c r="D1435" s="14"/>
      <c r="E1435" s="15"/>
      <c r="F1435" s="16" t="str">
        <f aca="false">IF(OR(C1435="",D1435="",E1435=""),"",C1435*D1435*E1435)</f>
        <v/>
      </c>
      <c r="G1435" s="17" t="str">
        <f aca="false">IF(OR(D1435="",E1435=""),"",E1435*(1+D1435/30))</f>
        <v/>
      </c>
      <c r="H1435" s="19" t="n">
        <f aca="false">IF(G1435="",0,G1435)</f>
        <v>0</v>
      </c>
      <c r="I1435" s="18" t="str">
        <f aca="false">IF(H1435&gt;0,IF(H1435&gt;=SUMPRODUCT(MAX(($B$5:$B$2004=B1435)*$H$5:$H$2004)),"Rekor",""),"")</f>
        <v/>
      </c>
      <c r="J1435" s="19" t="n">
        <f aca="false">IF(A1435="",0,IF(COUNTIF(A$5:A1435,A1435)=1,1,0))</f>
        <v>0</v>
      </c>
    </row>
    <row r="1436" customFormat="false" ht="15" hidden="false" customHeight="false" outlineLevel="0" collapsed="false">
      <c r="A1436" s="12"/>
      <c r="B1436" s="13"/>
      <c r="C1436" s="14"/>
      <c r="D1436" s="14"/>
      <c r="E1436" s="15"/>
      <c r="F1436" s="16" t="str">
        <f aca="false">IF(OR(C1436="",D1436="",E1436=""),"",C1436*D1436*E1436)</f>
        <v/>
      </c>
      <c r="G1436" s="17" t="str">
        <f aca="false">IF(OR(D1436="",E1436=""),"",E1436*(1+D1436/30))</f>
        <v/>
      </c>
      <c r="H1436" s="19" t="n">
        <f aca="false">IF(G1436="",0,G1436)</f>
        <v>0</v>
      </c>
      <c r="I1436" s="18" t="str">
        <f aca="false">IF(H1436&gt;0,IF(H1436&gt;=SUMPRODUCT(MAX(($B$5:$B$2004=B1436)*$H$5:$H$2004)),"Rekor",""),"")</f>
        <v/>
      </c>
      <c r="J1436" s="19" t="n">
        <f aca="false">IF(A1436="",0,IF(COUNTIF(A$5:A1436,A1436)=1,1,0))</f>
        <v>0</v>
      </c>
    </row>
    <row r="1437" customFormat="false" ht="15" hidden="false" customHeight="false" outlineLevel="0" collapsed="false">
      <c r="A1437" s="12"/>
      <c r="B1437" s="13"/>
      <c r="C1437" s="14"/>
      <c r="D1437" s="14"/>
      <c r="E1437" s="15"/>
      <c r="F1437" s="16" t="str">
        <f aca="false">IF(OR(C1437="",D1437="",E1437=""),"",C1437*D1437*E1437)</f>
        <v/>
      </c>
      <c r="G1437" s="17" t="str">
        <f aca="false">IF(OR(D1437="",E1437=""),"",E1437*(1+D1437/30))</f>
        <v/>
      </c>
      <c r="H1437" s="19" t="n">
        <f aca="false">IF(G1437="",0,G1437)</f>
        <v>0</v>
      </c>
      <c r="I1437" s="18" t="str">
        <f aca="false">IF(H1437&gt;0,IF(H1437&gt;=SUMPRODUCT(MAX(($B$5:$B$2004=B1437)*$H$5:$H$2004)),"Rekor",""),"")</f>
        <v/>
      </c>
      <c r="J1437" s="19" t="n">
        <f aca="false">IF(A1437="",0,IF(COUNTIF(A$5:A1437,A1437)=1,1,0))</f>
        <v>0</v>
      </c>
    </row>
    <row r="1438" customFormat="false" ht="15" hidden="false" customHeight="false" outlineLevel="0" collapsed="false">
      <c r="A1438" s="12"/>
      <c r="B1438" s="13"/>
      <c r="C1438" s="14"/>
      <c r="D1438" s="14"/>
      <c r="E1438" s="15"/>
      <c r="F1438" s="16" t="str">
        <f aca="false">IF(OR(C1438="",D1438="",E1438=""),"",C1438*D1438*E1438)</f>
        <v/>
      </c>
      <c r="G1438" s="17" t="str">
        <f aca="false">IF(OR(D1438="",E1438=""),"",E1438*(1+D1438/30))</f>
        <v/>
      </c>
      <c r="H1438" s="19" t="n">
        <f aca="false">IF(G1438="",0,G1438)</f>
        <v>0</v>
      </c>
      <c r="I1438" s="18" t="str">
        <f aca="false">IF(H1438&gt;0,IF(H1438&gt;=SUMPRODUCT(MAX(($B$5:$B$2004=B1438)*$H$5:$H$2004)),"Rekor",""),"")</f>
        <v/>
      </c>
      <c r="J1438" s="19" t="n">
        <f aca="false">IF(A1438="",0,IF(COUNTIF(A$5:A1438,A1438)=1,1,0))</f>
        <v>0</v>
      </c>
    </row>
    <row r="1439" customFormat="false" ht="15" hidden="false" customHeight="false" outlineLevel="0" collapsed="false">
      <c r="A1439" s="12"/>
      <c r="B1439" s="13"/>
      <c r="C1439" s="14"/>
      <c r="D1439" s="14"/>
      <c r="E1439" s="15"/>
      <c r="F1439" s="16" t="str">
        <f aca="false">IF(OR(C1439="",D1439="",E1439=""),"",C1439*D1439*E1439)</f>
        <v/>
      </c>
      <c r="G1439" s="17" t="str">
        <f aca="false">IF(OR(D1439="",E1439=""),"",E1439*(1+D1439/30))</f>
        <v/>
      </c>
      <c r="H1439" s="19" t="n">
        <f aca="false">IF(G1439="",0,G1439)</f>
        <v>0</v>
      </c>
      <c r="I1439" s="18" t="str">
        <f aca="false">IF(H1439&gt;0,IF(H1439&gt;=SUMPRODUCT(MAX(($B$5:$B$2004=B1439)*$H$5:$H$2004)),"Rekor",""),"")</f>
        <v/>
      </c>
      <c r="J1439" s="19" t="n">
        <f aca="false">IF(A1439="",0,IF(COUNTIF(A$5:A1439,A1439)=1,1,0))</f>
        <v>0</v>
      </c>
    </row>
    <row r="1440" customFormat="false" ht="15" hidden="false" customHeight="false" outlineLevel="0" collapsed="false">
      <c r="A1440" s="12"/>
      <c r="B1440" s="13"/>
      <c r="C1440" s="14"/>
      <c r="D1440" s="14"/>
      <c r="E1440" s="15"/>
      <c r="F1440" s="16" t="str">
        <f aca="false">IF(OR(C1440="",D1440="",E1440=""),"",C1440*D1440*E1440)</f>
        <v/>
      </c>
      <c r="G1440" s="17" t="str">
        <f aca="false">IF(OR(D1440="",E1440=""),"",E1440*(1+D1440/30))</f>
        <v/>
      </c>
      <c r="H1440" s="19" t="n">
        <f aca="false">IF(G1440="",0,G1440)</f>
        <v>0</v>
      </c>
      <c r="I1440" s="18" t="str">
        <f aca="false">IF(H1440&gt;0,IF(H1440&gt;=SUMPRODUCT(MAX(($B$5:$B$2004=B1440)*$H$5:$H$2004)),"Rekor",""),"")</f>
        <v/>
      </c>
      <c r="J1440" s="19" t="n">
        <f aca="false">IF(A1440="",0,IF(COUNTIF(A$5:A1440,A1440)=1,1,0))</f>
        <v>0</v>
      </c>
    </row>
    <row r="1441" customFormat="false" ht="15" hidden="false" customHeight="false" outlineLevel="0" collapsed="false">
      <c r="A1441" s="12"/>
      <c r="B1441" s="13"/>
      <c r="C1441" s="14"/>
      <c r="D1441" s="14"/>
      <c r="E1441" s="15"/>
      <c r="F1441" s="16" t="str">
        <f aca="false">IF(OR(C1441="",D1441="",E1441=""),"",C1441*D1441*E1441)</f>
        <v/>
      </c>
      <c r="G1441" s="17" t="str">
        <f aca="false">IF(OR(D1441="",E1441=""),"",E1441*(1+D1441/30))</f>
        <v/>
      </c>
      <c r="H1441" s="19" t="n">
        <f aca="false">IF(G1441="",0,G1441)</f>
        <v>0</v>
      </c>
      <c r="I1441" s="18" t="str">
        <f aca="false">IF(H1441&gt;0,IF(H1441&gt;=SUMPRODUCT(MAX(($B$5:$B$2004=B1441)*$H$5:$H$2004)),"Rekor",""),"")</f>
        <v/>
      </c>
      <c r="J1441" s="19" t="n">
        <f aca="false">IF(A1441="",0,IF(COUNTIF(A$5:A1441,A1441)=1,1,0))</f>
        <v>0</v>
      </c>
    </row>
    <row r="1442" customFormat="false" ht="15" hidden="false" customHeight="false" outlineLevel="0" collapsed="false">
      <c r="A1442" s="12"/>
      <c r="B1442" s="13"/>
      <c r="C1442" s="14"/>
      <c r="D1442" s="14"/>
      <c r="E1442" s="15"/>
      <c r="F1442" s="16" t="str">
        <f aca="false">IF(OR(C1442="",D1442="",E1442=""),"",C1442*D1442*E1442)</f>
        <v/>
      </c>
      <c r="G1442" s="17" t="str">
        <f aca="false">IF(OR(D1442="",E1442=""),"",E1442*(1+D1442/30))</f>
        <v/>
      </c>
      <c r="H1442" s="19" t="n">
        <f aca="false">IF(G1442="",0,G1442)</f>
        <v>0</v>
      </c>
      <c r="I1442" s="18" t="str">
        <f aca="false">IF(H1442&gt;0,IF(H1442&gt;=SUMPRODUCT(MAX(($B$5:$B$2004=B1442)*$H$5:$H$2004)),"Rekor",""),"")</f>
        <v/>
      </c>
      <c r="J1442" s="19" t="n">
        <f aca="false">IF(A1442="",0,IF(COUNTIF(A$5:A1442,A1442)=1,1,0))</f>
        <v>0</v>
      </c>
    </row>
    <row r="1443" customFormat="false" ht="15" hidden="false" customHeight="false" outlineLevel="0" collapsed="false">
      <c r="A1443" s="12"/>
      <c r="B1443" s="13"/>
      <c r="C1443" s="14"/>
      <c r="D1443" s="14"/>
      <c r="E1443" s="15"/>
      <c r="F1443" s="16" t="str">
        <f aca="false">IF(OR(C1443="",D1443="",E1443=""),"",C1443*D1443*E1443)</f>
        <v/>
      </c>
      <c r="G1443" s="17" t="str">
        <f aca="false">IF(OR(D1443="",E1443=""),"",E1443*(1+D1443/30))</f>
        <v/>
      </c>
      <c r="H1443" s="19" t="n">
        <f aca="false">IF(G1443="",0,G1443)</f>
        <v>0</v>
      </c>
      <c r="I1443" s="18" t="str">
        <f aca="false">IF(H1443&gt;0,IF(H1443&gt;=SUMPRODUCT(MAX(($B$5:$B$2004=B1443)*$H$5:$H$2004)),"Rekor",""),"")</f>
        <v/>
      </c>
      <c r="J1443" s="19" t="n">
        <f aca="false">IF(A1443="",0,IF(COUNTIF(A$5:A1443,A1443)=1,1,0))</f>
        <v>0</v>
      </c>
    </row>
    <row r="1444" customFormat="false" ht="15" hidden="false" customHeight="false" outlineLevel="0" collapsed="false">
      <c r="A1444" s="12"/>
      <c r="B1444" s="13"/>
      <c r="C1444" s="14"/>
      <c r="D1444" s="14"/>
      <c r="E1444" s="15"/>
      <c r="F1444" s="16" t="str">
        <f aca="false">IF(OR(C1444="",D1444="",E1444=""),"",C1444*D1444*E1444)</f>
        <v/>
      </c>
      <c r="G1444" s="17" t="str">
        <f aca="false">IF(OR(D1444="",E1444=""),"",E1444*(1+D1444/30))</f>
        <v/>
      </c>
      <c r="H1444" s="19" t="n">
        <f aca="false">IF(G1444="",0,G1444)</f>
        <v>0</v>
      </c>
      <c r="I1444" s="18" t="str">
        <f aca="false">IF(H1444&gt;0,IF(H1444&gt;=SUMPRODUCT(MAX(($B$5:$B$2004=B1444)*$H$5:$H$2004)),"Rekor",""),"")</f>
        <v/>
      </c>
      <c r="J1444" s="19" t="n">
        <f aca="false">IF(A1444="",0,IF(COUNTIF(A$5:A1444,A1444)=1,1,0))</f>
        <v>0</v>
      </c>
    </row>
    <row r="1445" customFormat="false" ht="15" hidden="false" customHeight="false" outlineLevel="0" collapsed="false">
      <c r="A1445" s="12"/>
      <c r="B1445" s="13"/>
      <c r="C1445" s="14"/>
      <c r="D1445" s="14"/>
      <c r="E1445" s="15"/>
      <c r="F1445" s="16" t="str">
        <f aca="false">IF(OR(C1445="",D1445="",E1445=""),"",C1445*D1445*E1445)</f>
        <v/>
      </c>
      <c r="G1445" s="17" t="str">
        <f aca="false">IF(OR(D1445="",E1445=""),"",E1445*(1+D1445/30))</f>
        <v/>
      </c>
      <c r="H1445" s="19" t="n">
        <f aca="false">IF(G1445="",0,G1445)</f>
        <v>0</v>
      </c>
      <c r="I1445" s="18" t="str">
        <f aca="false">IF(H1445&gt;0,IF(H1445&gt;=SUMPRODUCT(MAX(($B$5:$B$2004=B1445)*$H$5:$H$2004)),"Rekor",""),"")</f>
        <v/>
      </c>
      <c r="J1445" s="19" t="n">
        <f aca="false">IF(A1445="",0,IF(COUNTIF(A$5:A1445,A1445)=1,1,0))</f>
        <v>0</v>
      </c>
    </row>
    <row r="1446" customFormat="false" ht="15" hidden="false" customHeight="false" outlineLevel="0" collapsed="false">
      <c r="A1446" s="12"/>
      <c r="B1446" s="13"/>
      <c r="C1446" s="14"/>
      <c r="D1446" s="14"/>
      <c r="E1446" s="15"/>
      <c r="F1446" s="16" t="str">
        <f aca="false">IF(OR(C1446="",D1446="",E1446=""),"",C1446*D1446*E1446)</f>
        <v/>
      </c>
      <c r="G1446" s="17" t="str">
        <f aca="false">IF(OR(D1446="",E1446=""),"",E1446*(1+D1446/30))</f>
        <v/>
      </c>
      <c r="H1446" s="19" t="n">
        <f aca="false">IF(G1446="",0,G1446)</f>
        <v>0</v>
      </c>
      <c r="I1446" s="18" t="str">
        <f aca="false">IF(H1446&gt;0,IF(H1446&gt;=SUMPRODUCT(MAX(($B$5:$B$2004=B1446)*$H$5:$H$2004)),"Rekor",""),"")</f>
        <v/>
      </c>
      <c r="J1446" s="19" t="n">
        <f aca="false">IF(A1446="",0,IF(COUNTIF(A$5:A1446,A1446)=1,1,0))</f>
        <v>0</v>
      </c>
    </row>
    <row r="1447" customFormat="false" ht="15" hidden="false" customHeight="false" outlineLevel="0" collapsed="false">
      <c r="A1447" s="12"/>
      <c r="B1447" s="13"/>
      <c r="C1447" s="14"/>
      <c r="D1447" s="14"/>
      <c r="E1447" s="15"/>
      <c r="F1447" s="16" t="str">
        <f aca="false">IF(OR(C1447="",D1447="",E1447=""),"",C1447*D1447*E1447)</f>
        <v/>
      </c>
      <c r="G1447" s="17" t="str">
        <f aca="false">IF(OR(D1447="",E1447=""),"",E1447*(1+D1447/30))</f>
        <v/>
      </c>
      <c r="H1447" s="19" t="n">
        <f aca="false">IF(G1447="",0,G1447)</f>
        <v>0</v>
      </c>
      <c r="I1447" s="18" t="str">
        <f aca="false">IF(H1447&gt;0,IF(H1447&gt;=SUMPRODUCT(MAX(($B$5:$B$2004=B1447)*$H$5:$H$2004)),"Rekor",""),"")</f>
        <v/>
      </c>
      <c r="J1447" s="19" t="n">
        <f aca="false">IF(A1447="",0,IF(COUNTIF(A$5:A1447,A1447)=1,1,0))</f>
        <v>0</v>
      </c>
    </row>
    <row r="1448" customFormat="false" ht="15" hidden="false" customHeight="false" outlineLevel="0" collapsed="false">
      <c r="A1448" s="12"/>
      <c r="B1448" s="13"/>
      <c r="C1448" s="14"/>
      <c r="D1448" s="14"/>
      <c r="E1448" s="15"/>
      <c r="F1448" s="16" t="str">
        <f aca="false">IF(OR(C1448="",D1448="",E1448=""),"",C1448*D1448*E1448)</f>
        <v/>
      </c>
      <c r="G1448" s="17" t="str">
        <f aca="false">IF(OR(D1448="",E1448=""),"",E1448*(1+D1448/30))</f>
        <v/>
      </c>
      <c r="H1448" s="19" t="n">
        <f aca="false">IF(G1448="",0,G1448)</f>
        <v>0</v>
      </c>
      <c r="I1448" s="18" t="str">
        <f aca="false">IF(H1448&gt;0,IF(H1448&gt;=SUMPRODUCT(MAX(($B$5:$B$2004=B1448)*$H$5:$H$2004)),"Rekor",""),"")</f>
        <v/>
      </c>
      <c r="J1448" s="19" t="n">
        <f aca="false">IF(A1448="",0,IF(COUNTIF(A$5:A1448,A1448)=1,1,0))</f>
        <v>0</v>
      </c>
    </row>
    <row r="1449" customFormat="false" ht="15" hidden="false" customHeight="false" outlineLevel="0" collapsed="false">
      <c r="A1449" s="12"/>
      <c r="B1449" s="13"/>
      <c r="C1449" s="14"/>
      <c r="D1449" s="14"/>
      <c r="E1449" s="15"/>
      <c r="F1449" s="16" t="str">
        <f aca="false">IF(OR(C1449="",D1449="",E1449=""),"",C1449*D1449*E1449)</f>
        <v/>
      </c>
      <c r="G1449" s="17" t="str">
        <f aca="false">IF(OR(D1449="",E1449=""),"",E1449*(1+D1449/30))</f>
        <v/>
      </c>
      <c r="H1449" s="19" t="n">
        <f aca="false">IF(G1449="",0,G1449)</f>
        <v>0</v>
      </c>
      <c r="I1449" s="18" t="str">
        <f aca="false">IF(H1449&gt;0,IF(H1449&gt;=SUMPRODUCT(MAX(($B$5:$B$2004=B1449)*$H$5:$H$2004)),"Rekor",""),"")</f>
        <v/>
      </c>
      <c r="J1449" s="19" t="n">
        <f aca="false">IF(A1449="",0,IF(COUNTIF(A$5:A1449,A1449)=1,1,0))</f>
        <v>0</v>
      </c>
    </row>
    <row r="1450" customFormat="false" ht="15" hidden="false" customHeight="false" outlineLevel="0" collapsed="false">
      <c r="A1450" s="12"/>
      <c r="B1450" s="13"/>
      <c r="C1450" s="14"/>
      <c r="D1450" s="14"/>
      <c r="E1450" s="15"/>
      <c r="F1450" s="16" t="str">
        <f aca="false">IF(OR(C1450="",D1450="",E1450=""),"",C1450*D1450*E1450)</f>
        <v/>
      </c>
      <c r="G1450" s="17" t="str">
        <f aca="false">IF(OR(D1450="",E1450=""),"",E1450*(1+D1450/30))</f>
        <v/>
      </c>
      <c r="H1450" s="19" t="n">
        <f aca="false">IF(G1450="",0,G1450)</f>
        <v>0</v>
      </c>
      <c r="I1450" s="18" t="str">
        <f aca="false">IF(H1450&gt;0,IF(H1450&gt;=SUMPRODUCT(MAX(($B$5:$B$2004=B1450)*$H$5:$H$2004)),"Rekor",""),"")</f>
        <v/>
      </c>
      <c r="J1450" s="19" t="n">
        <f aca="false">IF(A1450="",0,IF(COUNTIF(A$5:A1450,A1450)=1,1,0))</f>
        <v>0</v>
      </c>
    </row>
    <row r="1451" customFormat="false" ht="15" hidden="false" customHeight="false" outlineLevel="0" collapsed="false">
      <c r="A1451" s="12"/>
      <c r="B1451" s="13"/>
      <c r="C1451" s="14"/>
      <c r="D1451" s="14"/>
      <c r="E1451" s="15"/>
      <c r="F1451" s="16" t="str">
        <f aca="false">IF(OR(C1451="",D1451="",E1451=""),"",C1451*D1451*E1451)</f>
        <v/>
      </c>
      <c r="G1451" s="17" t="str">
        <f aca="false">IF(OR(D1451="",E1451=""),"",E1451*(1+D1451/30))</f>
        <v/>
      </c>
      <c r="H1451" s="19" t="n">
        <f aca="false">IF(G1451="",0,G1451)</f>
        <v>0</v>
      </c>
      <c r="I1451" s="18" t="str">
        <f aca="false">IF(H1451&gt;0,IF(H1451&gt;=SUMPRODUCT(MAX(($B$5:$B$2004=B1451)*$H$5:$H$2004)),"Rekor",""),"")</f>
        <v/>
      </c>
      <c r="J1451" s="19" t="n">
        <f aca="false">IF(A1451="",0,IF(COUNTIF(A$5:A1451,A1451)=1,1,0))</f>
        <v>0</v>
      </c>
    </row>
    <row r="1452" customFormat="false" ht="15" hidden="false" customHeight="false" outlineLevel="0" collapsed="false">
      <c r="A1452" s="12"/>
      <c r="B1452" s="13"/>
      <c r="C1452" s="14"/>
      <c r="D1452" s="14"/>
      <c r="E1452" s="15"/>
      <c r="F1452" s="16" t="str">
        <f aca="false">IF(OR(C1452="",D1452="",E1452=""),"",C1452*D1452*E1452)</f>
        <v/>
      </c>
      <c r="G1452" s="17" t="str">
        <f aca="false">IF(OR(D1452="",E1452=""),"",E1452*(1+D1452/30))</f>
        <v/>
      </c>
      <c r="H1452" s="19" t="n">
        <f aca="false">IF(G1452="",0,G1452)</f>
        <v>0</v>
      </c>
      <c r="I1452" s="18" t="str">
        <f aca="false">IF(H1452&gt;0,IF(H1452&gt;=SUMPRODUCT(MAX(($B$5:$B$2004=B1452)*$H$5:$H$2004)),"Rekor",""),"")</f>
        <v/>
      </c>
      <c r="J1452" s="19" t="n">
        <f aca="false">IF(A1452="",0,IF(COUNTIF(A$5:A1452,A1452)=1,1,0))</f>
        <v>0</v>
      </c>
    </row>
    <row r="1453" customFormat="false" ht="15" hidden="false" customHeight="false" outlineLevel="0" collapsed="false">
      <c r="A1453" s="12"/>
      <c r="B1453" s="13"/>
      <c r="C1453" s="14"/>
      <c r="D1453" s="14"/>
      <c r="E1453" s="15"/>
      <c r="F1453" s="16" t="str">
        <f aca="false">IF(OR(C1453="",D1453="",E1453=""),"",C1453*D1453*E1453)</f>
        <v/>
      </c>
      <c r="G1453" s="17" t="str">
        <f aca="false">IF(OR(D1453="",E1453=""),"",E1453*(1+D1453/30))</f>
        <v/>
      </c>
      <c r="H1453" s="19" t="n">
        <f aca="false">IF(G1453="",0,G1453)</f>
        <v>0</v>
      </c>
      <c r="I1453" s="18" t="str">
        <f aca="false">IF(H1453&gt;0,IF(H1453&gt;=SUMPRODUCT(MAX(($B$5:$B$2004=B1453)*$H$5:$H$2004)),"Rekor",""),"")</f>
        <v/>
      </c>
      <c r="J1453" s="19" t="n">
        <f aca="false">IF(A1453="",0,IF(COUNTIF(A$5:A1453,A1453)=1,1,0))</f>
        <v>0</v>
      </c>
    </row>
    <row r="1454" customFormat="false" ht="15" hidden="false" customHeight="false" outlineLevel="0" collapsed="false">
      <c r="A1454" s="12"/>
      <c r="B1454" s="13"/>
      <c r="C1454" s="14"/>
      <c r="D1454" s="14"/>
      <c r="E1454" s="15"/>
      <c r="F1454" s="16" t="str">
        <f aca="false">IF(OR(C1454="",D1454="",E1454=""),"",C1454*D1454*E1454)</f>
        <v/>
      </c>
      <c r="G1454" s="17" t="str">
        <f aca="false">IF(OR(D1454="",E1454=""),"",E1454*(1+D1454/30))</f>
        <v/>
      </c>
      <c r="H1454" s="19" t="n">
        <f aca="false">IF(G1454="",0,G1454)</f>
        <v>0</v>
      </c>
      <c r="I1454" s="18" t="str">
        <f aca="false">IF(H1454&gt;0,IF(H1454&gt;=SUMPRODUCT(MAX(($B$5:$B$2004=B1454)*$H$5:$H$2004)),"Rekor",""),"")</f>
        <v/>
      </c>
      <c r="J1454" s="19" t="n">
        <f aca="false">IF(A1454="",0,IF(COUNTIF(A$5:A1454,A1454)=1,1,0))</f>
        <v>0</v>
      </c>
    </row>
    <row r="1455" customFormat="false" ht="15" hidden="false" customHeight="false" outlineLevel="0" collapsed="false">
      <c r="A1455" s="12"/>
      <c r="B1455" s="13"/>
      <c r="C1455" s="14"/>
      <c r="D1455" s="14"/>
      <c r="E1455" s="15"/>
      <c r="F1455" s="16" t="str">
        <f aca="false">IF(OR(C1455="",D1455="",E1455=""),"",C1455*D1455*E1455)</f>
        <v/>
      </c>
      <c r="G1455" s="17" t="str">
        <f aca="false">IF(OR(D1455="",E1455=""),"",E1455*(1+D1455/30))</f>
        <v/>
      </c>
      <c r="H1455" s="19" t="n">
        <f aca="false">IF(G1455="",0,G1455)</f>
        <v>0</v>
      </c>
      <c r="I1455" s="18" t="str">
        <f aca="false">IF(H1455&gt;0,IF(H1455&gt;=SUMPRODUCT(MAX(($B$5:$B$2004=B1455)*$H$5:$H$2004)),"Rekor",""),"")</f>
        <v/>
      </c>
      <c r="J1455" s="19" t="n">
        <f aca="false">IF(A1455="",0,IF(COUNTIF(A$5:A1455,A1455)=1,1,0))</f>
        <v>0</v>
      </c>
    </row>
    <row r="1456" customFormat="false" ht="15" hidden="false" customHeight="false" outlineLevel="0" collapsed="false">
      <c r="A1456" s="12"/>
      <c r="B1456" s="13"/>
      <c r="C1456" s="14"/>
      <c r="D1456" s="14"/>
      <c r="E1456" s="15"/>
      <c r="F1456" s="16" t="str">
        <f aca="false">IF(OR(C1456="",D1456="",E1456=""),"",C1456*D1456*E1456)</f>
        <v/>
      </c>
      <c r="G1456" s="17" t="str">
        <f aca="false">IF(OR(D1456="",E1456=""),"",E1456*(1+D1456/30))</f>
        <v/>
      </c>
      <c r="H1456" s="19" t="n">
        <f aca="false">IF(G1456="",0,G1456)</f>
        <v>0</v>
      </c>
      <c r="I1456" s="18" t="str">
        <f aca="false">IF(H1456&gt;0,IF(H1456&gt;=SUMPRODUCT(MAX(($B$5:$B$2004=B1456)*$H$5:$H$2004)),"Rekor",""),"")</f>
        <v/>
      </c>
      <c r="J1456" s="19" t="n">
        <f aca="false">IF(A1456="",0,IF(COUNTIF(A$5:A1456,A1456)=1,1,0))</f>
        <v>0</v>
      </c>
    </row>
    <row r="1457" customFormat="false" ht="15" hidden="false" customHeight="false" outlineLevel="0" collapsed="false">
      <c r="A1457" s="12"/>
      <c r="B1457" s="13"/>
      <c r="C1457" s="14"/>
      <c r="D1457" s="14"/>
      <c r="E1457" s="15"/>
      <c r="F1457" s="16" t="str">
        <f aca="false">IF(OR(C1457="",D1457="",E1457=""),"",C1457*D1457*E1457)</f>
        <v/>
      </c>
      <c r="G1457" s="17" t="str">
        <f aca="false">IF(OR(D1457="",E1457=""),"",E1457*(1+D1457/30))</f>
        <v/>
      </c>
      <c r="H1457" s="19" t="n">
        <f aca="false">IF(G1457="",0,G1457)</f>
        <v>0</v>
      </c>
      <c r="I1457" s="18" t="str">
        <f aca="false">IF(H1457&gt;0,IF(H1457&gt;=SUMPRODUCT(MAX(($B$5:$B$2004=B1457)*$H$5:$H$2004)),"Rekor",""),"")</f>
        <v/>
      </c>
      <c r="J1457" s="19" t="n">
        <f aca="false">IF(A1457="",0,IF(COUNTIF(A$5:A1457,A1457)=1,1,0))</f>
        <v>0</v>
      </c>
    </row>
    <row r="1458" customFormat="false" ht="15" hidden="false" customHeight="false" outlineLevel="0" collapsed="false">
      <c r="A1458" s="12"/>
      <c r="B1458" s="13"/>
      <c r="C1458" s="14"/>
      <c r="D1458" s="14"/>
      <c r="E1458" s="15"/>
      <c r="F1458" s="16" t="str">
        <f aca="false">IF(OR(C1458="",D1458="",E1458=""),"",C1458*D1458*E1458)</f>
        <v/>
      </c>
      <c r="G1458" s="17" t="str">
        <f aca="false">IF(OR(D1458="",E1458=""),"",E1458*(1+D1458/30))</f>
        <v/>
      </c>
      <c r="H1458" s="19" t="n">
        <f aca="false">IF(G1458="",0,G1458)</f>
        <v>0</v>
      </c>
      <c r="I1458" s="18" t="str">
        <f aca="false">IF(H1458&gt;0,IF(H1458&gt;=SUMPRODUCT(MAX(($B$5:$B$2004=B1458)*$H$5:$H$2004)),"Rekor",""),"")</f>
        <v/>
      </c>
      <c r="J1458" s="19" t="n">
        <f aca="false">IF(A1458="",0,IF(COUNTIF(A$5:A1458,A1458)=1,1,0))</f>
        <v>0</v>
      </c>
    </row>
    <row r="1459" customFormat="false" ht="15" hidden="false" customHeight="false" outlineLevel="0" collapsed="false">
      <c r="A1459" s="12"/>
      <c r="B1459" s="13"/>
      <c r="C1459" s="14"/>
      <c r="D1459" s="14"/>
      <c r="E1459" s="15"/>
      <c r="F1459" s="16" t="str">
        <f aca="false">IF(OR(C1459="",D1459="",E1459=""),"",C1459*D1459*E1459)</f>
        <v/>
      </c>
      <c r="G1459" s="17" t="str">
        <f aca="false">IF(OR(D1459="",E1459=""),"",E1459*(1+D1459/30))</f>
        <v/>
      </c>
      <c r="H1459" s="19" t="n">
        <f aca="false">IF(G1459="",0,G1459)</f>
        <v>0</v>
      </c>
      <c r="I1459" s="18" t="str">
        <f aca="false">IF(H1459&gt;0,IF(H1459&gt;=SUMPRODUCT(MAX(($B$5:$B$2004=B1459)*$H$5:$H$2004)),"Rekor",""),"")</f>
        <v/>
      </c>
      <c r="J1459" s="19" t="n">
        <f aca="false">IF(A1459="",0,IF(COUNTIF(A$5:A1459,A1459)=1,1,0))</f>
        <v>0</v>
      </c>
    </row>
    <row r="1460" customFormat="false" ht="15" hidden="false" customHeight="false" outlineLevel="0" collapsed="false">
      <c r="A1460" s="12"/>
      <c r="B1460" s="13"/>
      <c r="C1460" s="14"/>
      <c r="D1460" s="14"/>
      <c r="E1460" s="15"/>
      <c r="F1460" s="16" t="str">
        <f aca="false">IF(OR(C1460="",D1460="",E1460=""),"",C1460*D1460*E1460)</f>
        <v/>
      </c>
      <c r="G1460" s="17" t="str">
        <f aca="false">IF(OR(D1460="",E1460=""),"",E1460*(1+D1460/30))</f>
        <v/>
      </c>
      <c r="H1460" s="19" t="n">
        <f aca="false">IF(G1460="",0,G1460)</f>
        <v>0</v>
      </c>
      <c r="I1460" s="18" t="str">
        <f aca="false">IF(H1460&gt;0,IF(H1460&gt;=SUMPRODUCT(MAX(($B$5:$B$2004=B1460)*$H$5:$H$2004)),"Rekor",""),"")</f>
        <v/>
      </c>
      <c r="J1460" s="19" t="n">
        <f aca="false">IF(A1460="",0,IF(COUNTIF(A$5:A1460,A1460)=1,1,0))</f>
        <v>0</v>
      </c>
    </row>
    <row r="1461" customFormat="false" ht="15" hidden="false" customHeight="false" outlineLevel="0" collapsed="false">
      <c r="A1461" s="12"/>
      <c r="B1461" s="13"/>
      <c r="C1461" s="14"/>
      <c r="D1461" s="14"/>
      <c r="E1461" s="15"/>
      <c r="F1461" s="16" t="str">
        <f aca="false">IF(OR(C1461="",D1461="",E1461=""),"",C1461*D1461*E1461)</f>
        <v/>
      </c>
      <c r="G1461" s="17" t="str">
        <f aca="false">IF(OR(D1461="",E1461=""),"",E1461*(1+D1461/30))</f>
        <v/>
      </c>
      <c r="H1461" s="19" t="n">
        <f aca="false">IF(G1461="",0,G1461)</f>
        <v>0</v>
      </c>
      <c r="I1461" s="18" t="str">
        <f aca="false">IF(H1461&gt;0,IF(H1461&gt;=SUMPRODUCT(MAX(($B$5:$B$2004=B1461)*$H$5:$H$2004)),"Rekor",""),"")</f>
        <v/>
      </c>
      <c r="J1461" s="19" t="n">
        <f aca="false">IF(A1461="",0,IF(COUNTIF(A$5:A1461,A1461)=1,1,0))</f>
        <v>0</v>
      </c>
    </row>
    <row r="1462" customFormat="false" ht="15" hidden="false" customHeight="false" outlineLevel="0" collapsed="false">
      <c r="A1462" s="12"/>
      <c r="B1462" s="13"/>
      <c r="C1462" s="14"/>
      <c r="D1462" s="14"/>
      <c r="E1462" s="15"/>
      <c r="F1462" s="16" t="str">
        <f aca="false">IF(OR(C1462="",D1462="",E1462=""),"",C1462*D1462*E1462)</f>
        <v/>
      </c>
      <c r="G1462" s="17" t="str">
        <f aca="false">IF(OR(D1462="",E1462=""),"",E1462*(1+D1462/30))</f>
        <v/>
      </c>
      <c r="H1462" s="19" t="n">
        <f aca="false">IF(G1462="",0,G1462)</f>
        <v>0</v>
      </c>
      <c r="I1462" s="18" t="str">
        <f aca="false">IF(H1462&gt;0,IF(H1462&gt;=SUMPRODUCT(MAX(($B$5:$B$2004=B1462)*$H$5:$H$2004)),"Rekor",""),"")</f>
        <v/>
      </c>
      <c r="J1462" s="19" t="n">
        <f aca="false">IF(A1462="",0,IF(COUNTIF(A$5:A1462,A1462)=1,1,0))</f>
        <v>0</v>
      </c>
    </row>
    <row r="1463" customFormat="false" ht="15" hidden="false" customHeight="false" outlineLevel="0" collapsed="false">
      <c r="A1463" s="12"/>
      <c r="B1463" s="13"/>
      <c r="C1463" s="14"/>
      <c r="D1463" s="14"/>
      <c r="E1463" s="15"/>
      <c r="F1463" s="16" t="str">
        <f aca="false">IF(OR(C1463="",D1463="",E1463=""),"",C1463*D1463*E1463)</f>
        <v/>
      </c>
      <c r="G1463" s="17" t="str">
        <f aca="false">IF(OR(D1463="",E1463=""),"",E1463*(1+D1463/30))</f>
        <v/>
      </c>
      <c r="H1463" s="19" t="n">
        <f aca="false">IF(G1463="",0,G1463)</f>
        <v>0</v>
      </c>
      <c r="I1463" s="18" t="str">
        <f aca="false">IF(H1463&gt;0,IF(H1463&gt;=SUMPRODUCT(MAX(($B$5:$B$2004=B1463)*$H$5:$H$2004)),"Rekor",""),"")</f>
        <v/>
      </c>
      <c r="J1463" s="19" t="n">
        <f aca="false">IF(A1463="",0,IF(COUNTIF(A$5:A1463,A1463)=1,1,0))</f>
        <v>0</v>
      </c>
    </row>
    <row r="1464" customFormat="false" ht="15" hidden="false" customHeight="false" outlineLevel="0" collapsed="false">
      <c r="A1464" s="12"/>
      <c r="B1464" s="13"/>
      <c r="C1464" s="14"/>
      <c r="D1464" s="14"/>
      <c r="E1464" s="15"/>
      <c r="F1464" s="16" t="str">
        <f aca="false">IF(OR(C1464="",D1464="",E1464=""),"",C1464*D1464*E1464)</f>
        <v/>
      </c>
      <c r="G1464" s="17" t="str">
        <f aca="false">IF(OR(D1464="",E1464=""),"",E1464*(1+D1464/30))</f>
        <v/>
      </c>
      <c r="H1464" s="19" t="n">
        <f aca="false">IF(G1464="",0,G1464)</f>
        <v>0</v>
      </c>
      <c r="I1464" s="18" t="str">
        <f aca="false">IF(H1464&gt;0,IF(H1464&gt;=SUMPRODUCT(MAX(($B$5:$B$2004=B1464)*$H$5:$H$2004)),"Rekor",""),"")</f>
        <v/>
      </c>
      <c r="J1464" s="19" t="n">
        <f aca="false">IF(A1464="",0,IF(COUNTIF(A$5:A1464,A1464)=1,1,0))</f>
        <v>0</v>
      </c>
    </row>
    <row r="1465" customFormat="false" ht="15" hidden="false" customHeight="false" outlineLevel="0" collapsed="false">
      <c r="A1465" s="12"/>
      <c r="B1465" s="13"/>
      <c r="C1465" s="14"/>
      <c r="D1465" s="14"/>
      <c r="E1465" s="15"/>
      <c r="F1465" s="16" t="str">
        <f aca="false">IF(OR(C1465="",D1465="",E1465=""),"",C1465*D1465*E1465)</f>
        <v/>
      </c>
      <c r="G1465" s="17" t="str">
        <f aca="false">IF(OR(D1465="",E1465=""),"",E1465*(1+D1465/30))</f>
        <v/>
      </c>
      <c r="H1465" s="19" t="n">
        <f aca="false">IF(G1465="",0,G1465)</f>
        <v>0</v>
      </c>
      <c r="I1465" s="18" t="str">
        <f aca="false">IF(H1465&gt;0,IF(H1465&gt;=SUMPRODUCT(MAX(($B$5:$B$2004=B1465)*$H$5:$H$2004)),"Rekor",""),"")</f>
        <v/>
      </c>
      <c r="J1465" s="19" t="n">
        <f aca="false">IF(A1465="",0,IF(COUNTIF(A$5:A1465,A1465)=1,1,0))</f>
        <v>0</v>
      </c>
    </row>
    <row r="1466" customFormat="false" ht="15" hidden="false" customHeight="false" outlineLevel="0" collapsed="false">
      <c r="A1466" s="12"/>
      <c r="B1466" s="13"/>
      <c r="C1466" s="14"/>
      <c r="D1466" s="14"/>
      <c r="E1466" s="15"/>
      <c r="F1466" s="16" t="str">
        <f aca="false">IF(OR(C1466="",D1466="",E1466=""),"",C1466*D1466*E1466)</f>
        <v/>
      </c>
      <c r="G1466" s="17" t="str">
        <f aca="false">IF(OR(D1466="",E1466=""),"",E1466*(1+D1466/30))</f>
        <v/>
      </c>
      <c r="H1466" s="19" t="n">
        <f aca="false">IF(G1466="",0,G1466)</f>
        <v>0</v>
      </c>
      <c r="I1466" s="18" t="str">
        <f aca="false">IF(H1466&gt;0,IF(H1466&gt;=SUMPRODUCT(MAX(($B$5:$B$2004=B1466)*$H$5:$H$2004)),"Rekor",""),"")</f>
        <v/>
      </c>
      <c r="J1466" s="19" t="n">
        <f aca="false">IF(A1466="",0,IF(COUNTIF(A$5:A1466,A1466)=1,1,0))</f>
        <v>0</v>
      </c>
    </row>
    <row r="1467" customFormat="false" ht="15" hidden="false" customHeight="false" outlineLevel="0" collapsed="false">
      <c r="A1467" s="12"/>
      <c r="B1467" s="13"/>
      <c r="C1467" s="14"/>
      <c r="D1467" s="14"/>
      <c r="E1467" s="15"/>
      <c r="F1467" s="16" t="str">
        <f aca="false">IF(OR(C1467="",D1467="",E1467=""),"",C1467*D1467*E1467)</f>
        <v/>
      </c>
      <c r="G1467" s="17" t="str">
        <f aca="false">IF(OR(D1467="",E1467=""),"",E1467*(1+D1467/30))</f>
        <v/>
      </c>
      <c r="H1467" s="19" t="n">
        <f aca="false">IF(G1467="",0,G1467)</f>
        <v>0</v>
      </c>
      <c r="I1467" s="18" t="str">
        <f aca="false">IF(H1467&gt;0,IF(H1467&gt;=SUMPRODUCT(MAX(($B$5:$B$2004=B1467)*$H$5:$H$2004)),"Rekor",""),"")</f>
        <v/>
      </c>
      <c r="J1467" s="19" t="n">
        <f aca="false">IF(A1467="",0,IF(COUNTIF(A$5:A1467,A1467)=1,1,0))</f>
        <v>0</v>
      </c>
    </row>
    <row r="1468" customFormat="false" ht="15" hidden="false" customHeight="false" outlineLevel="0" collapsed="false">
      <c r="A1468" s="12"/>
      <c r="B1468" s="13"/>
      <c r="C1468" s="14"/>
      <c r="D1468" s="14"/>
      <c r="E1468" s="15"/>
      <c r="F1468" s="16" t="str">
        <f aca="false">IF(OR(C1468="",D1468="",E1468=""),"",C1468*D1468*E1468)</f>
        <v/>
      </c>
      <c r="G1468" s="17" t="str">
        <f aca="false">IF(OR(D1468="",E1468=""),"",E1468*(1+D1468/30))</f>
        <v/>
      </c>
      <c r="H1468" s="19" t="n">
        <f aca="false">IF(G1468="",0,G1468)</f>
        <v>0</v>
      </c>
      <c r="I1468" s="18" t="str">
        <f aca="false">IF(H1468&gt;0,IF(H1468&gt;=SUMPRODUCT(MAX(($B$5:$B$2004=B1468)*$H$5:$H$2004)),"Rekor",""),"")</f>
        <v/>
      </c>
      <c r="J1468" s="19" t="n">
        <f aca="false">IF(A1468="",0,IF(COUNTIF(A$5:A1468,A1468)=1,1,0))</f>
        <v>0</v>
      </c>
    </row>
    <row r="1469" customFormat="false" ht="15" hidden="false" customHeight="false" outlineLevel="0" collapsed="false">
      <c r="A1469" s="12"/>
      <c r="B1469" s="13"/>
      <c r="C1469" s="14"/>
      <c r="D1469" s="14"/>
      <c r="E1469" s="15"/>
      <c r="F1469" s="16" t="str">
        <f aca="false">IF(OR(C1469="",D1469="",E1469=""),"",C1469*D1469*E1469)</f>
        <v/>
      </c>
      <c r="G1469" s="17" t="str">
        <f aca="false">IF(OR(D1469="",E1469=""),"",E1469*(1+D1469/30))</f>
        <v/>
      </c>
      <c r="H1469" s="19" t="n">
        <f aca="false">IF(G1469="",0,G1469)</f>
        <v>0</v>
      </c>
      <c r="I1469" s="18" t="str">
        <f aca="false">IF(H1469&gt;0,IF(H1469&gt;=SUMPRODUCT(MAX(($B$5:$B$2004=B1469)*$H$5:$H$2004)),"Rekor",""),"")</f>
        <v/>
      </c>
      <c r="J1469" s="19" t="n">
        <f aca="false">IF(A1469="",0,IF(COUNTIF(A$5:A1469,A1469)=1,1,0))</f>
        <v>0</v>
      </c>
    </row>
    <row r="1470" customFormat="false" ht="15" hidden="false" customHeight="false" outlineLevel="0" collapsed="false">
      <c r="A1470" s="12"/>
      <c r="B1470" s="13"/>
      <c r="C1470" s="14"/>
      <c r="D1470" s="14"/>
      <c r="E1470" s="15"/>
      <c r="F1470" s="16" t="str">
        <f aca="false">IF(OR(C1470="",D1470="",E1470=""),"",C1470*D1470*E1470)</f>
        <v/>
      </c>
      <c r="G1470" s="17" t="str">
        <f aca="false">IF(OR(D1470="",E1470=""),"",E1470*(1+D1470/30))</f>
        <v/>
      </c>
      <c r="H1470" s="19" t="n">
        <f aca="false">IF(G1470="",0,G1470)</f>
        <v>0</v>
      </c>
      <c r="I1470" s="18" t="str">
        <f aca="false">IF(H1470&gt;0,IF(H1470&gt;=SUMPRODUCT(MAX(($B$5:$B$2004=B1470)*$H$5:$H$2004)),"Rekor",""),"")</f>
        <v/>
      </c>
      <c r="J1470" s="19" t="n">
        <f aca="false">IF(A1470="",0,IF(COUNTIF(A$5:A1470,A1470)=1,1,0))</f>
        <v>0</v>
      </c>
    </row>
    <row r="1471" customFormat="false" ht="15" hidden="false" customHeight="false" outlineLevel="0" collapsed="false">
      <c r="A1471" s="12"/>
      <c r="B1471" s="13"/>
      <c r="C1471" s="14"/>
      <c r="D1471" s="14"/>
      <c r="E1471" s="15"/>
      <c r="F1471" s="16" t="str">
        <f aca="false">IF(OR(C1471="",D1471="",E1471=""),"",C1471*D1471*E1471)</f>
        <v/>
      </c>
      <c r="G1471" s="17" t="str">
        <f aca="false">IF(OR(D1471="",E1471=""),"",E1471*(1+D1471/30))</f>
        <v/>
      </c>
      <c r="H1471" s="19" t="n">
        <f aca="false">IF(G1471="",0,G1471)</f>
        <v>0</v>
      </c>
      <c r="I1471" s="18" t="str">
        <f aca="false">IF(H1471&gt;0,IF(H1471&gt;=SUMPRODUCT(MAX(($B$5:$B$2004=B1471)*$H$5:$H$2004)),"Rekor",""),"")</f>
        <v/>
      </c>
      <c r="J1471" s="19" t="n">
        <f aca="false">IF(A1471="",0,IF(COUNTIF(A$5:A1471,A1471)=1,1,0))</f>
        <v>0</v>
      </c>
    </row>
    <row r="1472" customFormat="false" ht="15" hidden="false" customHeight="false" outlineLevel="0" collapsed="false">
      <c r="A1472" s="12"/>
      <c r="B1472" s="13"/>
      <c r="C1472" s="14"/>
      <c r="D1472" s="14"/>
      <c r="E1472" s="15"/>
      <c r="F1472" s="16" t="str">
        <f aca="false">IF(OR(C1472="",D1472="",E1472=""),"",C1472*D1472*E1472)</f>
        <v/>
      </c>
      <c r="G1472" s="17" t="str">
        <f aca="false">IF(OR(D1472="",E1472=""),"",E1472*(1+D1472/30))</f>
        <v/>
      </c>
      <c r="H1472" s="19" t="n">
        <f aca="false">IF(G1472="",0,G1472)</f>
        <v>0</v>
      </c>
      <c r="I1472" s="18" t="str">
        <f aca="false">IF(H1472&gt;0,IF(H1472&gt;=SUMPRODUCT(MAX(($B$5:$B$2004=B1472)*$H$5:$H$2004)),"Rekor",""),"")</f>
        <v/>
      </c>
      <c r="J1472" s="19" t="n">
        <f aca="false">IF(A1472="",0,IF(COUNTIF(A$5:A1472,A1472)=1,1,0))</f>
        <v>0</v>
      </c>
    </row>
    <row r="1473" customFormat="false" ht="15" hidden="false" customHeight="false" outlineLevel="0" collapsed="false">
      <c r="A1473" s="12"/>
      <c r="B1473" s="13"/>
      <c r="C1473" s="14"/>
      <c r="D1473" s="14"/>
      <c r="E1473" s="15"/>
      <c r="F1473" s="16" t="str">
        <f aca="false">IF(OR(C1473="",D1473="",E1473=""),"",C1473*D1473*E1473)</f>
        <v/>
      </c>
      <c r="G1473" s="17" t="str">
        <f aca="false">IF(OR(D1473="",E1473=""),"",E1473*(1+D1473/30))</f>
        <v/>
      </c>
      <c r="H1473" s="19" t="n">
        <f aca="false">IF(G1473="",0,G1473)</f>
        <v>0</v>
      </c>
      <c r="I1473" s="18" t="str">
        <f aca="false">IF(H1473&gt;0,IF(H1473&gt;=SUMPRODUCT(MAX(($B$5:$B$2004=B1473)*$H$5:$H$2004)),"Rekor",""),"")</f>
        <v/>
      </c>
      <c r="J1473" s="19" t="n">
        <f aca="false">IF(A1473="",0,IF(COUNTIF(A$5:A1473,A1473)=1,1,0))</f>
        <v>0</v>
      </c>
    </row>
    <row r="1474" customFormat="false" ht="15" hidden="false" customHeight="false" outlineLevel="0" collapsed="false">
      <c r="A1474" s="12"/>
      <c r="B1474" s="13"/>
      <c r="C1474" s="14"/>
      <c r="D1474" s="14"/>
      <c r="E1474" s="15"/>
      <c r="F1474" s="16" t="str">
        <f aca="false">IF(OR(C1474="",D1474="",E1474=""),"",C1474*D1474*E1474)</f>
        <v/>
      </c>
      <c r="G1474" s="17" t="str">
        <f aca="false">IF(OR(D1474="",E1474=""),"",E1474*(1+D1474/30))</f>
        <v/>
      </c>
      <c r="H1474" s="19" t="n">
        <f aca="false">IF(G1474="",0,G1474)</f>
        <v>0</v>
      </c>
      <c r="I1474" s="18" t="str">
        <f aca="false">IF(H1474&gt;0,IF(H1474&gt;=SUMPRODUCT(MAX(($B$5:$B$2004=B1474)*$H$5:$H$2004)),"Rekor",""),"")</f>
        <v/>
      </c>
      <c r="J1474" s="19" t="n">
        <f aca="false">IF(A1474="",0,IF(COUNTIF(A$5:A1474,A1474)=1,1,0))</f>
        <v>0</v>
      </c>
    </row>
    <row r="1475" customFormat="false" ht="15" hidden="false" customHeight="false" outlineLevel="0" collapsed="false">
      <c r="A1475" s="12"/>
      <c r="B1475" s="13"/>
      <c r="C1475" s="14"/>
      <c r="D1475" s="14"/>
      <c r="E1475" s="15"/>
      <c r="F1475" s="16" t="str">
        <f aca="false">IF(OR(C1475="",D1475="",E1475=""),"",C1475*D1475*E1475)</f>
        <v/>
      </c>
      <c r="G1475" s="17" t="str">
        <f aca="false">IF(OR(D1475="",E1475=""),"",E1475*(1+D1475/30))</f>
        <v/>
      </c>
      <c r="H1475" s="19" t="n">
        <f aca="false">IF(G1475="",0,G1475)</f>
        <v>0</v>
      </c>
      <c r="I1475" s="18" t="str">
        <f aca="false">IF(H1475&gt;0,IF(H1475&gt;=SUMPRODUCT(MAX(($B$5:$B$2004=B1475)*$H$5:$H$2004)),"Rekor",""),"")</f>
        <v/>
      </c>
      <c r="J1475" s="19" t="n">
        <f aca="false">IF(A1475="",0,IF(COUNTIF(A$5:A1475,A1475)=1,1,0))</f>
        <v>0</v>
      </c>
    </row>
    <row r="1476" customFormat="false" ht="15" hidden="false" customHeight="false" outlineLevel="0" collapsed="false">
      <c r="A1476" s="12"/>
      <c r="B1476" s="13"/>
      <c r="C1476" s="14"/>
      <c r="D1476" s="14"/>
      <c r="E1476" s="15"/>
      <c r="F1476" s="16" t="str">
        <f aca="false">IF(OR(C1476="",D1476="",E1476=""),"",C1476*D1476*E1476)</f>
        <v/>
      </c>
      <c r="G1476" s="17" t="str">
        <f aca="false">IF(OR(D1476="",E1476=""),"",E1476*(1+D1476/30))</f>
        <v/>
      </c>
      <c r="H1476" s="19" t="n">
        <f aca="false">IF(G1476="",0,G1476)</f>
        <v>0</v>
      </c>
      <c r="I1476" s="18" t="str">
        <f aca="false">IF(H1476&gt;0,IF(H1476&gt;=SUMPRODUCT(MAX(($B$5:$B$2004=B1476)*$H$5:$H$2004)),"Rekor",""),"")</f>
        <v/>
      </c>
      <c r="J1476" s="19" t="n">
        <f aca="false">IF(A1476="",0,IF(COUNTIF(A$5:A1476,A1476)=1,1,0))</f>
        <v>0</v>
      </c>
    </row>
    <row r="1477" customFormat="false" ht="15" hidden="false" customHeight="false" outlineLevel="0" collapsed="false">
      <c r="A1477" s="12"/>
      <c r="B1477" s="13"/>
      <c r="C1477" s="14"/>
      <c r="D1477" s="14"/>
      <c r="E1477" s="15"/>
      <c r="F1477" s="16" t="str">
        <f aca="false">IF(OR(C1477="",D1477="",E1477=""),"",C1477*D1477*E1477)</f>
        <v/>
      </c>
      <c r="G1477" s="17" t="str">
        <f aca="false">IF(OR(D1477="",E1477=""),"",E1477*(1+D1477/30))</f>
        <v/>
      </c>
      <c r="H1477" s="19" t="n">
        <f aca="false">IF(G1477="",0,G1477)</f>
        <v>0</v>
      </c>
      <c r="I1477" s="18" t="str">
        <f aca="false">IF(H1477&gt;0,IF(H1477&gt;=SUMPRODUCT(MAX(($B$5:$B$2004=B1477)*$H$5:$H$2004)),"Rekor",""),"")</f>
        <v/>
      </c>
      <c r="J1477" s="19" t="n">
        <f aca="false">IF(A1477="",0,IF(COUNTIF(A$5:A1477,A1477)=1,1,0))</f>
        <v>0</v>
      </c>
    </row>
    <row r="1478" customFormat="false" ht="15" hidden="false" customHeight="false" outlineLevel="0" collapsed="false">
      <c r="A1478" s="12"/>
      <c r="B1478" s="13"/>
      <c r="C1478" s="14"/>
      <c r="D1478" s="14"/>
      <c r="E1478" s="15"/>
      <c r="F1478" s="16" t="str">
        <f aca="false">IF(OR(C1478="",D1478="",E1478=""),"",C1478*D1478*E1478)</f>
        <v/>
      </c>
      <c r="G1478" s="17" t="str">
        <f aca="false">IF(OR(D1478="",E1478=""),"",E1478*(1+D1478/30))</f>
        <v/>
      </c>
      <c r="H1478" s="19" t="n">
        <f aca="false">IF(G1478="",0,G1478)</f>
        <v>0</v>
      </c>
      <c r="I1478" s="18" t="str">
        <f aca="false">IF(H1478&gt;0,IF(H1478&gt;=SUMPRODUCT(MAX(($B$5:$B$2004=B1478)*$H$5:$H$2004)),"Rekor",""),"")</f>
        <v/>
      </c>
      <c r="J1478" s="19" t="n">
        <f aca="false">IF(A1478="",0,IF(COUNTIF(A$5:A1478,A1478)=1,1,0))</f>
        <v>0</v>
      </c>
    </row>
    <row r="1479" customFormat="false" ht="15" hidden="false" customHeight="false" outlineLevel="0" collapsed="false">
      <c r="A1479" s="12"/>
      <c r="B1479" s="13"/>
      <c r="C1479" s="14"/>
      <c r="D1479" s="14"/>
      <c r="E1479" s="15"/>
      <c r="F1479" s="16" t="str">
        <f aca="false">IF(OR(C1479="",D1479="",E1479=""),"",C1479*D1479*E1479)</f>
        <v/>
      </c>
      <c r="G1479" s="17" t="str">
        <f aca="false">IF(OR(D1479="",E1479=""),"",E1479*(1+D1479/30))</f>
        <v/>
      </c>
      <c r="H1479" s="19" t="n">
        <f aca="false">IF(G1479="",0,G1479)</f>
        <v>0</v>
      </c>
      <c r="I1479" s="18" t="str">
        <f aca="false">IF(H1479&gt;0,IF(H1479&gt;=SUMPRODUCT(MAX(($B$5:$B$2004=B1479)*$H$5:$H$2004)),"Rekor",""),"")</f>
        <v/>
      </c>
      <c r="J1479" s="19" t="n">
        <f aca="false">IF(A1479="",0,IF(COUNTIF(A$5:A1479,A1479)=1,1,0))</f>
        <v>0</v>
      </c>
    </row>
    <row r="1480" customFormat="false" ht="15" hidden="false" customHeight="false" outlineLevel="0" collapsed="false">
      <c r="A1480" s="12"/>
      <c r="B1480" s="13"/>
      <c r="C1480" s="14"/>
      <c r="D1480" s="14"/>
      <c r="E1480" s="15"/>
      <c r="F1480" s="16" t="str">
        <f aca="false">IF(OR(C1480="",D1480="",E1480=""),"",C1480*D1480*E1480)</f>
        <v/>
      </c>
      <c r="G1480" s="17" t="str">
        <f aca="false">IF(OR(D1480="",E1480=""),"",E1480*(1+D1480/30))</f>
        <v/>
      </c>
      <c r="H1480" s="19" t="n">
        <f aca="false">IF(G1480="",0,G1480)</f>
        <v>0</v>
      </c>
      <c r="I1480" s="18" t="str">
        <f aca="false">IF(H1480&gt;0,IF(H1480&gt;=SUMPRODUCT(MAX(($B$5:$B$2004=B1480)*$H$5:$H$2004)),"Rekor",""),"")</f>
        <v/>
      </c>
      <c r="J1480" s="19" t="n">
        <f aca="false">IF(A1480="",0,IF(COUNTIF(A$5:A1480,A1480)=1,1,0))</f>
        <v>0</v>
      </c>
    </row>
    <row r="1481" customFormat="false" ht="15" hidden="false" customHeight="false" outlineLevel="0" collapsed="false">
      <c r="A1481" s="12"/>
      <c r="B1481" s="13"/>
      <c r="C1481" s="14"/>
      <c r="D1481" s="14"/>
      <c r="E1481" s="15"/>
      <c r="F1481" s="16" t="str">
        <f aca="false">IF(OR(C1481="",D1481="",E1481=""),"",C1481*D1481*E1481)</f>
        <v/>
      </c>
      <c r="G1481" s="17" t="str">
        <f aca="false">IF(OR(D1481="",E1481=""),"",E1481*(1+D1481/30))</f>
        <v/>
      </c>
      <c r="H1481" s="19" t="n">
        <f aca="false">IF(G1481="",0,G1481)</f>
        <v>0</v>
      </c>
      <c r="I1481" s="18" t="str">
        <f aca="false">IF(H1481&gt;0,IF(H1481&gt;=SUMPRODUCT(MAX(($B$5:$B$2004=B1481)*$H$5:$H$2004)),"Rekor",""),"")</f>
        <v/>
      </c>
      <c r="J1481" s="19" t="n">
        <f aca="false">IF(A1481="",0,IF(COUNTIF(A$5:A1481,A1481)=1,1,0))</f>
        <v>0</v>
      </c>
    </row>
    <row r="1482" customFormat="false" ht="15" hidden="false" customHeight="false" outlineLevel="0" collapsed="false">
      <c r="A1482" s="12"/>
      <c r="B1482" s="13"/>
      <c r="C1482" s="14"/>
      <c r="D1482" s="14"/>
      <c r="E1482" s="15"/>
      <c r="F1482" s="16" t="str">
        <f aca="false">IF(OR(C1482="",D1482="",E1482=""),"",C1482*D1482*E1482)</f>
        <v/>
      </c>
      <c r="G1482" s="17" t="str">
        <f aca="false">IF(OR(D1482="",E1482=""),"",E1482*(1+D1482/30))</f>
        <v/>
      </c>
      <c r="H1482" s="19" t="n">
        <f aca="false">IF(G1482="",0,G1482)</f>
        <v>0</v>
      </c>
      <c r="I1482" s="18" t="str">
        <f aca="false">IF(H1482&gt;0,IF(H1482&gt;=SUMPRODUCT(MAX(($B$5:$B$2004=B1482)*$H$5:$H$2004)),"Rekor",""),"")</f>
        <v/>
      </c>
      <c r="J1482" s="19" t="n">
        <f aca="false">IF(A1482="",0,IF(COUNTIF(A$5:A1482,A1482)=1,1,0))</f>
        <v>0</v>
      </c>
    </row>
    <row r="1483" customFormat="false" ht="15" hidden="false" customHeight="false" outlineLevel="0" collapsed="false">
      <c r="A1483" s="12"/>
      <c r="B1483" s="13"/>
      <c r="C1483" s="14"/>
      <c r="D1483" s="14"/>
      <c r="E1483" s="15"/>
      <c r="F1483" s="16" t="str">
        <f aca="false">IF(OR(C1483="",D1483="",E1483=""),"",C1483*D1483*E1483)</f>
        <v/>
      </c>
      <c r="G1483" s="17" t="str">
        <f aca="false">IF(OR(D1483="",E1483=""),"",E1483*(1+D1483/30))</f>
        <v/>
      </c>
      <c r="H1483" s="19" t="n">
        <f aca="false">IF(G1483="",0,G1483)</f>
        <v>0</v>
      </c>
      <c r="I1483" s="18" t="str">
        <f aca="false">IF(H1483&gt;0,IF(H1483&gt;=SUMPRODUCT(MAX(($B$5:$B$2004=B1483)*$H$5:$H$2004)),"Rekor",""),"")</f>
        <v/>
      </c>
      <c r="J1483" s="19" t="n">
        <f aca="false">IF(A1483="",0,IF(COUNTIF(A$5:A1483,A1483)=1,1,0))</f>
        <v>0</v>
      </c>
    </row>
    <row r="1484" customFormat="false" ht="15" hidden="false" customHeight="false" outlineLevel="0" collapsed="false">
      <c r="A1484" s="12"/>
      <c r="B1484" s="13"/>
      <c r="C1484" s="14"/>
      <c r="D1484" s="14"/>
      <c r="E1484" s="15"/>
      <c r="F1484" s="16" t="str">
        <f aca="false">IF(OR(C1484="",D1484="",E1484=""),"",C1484*D1484*E1484)</f>
        <v/>
      </c>
      <c r="G1484" s="17" t="str">
        <f aca="false">IF(OR(D1484="",E1484=""),"",E1484*(1+D1484/30))</f>
        <v/>
      </c>
      <c r="H1484" s="19" t="n">
        <f aca="false">IF(G1484="",0,G1484)</f>
        <v>0</v>
      </c>
      <c r="I1484" s="18" t="str">
        <f aca="false">IF(H1484&gt;0,IF(H1484&gt;=SUMPRODUCT(MAX(($B$5:$B$2004=B1484)*$H$5:$H$2004)),"Rekor",""),"")</f>
        <v/>
      </c>
      <c r="J1484" s="19" t="n">
        <f aca="false">IF(A1484="",0,IF(COUNTIF(A$5:A1484,A1484)=1,1,0))</f>
        <v>0</v>
      </c>
    </row>
    <row r="1485" customFormat="false" ht="15" hidden="false" customHeight="false" outlineLevel="0" collapsed="false">
      <c r="A1485" s="12"/>
      <c r="B1485" s="13"/>
      <c r="C1485" s="14"/>
      <c r="D1485" s="14"/>
      <c r="E1485" s="15"/>
      <c r="F1485" s="16" t="str">
        <f aca="false">IF(OR(C1485="",D1485="",E1485=""),"",C1485*D1485*E1485)</f>
        <v/>
      </c>
      <c r="G1485" s="17" t="str">
        <f aca="false">IF(OR(D1485="",E1485=""),"",E1485*(1+D1485/30))</f>
        <v/>
      </c>
      <c r="H1485" s="19" t="n">
        <f aca="false">IF(G1485="",0,G1485)</f>
        <v>0</v>
      </c>
      <c r="I1485" s="18" t="str">
        <f aca="false">IF(H1485&gt;0,IF(H1485&gt;=SUMPRODUCT(MAX(($B$5:$B$2004=B1485)*$H$5:$H$2004)),"Rekor",""),"")</f>
        <v/>
      </c>
      <c r="J1485" s="19" t="n">
        <f aca="false">IF(A1485="",0,IF(COUNTIF(A$5:A1485,A1485)=1,1,0))</f>
        <v>0</v>
      </c>
    </row>
    <row r="1486" customFormat="false" ht="15" hidden="false" customHeight="false" outlineLevel="0" collapsed="false">
      <c r="A1486" s="12"/>
      <c r="B1486" s="13"/>
      <c r="C1486" s="14"/>
      <c r="D1486" s="14"/>
      <c r="E1486" s="15"/>
      <c r="F1486" s="16" t="str">
        <f aca="false">IF(OR(C1486="",D1486="",E1486=""),"",C1486*D1486*E1486)</f>
        <v/>
      </c>
      <c r="G1486" s="17" t="str">
        <f aca="false">IF(OR(D1486="",E1486=""),"",E1486*(1+D1486/30))</f>
        <v/>
      </c>
      <c r="H1486" s="19" t="n">
        <f aca="false">IF(G1486="",0,G1486)</f>
        <v>0</v>
      </c>
      <c r="I1486" s="18" t="str">
        <f aca="false">IF(H1486&gt;0,IF(H1486&gt;=SUMPRODUCT(MAX(($B$5:$B$2004=B1486)*$H$5:$H$2004)),"Rekor",""),"")</f>
        <v/>
      </c>
      <c r="J1486" s="19" t="n">
        <f aca="false">IF(A1486="",0,IF(COUNTIF(A$5:A1486,A1486)=1,1,0))</f>
        <v>0</v>
      </c>
    </row>
    <row r="1487" customFormat="false" ht="15" hidden="false" customHeight="false" outlineLevel="0" collapsed="false">
      <c r="A1487" s="12"/>
      <c r="B1487" s="13"/>
      <c r="C1487" s="14"/>
      <c r="D1487" s="14"/>
      <c r="E1487" s="15"/>
      <c r="F1487" s="16" t="str">
        <f aca="false">IF(OR(C1487="",D1487="",E1487=""),"",C1487*D1487*E1487)</f>
        <v/>
      </c>
      <c r="G1487" s="17" t="str">
        <f aca="false">IF(OR(D1487="",E1487=""),"",E1487*(1+D1487/30))</f>
        <v/>
      </c>
      <c r="H1487" s="19" t="n">
        <f aca="false">IF(G1487="",0,G1487)</f>
        <v>0</v>
      </c>
      <c r="I1487" s="18" t="str">
        <f aca="false">IF(H1487&gt;0,IF(H1487&gt;=SUMPRODUCT(MAX(($B$5:$B$2004=B1487)*$H$5:$H$2004)),"Rekor",""),"")</f>
        <v/>
      </c>
      <c r="J1487" s="19" t="n">
        <f aca="false">IF(A1487="",0,IF(COUNTIF(A$5:A1487,A1487)=1,1,0))</f>
        <v>0</v>
      </c>
    </row>
    <row r="1488" customFormat="false" ht="15" hidden="false" customHeight="false" outlineLevel="0" collapsed="false">
      <c r="A1488" s="12"/>
      <c r="B1488" s="13"/>
      <c r="C1488" s="14"/>
      <c r="D1488" s="14"/>
      <c r="E1488" s="15"/>
      <c r="F1488" s="16" t="str">
        <f aca="false">IF(OR(C1488="",D1488="",E1488=""),"",C1488*D1488*E1488)</f>
        <v/>
      </c>
      <c r="G1488" s="17" t="str">
        <f aca="false">IF(OR(D1488="",E1488=""),"",E1488*(1+D1488/30))</f>
        <v/>
      </c>
      <c r="H1488" s="19" t="n">
        <f aca="false">IF(G1488="",0,G1488)</f>
        <v>0</v>
      </c>
      <c r="I1488" s="18" t="str">
        <f aca="false">IF(H1488&gt;0,IF(H1488&gt;=SUMPRODUCT(MAX(($B$5:$B$2004=B1488)*$H$5:$H$2004)),"Rekor",""),"")</f>
        <v/>
      </c>
      <c r="J1488" s="19" t="n">
        <f aca="false">IF(A1488="",0,IF(COUNTIF(A$5:A1488,A1488)=1,1,0))</f>
        <v>0</v>
      </c>
    </row>
    <row r="1489" customFormat="false" ht="15" hidden="false" customHeight="false" outlineLevel="0" collapsed="false">
      <c r="A1489" s="12"/>
      <c r="B1489" s="13"/>
      <c r="C1489" s="14"/>
      <c r="D1489" s="14"/>
      <c r="E1489" s="15"/>
      <c r="F1489" s="16" t="str">
        <f aca="false">IF(OR(C1489="",D1489="",E1489=""),"",C1489*D1489*E1489)</f>
        <v/>
      </c>
      <c r="G1489" s="17" t="str">
        <f aca="false">IF(OR(D1489="",E1489=""),"",E1489*(1+D1489/30))</f>
        <v/>
      </c>
      <c r="H1489" s="19" t="n">
        <f aca="false">IF(G1489="",0,G1489)</f>
        <v>0</v>
      </c>
      <c r="I1489" s="18" t="str">
        <f aca="false">IF(H1489&gt;0,IF(H1489&gt;=SUMPRODUCT(MAX(($B$5:$B$2004=B1489)*$H$5:$H$2004)),"Rekor",""),"")</f>
        <v/>
      </c>
      <c r="J1489" s="19" t="n">
        <f aca="false">IF(A1489="",0,IF(COUNTIF(A$5:A1489,A1489)=1,1,0))</f>
        <v>0</v>
      </c>
    </row>
    <row r="1490" customFormat="false" ht="15" hidden="false" customHeight="false" outlineLevel="0" collapsed="false">
      <c r="A1490" s="12"/>
      <c r="B1490" s="13"/>
      <c r="C1490" s="14"/>
      <c r="D1490" s="14"/>
      <c r="E1490" s="15"/>
      <c r="F1490" s="16" t="str">
        <f aca="false">IF(OR(C1490="",D1490="",E1490=""),"",C1490*D1490*E1490)</f>
        <v/>
      </c>
      <c r="G1490" s="17" t="str">
        <f aca="false">IF(OR(D1490="",E1490=""),"",E1490*(1+D1490/30))</f>
        <v/>
      </c>
      <c r="H1490" s="19" t="n">
        <f aca="false">IF(G1490="",0,G1490)</f>
        <v>0</v>
      </c>
      <c r="I1490" s="18" t="str">
        <f aca="false">IF(H1490&gt;0,IF(H1490&gt;=SUMPRODUCT(MAX(($B$5:$B$2004=B1490)*$H$5:$H$2004)),"Rekor",""),"")</f>
        <v/>
      </c>
      <c r="J1490" s="19" t="n">
        <f aca="false">IF(A1490="",0,IF(COUNTIF(A$5:A1490,A1490)=1,1,0))</f>
        <v>0</v>
      </c>
    </row>
    <row r="1491" customFormat="false" ht="15" hidden="false" customHeight="false" outlineLevel="0" collapsed="false">
      <c r="A1491" s="12"/>
      <c r="B1491" s="13"/>
      <c r="C1491" s="14"/>
      <c r="D1491" s="14"/>
      <c r="E1491" s="15"/>
      <c r="F1491" s="16" t="str">
        <f aca="false">IF(OR(C1491="",D1491="",E1491=""),"",C1491*D1491*E1491)</f>
        <v/>
      </c>
      <c r="G1491" s="17" t="str">
        <f aca="false">IF(OR(D1491="",E1491=""),"",E1491*(1+D1491/30))</f>
        <v/>
      </c>
      <c r="H1491" s="19" t="n">
        <f aca="false">IF(G1491="",0,G1491)</f>
        <v>0</v>
      </c>
      <c r="I1491" s="18" t="str">
        <f aca="false">IF(H1491&gt;0,IF(H1491&gt;=SUMPRODUCT(MAX(($B$5:$B$2004=B1491)*$H$5:$H$2004)),"Rekor",""),"")</f>
        <v/>
      </c>
      <c r="J1491" s="19" t="n">
        <f aca="false">IF(A1491="",0,IF(COUNTIF(A$5:A1491,A1491)=1,1,0))</f>
        <v>0</v>
      </c>
    </row>
    <row r="1492" customFormat="false" ht="15" hidden="false" customHeight="false" outlineLevel="0" collapsed="false">
      <c r="A1492" s="12"/>
      <c r="B1492" s="13"/>
      <c r="C1492" s="14"/>
      <c r="D1492" s="14"/>
      <c r="E1492" s="15"/>
      <c r="F1492" s="16" t="str">
        <f aca="false">IF(OR(C1492="",D1492="",E1492=""),"",C1492*D1492*E1492)</f>
        <v/>
      </c>
      <c r="G1492" s="17" t="str">
        <f aca="false">IF(OR(D1492="",E1492=""),"",E1492*(1+D1492/30))</f>
        <v/>
      </c>
      <c r="H1492" s="19" t="n">
        <f aca="false">IF(G1492="",0,G1492)</f>
        <v>0</v>
      </c>
      <c r="I1492" s="18" t="str">
        <f aca="false">IF(H1492&gt;0,IF(H1492&gt;=SUMPRODUCT(MAX(($B$5:$B$2004=B1492)*$H$5:$H$2004)),"Rekor",""),"")</f>
        <v/>
      </c>
      <c r="J1492" s="19" t="n">
        <f aca="false">IF(A1492="",0,IF(COUNTIF(A$5:A1492,A1492)=1,1,0))</f>
        <v>0</v>
      </c>
    </row>
    <row r="1493" customFormat="false" ht="15" hidden="false" customHeight="false" outlineLevel="0" collapsed="false">
      <c r="A1493" s="12"/>
      <c r="B1493" s="13"/>
      <c r="C1493" s="14"/>
      <c r="D1493" s="14"/>
      <c r="E1493" s="15"/>
      <c r="F1493" s="16" t="str">
        <f aca="false">IF(OR(C1493="",D1493="",E1493=""),"",C1493*D1493*E1493)</f>
        <v/>
      </c>
      <c r="G1493" s="17" t="str">
        <f aca="false">IF(OR(D1493="",E1493=""),"",E1493*(1+D1493/30))</f>
        <v/>
      </c>
      <c r="H1493" s="19" t="n">
        <f aca="false">IF(G1493="",0,G1493)</f>
        <v>0</v>
      </c>
      <c r="I1493" s="18" t="str">
        <f aca="false">IF(H1493&gt;0,IF(H1493&gt;=SUMPRODUCT(MAX(($B$5:$B$2004=B1493)*$H$5:$H$2004)),"Rekor",""),"")</f>
        <v/>
      </c>
      <c r="J1493" s="19" t="n">
        <f aca="false">IF(A1493="",0,IF(COUNTIF(A$5:A1493,A1493)=1,1,0))</f>
        <v>0</v>
      </c>
    </row>
    <row r="1494" customFormat="false" ht="15" hidden="false" customHeight="false" outlineLevel="0" collapsed="false">
      <c r="A1494" s="12"/>
      <c r="B1494" s="13"/>
      <c r="C1494" s="14"/>
      <c r="D1494" s="14"/>
      <c r="E1494" s="15"/>
      <c r="F1494" s="16" t="str">
        <f aca="false">IF(OR(C1494="",D1494="",E1494=""),"",C1494*D1494*E1494)</f>
        <v/>
      </c>
      <c r="G1494" s="17" t="str">
        <f aca="false">IF(OR(D1494="",E1494=""),"",E1494*(1+D1494/30))</f>
        <v/>
      </c>
      <c r="H1494" s="19" t="n">
        <f aca="false">IF(G1494="",0,G1494)</f>
        <v>0</v>
      </c>
      <c r="I1494" s="18" t="str">
        <f aca="false">IF(H1494&gt;0,IF(H1494&gt;=SUMPRODUCT(MAX(($B$5:$B$2004=B1494)*$H$5:$H$2004)),"Rekor",""),"")</f>
        <v/>
      </c>
      <c r="J1494" s="19" t="n">
        <f aca="false">IF(A1494="",0,IF(COUNTIF(A$5:A1494,A1494)=1,1,0))</f>
        <v>0</v>
      </c>
    </row>
    <row r="1495" customFormat="false" ht="15" hidden="false" customHeight="false" outlineLevel="0" collapsed="false">
      <c r="A1495" s="12"/>
      <c r="B1495" s="13"/>
      <c r="C1495" s="14"/>
      <c r="D1495" s="14"/>
      <c r="E1495" s="15"/>
      <c r="F1495" s="16" t="str">
        <f aca="false">IF(OR(C1495="",D1495="",E1495=""),"",C1495*D1495*E1495)</f>
        <v/>
      </c>
      <c r="G1495" s="17" t="str">
        <f aca="false">IF(OR(D1495="",E1495=""),"",E1495*(1+D1495/30))</f>
        <v/>
      </c>
      <c r="H1495" s="19" t="n">
        <f aca="false">IF(G1495="",0,G1495)</f>
        <v>0</v>
      </c>
      <c r="I1495" s="18" t="str">
        <f aca="false">IF(H1495&gt;0,IF(H1495&gt;=SUMPRODUCT(MAX(($B$5:$B$2004=B1495)*$H$5:$H$2004)),"Rekor",""),"")</f>
        <v/>
      </c>
      <c r="J1495" s="19" t="n">
        <f aca="false">IF(A1495="",0,IF(COUNTIF(A$5:A1495,A1495)=1,1,0))</f>
        <v>0</v>
      </c>
    </row>
    <row r="1496" customFormat="false" ht="15" hidden="false" customHeight="false" outlineLevel="0" collapsed="false">
      <c r="A1496" s="12"/>
      <c r="B1496" s="13"/>
      <c r="C1496" s="14"/>
      <c r="D1496" s="14"/>
      <c r="E1496" s="15"/>
      <c r="F1496" s="16" t="str">
        <f aca="false">IF(OR(C1496="",D1496="",E1496=""),"",C1496*D1496*E1496)</f>
        <v/>
      </c>
      <c r="G1496" s="17" t="str">
        <f aca="false">IF(OR(D1496="",E1496=""),"",E1496*(1+D1496/30))</f>
        <v/>
      </c>
      <c r="H1496" s="19" t="n">
        <f aca="false">IF(G1496="",0,G1496)</f>
        <v>0</v>
      </c>
      <c r="I1496" s="18" t="str">
        <f aca="false">IF(H1496&gt;0,IF(H1496&gt;=SUMPRODUCT(MAX(($B$5:$B$2004=B1496)*$H$5:$H$2004)),"Rekor",""),"")</f>
        <v/>
      </c>
      <c r="J1496" s="19" t="n">
        <f aca="false">IF(A1496="",0,IF(COUNTIF(A$5:A1496,A1496)=1,1,0))</f>
        <v>0</v>
      </c>
    </row>
    <row r="1497" customFormat="false" ht="15" hidden="false" customHeight="false" outlineLevel="0" collapsed="false">
      <c r="A1497" s="12"/>
      <c r="B1497" s="13"/>
      <c r="C1497" s="14"/>
      <c r="D1497" s="14"/>
      <c r="E1497" s="15"/>
      <c r="F1497" s="16" t="str">
        <f aca="false">IF(OR(C1497="",D1497="",E1497=""),"",C1497*D1497*E1497)</f>
        <v/>
      </c>
      <c r="G1497" s="17" t="str">
        <f aca="false">IF(OR(D1497="",E1497=""),"",E1497*(1+D1497/30))</f>
        <v/>
      </c>
      <c r="H1497" s="19" t="n">
        <f aca="false">IF(G1497="",0,G1497)</f>
        <v>0</v>
      </c>
      <c r="I1497" s="18" t="str">
        <f aca="false">IF(H1497&gt;0,IF(H1497&gt;=SUMPRODUCT(MAX(($B$5:$B$2004=B1497)*$H$5:$H$2004)),"Rekor",""),"")</f>
        <v/>
      </c>
      <c r="J1497" s="19" t="n">
        <f aca="false">IF(A1497="",0,IF(COUNTIF(A$5:A1497,A1497)=1,1,0))</f>
        <v>0</v>
      </c>
    </row>
    <row r="1498" customFormat="false" ht="15" hidden="false" customHeight="false" outlineLevel="0" collapsed="false">
      <c r="A1498" s="12"/>
      <c r="B1498" s="13"/>
      <c r="C1498" s="14"/>
      <c r="D1498" s="14"/>
      <c r="E1498" s="15"/>
      <c r="F1498" s="16" t="str">
        <f aca="false">IF(OR(C1498="",D1498="",E1498=""),"",C1498*D1498*E1498)</f>
        <v/>
      </c>
      <c r="G1498" s="17" t="str">
        <f aca="false">IF(OR(D1498="",E1498=""),"",E1498*(1+D1498/30))</f>
        <v/>
      </c>
      <c r="H1498" s="19" t="n">
        <f aca="false">IF(G1498="",0,G1498)</f>
        <v>0</v>
      </c>
      <c r="I1498" s="18" t="str">
        <f aca="false">IF(H1498&gt;0,IF(H1498&gt;=SUMPRODUCT(MAX(($B$5:$B$2004=B1498)*$H$5:$H$2004)),"Rekor",""),"")</f>
        <v/>
      </c>
      <c r="J1498" s="19" t="n">
        <f aca="false">IF(A1498="",0,IF(COUNTIF(A$5:A1498,A1498)=1,1,0))</f>
        <v>0</v>
      </c>
    </row>
    <row r="1499" customFormat="false" ht="15" hidden="false" customHeight="false" outlineLevel="0" collapsed="false">
      <c r="A1499" s="12"/>
      <c r="B1499" s="13"/>
      <c r="C1499" s="14"/>
      <c r="D1499" s="14"/>
      <c r="E1499" s="15"/>
      <c r="F1499" s="16" t="str">
        <f aca="false">IF(OR(C1499="",D1499="",E1499=""),"",C1499*D1499*E1499)</f>
        <v/>
      </c>
      <c r="G1499" s="17" t="str">
        <f aca="false">IF(OR(D1499="",E1499=""),"",E1499*(1+D1499/30))</f>
        <v/>
      </c>
      <c r="H1499" s="19" t="n">
        <f aca="false">IF(G1499="",0,G1499)</f>
        <v>0</v>
      </c>
      <c r="I1499" s="18" t="str">
        <f aca="false">IF(H1499&gt;0,IF(H1499&gt;=SUMPRODUCT(MAX(($B$5:$B$2004=B1499)*$H$5:$H$2004)),"Rekor",""),"")</f>
        <v/>
      </c>
      <c r="J1499" s="19" t="n">
        <f aca="false">IF(A1499="",0,IF(COUNTIF(A$5:A1499,A1499)=1,1,0))</f>
        <v>0</v>
      </c>
    </row>
    <row r="1500" customFormat="false" ht="15" hidden="false" customHeight="false" outlineLevel="0" collapsed="false">
      <c r="A1500" s="12"/>
      <c r="B1500" s="13"/>
      <c r="C1500" s="14"/>
      <c r="D1500" s="14"/>
      <c r="E1500" s="15"/>
      <c r="F1500" s="16" t="str">
        <f aca="false">IF(OR(C1500="",D1500="",E1500=""),"",C1500*D1500*E1500)</f>
        <v/>
      </c>
      <c r="G1500" s="17" t="str">
        <f aca="false">IF(OR(D1500="",E1500=""),"",E1500*(1+D1500/30))</f>
        <v/>
      </c>
      <c r="H1500" s="19" t="n">
        <f aca="false">IF(G1500="",0,G1500)</f>
        <v>0</v>
      </c>
      <c r="I1500" s="18" t="str">
        <f aca="false">IF(H1500&gt;0,IF(H1500&gt;=SUMPRODUCT(MAX(($B$5:$B$2004=B1500)*$H$5:$H$2004)),"Rekor",""),"")</f>
        <v/>
      </c>
      <c r="J1500" s="19" t="n">
        <f aca="false">IF(A1500="",0,IF(COUNTIF(A$5:A1500,A1500)=1,1,0))</f>
        <v>0</v>
      </c>
    </row>
    <row r="1501" customFormat="false" ht="15" hidden="false" customHeight="false" outlineLevel="0" collapsed="false">
      <c r="A1501" s="12"/>
      <c r="B1501" s="13"/>
      <c r="C1501" s="14"/>
      <c r="D1501" s="14"/>
      <c r="E1501" s="15"/>
      <c r="F1501" s="16" t="str">
        <f aca="false">IF(OR(C1501="",D1501="",E1501=""),"",C1501*D1501*E1501)</f>
        <v/>
      </c>
      <c r="G1501" s="17" t="str">
        <f aca="false">IF(OR(D1501="",E1501=""),"",E1501*(1+D1501/30))</f>
        <v/>
      </c>
      <c r="H1501" s="19" t="n">
        <f aca="false">IF(G1501="",0,G1501)</f>
        <v>0</v>
      </c>
      <c r="I1501" s="18" t="str">
        <f aca="false">IF(H1501&gt;0,IF(H1501&gt;=SUMPRODUCT(MAX(($B$5:$B$2004=B1501)*$H$5:$H$2004)),"Rekor",""),"")</f>
        <v/>
      </c>
      <c r="J1501" s="19" t="n">
        <f aca="false">IF(A1501="",0,IF(COUNTIF(A$5:A1501,A1501)=1,1,0))</f>
        <v>0</v>
      </c>
    </row>
    <row r="1502" customFormat="false" ht="15" hidden="false" customHeight="false" outlineLevel="0" collapsed="false">
      <c r="A1502" s="12"/>
      <c r="B1502" s="13"/>
      <c r="C1502" s="14"/>
      <c r="D1502" s="14"/>
      <c r="E1502" s="15"/>
      <c r="F1502" s="16" t="str">
        <f aca="false">IF(OR(C1502="",D1502="",E1502=""),"",C1502*D1502*E1502)</f>
        <v/>
      </c>
      <c r="G1502" s="17" t="str">
        <f aca="false">IF(OR(D1502="",E1502=""),"",E1502*(1+D1502/30))</f>
        <v/>
      </c>
      <c r="H1502" s="19" t="n">
        <f aca="false">IF(G1502="",0,G1502)</f>
        <v>0</v>
      </c>
      <c r="I1502" s="18" t="str">
        <f aca="false">IF(H1502&gt;0,IF(H1502&gt;=SUMPRODUCT(MAX(($B$5:$B$2004=B1502)*$H$5:$H$2004)),"Rekor",""),"")</f>
        <v/>
      </c>
      <c r="J1502" s="19" t="n">
        <f aca="false">IF(A1502="",0,IF(COUNTIF(A$5:A1502,A1502)=1,1,0))</f>
        <v>0</v>
      </c>
    </row>
    <row r="1503" customFormat="false" ht="15" hidden="false" customHeight="false" outlineLevel="0" collapsed="false">
      <c r="A1503" s="12"/>
      <c r="B1503" s="13"/>
      <c r="C1503" s="14"/>
      <c r="D1503" s="14"/>
      <c r="E1503" s="15"/>
      <c r="F1503" s="16" t="str">
        <f aca="false">IF(OR(C1503="",D1503="",E1503=""),"",C1503*D1503*E1503)</f>
        <v/>
      </c>
      <c r="G1503" s="17" t="str">
        <f aca="false">IF(OR(D1503="",E1503=""),"",E1503*(1+D1503/30))</f>
        <v/>
      </c>
      <c r="H1503" s="19" t="n">
        <f aca="false">IF(G1503="",0,G1503)</f>
        <v>0</v>
      </c>
      <c r="I1503" s="18" t="str">
        <f aca="false">IF(H1503&gt;0,IF(H1503&gt;=SUMPRODUCT(MAX(($B$5:$B$2004=B1503)*$H$5:$H$2004)),"Rekor",""),"")</f>
        <v/>
      </c>
      <c r="J1503" s="19" t="n">
        <f aca="false">IF(A1503="",0,IF(COUNTIF(A$5:A1503,A1503)=1,1,0))</f>
        <v>0</v>
      </c>
    </row>
    <row r="1504" customFormat="false" ht="15" hidden="false" customHeight="false" outlineLevel="0" collapsed="false">
      <c r="A1504" s="12"/>
      <c r="B1504" s="13"/>
      <c r="C1504" s="14"/>
      <c r="D1504" s="14"/>
      <c r="E1504" s="15"/>
      <c r="F1504" s="16" t="str">
        <f aca="false">IF(OR(C1504="",D1504="",E1504=""),"",C1504*D1504*E1504)</f>
        <v/>
      </c>
      <c r="G1504" s="17" t="str">
        <f aca="false">IF(OR(D1504="",E1504=""),"",E1504*(1+D1504/30))</f>
        <v/>
      </c>
      <c r="H1504" s="19" t="n">
        <f aca="false">IF(G1504="",0,G1504)</f>
        <v>0</v>
      </c>
      <c r="I1504" s="18" t="str">
        <f aca="false">IF(H1504&gt;0,IF(H1504&gt;=SUMPRODUCT(MAX(($B$5:$B$2004=B1504)*$H$5:$H$2004)),"Rekor",""),"")</f>
        <v/>
      </c>
      <c r="J1504" s="19" t="n">
        <f aca="false">IF(A1504="",0,IF(COUNTIF(A$5:A1504,A1504)=1,1,0))</f>
        <v>0</v>
      </c>
    </row>
    <row r="1505" customFormat="false" ht="15" hidden="false" customHeight="false" outlineLevel="0" collapsed="false">
      <c r="A1505" s="12"/>
      <c r="B1505" s="13"/>
      <c r="C1505" s="14"/>
      <c r="D1505" s="14"/>
      <c r="E1505" s="15"/>
      <c r="F1505" s="16" t="str">
        <f aca="false">IF(OR(C1505="",D1505="",E1505=""),"",C1505*D1505*E1505)</f>
        <v/>
      </c>
      <c r="G1505" s="17" t="str">
        <f aca="false">IF(OR(D1505="",E1505=""),"",E1505*(1+D1505/30))</f>
        <v/>
      </c>
      <c r="H1505" s="19" t="n">
        <f aca="false">IF(G1505="",0,G1505)</f>
        <v>0</v>
      </c>
      <c r="I1505" s="18" t="str">
        <f aca="false">IF(H1505&gt;0,IF(H1505&gt;=SUMPRODUCT(MAX(($B$5:$B$2004=B1505)*$H$5:$H$2004)),"Rekor",""),"")</f>
        <v/>
      </c>
      <c r="J1505" s="19" t="n">
        <f aca="false">IF(A1505="",0,IF(COUNTIF(A$5:A1505,A1505)=1,1,0))</f>
        <v>0</v>
      </c>
    </row>
    <row r="1506" customFormat="false" ht="15" hidden="false" customHeight="false" outlineLevel="0" collapsed="false">
      <c r="A1506" s="12"/>
      <c r="B1506" s="13"/>
      <c r="C1506" s="14"/>
      <c r="D1506" s="14"/>
      <c r="E1506" s="15"/>
      <c r="F1506" s="16" t="str">
        <f aca="false">IF(OR(C1506="",D1506="",E1506=""),"",C1506*D1506*E1506)</f>
        <v/>
      </c>
      <c r="G1506" s="17" t="str">
        <f aca="false">IF(OR(D1506="",E1506=""),"",E1506*(1+D1506/30))</f>
        <v/>
      </c>
      <c r="H1506" s="19" t="n">
        <f aca="false">IF(G1506="",0,G1506)</f>
        <v>0</v>
      </c>
      <c r="I1506" s="18" t="str">
        <f aca="false">IF(H1506&gt;0,IF(H1506&gt;=SUMPRODUCT(MAX(($B$5:$B$2004=B1506)*$H$5:$H$2004)),"Rekor",""),"")</f>
        <v/>
      </c>
      <c r="J1506" s="19" t="n">
        <f aca="false">IF(A1506="",0,IF(COUNTIF(A$5:A1506,A1506)=1,1,0))</f>
        <v>0</v>
      </c>
    </row>
    <row r="1507" customFormat="false" ht="15" hidden="false" customHeight="false" outlineLevel="0" collapsed="false">
      <c r="A1507" s="12"/>
      <c r="B1507" s="13"/>
      <c r="C1507" s="14"/>
      <c r="D1507" s="14"/>
      <c r="E1507" s="15"/>
      <c r="F1507" s="16" t="str">
        <f aca="false">IF(OR(C1507="",D1507="",E1507=""),"",C1507*D1507*E1507)</f>
        <v/>
      </c>
      <c r="G1507" s="17" t="str">
        <f aca="false">IF(OR(D1507="",E1507=""),"",E1507*(1+D1507/30))</f>
        <v/>
      </c>
      <c r="H1507" s="19" t="n">
        <f aca="false">IF(G1507="",0,G1507)</f>
        <v>0</v>
      </c>
      <c r="I1507" s="18" t="str">
        <f aca="false">IF(H1507&gt;0,IF(H1507&gt;=SUMPRODUCT(MAX(($B$5:$B$2004=B1507)*$H$5:$H$2004)),"Rekor",""),"")</f>
        <v/>
      </c>
      <c r="J1507" s="19" t="n">
        <f aca="false">IF(A1507="",0,IF(COUNTIF(A$5:A1507,A1507)=1,1,0))</f>
        <v>0</v>
      </c>
    </row>
    <row r="1508" customFormat="false" ht="15" hidden="false" customHeight="false" outlineLevel="0" collapsed="false">
      <c r="A1508" s="12"/>
      <c r="B1508" s="13"/>
      <c r="C1508" s="14"/>
      <c r="D1508" s="14"/>
      <c r="E1508" s="15"/>
      <c r="F1508" s="16" t="str">
        <f aca="false">IF(OR(C1508="",D1508="",E1508=""),"",C1508*D1508*E1508)</f>
        <v/>
      </c>
      <c r="G1508" s="17" t="str">
        <f aca="false">IF(OR(D1508="",E1508=""),"",E1508*(1+D1508/30))</f>
        <v/>
      </c>
      <c r="H1508" s="19" t="n">
        <f aca="false">IF(G1508="",0,G1508)</f>
        <v>0</v>
      </c>
      <c r="I1508" s="18" t="str">
        <f aca="false">IF(H1508&gt;0,IF(H1508&gt;=SUMPRODUCT(MAX(($B$5:$B$2004=B1508)*$H$5:$H$2004)),"Rekor",""),"")</f>
        <v/>
      </c>
      <c r="J1508" s="19" t="n">
        <f aca="false">IF(A1508="",0,IF(COUNTIF(A$5:A1508,A1508)=1,1,0))</f>
        <v>0</v>
      </c>
    </row>
    <row r="1509" customFormat="false" ht="15" hidden="false" customHeight="false" outlineLevel="0" collapsed="false">
      <c r="A1509" s="12"/>
      <c r="B1509" s="13"/>
      <c r="C1509" s="14"/>
      <c r="D1509" s="14"/>
      <c r="E1509" s="15"/>
      <c r="F1509" s="16" t="str">
        <f aca="false">IF(OR(C1509="",D1509="",E1509=""),"",C1509*D1509*E1509)</f>
        <v/>
      </c>
      <c r="G1509" s="17" t="str">
        <f aca="false">IF(OR(D1509="",E1509=""),"",E1509*(1+D1509/30))</f>
        <v/>
      </c>
      <c r="H1509" s="19" t="n">
        <f aca="false">IF(G1509="",0,G1509)</f>
        <v>0</v>
      </c>
      <c r="I1509" s="18" t="str">
        <f aca="false">IF(H1509&gt;0,IF(H1509&gt;=SUMPRODUCT(MAX(($B$5:$B$2004=B1509)*$H$5:$H$2004)),"Rekor",""),"")</f>
        <v/>
      </c>
      <c r="J1509" s="19" t="n">
        <f aca="false">IF(A1509="",0,IF(COUNTIF(A$5:A1509,A1509)=1,1,0))</f>
        <v>0</v>
      </c>
    </row>
    <row r="1510" customFormat="false" ht="15" hidden="false" customHeight="false" outlineLevel="0" collapsed="false">
      <c r="A1510" s="12"/>
      <c r="B1510" s="13"/>
      <c r="C1510" s="14"/>
      <c r="D1510" s="14"/>
      <c r="E1510" s="15"/>
      <c r="F1510" s="16" t="str">
        <f aca="false">IF(OR(C1510="",D1510="",E1510=""),"",C1510*D1510*E1510)</f>
        <v/>
      </c>
      <c r="G1510" s="17" t="str">
        <f aca="false">IF(OR(D1510="",E1510=""),"",E1510*(1+D1510/30))</f>
        <v/>
      </c>
      <c r="H1510" s="19" t="n">
        <f aca="false">IF(G1510="",0,G1510)</f>
        <v>0</v>
      </c>
      <c r="I1510" s="18" t="str">
        <f aca="false">IF(H1510&gt;0,IF(H1510&gt;=SUMPRODUCT(MAX(($B$5:$B$2004=B1510)*$H$5:$H$2004)),"Rekor",""),"")</f>
        <v/>
      </c>
      <c r="J1510" s="19" t="n">
        <f aca="false">IF(A1510="",0,IF(COUNTIF(A$5:A1510,A1510)=1,1,0))</f>
        <v>0</v>
      </c>
    </row>
    <row r="1511" customFormat="false" ht="15" hidden="false" customHeight="false" outlineLevel="0" collapsed="false">
      <c r="A1511" s="12"/>
      <c r="B1511" s="13"/>
      <c r="C1511" s="14"/>
      <c r="D1511" s="14"/>
      <c r="E1511" s="15"/>
      <c r="F1511" s="16" t="str">
        <f aca="false">IF(OR(C1511="",D1511="",E1511=""),"",C1511*D1511*E1511)</f>
        <v/>
      </c>
      <c r="G1511" s="17" t="str">
        <f aca="false">IF(OR(D1511="",E1511=""),"",E1511*(1+D1511/30))</f>
        <v/>
      </c>
      <c r="H1511" s="19" t="n">
        <f aca="false">IF(G1511="",0,G1511)</f>
        <v>0</v>
      </c>
      <c r="I1511" s="18" t="str">
        <f aca="false">IF(H1511&gt;0,IF(H1511&gt;=SUMPRODUCT(MAX(($B$5:$B$2004=B1511)*$H$5:$H$2004)),"Rekor",""),"")</f>
        <v/>
      </c>
      <c r="J1511" s="19" t="n">
        <f aca="false">IF(A1511="",0,IF(COUNTIF(A$5:A1511,A1511)=1,1,0))</f>
        <v>0</v>
      </c>
    </row>
    <row r="1512" customFormat="false" ht="15" hidden="false" customHeight="false" outlineLevel="0" collapsed="false">
      <c r="A1512" s="12"/>
      <c r="B1512" s="13"/>
      <c r="C1512" s="14"/>
      <c r="D1512" s="14"/>
      <c r="E1512" s="15"/>
      <c r="F1512" s="16" t="str">
        <f aca="false">IF(OR(C1512="",D1512="",E1512=""),"",C1512*D1512*E1512)</f>
        <v/>
      </c>
      <c r="G1512" s="17" t="str">
        <f aca="false">IF(OR(D1512="",E1512=""),"",E1512*(1+D1512/30))</f>
        <v/>
      </c>
      <c r="H1512" s="19" t="n">
        <f aca="false">IF(G1512="",0,G1512)</f>
        <v>0</v>
      </c>
      <c r="I1512" s="18" t="str">
        <f aca="false">IF(H1512&gt;0,IF(H1512&gt;=SUMPRODUCT(MAX(($B$5:$B$2004=B1512)*$H$5:$H$2004)),"Rekor",""),"")</f>
        <v/>
      </c>
      <c r="J1512" s="19" t="n">
        <f aca="false">IF(A1512="",0,IF(COUNTIF(A$5:A1512,A1512)=1,1,0))</f>
        <v>0</v>
      </c>
    </row>
    <row r="1513" customFormat="false" ht="15" hidden="false" customHeight="false" outlineLevel="0" collapsed="false">
      <c r="A1513" s="12"/>
      <c r="B1513" s="13"/>
      <c r="C1513" s="14"/>
      <c r="D1513" s="14"/>
      <c r="E1513" s="15"/>
      <c r="F1513" s="16" t="str">
        <f aca="false">IF(OR(C1513="",D1513="",E1513=""),"",C1513*D1513*E1513)</f>
        <v/>
      </c>
      <c r="G1513" s="17" t="str">
        <f aca="false">IF(OR(D1513="",E1513=""),"",E1513*(1+D1513/30))</f>
        <v/>
      </c>
      <c r="H1513" s="19" t="n">
        <f aca="false">IF(G1513="",0,G1513)</f>
        <v>0</v>
      </c>
      <c r="I1513" s="18" t="str">
        <f aca="false">IF(H1513&gt;0,IF(H1513&gt;=SUMPRODUCT(MAX(($B$5:$B$2004=B1513)*$H$5:$H$2004)),"Rekor",""),"")</f>
        <v/>
      </c>
      <c r="J1513" s="19" t="n">
        <f aca="false">IF(A1513="",0,IF(COUNTIF(A$5:A1513,A1513)=1,1,0))</f>
        <v>0</v>
      </c>
    </row>
    <row r="1514" customFormat="false" ht="15" hidden="false" customHeight="false" outlineLevel="0" collapsed="false">
      <c r="A1514" s="12"/>
      <c r="B1514" s="13"/>
      <c r="C1514" s="14"/>
      <c r="D1514" s="14"/>
      <c r="E1514" s="15"/>
      <c r="F1514" s="16" t="str">
        <f aca="false">IF(OR(C1514="",D1514="",E1514=""),"",C1514*D1514*E1514)</f>
        <v/>
      </c>
      <c r="G1514" s="17" t="str">
        <f aca="false">IF(OR(D1514="",E1514=""),"",E1514*(1+D1514/30))</f>
        <v/>
      </c>
      <c r="H1514" s="19" t="n">
        <f aca="false">IF(G1514="",0,G1514)</f>
        <v>0</v>
      </c>
      <c r="I1514" s="18" t="str">
        <f aca="false">IF(H1514&gt;0,IF(H1514&gt;=SUMPRODUCT(MAX(($B$5:$B$2004=B1514)*$H$5:$H$2004)),"Rekor",""),"")</f>
        <v/>
      </c>
      <c r="J1514" s="19" t="n">
        <f aca="false">IF(A1514="",0,IF(COUNTIF(A$5:A1514,A1514)=1,1,0))</f>
        <v>0</v>
      </c>
    </row>
    <row r="1515" customFormat="false" ht="15" hidden="false" customHeight="false" outlineLevel="0" collapsed="false">
      <c r="A1515" s="12"/>
      <c r="B1515" s="13"/>
      <c r="C1515" s="14"/>
      <c r="D1515" s="14"/>
      <c r="E1515" s="15"/>
      <c r="F1515" s="16" t="str">
        <f aca="false">IF(OR(C1515="",D1515="",E1515=""),"",C1515*D1515*E1515)</f>
        <v/>
      </c>
      <c r="G1515" s="17" t="str">
        <f aca="false">IF(OR(D1515="",E1515=""),"",E1515*(1+D1515/30))</f>
        <v/>
      </c>
      <c r="H1515" s="19" t="n">
        <f aca="false">IF(G1515="",0,G1515)</f>
        <v>0</v>
      </c>
      <c r="I1515" s="18" t="str">
        <f aca="false">IF(H1515&gt;0,IF(H1515&gt;=SUMPRODUCT(MAX(($B$5:$B$2004=B1515)*$H$5:$H$2004)),"Rekor",""),"")</f>
        <v/>
      </c>
      <c r="J1515" s="19" t="n">
        <f aca="false">IF(A1515="",0,IF(COUNTIF(A$5:A1515,A1515)=1,1,0))</f>
        <v>0</v>
      </c>
    </row>
    <row r="1516" customFormat="false" ht="15" hidden="false" customHeight="false" outlineLevel="0" collapsed="false">
      <c r="A1516" s="12"/>
      <c r="B1516" s="13"/>
      <c r="C1516" s="14"/>
      <c r="D1516" s="14"/>
      <c r="E1516" s="15"/>
      <c r="F1516" s="16" t="str">
        <f aca="false">IF(OR(C1516="",D1516="",E1516=""),"",C1516*D1516*E1516)</f>
        <v/>
      </c>
      <c r="G1516" s="17" t="str">
        <f aca="false">IF(OR(D1516="",E1516=""),"",E1516*(1+D1516/30))</f>
        <v/>
      </c>
      <c r="H1516" s="19" t="n">
        <f aca="false">IF(G1516="",0,G1516)</f>
        <v>0</v>
      </c>
      <c r="I1516" s="18" t="str">
        <f aca="false">IF(H1516&gt;0,IF(H1516&gt;=SUMPRODUCT(MAX(($B$5:$B$2004=B1516)*$H$5:$H$2004)),"Rekor",""),"")</f>
        <v/>
      </c>
      <c r="J1516" s="19" t="n">
        <f aca="false">IF(A1516="",0,IF(COUNTIF(A$5:A1516,A1516)=1,1,0))</f>
        <v>0</v>
      </c>
    </row>
    <row r="1517" customFormat="false" ht="15" hidden="false" customHeight="false" outlineLevel="0" collapsed="false">
      <c r="A1517" s="12"/>
      <c r="B1517" s="13"/>
      <c r="C1517" s="14"/>
      <c r="D1517" s="14"/>
      <c r="E1517" s="15"/>
      <c r="F1517" s="16" t="str">
        <f aca="false">IF(OR(C1517="",D1517="",E1517=""),"",C1517*D1517*E1517)</f>
        <v/>
      </c>
      <c r="G1517" s="17" t="str">
        <f aca="false">IF(OR(D1517="",E1517=""),"",E1517*(1+D1517/30))</f>
        <v/>
      </c>
      <c r="H1517" s="19" t="n">
        <f aca="false">IF(G1517="",0,G1517)</f>
        <v>0</v>
      </c>
      <c r="I1517" s="18" t="str">
        <f aca="false">IF(H1517&gt;0,IF(H1517&gt;=SUMPRODUCT(MAX(($B$5:$B$2004=B1517)*$H$5:$H$2004)),"Rekor",""),"")</f>
        <v/>
      </c>
      <c r="J1517" s="19" t="n">
        <f aca="false">IF(A1517="",0,IF(COUNTIF(A$5:A1517,A1517)=1,1,0))</f>
        <v>0</v>
      </c>
    </row>
    <row r="1518" customFormat="false" ht="15" hidden="false" customHeight="false" outlineLevel="0" collapsed="false">
      <c r="A1518" s="12"/>
      <c r="B1518" s="13"/>
      <c r="C1518" s="14"/>
      <c r="D1518" s="14"/>
      <c r="E1518" s="15"/>
      <c r="F1518" s="16" t="str">
        <f aca="false">IF(OR(C1518="",D1518="",E1518=""),"",C1518*D1518*E1518)</f>
        <v/>
      </c>
      <c r="G1518" s="17" t="str">
        <f aca="false">IF(OR(D1518="",E1518=""),"",E1518*(1+D1518/30))</f>
        <v/>
      </c>
      <c r="H1518" s="19" t="n">
        <f aca="false">IF(G1518="",0,G1518)</f>
        <v>0</v>
      </c>
      <c r="I1518" s="18" t="str">
        <f aca="false">IF(H1518&gt;0,IF(H1518&gt;=SUMPRODUCT(MAX(($B$5:$B$2004=B1518)*$H$5:$H$2004)),"Rekor",""),"")</f>
        <v/>
      </c>
      <c r="J1518" s="19" t="n">
        <f aca="false">IF(A1518="",0,IF(COUNTIF(A$5:A1518,A1518)=1,1,0))</f>
        <v>0</v>
      </c>
    </row>
    <row r="1519" customFormat="false" ht="15" hidden="false" customHeight="false" outlineLevel="0" collapsed="false">
      <c r="A1519" s="12"/>
      <c r="B1519" s="13"/>
      <c r="C1519" s="14"/>
      <c r="D1519" s="14"/>
      <c r="E1519" s="15"/>
      <c r="F1519" s="16" t="str">
        <f aca="false">IF(OR(C1519="",D1519="",E1519=""),"",C1519*D1519*E1519)</f>
        <v/>
      </c>
      <c r="G1519" s="17" t="str">
        <f aca="false">IF(OR(D1519="",E1519=""),"",E1519*(1+D1519/30))</f>
        <v/>
      </c>
      <c r="H1519" s="19" t="n">
        <f aca="false">IF(G1519="",0,G1519)</f>
        <v>0</v>
      </c>
      <c r="I1519" s="18" t="str">
        <f aca="false">IF(H1519&gt;0,IF(H1519&gt;=SUMPRODUCT(MAX(($B$5:$B$2004=B1519)*$H$5:$H$2004)),"Rekor",""),"")</f>
        <v/>
      </c>
      <c r="J1519" s="19" t="n">
        <f aca="false">IF(A1519="",0,IF(COUNTIF(A$5:A1519,A1519)=1,1,0))</f>
        <v>0</v>
      </c>
    </row>
    <row r="1520" customFormat="false" ht="15" hidden="false" customHeight="false" outlineLevel="0" collapsed="false">
      <c r="A1520" s="12"/>
      <c r="B1520" s="13"/>
      <c r="C1520" s="14"/>
      <c r="D1520" s="14"/>
      <c r="E1520" s="15"/>
      <c r="F1520" s="16" t="str">
        <f aca="false">IF(OR(C1520="",D1520="",E1520=""),"",C1520*D1520*E1520)</f>
        <v/>
      </c>
      <c r="G1520" s="17" t="str">
        <f aca="false">IF(OR(D1520="",E1520=""),"",E1520*(1+D1520/30))</f>
        <v/>
      </c>
      <c r="H1520" s="19" t="n">
        <f aca="false">IF(G1520="",0,G1520)</f>
        <v>0</v>
      </c>
      <c r="I1520" s="18" t="str">
        <f aca="false">IF(H1520&gt;0,IF(H1520&gt;=SUMPRODUCT(MAX(($B$5:$B$2004=B1520)*$H$5:$H$2004)),"Rekor",""),"")</f>
        <v/>
      </c>
      <c r="J1520" s="19" t="n">
        <f aca="false">IF(A1520="",0,IF(COUNTIF(A$5:A1520,A1520)=1,1,0))</f>
        <v>0</v>
      </c>
    </row>
    <row r="1521" customFormat="false" ht="15" hidden="false" customHeight="false" outlineLevel="0" collapsed="false">
      <c r="A1521" s="12"/>
      <c r="B1521" s="13"/>
      <c r="C1521" s="14"/>
      <c r="D1521" s="14"/>
      <c r="E1521" s="15"/>
      <c r="F1521" s="16" t="str">
        <f aca="false">IF(OR(C1521="",D1521="",E1521=""),"",C1521*D1521*E1521)</f>
        <v/>
      </c>
      <c r="G1521" s="17" t="str">
        <f aca="false">IF(OR(D1521="",E1521=""),"",E1521*(1+D1521/30))</f>
        <v/>
      </c>
      <c r="H1521" s="19" t="n">
        <f aca="false">IF(G1521="",0,G1521)</f>
        <v>0</v>
      </c>
      <c r="I1521" s="18" t="str">
        <f aca="false">IF(H1521&gt;0,IF(H1521&gt;=SUMPRODUCT(MAX(($B$5:$B$2004=B1521)*$H$5:$H$2004)),"Rekor",""),"")</f>
        <v/>
      </c>
      <c r="J1521" s="19" t="n">
        <f aca="false">IF(A1521="",0,IF(COUNTIF(A$5:A1521,A1521)=1,1,0))</f>
        <v>0</v>
      </c>
    </row>
    <row r="1522" customFormat="false" ht="15" hidden="false" customHeight="false" outlineLevel="0" collapsed="false">
      <c r="A1522" s="12"/>
      <c r="B1522" s="13"/>
      <c r="C1522" s="14"/>
      <c r="D1522" s="14"/>
      <c r="E1522" s="15"/>
      <c r="F1522" s="16" t="str">
        <f aca="false">IF(OR(C1522="",D1522="",E1522=""),"",C1522*D1522*E1522)</f>
        <v/>
      </c>
      <c r="G1522" s="17" t="str">
        <f aca="false">IF(OR(D1522="",E1522=""),"",E1522*(1+D1522/30))</f>
        <v/>
      </c>
      <c r="H1522" s="19" t="n">
        <f aca="false">IF(G1522="",0,G1522)</f>
        <v>0</v>
      </c>
      <c r="I1522" s="18" t="str">
        <f aca="false">IF(H1522&gt;0,IF(H1522&gt;=SUMPRODUCT(MAX(($B$5:$B$2004=B1522)*$H$5:$H$2004)),"Rekor",""),"")</f>
        <v/>
      </c>
      <c r="J1522" s="19" t="n">
        <f aca="false">IF(A1522="",0,IF(COUNTIF(A$5:A1522,A1522)=1,1,0))</f>
        <v>0</v>
      </c>
    </row>
    <row r="1523" customFormat="false" ht="15" hidden="false" customHeight="false" outlineLevel="0" collapsed="false">
      <c r="A1523" s="12"/>
      <c r="B1523" s="13"/>
      <c r="C1523" s="14"/>
      <c r="D1523" s="14"/>
      <c r="E1523" s="15"/>
      <c r="F1523" s="16" t="str">
        <f aca="false">IF(OR(C1523="",D1523="",E1523=""),"",C1523*D1523*E1523)</f>
        <v/>
      </c>
      <c r="G1523" s="17" t="str">
        <f aca="false">IF(OR(D1523="",E1523=""),"",E1523*(1+D1523/30))</f>
        <v/>
      </c>
      <c r="H1523" s="19" t="n">
        <f aca="false">IF(G1523="",0,G1523)</f>
        <v>0</v>
      </c>
      <c r="I1523" s="18" t="str">
        <f aca="false">IF(H1523&gt;0,IF(H1523&gt;=SUMPRODUCT(MAX(($B$5:$B$2004=B1523)*$H$5:$H$2004)),"Rekor",""),"")</f>
        <v/>
      </c>
      <c r="J1523" s="19" t="n">
        <f aca="false">IF(A1523="",0,IF(COUNTIF(A$5:A1523,A1523)=1,1,0))</f>
        <v>0</v>
      </c>
    </row>
    <row r="1524" customFormat="false" ht="15" hidden="false" customHeight="false" outlineLevel="0" collapsed="false">
      <c r="A1524" s="12"/>
      <c r="B1524" s="13"/>
      <c r="C1524" s="14"/>
      <c r="D1524" s="14"/>
      <c r="E1524" s="15"/>
      <c r="F1524" s="16" t="str">
        <f aca="false">IF(OR(C1524="",D1524="",E1524=""),"",C1524*D1524*E1524)</f>
        <v/>
      </c>
      <c r="G1524" s="17" t="str">
        <f aca="false">IF(OR(D1524="",E1524=""),"",E1524*(1+D1524/30))</f>
        <v/>
      </c>
      <c r="H1524" s="19" t="n">
        <f aca="false">IF(G1524="",0,G1524)</f>
        <v>0</v>
      </c>
      <c r="I1524" s="18" t="str">
        <f aca="false">IF(H1524&gt;0,IF(H1524&gt;=SUMPRODUCT(MAX(($B$5:$B$2004=B1524)*$H$5:$H$2004)),"Rekor",""),"")</f>
        <v/>
      </c>
      <c r="J1524" s="19" t="n">
        <f aca="false">IF(A1524="",0,IF(COUNTIF(A$5:A1524,A1524)=1,1,0))</f>
        <v>0</v>
      </c>
    </row>
    <row r="1525" customFormat="false" ht="15" hidden="false" customHeight="false" outlineLevel="0" collapsed="false">
      <c r="A1525" s="12"/>
      <c r="B1525" s="13"/>
      <c r="C1525" s="14"/>
      <c r="D1525" s="14"/>
      <c r="E1525" s="15"/>
      <c r="F1525" s="16" t="str">
        <f aca="false">IF(OR(C1525="",D1525="",E1525=""),"",C1525*D1525*E1525)</f>
        <v/>
      </c>
      <c r="G1525" s="17" t="str">
        <f aca="false">IF(OR(D1525="",E1525=""),"",E1525*(1+D1525/30))</f>
        <v/>
      </c>
      <c r="H1525" s="19" t="n">
        <f aca="false">IF(G1525="",0,G1525)</f>
        <v>0</v>
      </c>
      <c r="I1525" s="18" t="str">
        <f aca="false">IF(H1525&gt;0,IF(H1525&gt;=SUMPRODUCT(MAX(($B$5:$B$2004=B1525)*$H$5:$H$2004)),"Rekor",""),"")</f>
        <v/>
      </c>
      <c r="J1525" s="19" t="n">
        <f aca="false">IF(A1525="",0,IF(COUNTIF(A$5:A1525,A1525)=1,1,0))</f>
        <v>0</v>
      </c>
    </row>
    <row r="1526" customFormat="false" ht="15" hidden="false" customHeight="false" outlineLevel="0" collapsed="false">
      <c r="A1526" s="12"/>
      <c r="B1526" s="13"/>
      <c r="C1526" s="14"/>
      <c r="D1526" s="14"/>
      <c r="E1526" s="15"/>
      <c r="F1526" s="16" t="str">
        <f aca="false">IF(OR(C1526="",D1526="",E1526=""),"",C1526*D1526*E1526)</f>
        <v/>
      </c>
      <c r="G1526" s="17" t="str">
        <f aca="false">IF(OR(D1526="",E1526=""),"",E1526*(1+D1526/30))</f>
        <v/>
      </c>
      <c r="H1526" s="19" t="n">
        <f aca="false">IF(G1526="",0,G1526)</f>
        <v>0</v>
      </c>
      <c r="I1526" s="18" t="str">
        <f aca="false">IF(H1526&gt;0,IF(H1526&gt;=SUMPRODUCT(MAX(($B$5:$B$2004=B1526)*$H$5:$H$2004)),"Rekor",""),"")</f>
        <v/>
      </c>
      <c r="J1526" s="19" t="n">
        <f aca="false">IF(A1526="",0,IF(COUNTIF(A$5:A1526,A1526)=1,1,0))</f>
        <v>0</v>
      </c>
    </row>
    <row r="1527" customFormat="false" ht="15" hidden="false" customHeight="false" outlineLevel="0" collapsed="false">
      <c r="A1527" s="12"/>
      <c r="B1527" s="13"/>
      <c r="C1527" s="14"/>
      <c r="D1527" s="14"/>
      <c r="E1527" s="15"/>
      <c r="F1527" s="16" t="str">
        <f aca="false">IF(OR(C1527="",D1527="",E1527=""),"",C1527*D1527*E1527)</f>
        <v/>
      </c>
      <c r="G1527" s="17" t="str">
        <f aca="false">IF(OR(D1527="",E1527=""),"",E1527*(1+D1527/30))</f>
        <v/>
      </c>
      <c r="H1527" s="19" t="n">
        <f aca="false">IF(G1527="",0,G1527)</f>
        <v>0</v>
      </c>
      <c r="I1527" s="18" t="str">
        <f aca="false">IF(H1527&gt;0,IF(H1527&gt;=SUMPRODUCT(MAX(($B$5:$B$2004=B1527)*$H$5:$H$2004)),"Rekor",""),"")</f>
        <v/>
      </c>
      <c r="J1527" s="19" t="n">
        <f aca="false">IF(A1527="",0,IF(COUNTIF(A$5:A1527,A1527)=1,1,0))</f>
        <v>0</v>
      </c>
    </row>
    <row r="1528" customFormat="false" ht="15" hidden="false" customHeight="false" outlineLevel="0" collapsed="false">
      <c r="A1528" s="12"/>
      <c r="B1528" s="13"/>
      <c r="C1528" s="14"/>
      <c r="D1528" s="14"/>
      <c r="E1528" s="15"/>
      <c r="F1528" s="16" t="str">
        <f aca="false">IF(OR(C1528="",D1528="",E1528=""),"",C1528*D1528*E1528)</f>
        <v/>
      </c>
      <c r="G1528" s="17" t="str">
        <f aca="false">IF(OR(D1528="",E1528=""),"",E1528*(1+D1528/30))</f>
        <v/>
      </c>
      <c r="H1528" s="19" t="n">
        <f aca="false">IF(G1528="",0,G1528)</f>
        <v>0</v>
      </c>
      <c r="I1528" s="18" t="str">
        <f aca="false">IF(H1528&gt;0,IF(H1528&gt;=SUMPRODUCT(MAX(($B$5:$B$2004=B1528)*$H$5:$H$2004)),"Rekor",""),"")</f>
        <v/>
      </c>
      <c r="J1528" s="19" t="n">
        <f aca="false">IF(A1528="",0,IF(COUNTIF(A$5:A1528,A1528)=1,1,0))</f>
        <v>0</v>
      </c>
    </row>
    <row r="1529" customFormat="false" ht="15" hidden="false" customHeight="false" outlineLevel="0" collapsed="false">
      <c r="A1529" s="12"/>
      <c r="B1529" s="13"/>
      <c r="C1529" s="14"/>
      <c r="D1529" s="14"/>
      <c r="E1529" s="15"/>
      <c r="F1529" s="16" t="str">
        <f aca="false">IF(OR(C1529="",D1529="",E1529=""),"",C1529*D1529*E1529)</f>
        <v/>
      </c>
      <c r="G1529" s="17" t="str">
        <f aca="false">IF(OR(D1529="",E1529=""),"",E1529*(1+D1529/30))</f>
        <v/>
      </c>
      <c r="H1529" s="19" t="n">
        <f aca="false">IF(G1529="",0,G1529)</f>
        <v>0</v>
      </c>
      <c r="I1529" s="18" t="str">
        <f aca="false">IF(H1529&gt;0,IF(H1529&gt;=SUMPRODUCT(MAX(($B$5:$B$2004=B1529)*$H$5:$H$2004)),"Rekor",""),"")</f>
        <v/>
      </c>
      <c r="J1529" s="19" t="n">
        <f aca="false">IF(A1529="",0,IF(COUNTIF(A$5:A1529,A1529)=1,1,0))</f>
        <v>0</v>
      </c>
    </row>
    <row r="1530" customFormat="false" ht="15" hidden="false" customHeight="false" outlineLevel="0" collapsed="false">
      <c r="A1530" s="12"/>
      <c r="B1530" s="13"/>
      <c r="C1530" s="14"/>
      <c r="D1530" s="14"/>
      <c r="E1530" s="15"/>
      <c r="F1530" s="16" t="str">
        <f aca="false">IF(OR(C1530="",D1530="",E1530=""),"",C1530*D1530*E1530)</f>
        <v/>
      </c>
      <c r="G1530" s="17" t="str">
        <f aca="false">IF(OR(D1530="",E1530=""),"",E1530*(1+D1530/30))</f>
        <v/>
      </c>
      <c r="H1530" s="19" t="n">
        <f aca="false">IF(G1530="",0,G1530)</f>
        <v>0</v>
      </c>
      <c r="I1530" s="18" t="str">
        <f aca="false">IF(H1530&gt;0,IF(H1530&gt;=SUMPRODUCT(MAX(($B$5:$B$2004=B1530)*$H$5:$H$2004)),"Rekor",""),"")</f>
        <v/>
      </c>
      <c r="J1530" s="19" t="n">
        <f aca="false">IF(A1530="",0,IF(COUNTIF(A$5:A1530,A1530)=1,1,0))</f>
        <v>0</v>
      </c>
    </row>
    <row r="1531" customFormat="false" ht="15" hidden="false" customHeight="false" outlineLevel="0" collapsed="false">
      <c r="A1531" s="12"/>
      <c r="B1531" s="13"/>
      <c r="C1531" s="14"/>
      <c r="D1531" s="14"/>
      <c r="E1531" s="15"/>
      <c r="F1531" s="16" t="str">
        <f aca="false">IF(OR(C1531="",D1531="",E1531=""),"",C1531*D1531*E1531)</f>
        <v/>
      </c>
      <c r="G1531" s="17" t="str">
        <f aca="false">IF(OR(D1531="",E1531=""),"",E1531*(1+D1531/30))</f>
        <v/>
      </c>
      <c r="H1531" s="19" t="n">
        <f aca="false">IF(G1531="",0,G1531)</f>
        <v>0</v>
      </c>
      <c r="I1531" s="18" t="str">
        <f aca="false">IF(H1531&gt;0,IF(H1531&gt;=SUMPRODUCT(MAX(($B$5:$B$2004=B1531)*$H$5:$H$2004)),"Rekor",""),"")</f>
        <v/>
      </c>
      <c r="J1531" s="19" t="n">
        <f aca="false">IF(A1531="",0,IF(COUNTIF(A$5:A1531,A1531)=1,1,0))</f>
        <v>0</v>
      </c>
    </row>
    <row r="1532" customFormat="false" ht="15" hidden="false" customHeight="false" outlineLevel="0" collapsed="false">
      <c r="A1532" s="12"/>
      <c r="B1532" s="13"/>
      <c r="C1532" s="14"/>
      <c r="D1532" s="14"/>
      <c r="E1532" s="15"/>
      <c r="F1532" s="16" t="str">
        <f aca="false">IF(OR(C1532="",D1532="",E1532=""),"",C1532*D1532*E1532)</f>
        <v/>
      </c>
      <c r="G1532" s="17" t="str">
        <f aca="false">IF(OR(D1532="",E1532=""),"",E1532*(1+D1532/30))</f>
        <v/>
      </c>
      <c r="H1532" s="19" t="n">
        <f aca="false">IF(G1532="",0,G1532)</f>
        <v>0</v>
      </c>
      <c r="I1532" s="18" t="str">
        <f aca="false">IF(H1532&gt;0,IF(H1532&gt;=SUMPRODUCT(MAX(($B$5:$B$2004=B1532)*$H$5:$H$2004)),"Rekor",""),"")</f>
        <v/>
      </c>
      <c r="J1532" s="19" t="n">
        <f aca="false">IF(A1532="",0,IF(COUNTIF(A$5:A1532,A1532)=1,1,0))</f>
        <v>0</v>
      </c>
    </row>
    <row r="1533" customFormat="false" ht="15" hidden="false" customHeight="false" outlineLevel="0" collapsed="false">
      <c r="A1533" s="12"/>
      <c r="B1533" s="13"/>
      <c r="C1533" s="14"/>
      <c r="D1533" s="14"/>
      <c r="E1533" s="15"/>
      <c r="F1533" s="16" t="str">
        <f aca="false">IF(OR(C1533="",D1533="",E1533=""),"",C1533*D1533*E1533)</f>
        <v/>
      </c>
      <c r="G1533" s="17" t="str">
        <f aca="false">IF(OR(D1533="",E1533=""),"",E1533*(1+D1533/30))</f>
        <v/>
      </c>
      <c r="H1533" s="19" t="n">
        <f aca="false">IF(G1533="",0,G1533)</f>
        <v>0</v>
      </c>
      <c r="I1533" s="18" t="str">
        <f aca="false">IF(H1533&gt;0,IF(H1533&gt;=SUMPRODUCT(MAX(($B$5:$B$2004=B1533)*$H$5:$H$2004)),"Rekor",""),"")</f>
        <v/>
      </c>
      <c r="J1533" s="19" t="n">
        <f aca="false">IF(A1533="",0,IF(COUNTIF(A$5:A1533,A1533)=1,1,0))</f>
        <v>0</v>
      </c>
    </row>
    <row r="1534" customFormat="false" ht="15" hidden="false" customHeight="false" outlineLevel="0" collapsed="false">
      <c r="A1534" s="12"/>
      <c r="B1534" s="13"/>
      <c r="C1534" s="14"/>
      <c r="D1534" s="14"/>
      <c r="E1534" s="15"/>
      <c r="F1534" s="16" t="str">
        <f aca="false">IF(OR(C1534="",D1534="",E1534=""),"",C1534*D1534*E1534)</f>
        <v/>
      </c>
      <c r="G1534" s="17" t="str">
        <f aca="false">IF(OR(D1534="",E1534=""),"",E1534*(1+D1534/30))</f>
        <v/>
      </c>
      <c r="H1534" s="19" t="n">
        <f aca="false">IF(G1534="",0,G1534)</f>
        <v>0</v>
      </c>
      <c r="I1534" s="18" t="str">
        <f aca="false">IF(H1534&gt;0,IF(H1534&gt;=SUMPRODUCT(MAX(($B$5:$B$2004=B1534)*$H$5:$H$2004)),"Rekor",""),"")</f>
        <v/>
      </c>
      <c r="J1534" s="19" t="n">
        <f aca="false">IF(A1534="",0,IF(COUNTIF(A$5:A1534,A1534)=1,1,0))</f>
        <v>0</v>
      </c>
    </row>
    <row r="1535" customFormat="false" ht="15" hidden="false" customHeight="false" outlineLevel="0" collapsed="false">
      <c r="A1535" s="12"/>
      <c r="B1535" s="13"/>
      <c r="C1535" s="14"/>
      <c r="D1535" s="14"/>
      <c r="E1535" s="15"/>
      <c r="F1535" s="16" t="str">
        <f aca="false">IF(OR(C1535="",D1535="",E1535=""),"",C1535*D1535*E1535)</f>
        <v/>
      </c>
      <c r="G1535" s="17" t="str">
        <f aca="false">IF(OR(D1535="",E1535=""),"",E1535*(1+D1535/30))</f>
        <v/>
      </c>
      <c r="H1535" s="19" t="n">
        <f aca="false">IF(G1535="",0,G1535)</f>
        <v>0</v>
      </c>
      <c r="I1535" s="18" t="str">
        <f aca="false">IF(H1535&gt;0,IF(H1535&gt;=SUMPRODUCT(MAX(($B$5:$B$2004=B1535)*$H$5:$H$2004)),"Rekor",""),"")</f>
        <v/>
      </c>
      <c r="J1535" s="19" t="n">
        <f aca="false">IF(A1535="",0,IF(COUNTIF(A$5:A1535,A1535)=1,1,0))</f>
        <v>0</v>
      </c>
    </row>
    <row r="1536" customFormat="false" ht="15" hidden="false" customHeight="false" outlineLevel="0" collapsed="false">
      <c r="A1536" s="12"/>
      <c r="B1536" s="13"/>
      <c r="C1536" s="14"/>
      <c r="D1536" s="14"/>
      <c r="E1536" s="15"/>
      <c r="F1536" s="16" t="str">
        <f aca="false">IF(OR(C1536="",D1536="",E1536=""),"",C1536*D1536*E1536)</f>
        <v/>
      </c>
      <c r="G1536" s="17" t="str">
        <f aca="false">IF(OR(D1536="",E1536=""),"",E1536*(1+D1536/30))</f>
        <v/>
      </c>
      <c r="H1536" s="19" t="n">
        <f aca="false">IF(G1536="",0,G1536)</f>
        <v>0</v>
      </c>
      <c r="I1536" s="18" t="str">
        <f aca="false">IF(H1536&gt;0,IF(H1536&gt;=SUMPRODUCT(MAX(($B$5:$B$2004=B1536)*$H$5:$H$2004)),"Rekor",""),"")</f>
        <v/>
      </c>
      <c r="J1536" s="19" t="n">
        <f aca="false">IF(A1536="",0,IF(COUNTIF(A$5:A1536,A1536)=1,1,0))</f>
        <v>0</v>
      </c>
    </row>
    <row r="1537" customFormat="false" ht="15" hidden="false" customHeight="false" outlineLevel="0" collapsed="false">
      <c r="A1537" s="12"/>
      <c r="B1537" s="13"/>
      <c r="C1537" s="14"/>
      <c r="D1537" s="14"/>
      <c r="E1537" s="15"/>
      <c r="F1537" s="16" t="str">
        <f aca="false">IF(OR(C1537="",D1537="",E1537=""),"",C1537*D1537*E1537)</f>
        <v/>
      </c>
      <c r="G1537" s="17" t="str">
        <f aca="false">IF(OR(D1537="",E1537=""),"",E1537*(1+D1537/30))</f>
        <v/>
      </c>
      <c r="H1537" s="19" t="n">
        <f aca="false">IF(G1537="",0,G1537)</f>
        <v>0</v>
      </c>
      <c r="I1537" s="18" t="str">
        <f aca="false">IF(H1537&gt;0,IF(H1537&gt;=SUMPRODUCT(MAX(($B$5:$B$2004=B1537)*$H$5:$H$2004)),"Rekor",""),"")</f>
        <v/>
      </c>
      <c r="J1537" s="19" t="n">
        <f aca="false">IF(A1537="",0,IF(COUNTIF(A$5:A1537,A1537)=1,1,0))</f>
        <v>0</v>
      </c>
    </row>
    <row r="1538" customFormat="false" ht="15" hidden="false" customHeight="false" outlineLevel="0" collapsed="false">
      <c r="A1538" s="12"/>
      <c r="B1538" s="13"/>
      <c r="C1538" s="14"/>
      <c r="D1538" s="14"/>
      <c r="E1538" s="15"/>
      <c r="F1538" s="16" t="str">
        <f aca="false">IF(OR(C1538="",D1538="",E1538=""),"",C1538*D1538*E1538)</f>
        <v/>
      </c>
      <c r="G1538" s="17" t="str">
        <f aca="false">IF(OR(D1538="",E1538=""),"",E1538*(1+D1538/30))</f>
        <v/>
      </c>
      <c r="H1538" s="19" t="n">
        <f aca="false">IF(G1538="",0,G1538)</f>
        <v>0</v>
      </c>
      <c r="I1538" s="18" t="str">
        <f aca="false">IF(H1538&gt;0,IF(H1538&gt;=SUMPRODUCT(MAX(($B$5:$B$2004=B1538)*$H$5:$H$2004)),"Rekor",""),"")</f>
        <v/>
      </c>
      <c r="J1538" s="19" t="n">
        <f aca="false">IF(A1538="",0,IF(COUNTIF(A$5:A1538,A1538)=1,1,0))</f>
        <v>0</v>
      </c>
    </row>
    <row r="1539" customFormat="false" ht="15" hidden="false" customHeight="false" outlineLevel="0" collapsed="false">
      <c r="A1539" s="12"/>
      <c r="B1539" s="13"/>
      <c r="C1539" s="14"/>
      <c r="D1539" s="14"/>
      <c r="E1539" s="15"/>
      <c r="F1539" s="16" t="str">
        <f aca="false">IF(OR(C1539="",D1539="",E1539=""),"",C1539*D1539*E1539)</f>
        <v/>
      </c>
      <c r="G1539" s="17" t="str">
        <f aca="false">IF(OR(D1539="",E1539=""),"",E1539*(1+D1539/30))</f>
        <v/>
      </c>
      <c r="H1539" s="19" t="n">
        <f aca="false">IF(G1539="",0,G1539)</f>
        <v>0</v>
      </c>
      <c r="I1539" s="18" t="str">
        <f aca="false">IF(H1539&gt;0,IF(H1539&gt;=SUMPRODUCT(MAX(($B$5:$B$2004=B1539)*$H$5:$H$2004)),"Rekor",""),"")</f>
        <v/>
      </c>
      <c r="J1539" s="19" t="n">
        <f aca="false">IF(A1539="",0,IF(COUNTIF(A$5:A1539,A1539)=1,1,0))</f>
        <v>0</v>
      </c>
    </row>
    <row r="1540" customFormat="false" ht="15" hidden="false" customHeight="false" outlineLevel="0" collapsed="false">
      <c r="A1540" s="12"/>
      <c r="B1540" s="13"/>
      <c r="C1540" s="14"/>
      <c r="D1540" s="14"/>
      <c r="E1540" s="15"/>
      <c r="F1540" s="16" t="str">
        <f aca="false">IF(OR(C1540="",D1540="",E1540=""),"",C1540*D1540*E1540)</f>
        <v/>
      </c>
      <c r="G1540" s="17" t="str">
        <f aca="false">IF(OR(D1540="",E1540=""),"",E1540*(1+D1540/30))</f>
        <v/>
      </c>
      <c r="H1540" s="19" t="n">
        <f aca="false">IF(G1540="",0,G1540)</f>
        <v>0</v>
      </c>
      <c r="I1540" s="18" t="str">
        <f aca="false">IF(H1540&gt;0,IF(H1540&gt;=SUMPRODUCT(MAX(($B$5:$B$2004=B1540)*$H$5:$H$2004)),"Rekor",""),"")</f>
        <v/>
      </c>
      <c r="J1540" s="19" t="n">
        <f aca="false">IF(A1540="",0,IF(COUNTIF(A$5:A1540,A1540)=1,1,0))</f>
        <v>0</v>
      </c>
    </row>
    <row r="1541" customFormat="false" ht="15" hidden="false" customHeight="false" outlineLevel="0" collapsed="false">
      <c r="A1541" s="12"/>
      <c r="B1541" s="13"/>
      <c r="C1541" s="14"/>
      <c r="D1541" s="14"/>
      <c r="E1541" s="15"/>
      <c r="F1541" s="16" t="str">
        <f aca="false">IF(OR(C1541="",D1541="",E1541=""),"",C1541*D1541*E1541)</f>
        <v/>
      </c>
      <c r="G1541" s="17" t="str">
        <f aca="false">IF(OR(D1541="",E1541=""),"",E1541*(1+D1541/30))</f>
        <v/>
      </c>
      <c r="H1541" s="19" t="n">
        <f aca="false">IF(G1541="",0,G1541)</f>
        <v>0</v>
      </c>
      <c r="I1541" s="18" t="str">
        <f aca="false">IF(H1541&gt;0,IF(H1541&gt;=SUMPRODUCT(MAX(($B$5:$B$2004=B1541)*$H$5:$H$2004)),"Rekor",""),"")</f>
        <v/>
      </c>
      <c r="J1541" s="19" t="n">
        <f aca="false">IF(A1541="",0,IF(COUNTIF(A$5:A1541,A1541)=1,1,0))</f>
        <v>0</v>
      </c>
    </row>
    <row r="1542" customFormat="false" ht="15" hidden="false" customHeight="false" outlineLevel="0" collapsed="false">
      <c r="A1542" s="12"/>
      <c r="B1542" s="13"/>
      <c r="C1542" s="14"/>
      <c r="D1542" s="14"/>
      <c r="E1542" s="15"/>
      <c r="F1542" s="16" t="str">
        <f aca="false">IF(OR(C1542="",D1542="",E1542=""),"",C1542*D1542*E1542)</f>
        <v/>
      </c>
      <c r="G1542" s="17" t="str">
        <f aca="false">IF(OR(D1542="",E1542=""),"",E1542*(1+D1542/30))</f>
        <v/>
      </c>
      <c r="H1542" s="19" t="n">
        <f aca="false">IF(G1542="",0,G1542)</f>
        <v>0</v>
      </c>
      <c r="I1542" s="18" t="str">
        <f aca="false">IF(H1542&gt;0,IF(H1542&gt;=SUMPRODUCT(MAX(($B$5:$B$2004=B1542)*$H$5:$H$2004)),"Rekor",""),"")</f>
        <v/>
      </c>
      <c r="J1542" s="19" t="n">
        <f aca="false">IF(A1542="",0,IF(COUNTIF(A$5:A1542,A1542)=1,1,0))</f>
        <v>0</v>
      </c>
    </row>
    <row r="1543" customFormat="false" ht="15" hidden="false" customHeight="false" outlineLevel="0" collapsed="false">
      <c r="A1543" s="12"/>
      <c r="B1543" s="13"/>
      <c r="C1543" s="14"/>
      <c r="D1543" s="14"/>
      <c r="E1543" s="15"/>
      <c r="F1543" s="16" t="str">
        <f aca="false">IF(OR(C1543="",D1543="",E1543=""),"",C1543*D1543*E1543)</f>
        <v/>
      </c>
      <c r="G1543" s="17" t="str">
        <f aca="false">IF(OR(D1543="",E1543=""),"",E1543*(1+D1543/30))</f>
        <v/>
      </c>
      <c r="H1543" s="19" t="n">
        <f aca="false">IF(G1543="",0,G1543)</f>
        <v>0</v>
      </c>
      <c r="I1543" s="18" t="str">
        <f aca="false">IF(H1543&gt;0,IF(H1543&gt;=SUMPRODUCT(MAX(($B$5:$B$2004=B1543)*$H$5:$H$2004)),"Rekor",""),"")</f>
        <v/>
      </c>
      <c r="J1543" s="19" t="n">
        <f aca="false">IF(A1543="",0,IF(COUNTIF(A$5:A1543,A1543)=1,1,0))</f>
        <v>0</v>
      </c>
    </row>
    <row r="1544" customFormat="false" ht="15" hidden="false" customHeight="false" outlineLevel="0" collapsed="false">
      <c r="A1544" s="12"/>
      <c r="B1544" s="13"/>
      <c r="C1544" s="14"/>
      <c r="D1544" s="14"/>
      <c r="E1544" s="15"/>
      <c r="F1544" s="16" t="str">
        <f aca="false">IF(OR(C1544="",D1544="",E1544=""),"",C1544*D1544*E1544)</f>
        <v/>
      </c>
      <c r="G1544" s="17" t="str">
        <f aca="false">IF(OR(D1544="",E1544=""),"",E1544*(1+D1544/30))</f>
        <v/>
      </c>
      <c r="H1544" s="19" t="n">
        <f aca="false">IF(G1544="",0,G1544)</f>
        <v>0</v>
      </c>
      <c r="I1544" s="18" t="str">
        <f aca="false">IF(H1544&gt;0,IF(H1544&gt;=SUMPRODUCT(MAX(($B$5:$B$2004=B1544)*$H$5:$H$2004)),"Rekor",""),"")</f>
        <v/>
      </c>
      <c r="J1544" s="19" t="n">
        <f aca="false">IF(A1544="",0,IF(COUNTIF(A$5:A1544,A1544)=1,1,0))</f>
        <v>0</v>
      </c>
    </row>
    <row r="1545" customFormat="false" ht="15" hidden="false" customHeight="false" outlineLevel="0" collapsed="false">
      <c r="A1545" s="12"/>
      <c r="B1545" s="13"/>
      <c r="C1545" s="14"/>
      <c r="D1545" s="14"/>
      <c r="E1545" s="15"/>
      <c r="F1545" s="16" t="str">
        <f aca="false">IF(OR(C1545="",D1545="",E1545=""),"",C1545*D1545*E1545)</f>
        <v/>
      </c>
      <c r="G1545" s="17" t="str">
        <f aca="false">IF(OR(D1545="",E1545=""),"",E1545*(1+D1545/30))</f>
        <v/>
      </c>
      <c r="H1545" s="19" t="n">
        <f aca="false">IF(G1545="",0,G1545)</f>
        <v>0</v>
      </c>
      <c r="I1545" s="18" t="str">
        <f aca="false">IF(H1545&gt;0,IF(H1545&gt;=SUMPRODUCT(MAX(($B$5:$B$2004=B1545)*$H$5:$H$2004)),"Rekor",""),"")</f>
        <v/>
      </c>
      <c r="J1545" s="19" t="n">
        <f aca="false">IF(A1545="",0,IF(COUNTIF(A$5:A1545,A1545)=1,1,0))</f>
        <v>0</v>
      </c>
    </row>
    <row r="1546" customFormat="false" ht="15" hidden="false" customHeight="false" outlineLevel="0" collapsed="false">
      <c r="A1546" s="12"/>
      <c r="B1546" s="13"/>
      <c r="C1546" s="14"/>
      <c r="D1546" s="14"/>
      <c r="E1546" s="15"/>
      <c r="F1546" s="16" t="str">
        <f aca="false">IF(OR(C1546="",D1546="",E1546=""),"",C1546*D1546*E1546)</f>
        <v/>
      </c>
      <c r="G1546" s="17" t="str">
        <f aca="false">IF(OR(D1546="",E1546=""),"",E1546*(1+D1546/30))</f>
        <v/>
      </c>
      <c r="H1546" s="19" t="n">
        <f aca="false">IF(G1546="",0,G1546)</f>
        <v>0</v>
      </c>
      <c r="I1546" s="18" t="str">
        <f aca="false">IF(H1546&gt;0,IF(H1546&gt;=SUMPRODUCT(MAX(($B$5:$B$2004=B1546)*$H$5:$H$2004)),"Rekor",""),"")</f>
        <v/>
      </c>
      <c r="J1546" s="19" t="n">
        <f aca="false">IF(A1546="",0,IF(COUNTIF(A$5:A1546,A1546)=1,1,0))</f>
        <v>0</v>
      </c>
    </row>
    <row r="1547" customFormat="false" ht="15" hidden="false" customHeight="false" outlineLevel="0" collapsed="false">
      <c r="A1547" s="12"/>
      <c r="B1547" s="13"/>
      <c r="C1547" s="14"/>
      <c r="D1547" s="14"/>
      <c r="E1547" s="15"/>
      <c r="F1547" s="16" t="str">
        <f aca="false">IF(OR(C1547="",D1547="",E1547=""),"",C1547*D1547*E1547)</f>
        <v/>
      </c>
      <c r="G1547" s="17" t="str">
        <f aca="false">IF(OR(D1547="",E1547=""),"",E1547*(1+D1547/30))</f>
        <v/>
      </c>
      <c r="H1547" s="19" t="n">
        <f aca="false">IF(G1547="",0,G1547)</f>
        <v>0</v>
      </c>
      <c r="I1547" s="18" t="str">
        <f aca="false">IF(H1547&gt;0,IF(H1547&gt;=SUMPRODUCT(MAX(($B$5:$B$2004=B1547)*$H$5:$H$2004)),"Rekor",""),"")</f>
        <v/>
      </c>
      <c r="J1547" s="19" t="n">
        <f aca="false">IF(A1547="",0,IF(COUNTIF(A$5:A1547,A1547)=1,1,0))</f>
        <v>0</v>
      </c>
    </row>
    <row r="1548" customFormat="false" ht="15" hidden="false" customHeight="false" outlineLevel="0" collapsed="false">
      <c r="A1548" s="12"/>
      <c r="B1548" s="13"/>
      <c r="C1548" s="14"/>
      <c r="D1548" s="14"/>
      <c r="E1548" s="15"/>
      <c r="F1548" s="16" t="str">
        <f aca="false">IF(OR(C1548="",D1548="",E1548=""),"",C1548*D1548*E1548)</f>
        <v/>
      </c>
      <c r="G1548" s="17" t="str">
        <f aca="false">IF(OR(D1548="",E1548=""),"",E1548*(1+D1548/30))</f>
        <v/>
      </c>
      <c r="H1548" s="19" t="n">
        <f aca="false">IF(G1548="",0,G1548)</f>
        <v>0</v>
      </c>
      <c r="I1548" s="18" t="str">
        <f aca="false">IF(H1548&gt;0,IF(H1548&gt;=SUMPRODUCT(MAX(($B$5:$B$2004=B1548)*$H$5:$H$2004)),"Rekor",""),"")</f>
        <v/>
      </c>
      <c r="J1548" s="19" t="n">
        <f aca="false">IF(A1548="",0,IF(COUNTIF(A$5:A1548,A1548)=1,1,0))</f>
        <v>0</v>
      </c>
    </row>
    <row r="1549" customFormat="false" ht="15" hidden="false" customHeight="false" outlineLevel="0" collapsed="false">
      <c r="A1549" s="12"/>
      <c r="B1549" s="13"/>
      <c r="C1549" s="14"/>
      <c r="D1549" s="14"/>
      <c r="E1549" s="15"/>
      <c r="F1549" s="16" t="str">
        <f aca="false">IF(OR(C1549="",D1549="",E1549=""),"",C1549*D1549*E1549)</f>
        <v/>
      </c>
      <c r="G1549" s="17" t="str">
        <f aca="false">IF(OR(D1549="",E1549=""),"",E1549*(1+D1549/30))</f>
        <v/>
      </c>
      <c r="H1549" s="19" t="n">
        <f aca="false">IF(G1549="",0,G1549)</f>
        <v>0</v>
      </c>
      <c r="I1549" s="18" t="str">
        <f aca="false">IF(H1549&gt;0,IF(H1549&gt;=SUMPRODUCT(MAX(($B$5:$B$2004=B1549)*$H$5:$H$2004)),"Rekor",""),"")</f>
        <v/>
      </c>
      <c r="J1549" s="19" t="n">
        <f aca="false">IF(A1549="",0,IF(COUNTIF(A$5:A1549,A1549)=1,1,0))</f>
        <v>0</v>
      </c>
    </row>
    <row r="1550" customFormat="false" ht="15" hidden="false" customHeight="false" outlineLevel="0" collapsed="false">
      <c r="A1550" s="12"/>
      <c r="B1550" s="13"/>
      <c r="C1550" s="14"/>
      <c r="D1550" s="14"/>
      <c r="E1550" s="15"/>
      <c r="F1550" s="16" t="str">
        <f aca="false">IF(OR(C1550="",D1550="",E1550=""),"",C1550*D1550*E1550)</f>
        <v/>
      </c>
      <c r="G1550" s="17" t="str">
        <f aca="false">IF(OR(D1550="",E1550=""),"",E1550*(1+D1550/30))</f>
        <v/>
      </c>
      <c r="H1550" s="19" t="n">
        <f aca="false">IF(G1550="",0,G1550)</f>
        <v>0</v>
      </c>
      <c r="I1550" s="18" t="str">
        <f aca="false">IF(H1550&gt;0,IF(H1550&gt;=SUMPRODUCT(MAX(($B$5:$B$2004=B1550)*$H$5:$H$2004)),"Rekor",""),"")</f>
        <v/>
      </c>
      <c r="J1550" s="19" t="n">
        <f aca="false">IF(A1550="",0,IF(COUNTIF(A$5:A1550,A1550)=1,1,0))</f>
        <v>0</v>
      </c>
    </row>
    <row r="1551" customFormat="false" ht="15" hidden="false" customHeight="false" outlineLevel="0" collapsed="false">
      <c r="A1551" s="12"/>
      <c r="B1551" s="13"/>
      <c r="C1551" s="14"/>
      <c r="D1551" s="14"/>
      <c r="E1551" s="15"/>
      <c r="F1551" s="16" t="str">
        <f aca="false">IF(OR(C1551="",D1551="",E1551=""),"",C1551*D1551*E1551)</f>
        <v/>
      </c>
      <c r="G1551" s="17" t="str">
        <f aca="false">IF(OR(D1551="",E1551=""),"",E1551*(1+D1551/30))</f>
        <v/>
      </c>
      <c r="H1551" s="19" t="n">
        <f aca="false">IF(G1551="",0,G1551)</f>
        <v>0</v>
      </c>
      <c r="I1551" s="18" t="str">
        <f aca="false">IF(H1551&gt;0,IF(H1551&gt;=SUMPRODUCT(MAX(($B$5:$B$2004=B1551)*$H$5:$H$2004)),"Rekor",""),"")</f>
        <v/>
      </c>
      <c r="J1551" s="19" t="n">
        <f aca="false">IF(A1551="",0,IF(COUNTIF(A$5:A1551,A1551)=1,1,0))</f>
        <v>0</v>
      </c>
    </row>
    <row r="1552" customFormat="false" ht="15" hidden="false" customHeight="false" outlineLevel="0" collapsed="false">
      <c r="A1552" s="12"/>
      <c r="B1552" s="13"/>
      <c r="C1552" s="14"/>
      <c r="D1552" s="14"/>
      <c r="E1552" s="15"/>
      <c r="F1552" s="16" t="str">
        <f aca="false">IF(OR(C1552="",D1552="",E1552=""),"",C1552*D1552*E1552)</f>
        <v/>
      </c>
      <c r="G1552" s="17" t="str">
        <f aca="false">IF(OR(D1552="",E1552=""),"",E1552*(1+D1552/30))</f>
        <v/>
      </c>
      <c r="H1552" s="19" t="n">
        <f aca="false">IF(G1552="",0,G1552)</f>
        <v>0</v>
      </c>
      <c r="I1552" s="18" t="str">
        <f aca="false">IF(H1552&gt;0,IF(H1552&gt;=SUMPRODUCT(MAX(($B$5:$B$2004=B1552)*$H$5:$H$2004)),"Rekor",""),"")</f>
        <v/>
      </c>
      <c r="J1552" s="19" t="n">
        <f aca="false">IF(A1552="",0,IF(COUNTIF(A$5:A1552,A1552)=1,1,0))</f>
        <v>0</v>
      </c>
    </row>
    <row r="1553" customFormat="false" ht="15" hidden="false" customHeight="false" outlineLevel="0" collapsed="false">
      <c r="A1553" s="12"/>
      <c r="B1553" s="13"/>
      <c r="C1553" s="14"/>
      <c r="D1553" s="14"/>
      <c r="E1553" s="15"/>
      <c r="F1553" s="16" t="str">
        <f aca="false">IF(OR(C1553="",D1553="",E1553=""),"",C1553*D1553*E1553)</f>
        <v/>
      </c>
      <c r="G1553" s="17" t="str">
        <f aca="false">IF(OR(D1553="",E1553=""),"",E1553*(1+D1553/30))</f>
        <v/>
      </c>
      <c r="H1553" s="19" t="n">
        <f aca="false">IF(G1553="",0,G1553)</f>
        <v>0</v>
      </c>
      <c r="I1553" s="18" t="str">
        <f aca="false">IF(H1553&gt;0,IF(H1553&gt;=SUMPRODUCT(MAX(($B$5:$B$2004=B1553)*$H$5:$H$2004)),"Rekor",""),"")</f>
        <v/>
      </c>
      <c r="J1553" s="19" t="n">
        <f aca="false">IF(A1553="",0,IF(COUNTIF(A$5:A1553,A1553)=1,1,0))</f>
        <v>0</v>
      </c>
    </row>
    <row r="1554" customFormat="false" ht="15" hidden="false" customHeight="false" outlineLevel="0" collapsed="false">
      <c r="A1554" s="12"/>
      <c r="B1554" s="13"/>
      <c r="C1554" s="14"/>
      <c r="D1554" s="14"/>
      <c r="E1554" s="15"/>
      <c r="F1554" s="16" t="str">
        <f aca="false">IF(OR(C1554="",D1554="",E1554=""),"",C1554*D1554*E1554)</f>
        <v/>
      </c>
      <c r="G1554" s="17" t="str">
        <f aca="false">IF(OR(D1554="",E1554=""),"",E1554*(1+D1554/30))</f>
        <v/>
      </c>
      <c r="H1554" s="19" t="n">
        <f aca="false">IF(G1554="",0,G1554)</f>
        <v>0</v>
      </c>
      <c r="I1554" s="18" t="str">
        <f aca="false">IF(H1554&gt;0,IF(H1554&gt;=SUMPRODUCT(MAX(($B$5:$B$2004=B1554)*$H$5:$H$2004)),"Rekor",""),"")</f>
        <v/>
      </c>
      <c r="J1554" s="19" t="n">
        <f aca="false">IF(A1554="",0,IF(COUNTIF(A$5:A1554,A1554)=1,1,0))</f>
        <v>0</v>
      </c>
    </row>
    <row r="1555" customFormat="false" ht="15" hidden="false" customHeight="false" outlineLevel="0" collapsed="false">
      <c r="A1555" s="12"/>
      <c r="B1555" s="13"/>
      <c r="C1555" s="14"/>
      <c r="D1555" s="14"/>
      <c r="E1555" s="15"/>
      <c r="F1555" s="16" t="str">
        <f aca="false">IF(OR(C1555="",D1555="",E1555=""),"",C1555*D1555*E1555)</f>
        <v/>
      </c>
      <c r="G1555" s="17" t="str">
        <f aca="false">IF(OR(D1555="",E1555=""),"",E1555*(1+D1555/30))</f>
        <v/>
      </c>
      <c r="H1555" s="19" t="n">
        <f aca="false">IF(G1555="",0,G1555)</f>
        <v>0</v>
      </c>
      <c r="I1555" s="18" t="str">
        <f aca="false">IF(H1555&gt;0,IF(H1555&gt;=SUMPRODUCT(MAX(($B$5:$B$2004=B1555)*$H$5:$H$2004)),"Rekor",""),"")</f>
        <v/>
      </c>
      <c r="J1555" s="19" t="n">
        <f aca="false">IF(A1555="",0,IF(COUNTIF(A$5:A1555,A1555)=1,1,0))</f>
        <v>0</v>
      </c>
    </row>
    <row r="1556" customFormat="false" ht="15" hidden="false" customHeight="false" outlineLevel="0" collapsed="false">
      <c r="A1556" s="12"/>
      <c r="B1556" s="13"/>
      <c r="C1556" s="14"/>
      <c r="D1556" s="14"/>
      <c r="E1556" s="15"/>
      <c r="F1556" s="16" t="str">
        <f aca="false">IF(OR(C1556="",D1556="",E1556=""),"",C1556*D1556*E1556)</f>
        <v/>
      </c>
      <c r="G1556" s="17" t="str">
        <f aca="false">IF(OR(D1556="",E1556=""),"",E1556*(1+D1556/30))</f>
        <v/>
      </c>
      <c r="H1556" s="19" t="n">
        <f aca="false">IF(G1556="",0,G1556)</f>
        <v>0</v>
      </c>
      <c r="I1556" s="18" t="str">
        <f aca="false">IF(H1556&gt;0,IF(H1556&gt;=SUMPRODUCT(MAX(($B$5:$B$2004=B1556)*$H$5:$H$2004)),"Rekor",""),"")</f>
        <v/>
      </c>
      <c r="J1556" s="19" t="n">
        <f aca="false">IF(A1556="",0,IF(COUNTIF(A$5:A1556,A1556)=1,1,0))</f>
        <v>0</v>
      </c>
    </row>
    <row r="1557" customFormat="false" ht="15" hidden="false" customHeight="false" outlineLevel="0" collapsed="false">
      <c r="A1557" s="12"/>
      <c r="B1557" s="13"/>
      <c r="C1557" s="14"/>
      <c r="D1557" s="14"/>
      <c r="E1557" s="15"/>
      <c r="F1557" s="16" t="str">
        <f aca="false">IF(OR(C1557="",D1557="",E1557=""),"",C1557*D1557*E1557)</f>
        <v/>
      </c>
      <c r="G1557" s="17" t="str">
        <f aca="false">IF(OR(D1557="",E1557=""),"",E1557*(1+D1557/30))</f>
        <v/>
      </c>
      <c r="H1557" s="19" t="n">
        <f aca="false">IF(G1557="",0,G1557)</f>
        <v>0</v>
      </c>
      <c r="I1557" s="18" t="str">
        <f aca="false">IF(H1557&gt;0,IF(H1557&gt;=SUMPRODUCT(MAX(($B$5:$B$2004=B1557)*$H$5:$H$2004)),"Rekor",""),"")</f>
        <v/>
      </c>
      <c r="J1557" s="19" t="n">
        <f aca="false">IF(A1557="",0,IF(COUNTIF(A$5:A1557,A1557)=1,1,0))</f>
        <v>0</v>
      </c>
    </row>
    <row r="1558" customFormat="false" ht="15" hidden="false" customHeight="false" outlineLevel="0" collapsed="false">
      <c r="A1558" s="12"/>
      <c r="B1558" s="13"/>
      <c r="C1558" s="14"/>
      <c r="D1558" s="14"/>
      <c r="E1558" s="15"/>
      <c r="F1558" s="16" t="str">
        <f aca="false">IF(OR(C1558="",D1558="",E1558=""),"",C1558*D1558*E1558)</f>
        <v/>
      </c>
      <c r="G1558" s="17" t="str">
        <f aca="false">IF(OR(D1558="",E1558=""),"",E1558*(1+D1558/30))</f>
        <v/>
      </c>
      <c r="H1558" s="19" t="n">
        <f aca="false">IF(G1558="",0,G1558)</f>
        <v>0</v>
      </c>
      <c r="I1558" s="18" t="str">
        <f aca="false">IF(H1558&gt;0,IF(H1558&gt;=SUMPRODUCT(MAX(($B$5:$B$2004=B1558)*$H$5:$H$2004)),"Rekor",""),"")</f>
        <v/>
      </c>
      <c r="J1558" s="19" t="n">
        <f aca="false">IF(A1558="",0,IF(COUNTIF(A$5:A1558,A1558)=1,1,0))</f>
        <v>0</v>
      </c>
    </row>
    <row r="1559" customFormat="false" ht="15" hidden="false" customHeight="false" outlineLevel="0" collapsed="false">
      <c r="A1559" s="12"/>
      <c r="B1559" s="13"/>
      <c r="C1559" s="14"/>
      <c r="D1559" s="14"/>
      <c r="E1559" s="15"/>
      <c r="F1559" s="16" t="str">
        <f aca="false">IF(OR(C1559="",D1559="",E1559=""),"",C1559*D1559*E1559)</f>
        <v/>
      </c>
      <c r="G1559" s="17" t="str">
        <f aca="false">IF(OR(D1559="",E1559=""),"",E1559*(1+D1559/30))</f>
        <v/>
      </c>
      <c r="H1559" s="19" t="n">
        <f aca="false">IF(G1559="",0,G1559)</f>
        <v>0</v>
      </c>
      <c r="I1559" s="18" t="str">
        <f aca="false">IF(H1559&gt;0,IF(H1559&gt;=SUMPRODUCT(MAX(($B$5:$B$2004=B1559)*$H$5:$H$2004)),"Rekor",""),"")</f>
        <v/>
      </c>
      <c r="J1559" s="19" t="n">
        <f aca="false">IF(A1559="",0,IF(COUNTIF(A$5:A1559,A1559)=1,1,0))</f>
        <v>0</v>
      </c>
    </row>
    <row r="1560" customFormat="false" ht="15" hidden="false" customHeight="false" outlineLevel="0" collapsed="false">
      <c r="A1560" s="12"/>
      <c r="B1560" s="13"/>
      <c r="C1560" s="14"/>
      <c r="D1560" s="14"/>
      <c r="E1560" s="15"/>
      <c r="F1560" s="16" t="str">
        <f aca="false">IF(OR(C1560="",D1560="",E1560=""),"",C1560*D1560*E1560)</f>
        <v/>
      </c>
      <c r="G1560" s="17" t="str">
        <f aca="false">IF(OR(D1560="",E1560=""),"",E1560*(1+D1560/30))</f>
        <v/>
      </c>
      <c r="H1560" s="19" t="n">
        <f aca="false">IF(G1560="",0,G1560)</f>
        <v>0</v>
      </c>
      <c r="I1560" s="18" t="str">
        <f aca="false">IF(H1560&gt;0,IF(H1560&gt;=SUMPRODUCT(MAX(($B$5:$B$2004=B1560)*$H$5:$H$2004)),"Rekor",""),"")</f>
        <v/>
      </c>
      <c r="J1560" s="19" t="n">
        <f aca="false">IF(A1560="",0,IF(COUNTIF(A$5:A1560,A1560)=1,1,0))</f>
        <v>0</v>
      </c>
    </row>
    <row r="1561" customFormat="false" ht="15" hidden="false" customHeight="false" outlineLevel="0" collapsed="false">
      <c r="A1561" s="12"/>
      <c r="B1561" s="13"/>
      <c r="C1561" s="14"/>
      <c r="D1561" s="14"/>
      <c r="E1561" s="15"/>
      <c r="F1561" s="16" t="str">
        <f aca="false">IF(OR(C1561="",D1561="",E1561=""),"",C1561*D1561*E1561)</f>
        <v/>
      </c>
      <c r="G1561" s="17" t="str">
        <f aca="false">IF(OR(D1561="",E1561=""),"",E1561*(1+D1561/30))</f>
        <v/>
      </c>
      <c r="H1561" s="19" t="n">
        <f aca="false">IF(G1561="",0,G1561)</f>
        <v>0</v>
      </c>
      <c r="I1561" s="18" t="str">
        <f aca="false">IF(H1561&gt;0,IF(H1561&gt;=SUMPRODUCT(MAX(($B$5:$B$2004=B1561)*$H$5:$H$2004)),"Rekor",""),"")</f>
        <v/>
      </c>
      <c r="J1561" s="19" t="n">
        <f aca="false">IF(A1561="",0,IF(COUNTIF(A$5:A1561,A1561)=1,1,0))</f>
        <v>0</v>
      </c>
    </row>
    <row r="1562" customFormat="false" ht="15" hidden="false" customHeight="false" outlineLevel="0" collapsed="false">
      <c r="A1562" s="12"/>
      <c r="B1562" s="13"/>
      <c r="C1562" s="14"/>
      <c r="D1562" s="14"/>
      <c r="E1562" s="15"/>
      <c r="F1562" s="16" t="str">
        <f aca="false">IF(OR(C1562="",D1562="",E1562=""),"",C1562*D1562*E1562)</f>
        <v/>
      </c>
      <c r="G1562" s="17" t="str">
        <f aca="false">IF(OR(D1562="",E1562=""),"",E1562*(1+D1562/30))</f>
        <v/>
      </c>
      <c r="H1562" s="19" t="n">
        <f aca="false">IF(G1562="",0,G1562)</f>
        <v>0</v>
      </c>
      <c r="I1562" s="18" t="str">
        <f aca="false">IF(H1562&gt;0,IF(H1562&gt;=SUMPRODUCT(MAX(($B$5:$B$2004=B1562)*$H$5:$H$2004)),"Rekor",""),"")</f>
        <v/>
      </c>
      <c r="J1562" s="19" t="n">
        <f aca="false">IF(A1562="",0,IF(COUNTIF(A$5:A1562,A1562)=1,1,0))</f>
        <v>0</v>
      </c>
    </row>
    <row r="1563" customFormat="false" ht="15" hidden="false" customHeight="false" outlineLevel="0" collapsed="false">
      <c r="A1563" s="12"/>
      <c r="B1563" s="13"/>
      <c r="C1563" s="14"/>
      <c r="D1563" s="14"/>
      <c r="E1563" s="15"/>
      <c r="F1563" s="16" t="str">
        <f aca="false">IF(OR(C1563="",D1563="",E1563=""),"",C1563*D1563*E1563)</f>
        <v/>
      </c>
      <c r="G1563" s="17" t="str">
        <f aca="false">IF(OR(D1563="",E1563=""),"",E1563*(1+D1563/30))</f>
        <v/>
      </c>
      <c r="H1563" s="19" t="n">
        <f aca="false">IF(G1563="",0,G1563)</f>
        <v>0</v>
      </c>
      <c r="I1563" s="18" t="str">
        <f aca="false">IF(H1563&gt;0,IF(H1563&gt;=SUMPRODUCT(MAX(($B$5:$B$2004=B1563)*$H$5:$H$2004)),"Rekor",""),"")</f>
        <v/>
      </c>
      <c r="J1563" s="19" t="n">
        <f aca="false">IF(A1563="",0,IF(COUNTIF(A$5:A1563,A1563)=1,1,0))</f>
        <v>0</v>
      </c>
    </row>
    <row r="1564" customFormat="false" ht="15" hidden="false" customHeight="false" outlineLevel="0" collapsed="false">
      <c r="A1564" s="12"/>
      <c r="B1564" s="13"/>
      <c r="C1564" s="14"/>
      <c r="D1564" s="14"/>
      <c r="E1564" s="15"/>
      <c r="F1564" s="16" t="str">
        <f aca="false">IF(OR(C1564="",D1564="",E1564=""),"",C1564*D1564*E1564)</f>
        <v/>
      </c>
      <c r="G1564" s="17" t="str">
        <f aca="false">IF(OR(D1564="",E1564=""),"",E1564*(1+D1564/30))</f>
        <v/>
      </c>
      <c r="H1564" s="19" t="n">
        <f aca="false">IF(G1564="",0,G1564)</f>
        <v>0</v>
      </c>
      <c r="I1564" s="18" t="str">
        <f aca="false">IF(H1564&gt;0,IF(H1564&gt;=SUMPRODUCT(MAX(($B$5:$B$2004=B1564)*$H$5:$H$2004)),"Rekor",""),"")</f>
        <v/>
      </c>
      <c r="J1564" s="19" t="n">
        <f aca="false">IF(A1564="",0,IF(COUNTIF(A$5:A1564,A1564)=1,1,0))</f>
        <v>0</v>
      </c>
    </row>
    <row r="1565" customFormat="false" ht="15" hidden="false" customHeight="false" outlineLevel="0" collapsed="false">
      <c r="A1565" s="12"/>
      <c r="B1565" s="13"/>
      <c r="C1565" s="14"/>
      <c r="D1565" s="14"/>
      <c r="E1565" s="15"/>
      <c r="F1565" s="16" t="str">
        <f aca="false">IF(OR(C1565="",D1565="",E1565=""),"",C1565*D1565*E1565)</f>
        <v/>
      </c>
      <c r="G1565" s="17" t="str">
        <f aca="false">IF(OR(D1565="",E1565=""),"",E1565*(1+D1565/30))</f>
        <v/>
      </c>
      <c r="H1565" s="19" t="n">
        <f aca="false">IF(G1565="",0,G1565)</f>
        <v>0</v>
      </c>
      <c r="I1565" s="18" t="str">
        <f aca="false">IF(H1565&gt;0,IF(H1565&gt;=SUMPRODUCT(MAX(($B$5:$B$2004=B1565)*$H$5:$H$2004)),"Rekor",""),"")</f>
        <v/>
      </c>
      <c r="J1565" s="19" t="n">
        <f aca="false">IF(A1565="",0,IF(COUNTIF(A$5:A1565,A1565)=1,1,0))</f>
        <v>0</v>
      </c>
    </row>
    <row r="1566" customFormat="false" ht="15" hidden="false" customHeight="false" outlineLevel="0" collapsed="false">
      <c r="A1566" s="12"/>
      <c r="B1566" s="13"/>
      <c r="C1566" s="14"/>
      <c r="D1566" s="14"/>
      <c r="E1566" s="15"/>
      <c r="F1566" s="16" t="str">
        <f aca="false">IF(OR(C1566="",D1566="",E1566=""),"",C1566*D1566*E1566)</f>
        <v/>
      </c>
      <c r="G1566" s="17" t="str">
        <f aca="false">IF(OR(D1566="",E1566=""),"",E1566*(1+D1566/30))</f>
        <v/>
      </c>
      <c r="H1566" s="19" t="n">
        <f aca="false">IF(G1566="",0,G1566)</f>
        <v>0</v>
      </c>
      <c r="I1566" s="18" t="str">
        <f aca="false">IF(H1566&gt;0,IF(H1566&gt;=SUMPRODUCT(MAX(($B$5:$B$2004=B1566)*$H$5:$H$2004)),"Rekor",""),"")</f>
        <v/>
      </c>
      <c r="J1566" s="19" t="n">
        <f aca="false">IF(A1566="",0,IF(COUNTIF(A$5:A1566,A1566)=1,1,0))</f>
        <v>0</v>
      </c>
    </row>
    <row r="1567" customFormat="false" ht="15" hidden="false" customHeight="false" outlineLevel="0" collapsed="false">
      <c r="A1567" s="12"/>
      <c r="B1567" s="13"/>
      <c r="C1567" s="14"/>
      <c r="D1567" s="14"/>
      <c r="E1567" s="15"/>
      <c r="F1567" s="16" t="str">
        <f aca="false">IF(OR(C1567="",D1567="",E1567=""),"",C1567*D1567*E1567)</f>
        <v/>
      </c>
      <c r="G1567" s="17" t="str">
        <f aca="false">IF(OR(D1567="",E1567=""),"",E1567*(1+D1567/30))</f>
        <v/>
      </c>
      <c r="H1567" s="19" t="n">
        <f aca="false">IF(G1567="",0,G1567)</f>
        <v>0</v>
      </c>
      <c r="I1567" s="18" t="str">
        <f aca="false">IF(H1567&gt;0,IF(H1567&gt;=SUMPRODUCT(MAX(($B$5:$B$2004=B1567)*$H$5:$H$2004)),"Rekor",""),"")</f>
        <v/>
      </c>
      <c r="J1567" s="19" t="n">
        <f aca="false">IF(A1567="",0,IF(COUNTIF(A$5:A1567,A1567)=1,1,0))</f>
        <v>0</v>
      </c>
    </row>
    <row r="1568" customFormat="false" ht="15" hidden="false" customHeight="false" outlineLevel="0" collapsed="false">
      <c r="A1568" s="12"/>
      <c r="B1568" s="13"/>
      <c r="C1568" s="14"/>
      <c r="D1568" s="14"/>
      <c r="E1568" s="15"/>
      <c r="F1568" s="16" t="str">
        <f aca="false">IF(OR(C1568="",D1568="",E1568=""),"",C1568*D1568*E1568)</f>
        <v/>
      </c>
      <c r="G1568" s="17" t="str">
        <f aca="false">IF(OR(D1568="",E1568=""),"",E1568*(1+D1568/30))</f>
        <v/>
      </c>
      <c r="H1568" s="19" t="n">
        <f aca="false">IF(G1568="",0,G1568)</f>
        <v>0</v>
      </c>
      <c r="I1568" s="18" t="str">
        <f aca="false">IF(H1568&gt;0,IF(H1568&gt;=SUMPRODUCT(MAX(($B$5:$B$2004=B1568)*$H$5:$H$2004)),"Rekor",""),"")</f>
        <v/>
      </c>
      <c r="J1568" s="19" t="n">
        <f aca="false">IF(A1568="",0,IF(COUNTIF(A$5:A1568,A1568)=1,1,0))</f>
        <v>0</v>
      </c>
    </row>
    <row r="1569" customFormat="false" ht="15" hidden="false" customHeight="false" outlineLevel="0" collapsed="false">
      <c r="A1569" s="12"/>
      <c r="B1569" s="13"/>
      <c r="C1569" s="14"/>
      <c r="D1569" s="14"/>
      <c r="E1569" s="15"/>
      <c r="F1569" s="16" t="str">
        <f aca="false">IF(OR(C1569="",D1569="",E1569=""),"",C1569*D1569*E1569)</f>
        <v/>
      </c>
      <c r="G1569" s="17" t="str">
        <f aca="false">IF(OR(D1569="",E1569=""),"",E1569*(1+D1569/30))</f>
        <v/>
      </c>
      <c r="H1569" s="19" t="n">
        <f aca="false">IF(G1569="",0,G1569)</f>
        <v>0</v>
      </c>
      <c r="I1569" s="18" t="str">
        <f aca="false">IF(H1569&gt;0,IF(H1569&gt;=SUMPRODUCT(MAX(($B$5:$B$2004=B1569)*$H$5:$H$2004)),"Rekor",""),"")</f>
        <v/>
      </c>
      <c r="J1569" s="19" t="n">
        <f aca="false">IF(A1569="",0,IF(COUNTIF(A$5:A1569,A1569)=1,1,0))</f>
        <v>0</v>
      </c>
    </row>
    <row r="1570" customFormat="false" ht="15" hidden="false" customHeight="false" outlineLevel="0" collapsed="false">
      <c r="A1570" s="12"/>
      <c r="B1570" s="13"/>
      <c r="C1570" s="14"/>
      <c r="D1570" s="14"/>
      <c r="E1570" s="15"/>
      <c r="F1570" s="16" t="str">
        <f aca="false">IF(OR(C1570="",D1570="",E1570=""),"",C1570*D1570*E1570)</f>
        <v/>
      </c>
      <c r="G1570" s="17" t="str">
        <f aca="false">IF(OR(D1570="",E1570=""),"",E1570*(1+D1570/30))</f>
        <v/>
      </c>
      <c r="H1570" s="19" t="n">
        <f aca="false">IF(G1570="",0,G1570)</f>
        <v>0</v>
      </c>
      <c r="I1570" s="18" t="str">
        <f aca="false">IF(H1570&gt;0,IF(H1570&gt;=SUMPRODUCT(MAX(($B$5:$B$2004=B1570)*$H$5:$H$2004)),"Rekor",""),"")</f>
        <v/>
      </c>
      <c r="J1570" s="19" t="n">
        <f aca="false">IF(A1570="",0,IF(COUNTIF(A$5:A1570,A1570)=1,1,0))</f>
        <v>0</v>
      </c>
    </row>
    <row r="1571" customFormat="false" ht="15" hidden="false" customHeight="false" outlineLevel="0" collapsed="false">
      <c r="A1571" s="12"/>
      <c r="B1571" s="13"/>
      <c r="C1571" s="14"/>
      <c r="D1571" s="14"/>
      <c r="E1571" s="15"/>
      <c r="F1571" s="16" t="str">
        <f aca="false">IF(OR(C1571="",D1571="",E1571=""),"",C1571*D1571*E1571)</f>
        <v/>
      </c>
      <c r="G1571" s="17" t="str">
        <f aca="false">IF(OR(D1571="",E1571=""),"",E1571*(1+D1571/30))</f>
        <v/>
      </c>
      <c r="H1571" s="19" t="n">
        <f aca="false">IF(G1571="",0,G1571)</f>
        <v>0</v>
      </c>
      <c r="I1571" s="18" t="str">
        <f aca="false">IF(H1571&gt;0,IF(H1571&gt;=SUMPRODUCT(MAX(($B$5:$B$2004=B1571)*$H$5:$H$2004)),"Rekor",""),"")</f>
        <v/>
      </c>
      <c r="J1571" s="19" t="n">
        <f aca="false">IF(A1571="",0,IF(COUNTIF(A$5:A1571,A1571)=1,1,0))</f>
        <v>0</v>
      </c>
    </row>
    <row r="1572" customFormat="false" ht="15" hidden="false" customHeight="false" outlineLevel="0" collapsed="false">
      <c r="A1572" s="12"/>
      <c r="B1572" s="13"/>
      <c r="C1572" s="14"/>
      <c r="D1572" s="14"/>
      <c r="E1572" s="15"/>
      <c r="F1572" s="16" t="str">
        <f aca="false">IF(OR(C1572="",D1572="",E1572=""),"",C1572*D1572*E1572)</f>
        <v/>
      </c>
      <c r="G1572" s="17" t="str">
        <f aca="false">IF(OR(D1572="",E1572=""),"",E1572*(1+D1572/30))</f>
        <v/>
      </c>
      <c r="H1572" s="19" t="n">
        <f aca="false">IF(G1572="",0,G1572)</f>
        <v>0</v>
      </c>
      <c r="I1572" s="18" t="str">
        <f aca="false">IF(H1572&gt;0,IF(H1572&gt;=SUMPRODUCT(MAX(($B$5:$B$2004=B1572)*$H$5:$H$2004)),"Rekor",""),"")</f>
        <v/>
      </c>
      <c r="J1572" s="19" t="n">
        <f aca="false">IF(A1572="",0,IF(COUNTIF(A$5:A1572,A1572)=1,1,0))</f>
        <v>0</v>
      </c>
    </row>
    <row r="1573" customFormat="false" ht="15" hidden="false" customHeight="false" outlineLevel="0" collapsed="false">
      <c r="A1573" s="12"/>
      <c r="B1573" s="13"/>
      <c r="C1573" s="14"/>
      <c r="D1573" s="14"/>
      <c r="E1573" s="15"/>
      <c r="F1573" s="16" t="str">
        <f aca="false">IF(OR(C1573="",D1573="",E1573=""),"",C1573*D1573*E1573)</f>
        <v/>
      </c>
      <c r="G1573" s="17" t="str">
        <f aca="false">IF(OR(D1573="",E1573=""),"",E1573*(1+D1573/30))</f>
        <v/>
      </c>
      <c r="H1573" s="19" t="n">
        <f aca="false">IF(G1573="",0,G1573)</f>
        <v>0</v>
      </c>
      <c r="I1573" s="18" t="str">
        <f aca="false">IF(H1573&gt;0,IF(H1573&gt;=SUMPRODUCT(MAX(($B$5:$B$2004=B1573)*$H$5:$H$2004)),"Rekor",""),"")</f>
        <v/>
      </c>
      <c r="J1573" s="19" t="n">
        <f aca="false">IF(A1573="",0,IF(COUNTIF(A$5:A1573,A1573)=1,1,0))</f>
        <v>0</v>
      </c>
    </row>
    <row r="1574" customFormat="false" ht="15" hidden="false" customHeight="false" outlineLevel="0" collapsed="false">
      <c r="A1574" s="12"/>
      <c r="B1574" s="13"/>
      <c r="C1574" s="14"/>
      <c r="D1574" s="14"/>
      <c r="E1574" s="15"/>
      <c r="F1574" s="16" t="str">
        <f aca="false">IF(OR(C1574="",D1574="",E1574=""),"",C1574*D1574*E1574)</f>
        <v/>
      </c>
      <c r="G1574" s="17" t="str">
        <f aca="false">IF(OR(D1574="",E1574=""),"",E1574*(1+D1574/30))</f>
        <v/>
      </c>
      <c r="H1574" s="19" t="n">
        <f aca="false">IF(G1574="",0,G1574)</f>
        <v>0</v>
      </c>
      <c r="I1574" s="18" t="str">
        <f aca="false">IF(H1574&gt;0,IF(H1574&gt;=SUMPRODUCT(MAX(($B$5:$B$2004=B1574)*$H$5:$H$2004)),"Rekor",""),"")</f>
        <v/>
      </c>
      <c r="J1574" s="19" t="n">
        <f aca="false">IF(A1574="",0,IF(COUNTIF(A$5:A1574,A1574)=1,1,0))</f>
        <v>0</v>
      </c>
    </row>
    <row r="1575" customFormat="false" ht="15" hidden="false" customHeight="false" outlineLevel="0" collapsed="false">
      <c r="A1575" s="12"/>
      <c r="B1575" s="13"/>
      <c r="C1575" s="14"/>
      <c r="D1575" s="14"/>
      <c r="E1575" s="15"/>
      <c r="F1575" s="16" t="str">
        <f aca="false">IF(OR(C1575="",D1575="",E1575=""),"",C1575*D1575*E1575)</f>
        <v/>
      </c>
      <c r="G1575" s="17" t="str">
        <f aca="false">IF(OR(D1575="",E1575=""),"",E1575*(1+D1575/30))</f>
        <v/>
      </c>
      <c r="H1575" s="19" t="n">
        <f aca="false">IF(G1575="",0,G1575)</f>
        <v>0</v>
      </c>
      <c r="I1575" s="18" t="str">
        <f aca="false">IF(H1575&gt;0,IF(H1575&gt;=SUMPRODUCT(MAX(($B$5:$B$2004=B1575)*$H$5:$H$2004)),"Rekor",""),"")</f>
        <v/>
      </c>
      <c r="J1575" s="19" t="n">
        <f aca="false">IF(A1575="",0,IF(COUNTIF(A$5:A1575,A1575)=1,1,0))</f>
        <v>0</v>
      </c>
    </row>
    <row r="1576" customFormat="false" ht="15" hidden="false" customHeight="false" outlineLevel="0" collapsed="false">
      <c r="A1576" s="12"/>
      <c r="B1576" s="13"/>
      <c r="C1576" s="14"/>
      <c r="D1576" s="14"/>
      <c r="E1576" s="15"/>
      <c r="F1576" s="16" t="str">
        <f aca="false">IF(OR(C1576="",D1576="",E1576=""),"",C1576*D1576*E1576)</f>
        <v/>
      </c>
      <c r="G1576" s="17" t="str">
        <f aca="false">IF(OR(D1576="",E1576=""),"",E1576*(1+D1576/30))</f>
        <v/>
      </c>
      <c r="H1576" s="19" t="n">
        <f aca="false">IF(G1576="",0,G1576)</f>
        <v>0</v>
      </c>
      <c r="I1576" s="18" t="str">
        <f aca="false">IF(H1576&gt;0,IF(H1576&gt;=SUMPRODUCT(MAX(($B$5:$B$2004=B1576)*$H$5:$H$2004)),"Rekor",""),"")</f>
        <v/>
      </c>
      <c r="J1576" s="19" t="n">
        <f aca="false">IF(A1576="",0,IF(COUNTIF(A$5:A1576,A1576)=1,1,0))</f>
        <v>0</v>
      </c>
    </row>
    <row r="1577" customFormat="false" ht="15" hidden="false" customHeight="false" outlineLevel="0" collapsed="false">
      <c r="A1577" s="12"/>
      <c r="B1577" s="13"/>
      <c r="C1577" s="14"/>
      <c r="D1577" s="14"/>
      <c r="E1577" s="15"/>
      <c r="F1577" s="16" t="str">
        <f aca="false">IF(OR(C1577="",D1577="",E1577=""),"",C1577*D1577*E1577)</f>
        <v/>
      </c>
      <c r="G1577" s="17" t="str">
        <f aca="false">IF(OR(D1577="",E1577=""),"",E1577*(1+D1577/30))</f>
        <v/>
      </c>
      <c r="H1577" s="19" t="n">
        <f aca="false">IF(G1577="",0,G1577)</f>
        <v>0</v>
      </c>
      <c r="I1577" s="18" t="str">
        <f aca="false">IF(H1577&gt;0,IF(H1577&gt;=SUMPRODUCT(MAX(($B$5:$B$2004=B1577)*$H$5:$H$2004)),"Rekor",""),"")</f>
        <v/>
      </c>
      <c r="J1577" s="19" t="n">
        <f aca="false">IF(A1577="",0,IF(COUNTIF(A$5:A1577,A1577)=1,1,0))</f>
        <v>0</v>
      </c>
    </row>
    <row r="1578" customFormat="false" ht="15" hidden="false" customHeight="false" outlineLevel="0" collapsed="false">
      <c r="A1578" s="12"/>
      <c r="B1578" s="13"/>
      <c r="C1578" s="14"/>
      <c r="D1578" s="14"/>
      <c r="E1578" s="15"/>
      <c r="F1578" s="16" t="str">
        <f aca="false">IF(OR(C1578="",D1578="",E1578=""),"",C1578*D1578*E1578)</f>
        <v/>
      </c>
      <c r="G1578" s="17" t="str">
        <f aca="false">IF(OR(D1578="",E1578=""),"",E1578*(1+D1578/30))</f>
        <v/>
      </c>
      <c r="H1578" s="19" t="n">
        <f aca="false">IF(G1578="",0,G1578)</f>
        <v>0</v>
      </c>
      <c r="I1578" s="18" t="str">
        <f aca="false">IF(H1578&gt;0,IF(H1578&gt;=SUMPRODUCT(MAX(($B$5:$B$2004=B1578)*$H$5:$H$2004)),"Rekor",""),"")</f>
        <v/>
      </c>
      <c r="J1578" s="19" t="n">
        <f aca="false">IF(A1578="",0,IF(COUNTIF(A$5:A1578,A1578)=1,1,0))</f>
        <v>0</v>
      </c>
    </row>
    <row r="1579" customFormat="false" ht="15" hidden="false" customHeight="false" outlineLevel="0" collapsed="false">
      <c r="A1579" s="12"/>
      <c r="B1579" s="13"/>
      <c r="C1579" s="14"/>
      <c r="D1579" s="14"/>
      <c r="E1579" s="15"/>
      <c r="F1579" s="16" t="str">
        <f aca="false">IF(OR(C1579="",D1579="",E1579=""),"",C1579*D1579*E1579)</f>
        <v/>
      </c>
      <c r="G1579" s="17" t="str">
        <f aca="false">IF(OR(D1579="",E1579=""),"",E1579*(1+D1579/30))</f>
        <v/>
      </c>
      <c r="H1579" s="19" t="n">
        <f aca="false">IF(G1579="",0,G1579)</f>
        <v>0</v>
      </c>
      <c r="I1579" s="18" t="str">
        <f aca="false">IF(H1579&gt;0,IF(H1579&gt;=SUMPRODUCT(MAX(($B$5:$B$2004=B1579)*$H$5:$H$2004)),"Rekor",""),"")</f>
        <v/>
      </c>
      <c r="J1579" s="19" t="n">
        <f aca="false">IF(A1579="",0,IF(COUNTIF(A$5:A1579,A1579)=1,1,0))</f>
        <v>0</v>
      </c>
    </row>
    <row r="1580" customFormat="false" ht="15" hidden="false" customHeight="false" outlineLevel="0" collapsed="false">
      <c r="A1580" s="12"/>
      <c r="B1580" s="13"/>
      <c r="C1580" s="14"/>
      <c r="D1580" s="14"/>
      <c r="E1580" s="15"/>
      <c r="F1580" s="16" t="str">
        <f aca="false">IF(OR(C1580="",D1580="",E1580=""),"",C1580*D1580*E1580)</f>
        <v/>
      </c>
      <c r="G1580" s="17" t="str">
        <f aca="false">IF(OR(D1580="",E1580=""),"",E1580*(1+D1580/30))</f>
        <v/>
      </c>
      <c r="H1580" s="19" t="n">
        <f aca="false">IF(G1580="",0,G1580)</f>
        <v>0</v>
      </c>
      <c r="I1580" s="18" t="str">
        <f aca="false">IF(H1580&gt;0,IF(H1580&gt;=SUMPRODUCT(MAX(($B$5:$B$2004=B1580)*$H$5:$H$2004)),"Rekor",""),"")</f>
        <v/>
      </c>
      <c r="J1580" s="19" t="n">
        <f aca="false">IF(A1580="",0,IF(COUNTIF(A$5:A1580,A1580)=1,1,0))</f>
        <v>0</v>
      </c>
    </row>
    <row r="1581" customFormat="false" ht="15" hidden="false" customHeight="false" outlineLevel="0" collapsed="false">
      <c r="A1581" s="12"/>
      <c r="B1581" s="13"/>
      <c r="C1581" s="14"/>
      <c r="D1581" s="14"/>
      <c r="E1581" s="15"/>
      <c r="F1581" s="16" t="str">
        <f aca="false">IF(OR(C1581="",D1581="",E1581=""),"",C1581*D1581*E1581)</f>
        <v/>
      </c>
      <c r="G1581" s="17" t="str">
        <f aca="false">IF(OR(D1581="",E1581=""),"",E1581*(1+D1581/30))</f>
        <v/>
      </c>
      <c r="H1581" s="19" t="n">
        <f aca="false">IF(G1581="",0,G1581)</f>
        <v>0</v>
      </c>
      <c r="I1581" s="18" t="str">
        <f aca="false">IF(H1581&gt;0,IF(H1581&gt;=SUMPRODUCT(MAX(($B$5:$B$2004=B1581)*$H$5:$H$2004)),"Rekor",""),"")</f>
        <v/>
      </c>
      <c r="J1581" s="19" t="n">
        <f aca="false">IF(A1581="",0,IF(COUNTIF(A$5:A1581,A1581)=1,1,0))</f>
        <v>0</v>
      </c>
    </row>
    <row r="1582" customFormat="false" ht="15" hidden="false" customHeight="false" outlineLevel="0" collapsed="false">
      <c r="A1582" s="12"/>
      <c r="B1582" s="13"/>
      <c r="C1582" s="14"/>
      <c r="D1582" s="14"/>
      <c r="E1582" s="15"/>
      <c r="F1582" s="16" t="str">
        <f aca="false">IF(OR(C1582="",D1582="",E1582=""),"",C1582*D1582*E1582)</f>
        <v/>
      </c>
      <c r="G1582" s="17" t="str">
        <f aca="false">IF(OR(D1582="",E1582=""),"",E1582*(1+D1582/30))</f>
        <v/>
      </c>
      <c r="H1582" s="19" t="n">
        <f aca="false">IF(G1582="",0,G1582)</f>
        <v>0</v>
      </c>
      <c r="I1582" s="18" t="str">
        <f aca="false">IF(H1582&gt;0,IF(H1582&gt;=SUMPRODUCT(MAX(($B$5:$B$2004=B1582)*$H$5:$H$2004)),"Rekor",""),"")</f>
        <v/>
      </c>
      <c r="J1582" s="19" t="n">
        <f aca="false">IF(A1582="",0,IF(COUNTIF(A$5:A1582,A1582)=1,1,0))</f>
        <v>0</v>
      </c>
    </row>
    <row r="1583" customFormat="false" ht="15" hidden="false" customHeight="false" outlineLevel="0" collapsed="false">
      <c r="A1583" s="12"/>
      <c r="B1583" s="13"/>
      <c r="C1583" s="14"/>
      <c r="D1583" s="14"/>
      <c r="E1583" s="15"/>
      <c r="F1583" s="16" t="str">
        <f aca="false">IF(OR(C1583="",D1583="",E1583=""),"",C1583*D1583*E1583)</f>
        <v/>
      </c>
      <c r="G1583" s="17" t="str">
        <f aca="false">IF(OR(D1583="",E1583=""),"",E1583*(1+D1583/30))</f>
        <v/>
      </c>
      <c r="H1583" s="19" t="n">
        <f aca="false">IF(G1583="",0,G1583)</f>
        <v>0</v>
      </c>
      <c r="I1583" s="18" t="str">
        <f aca="false">IF(H1583&gt;0,IF(H1583&gt;=SUMPRODUCT(MAX(($B$5:$B$2004=B1583)*$H$5:$H$2004)),"Rekor",""),"")</f>
        <v/>
      </c>
      <c r="J1583" s="19" t="n">
        <f aca="false">IF(A1583="",0,IF(COUNTIF(A$5:A1583,A1583)=1,1,0))</f>
        <v>0</v>
      </c>
    </row>
    <row r="1584" customFormat="false" ht="15" hidden="false" customHeight="false" outlineLevel="0" collapsed="false">
      <c r="A1584" s="12"/>
      <c r="B1584" s="13"/>
      <c r="C1584" s="14"/>
      <c r="D1584" s="14"/>
      <c r="E1584" s="15"/>
      <c r="F1584" s="16" t="str">
        <f aca="false">IF(OR(C1584="",D1584="",E1584=""),"",C1584*D1584*E1584)</f>
        <v/>
      </c>
      <c r="G1584" s="17" t="str">
        <f aca="false">IF(OR(D1584="",E1584=""),"",E1584*(1+D1584/30))</f>
        <v/>
      </c>
      <c r="H1584" s="19" t="n">
        <f aca="false">IF(G1584="",0,G1584)</f>
        <v>0</v>
      </c>
      <c r="I1584" s="18" t="str">
        <f aca="false">IF(H1584&gt;0,IF(H1584&gt;=SUMPRODUCT(MAX(($B$5:$B$2004=B1584)*$H$5:$H$2004)),"Rekor",""),"")</f>
        <v/>
      </c>
      <c r="J1584" s="19" t="n">
        <f aca="false">IF(A1584="",0,IF(COUNTIF(A$5:A1584,A1584)=1,1,0))</f>
        <v>0</v>
      </c>
    </row>
    <row r="1585" customFormat="false" ht="15" hidden="false" customHeight="false" outlineLevel="0" collapsed="false">
      <c r="A1585" s="12"/>
      <c r="B1585" s="13"/>
      <c r="C1585" s="14"/>
      <c r="D1585" s="14"/>
      <c r="E1585" s="15"/>
      <c r="F1585" s="16" t="str">
        <f aca="false">IF(OR(C1585="",D1585="",E1585=""),"",C1585*D1585*E1585)</f>
        <v/>
      </c>
      <c r="G1585" s="17" t="str">
        <f aca="false">IF(OR(D1585="",E1585=""),"",E1585*(1+D1585/30))</f>
        <v/>
      </c>
      <c r="H1585" s="19" t="n">
        <f aca="false">IF(G1585="",0,G1585)</f>
        <v>0</v>
      </c>
      <c r="I1585" s="18" t="str">
        <f aca="false">IF(H1585&gt;0,IF(H1585&gt;=SUMPRODUCT(MAX(($B$5:$B$2004=B1585)*$H$5:$H$2004)),"Rekor",""),"")</f>
        <v/>
      </c>
      <c r="J1585" s="19" t="n">
        <f aca="false">IF(A1585="",0,IF(COUNTIF(A$5:A1585,A1585)=1,1,0))</f>
        <v>0</v>
      </c>
    </row>
    <row r="1586" customFormat="false" ht="15" hidden="false" customHeight="false" outlineLevel="0" collapsed="false">
      <c r="A1586" s="12"/>
      <c r="B1586" s="13"/>
      <c r="C1586" s="14"/>
      <c r="D1586" s="14"/>
      <c r="E1586" s="15"/>
      <c r="F1586" s="16" t="str">
        <f aca="false">IF(OR(C1586="",D1586="",E1586=""),"",C1586*D1586*E1586)</f>
        <v/>
      </c>
      <c r="G1586" s="17" t="str">
        <f aca="false">IF(OR(D1586="",E1586=""),"",E1586*(1+D1586/30))</f>
        <v/>
      </c>
      <c r="H1586" s="19" t="n">
        <f aca="false">IF(G1586="",0,G1586)</f>
        <v>0</v>
      </c>
      <c r="I1586" s="18" t="str">
        <f aca="false">IF(H1586&gt;0,IF(H1586&gt;=SUMPRODUCT(MAX(($B$5:$B$2004=B1586)*$H$5:$H$2004)),"Rekor",""),"")</f>
        <v/>
      </c>
      <c r="J1586" s="19" t="n">
        <f aca="false">IF(A1586="",0,IF(COUNTIF(A$5:A1586,A1586)=1,1,0))</f>
        <v>0</v>
      </c>
    </row>
    <row r="1587" customFormat="false" ht="15" hidden="false" customHeight="false" outlineLevel="0" collapsed="false">
      <c r="A1587" s="12"/>
      <c r="B1587" s="13"/>
      <c r="C1587" s="14"/>
      <c r="D1587" s="14"/>
      <c r="E1587" s="15"/>
      <c r="F1587" s="16" t="str">
        <f aca="false">IF(OR(C1587="",D1587="",E1587=""),"",C1587*D1587*E1587)</f>
        <v/>
      </c>
      <c r="G1587" s="17" t="str">
        <f aca="false">IF(OR(D1587="",E1587=""),"",E1587*(1+D1587/30))</f>
        <v/>
      </c>
      <c r="H1587" s="19" t="n">
        <f aca="false">IF(G1587="",0,G1587)</f>
        <v>0</v>
      </c>
      <c r="I1587" s="18" t="str">
        <f aca="false">IF(H1587&gt;0,IF(H1587&gt;=SUMPRODUCT(MAX(($B$5:$B$2004=B1587)*$H$5:$H$2004)),"Rekor",""),"")</f>
        <v/>
      </c>
      <c r="J1587" s="19" t="n">
        <f aca="false">IF(A1587="",0,IF(COUNTIF(A$5:A1587,A1587)=1,1,0))</f>
        <v>0</v>
      </c>
    </row>
    <row r="1588" customFormat="false" ht="15" hidden="false" customHeight="false" outlineLevel="0" collapsed="false">
      <c r="A1588" s="12"/>
      <c r="B1588" s="13"/>
      <c r="C1588" s="14"/>
      <c r="D1588" s="14"/>
      <c r="E1588" s="15"/>
      <c r="F1588" s="16" t="str">
        <f aca="false">IF(OR(C1588="",D1588="",E1588=""),"",C1588*D1588*E1588)</f>
        <v/>
      </c>
      <c r="G1588" s="17" t="str">
        <f aca="false">IF(OR(D1588="",E1588=""),"",E1588*(1+D1588/30))</f>
        <v/>
      </c>
      <c r="H1588" s="19" t="n">
        <f aca="false">IF(G1588="",0,G1588)</f>
        <v>0</v>
      </c>
      <c r="I1588" s="18" t="str">
        <f aca="false">IF(H1588&gt;0,IF(H1588&gt;=SUMPRODUCT(MAX(($B$5:$B$2004=B1588)*$H$5:$H$2004)),"Rekor",""),"")</f>
        <v/>
      </c>
      <c r="J1588" s="19" t="n">
        <f aca="false">IF(A1588="",0,IF(COUNTIF(A$5:A1588,A1588)=1,1,0))</f>
        <v>0</v>
      </c>
    </row>
    <row r="1589" customFormat="false" ht="15" hidden="false" customHeight="false" outlineLevel="0" collapsed="false">
      <c r="A1589" s="12"/>
      <c r="B1589" s="13"/>
      <c r="C1589" s="14"/>
      <c r="D1589" s="14"/>
      <c r="E1589" s="15"/>
      <c r="F1589" s="16" t="str">
        <f aca="false">IF(OR(C1589="",D1589="",E1589=""),"",C1589*D1589*E1589)</f>
        <v/>
      </c>
      <c r="G1589" s="17" t="str">
        <f aca="false">IF(OR(D1589="",E1589=""),"",E1589*(1+D1589/30))</f>
        <v/>
      </c>
      <c r="H1589" s="19" t="n">
        <f aca="false">IF(G1589="",0,G1589)</f>
        <v>0</v>
      </c>
      <c r="I1589" s="18" t="str">
        <f aca="false">IF(H1589&gt;0,IF(H1589&gt;=SUMPRODUCT(MAX(($B$5:$B$2004=B1589)*$H$5:$H$2004)),"Rekor",""),"")</f>
        <v/>
      </c>
      <c r="J1589" s="19" t="n">
        <f aca="false">IF(A1589="",0,IF(COUNTIF(A$5:A1589,A1589)=1,1,0))</f>
        <v>0</v>
      </c>
    </row>
    <row r="1590" customFormat="false" ht="15" hidden="false" customHeight="false" outlineLevel="0" collapsed="false">
      <c r="A1590" s="12"/>
      <c r="B1590" s="13"/>
      <c r="C1590" s="14"/>
      <c r="D1590" s="14"/>
      <c r="E1590" s="15"/>
      <c r="F1590" s="16" t="str">
        <f aca="false">IF(OR(C1590="",D1590="",E1590=""),"",C1590*D1590*E1590)</f>
        <v/>
      </c>
      <c r="G1590" s="17" t="str">
        <f aca="false">IF(OR(D1590="",E1590=""),"",E1590*(1+D1590/30))</f>
        <v/>
      </c>
      <c r="H1590" s="19" t="n">
        <f aca="false">IF(G1590="",0,G1590)</f>
        <v>0</v>
      </c>
      <c r="I1590" s="18" t="str">
        <f aca="false">IF(H1590&gt;0,IF(H1590&gt;=SUMPRODUCT(MAX(($B$5:$B$2004=B1590)*$H$5:$H$2004)),"Rekor",""),"")</f>
        <v/>
      </c>
      <c r="J1590" s="19" t="n">
        <f aca="false">IF(A1590="",0,IF(COUNTIF(A$5:A1590,A1590)=1,1,0))</f>
        <v>0</v>
      </c>
    </row>
    <row r="1591" customFormat="false" ht="15" hidden="false" customHeight="false" outlineLevel="0" collapsed="false">
      <c r="A1591" s="12"/>
      <c r="B1591" s="13"/>
      <c r="C1591" s="14"/>
      <c r="D1591" s="14"/>
      <c r="E1591" s="15"/>
      <c r="F1591" s="16" t="str">
        <f aca="false">IF(OR(C1591="",D1591="",E1591=""),"",C1591*D1591*E1591)</f>
        <v/>
      </c>
      <c r="G1591" s="17" t="str">
        <f aca="false">IF(OR(D1591="",E1591=""),"",E1591*(1+D1591/30))</f>
        <v/>
      </c>
      <c r="H1591" s="19" t="n">
        <f aca="false">IF(G1591="",0,G1591)</f>
        <v>0</v>
      </c>
      <c r="I1591" s="18" t="str">
        <f aca="false">IF(H1591&gt;0,IF(H1591&gt;=SUMPRODUCT(MAX(($B$5:$B$2004=B1591)*$H$5:$H$2004)),"Rekor",""),"")</f>
        <v/>
      </c>
      <c r="J1591" s="19" t="n">
        <f aca="false">IF(A1591="",0,IF(COUNTIF(A$5:A1591,A1591)=1,1,0))</f>
        <v>0</v>
      </c>
    </row>
    <row r="1592" customFormat="false" ht="15" hidden="false" customHeight="false" outlineLevel="0" collapsed="false">
      <c r="A1592" s="12"/>
      <c r="B1592" s="13"/>
      <c r="C1592" s="14"/>
      <c r="D1592" s="14"/>
      <c r="E1592" s="15"/>
      <c r="F1592" s="16" t="str">
        <f aca="false">IF(OR(C1592="",D1592="",E1592=""),"",C1592*D1592*E1592)</f>
        <v/>
      </c>
      <c r="G1592" s="17" t="str">
        <f aca="false">IF(OR(D1592="",E1592=""),"",E1592*(1+D1592/30))</f>
        <v/>
      </c>
      <c r="H1592" s="19" t="n">
        <f aca="false">IF(G1592="",0,G1592)</f>
        <v>0</v>
      </c>
      <c r="I1592" s="18" t="str">
        <f aca="false">IF(H1592&gt;0,IF(H1592&gt;=SUMPRODUCT(MAX(($B$5:$B$2004=B1592)*$H$5:$H$2004)),"Rekor",""),"")</f>
        <v/>
      </c>
      <c r="J1592" s="19" t="n">
        <f aca="false">IF(A1592="",0,IF(COUNTIF(A$5:A1592,A1592)=1,1,0))</f>
        <v>0</v>
      </c>
    </row>
    <row r="1593" customFormat="false" ht="15" hidden="false" customHeight="false" outlineLevel="0" collapsed="false">
      <c r="A1593" s="12"/>
      <c r="B1593" s="13"/>
      <c r="C1593" s="14"/>
      <c r="D1593" s="14"/>
      <c r="E1593" s="15"/>
      <c r="F1593" s="16" t="str">
        <f aca="false">IF(OR(C1593="",D1593="",E1593=""),"",C1593*D1593*E1593)</f>
        <v/>
      </c>
      <c r="G1593" s="17" t="str">
        <f aca="false">IF(OR(D1593="",E1593=""),"",E1593*(1+D1593/30))</f>
        <v/>
      </c>
      <c r="H1593" s="19" t="n">
        <f aca="false">IF(G1593="",0,G1593)</f>
        <v>0</v>
      </c>
      <c r="I1593" s="18" t="str">
        <f aca="false">IF(H1593&gt;0,IF(H1593&gt;=SUMPRODUCT(MAX(($B$5:$B$2004=B1593)*$H$5:$H$2004)),"Rekor",""),"")</f>
        <v/>
      </c>
      <c r="J1593" s="19" t="n">
        <f aca="false">IF(A1593="",0,IF(COUNTIF(A$5:A1593,A1593)=1,1,0))</f>
        <v>0</v>
      </c>
    </row>
    <row r="1594" customFormat="false" ht="15" hidden="false" customHeight="false" outlineLevel="0" collapsed="false">
      <c r="A1594" s="12"/>
      <c r="B1594" s="13"/>
      <c r="C1594" s="14"/>
      <c r="D1594" s="14"/>
      <c r="E1594" s="15"/>
      <c r="F1594" s="16" t="str">
        <f aca="false">IF(OR(C1594="",D1594="",E1594=""),"",C1594*D1594*E1594)</f>
        <v/>
      </c>
      <c r="G1594" s="17" t="str">
        <f aca="false">IF(OR(D1594="",E1594=""),"",E1594*(1+D1594/30))</f>
        <v/>
      </c>
      <c r="H1594" s="19" t="n">
        <f aca="false">IF(G1594="",0,G1594)</f>
        <v>0</v>
      </c>
      <c r="I1594" s="18" t="str">
        <f aca="false">IF(H1594&gt;0,IF(H1594&gt;=SUMPRODUCT(MAX(($B$5:$B$2004=B1594)*$H$5:$H$2004)),"Rekor",""),"")</f>
        <v/>
      </c>
      <c r="J1594" s="19" t="n">
        <f aca="false">IF(A1594="",0,IF(COUNTIF(A$5:A1594,A1594)=1,1,0))</f>
        <v>0</v>
      </c>
    </row>
    <row r="1595" customFormat="false" ht="15" hidden="false" customHeight="false" outlineLevel="0" collapsed="false">
      <c r="A1595" s="12"/>
      <c r="B1595" s="13"/>
      <c r="C1595" s="14"/>
      <c r="D1595" s="14"/>
      <c r="E1595" s="15"/>
      <c r="F1595" s="16" t="str">
        <f aca="false">IF(OR(C1595="",D1595="",E1595=""),"",C1595*D1595*E1595)</f>
        <v/>
      </c>
      <c r="G1595" s="17" t="str">
        <f aca="false">IF(OR(D1595="",E1595=""),"",E1595*(1+D1595/30))</f>
        <v/>
      </c>
      <c r="H1595" s="19" t="n">
        <f aca="false">IF(G1595="",0,G1595)</f>
        <v>0</v>
      </c>
      <c r="I1595" s="18" t="str">
        <f aca="false">IF(H1595&gt;0,IF(H1595&gt;=SUMPRODUCT(MAX(($B$5:$B$2004=B1595)*$H$5:$H$2004)),"Rekor",""),"")</f>
        <v/>
      </c>
      <c r="J1595" s="19" t="n">
        <f aca="false">IF(A1595="",0,IF(COUNTIF(A$5:A1595,A1595)=1,1,0))</f>
        <v>0</v>
      </c>
    </row>
    <row r="1596" customFormat="false" ht="15" hidden="false" customHeight="false" outlineLevel="0" collapsed="false">
      <c r="A1596" s="12"/>
      <c r="B1596" s="13"/>
      <c r="C1596" s="14"/>
      <c r="D1596" s="14"/>
      <c r="E1596" s="15"/>
      <c r="F1596" s="16" t="str">
        <f aca="false">IF(OR(C1596="",D1596="",E1596=""),"",C1596*D1596*E1596)</f>
        <v/>
      </c>
      <c r="G1596" s="17" t="str">
        <f aca="false">IF(OR(D1596="",E1596=""),"",E1596*(1+D1596/30))</f>
        <v/>
      </c>
      <c r="H1596" s="19" t="n">
        <f aca="false">IF(G1596="",0,G1596)</f>
        <v>0</v>
      </c>
      <c r="I1596" s="18" t="str">
        <f aca="false">IF(H1596&gt;0,IF(H1596&gt;=SUMPRODUCT(MAX(($B$5:$B$2004=B1596)*$H$5:$H$2004)),"Rekor",""),"")</f>
        <v/>
      </c>
      <c r="J1596" s="19" t="n">
        <f aca="false">IF(A1596="",0,IF(COUNTIF(A$5:A1596,A1596)=1,1,0))</f>
        <v>0</v>
      </c>
    </row>
    <row r="1597" customFormat="false" ht="15" hidden="false" customHeight="false" outlineLevel="0" collapsed="false">
      <c r="A1597" s="12"/>
      <c r="B1597" s="13"/>
      <c r="C1597" s="14"/>
      <c r="D1597" s="14"/>
      <c r="E1597" s="15"/>
      <c r="F1597" s="16" t="str">
        <f aca="false">IF(OR(C1597="",D1597="",E1597=""),"",C1597*D1597*E1597)</f>
        <v/>
      </c>
      <c r="G1597" s="17" t="str">
        <f aca="false">IF(OR(D1597="",E1597=""),"",E1597*(1+D1597/30))</f>
        <v/>
      </c>
      <c r="H1597" s="19" t="n">
        <f aca="false">IF(G1597="",0,G1597)</f>
        <v>0</v>
      </c>
      <c r="I1597" s="18" t="str">
        <f aca="false">IF(H1597&gt;0,IF(H1597&gt;=SUMPRODUCT(MAX(($B$5:$B$2004=B1597)*$H$5:$H$2004)),"Rekor",""),"")</f>
        <v/>
      </c>
      <c r="J1597" s="19" t="n">
        <f aca="false">IF(A1597="",0,IF(COUNTIF(A$5:A1597,A1597)=1,1,0))</f>
        <v>0</v>
      </c>
    </row>
    <row r="1598" customFormat="false" ht="15" hidden="false" customHeight="false" outlineLevel="0" collapsed="false">
      <c r="A1598" s="12"/>
      <c r="B1598" s="13"/>
      <c r="C1598" s="14"/>
      <c r="D1598" s="14"/>
      <c r="E1598" s="15"/>
      <c r="F1598" s="16" t="str">
        <f aca="false">IF(OR(C1598="",D1598="",E1598=""),"",C1598*D1598*E1598)</f>
        <v/>
      </c>
      <c r="G1598" s="17" t="str">
        <f aca="false">IF(OR(D1598="",E1598=""),"",E1598*(1+D1598/30))</f>
        <v/>
      </c>
      <c r="H1598" s="19" t="n">
        <f aca="false">IF(G1598="",0,G1598)</f>
        <v>0</v>
      </c>
      <c r="I1598" s="18" t="str">
        <f aca="false">IF(H1598&gt;0,IF(H1598&gt;=SUMPRODUCT(MAX(($B$5:$B$2004=B1598)*$H$5:$H$2004)),"Rekor",""),"")</f>
        <v/>
      </c>
      <c r="J1598" s="19" t="n">
        <f aca="false">IF(A1598="",0,IF(COUNTIF(A$5:A1598,A1598)=1,1,0))</f>
        <v>0</v>
      </c>
    </row>
    <row r="1599" customFormat="false" ht="15" hidden="false" customHeight="false" outlineLevel="0" collapsed="false">
      <c r="A1599" s="12"/>
      <c r="B1599" s="13"/>
      <c r="C1599" s="14"/>
      <c r="D1599" s="14"/>
      <c r="E1599" s="15"/>
      <c r="F1599" s="16" t="str">
        <f aca="false">IF(OR(C1599="",D1599="",E1599=""),"",C1599*D1599*E1599)</f>
        <v/>
      </c>
      <c r="G1599" s="17" t="str">
        <f aca="false">IF(OR(D1599="",E1599=""),"",E1599*(1+D1599/30))</f>
        <v/>
      </c>
      <c r="H1599" s="19" t="n">
        <f aca="false">IF(G1599="",0,G1599)</f>
        <v>0</v>
      </c>
      <c r="I1599" s="18" t="str">
        <f aca="false">IF(H1599&gt;0,IF(H1599&gt;=SUMPRODUCT(MAX(($B$5:$B$2004=B1599)*$H$5:$H$2004)),"Rekor",""),"")</f>
        <v/>
      </c>
      <c r="J1599" s="19" t="n">
        <f aca="false">IF(A1599="",0,IF(COUNTIF(A$5:A1599,A1599)=1,1,0))</f>
        <v>0</v>
      </c>
    </row>
    <row r="1600" customFormat="false" ht="15" hidden="false" customHeight="false" outlineLevel="0" collapsed="false">
      <c r="A1600" s="12"/>
      <c r="B1600" s="13"/>
      <c r="C1600" s="14"/>
      <c r="D1600" s="14"/>
      <c r="E1600" s="15"/>
      <c r="F1600" s="16" t="str">
        <f aca="false">IF(OR(C1600="",D1600="",E1600=""),"",C1600*D1600*E1600)</f>
        <v/>
      </c>
      <c r="G1600" s="17" t="str">
        <f aca="false">IF(OR(D1600="",E1600=""),"",E1600*(1+D1600/30))</f>
        <v/>
      </c>
      <c r="H1600" s="19" t="n">
        <f aca="false">IF(G1600="",0,G1600)</f>
        <v>0</v>
      </c>
      <c r="I1600" s="18" t="str">
        <f aca="false">IF(H1600&gt;0,IF(H1600&gt;=SUMPRODUCT(MAX(($B$5:$B$2004=B1600)*$H$5:$H$2004)),"Rekor",""),"")</f>
        <v/>
      </c>
      <c r="J1600" s="19" t="n">
        <f aca="false">IF(A1600="",0,IF(COUNTIF(A$5:A1600,A1600)=1,1,0))</f>
        <v>0</v>
      </c>
    </row>
    <row r="1601" customFormat="false" ht="15" hidden="false" customHeight="false" outlineLevel="0" collapsed="false">
      <c r="A1601" s="12"/>
      <c r="B1601" s="13"/>
      <c r="C1601" s="14"/>
      <c r="D1601" s="14"/>
      <c r="E1601" s="15"/>
      <c r="F1601" s="16" t="str">
        <f aca="false">IF(OR(C1601="",D1601="",E1601=""),"",C1601*D1601*E1601)</f>
        <v/>
      </c>
      <c r="G1601" s="17" t="str">
        <f aca="false">IF(OR(D1601="",E1601=""),"",E1601*(1+D1601/30))</f>
        <v/>
      </c>
      <c r="H1601" s="19" t="n">
        <f aca="false">IF(G1601="",0,G1601)</f>
        <v>0</v>
      </c>
      <c r="I1601" s="18" t="str">
        <f aca="false">IF(H1601&gt;0,IF(H1601&gt;=SUMPRODUCT(MAX(($B$5:$B$2004=B1601)*$H$5:$H$2004)),"Rekor",""),"")</f>
        <v/>
      </c>
      <c r="J1601" s="19" t="n">
        <f aca="false">IF(A1601="",0,IF(COUNTIF(A$5:A1601,A1601)=1,1,0))</f>
        <v>0</v>
      </c>
    </row>
    <row r="1602" customFormat="false" ht="15" hidden="false" customHeight="false" outlineLevel="0" collapsed="false">
      <c r="A1602" s="12"/>
      <c r="B1602" s="13"/>
      <c r="C1602" s="14"/>
      <c r="D1602" s="14"/>
      <c r="E1602" s="15"/>
      <c r="F1602" s="16" t="str">
        <f aca="false">IF(OR(C1602="",D1602="",E1602=""),"",C1602*D1602*E1602)</f>
        <v/>
      </c>
      <c r="G1602" s="17" t="str">
        <f aca="false">IF(OR(D1602="",E1602=""),"",E1602*(1+D1602/30))</f>
        <v/>
      </c>
      <c r="H1602" s="19" t="n">
        <f aca="false">IF(G1602="",0,G1602)</f>
        <v>0</v>
      </c>
      <c r="I1602" s="18" t="str">
        <f aca="false">IF(H1602&gt;0,IF(H1602&gt;=SUMPRODUCT(MAX(($B$5:$B$2004=B1602)*$H$5:$H$2004)),"Rekor",""),"")</f>
        <v/>
      </c>
      <c r="J1602" s="19" t="n">
        <f aca="false">IF(A1602="",0,IF(COUNTIF(A$5:A1602,A1602)=1,1,0))</f>
        <v>0</v>
      </c>
    </row>
    <row r="1603" customFormat="false" ht="15" hidden="false" customHeight="false" outlineLevel="0" collapsed="false">
      <c r="A1603" s="12"/>
      <c r="B1603" s="13"/>
      <c r="C1603" s="14"/>
      <c r="D1603" s="14"/>
      <c r="E1603" s="15"/>
      <c r="F1603" s="16" t="str">
        <f aca="false">IF(OR(C1603="",D1603="",E1603=""),"",C1603*D1603*E1603)</f>
        <v/>
      </c>
      <c r="G1603" s="17" t="str">
        <f aca="false">IF(OR(D1603="",E1603=""),"",E1603*(1+D1603/30))</f>
        <v/>
      </c>
      <c r="H1603" s="19" t="n">
        <f aca="false">IF(G1603="",0,G1603)</f>
        <v>0</v>
      </c>
      <c r="I1603" s="18" t="str">
        <f aca="false">IF(H1603&gt;0,IF(H1603&gt;=SUMPRODUCT(MAX(($B$5:$B$2004=B1603)*$H$5:$H$2004)),"Rekor",""),"")</f>
        <v/>
      </c>
      <c r="J1603" s="19" t="n">
        <f aca="false">IF(A1603="",0,IF(COUNTIF(A$5:A1603,A1603)=1,1,0))</f>
        <v>0</v>
      </c>
    </row>
    <row r="1604" customFormat="false" ht="15" hidden="false" customHeight="false" outlineLevel="0" collapsed="false">
      <c r="A1604" s="12"/>
      <c r="B1604" s="13"/>
      <c r="C1604" s="14"/>
      <c r="D1604" s="14"/>
      <c r="E1604" s="15"/>
      <c r="F1604" s="16" t="str">
        <f aca="false">IF(OR(C1604="",D1604="",E1604=""),"",C1604*D1604*E1604)</f>
        <v/>
      </c>
      <c r="G1604" s="17" t="str">
        <f aca="false">IF(OR(D1604="",E1604=""),"",E1604*(1+D1604/30))</f>
        <v/>
      </c>
      <c r="H1604" s="19" t="n">
        <f aca="false">IF(G1604="",0,G1604)</f>
        <v>0</v>
      </c>
      <c r="I1604" s="18" t="str">
        <f aca="false">IF(H1604&gt;0,IF(H1604&gt;=SUMPRODUCT(MAX(($B$5:$B$2004=B1604)*$H$5:$H$2004)),"Rekor",""),"")</f>
        <v/>
      </c>
      <c r="J1604" s="19" t="n">
        <f aca="false">IF(A1604="",0,IF(COUNTIF(A$5:A1604,A1604)=1,1,0))</f>
        <v>0</v>
      </c>
    </row>
    <row r="1605" customFormat="false" ht="15" hidden="false" customHeight="false" outlineLevel="0" collapsed="false">
      <c r="A1605" s="12"/>
      <c r="B1605" s="13"/>
      <c r="C1605" s="14"/>
      <c r="D1605" s="14"/>
      <c r="E1605" s="15"/>
      <c r="F1605" s="16" t="str">
        <f aca="false">IF(OR(C1605="",D1605="",E1605=""),"",C1605*D1605*E1605)</f>
        <v/>
      </c>
      <c r="G1605" s="17" t="str">
        <f aca="false">IF(OR(D1605="",E1605=""),"",E1605*(1+D1605/30))</f>
        <v/>
      </c>
      <c r="H1605" s="19" t="n">
        <f aca="false">IF(G1605="",0,G1605)</f>
        <v>0</v>
      </c>
      <c r="I1605" s="18" t="str">
        <f aca="false">IF(H1605&gt;0,IF(H1605&gt;=SUMPRODUCT(MAX(($B$5:$B$2004=B1605)*$H$5:$H$2004)),"Rekor",""),"")</f>
        <v/>
      </c>
      <c r="J1605" s="19" t="n">
        <f aca="false">IF(A1605="",0,IF(COUNTIF(A$5:A1605,A1605)=1,1,0))</f>
        <v>0</v>
      </c>
    </row>
    <row r="1606" customFormat="false" ht="15" hidden="false" customHeight="false" outlineLevel="0" collapsed="false">
      <c r="A1606" s="12"/>
      <c r="B1606" s="13"/>
      <c r="C1606" s="14"/>
      <c r="D1606" s="14"/>
      <c r="E1606" s="15"/>
      <c r="F1606" s="16" t="str">
        <f aca="false">IF(OR(C1606="",D1606="",E1606=""),"",C1606*D1606*E1606)</f>
        <v/>
      </c>
      <c r="G1606" s="17" t="str">
        <f aca="false">IF(OR(D1606="",E1606=""),"",E1606*(1+D1606/30))</f>
        <v/>
      </c>
      <c r="H1606" s="19" t="n">
        <f aca="false">IF(G1606="",0,G1606)</f>
        <v>0</v>
      </c>
      <c r="I1606" s="18" t="str">
        <f aca="false">IF(H1606&gt;0,IF(H1606&gt;=SUMPRODUCT(MAX(($B$5:$B$2004=B1606)*$H$5:$H$2004)),"Rekor",""),"")</f>
        <v/>
      </c>
      <c r="J1606" s="19" t="n">
        <f aca="false">IF(A1606="",0,IF(COUNTIF(A$5:A1606,A1606)=1,1,0))</f>
        <v>0</v>
      </c>
    </row>
    <row r="1607" customFormat="false" ht="15" hidden="false" customHeight="false" outlineLevel="0" collapsed="false">
      <c r="A1607" s="12"/>
      <c r="B1607" s="13"/>
      <c r="C1607" s="14"/>
      <c r="D1607" s="14"/>
      <c r="E1607" s="15"/>
      <c r="F1607" s="16" t="str">
        <f aca="false">IF(OR(C1607="",D1607="",E1607=""),"",C1607*D1607*E1607)</f>
        <v/>
      </c>
      <c r="G1607" s="17" t="str">
        <f aca="false">IF(OR(D1607="",E1607=""),"",E1607*(1+D1607/30))</f>
        <v/>
      </c>
      <c r="H1607" s="19" t="n">
        <f aca="false">IF(G1607="",0,G1607)</f>
        <v>0</v>
      </c>
      <c r="I1607" s="18" t="str">
        <f aca="false">IF(H1607&gt;0,IF(H1607&gt;=SUMPRODUCT(MAX(($B$5:$B$2004=B1607)*$H$5:$H$2004)),"Rekor",""),"")</f>
        <v/>
      </c>
      <c r="J1607" s="19" t="n">
        <f aca="false">IF(A1607="",0,IF(COUNTIF(A$5:A1607,A1607)=1,1,0))</f>
        <v>0</v>
      </c>
    </row>
    <row r="1608" customFormat="false" ht="15" hidden="false" customHeight="false" outlineLevel="0" collapsed="false">
      <c r="A1608" s="12"/>
      <c r="B1608" s="13"/>
      <c r="C1608" s="14"/>
      <c r="D1608" s="14"/>
      <c r="E1608" s="15"/>
      <c r="F1608" s="16" t="str">
        <f aca="false">IF(OR(C1608="",D1608="",E1608=""),"",C1608*D1608*E1608)</f>
        <v/>
      </c>
      <c r="G1608" s="17" t="str">
        <f aca="false">IF(OR(D1608="",E1608=""),"",E1608*(1+D1608/30))</f>
        <v/>
      </c>
      <c r="H1608" s="19" t="n">
        <f aca="false">IF(G1608="",0,G1608)</f>
        <v>0</v>
      </c>
      <c r="I1608" s="18" t="str">
        <f aca="false">IF(H1608&gt;0,IF(H1608&gt;=SUMPRODUCT(MAX(($B$5:$B$2004=B1608)*$H$5:$H$2004)),"Rekor",""),"")</f>
        <v/>
      </c>
      <c r="J1608" s="19" t="n">
        <f aca="false">IF(A1608="",0,IF(COUNTIF(A$5:A1608,A1608)=1,1,0))</f>
        <v>0</v>
      </c>
    </row>
    <row r="1609" customFormat="false" ht="15" hidden="false" customHeight="false" outlineLevel="0" collapsed="false">
      <c r="A1609" s="12"/>
      <c r="B1609" s="13"/>
      <c r="C1609" s="14"/>
      <c r="D1609" s="14"/>
      <c r="E1609" s="15"/>
      <c r="F1609" s="16" t="str">
        <f aca="false">IF(OR(C1609="",D1609="",E1609=""),"",C1609*D1609*E1609)</f>
        <v/>
      </c>
      <c r="G1609" s="17" t="str">
        <f aca="false">IF(OR(D1609="",E1609=""),"",E1609*(1+D1609/30))</f>
        <v/>
      </c>
      <c r="H1609" s="19" t="n">
        <f aca="false">IF(G1609="",0,G1609)</f>
        <v>0</v>
      </c>
      <c r="I1609" s="18" t="str">
        <f aca="false">IF(H1609&gt;0,IF(H1609&gt;=SUMPRODUCT(MAX(($B$5:$B$2004=B1609)*$H$5:$H$2004)),"Rekor",""),"")</f>
        <v/>
      </c>
      <c r="J1609" s="19" t="n">
        <f aca="false">IF(A1609="",0,IF(COUNTIF(A$5:A1609,A1609)=1,1,0))</f>
        <v>0</v>
      </c>
    </row>
    <row r="1610" customFormat="false" ht="15" hidden="false" customHeight="false" outlineLevel="0" collapsed="false">
      <c r="A1610" s="12"/>
      <c r="B1610" s="13"/>
      <c r="C1610" s="14"/>
      <c r="D1610" s="14"/>
      <c r="E1610" s="15"/>
      <c r="F1610" s="16" t="str">
        <f aca="false">IF(OR(C1610="",D1610="",E1610=""),"",C1610*D1610*E1610)</f>
        <v/>
      </c>
      <c r="G1610" s="17" t="str">
        <f aca="false">IF(OR(D1610="",E1610=""),"",E1610*(1+D1610/30))</f>
        <v/>
      </c>
      <c r="H1610" s="19" t="n">
        <f aca="false">IF(G1610="",0,G1610)</f>
        <v>0</v>
      </c>
      <c r="I1610" s="18" t="str">
        <f aca="false">IF(H1610&gt;0,IF(H1610&gt;=SUMPRODUCT(MAX(($B$5:$B$2004=B1610)*$H$5:$H$2004)),"Rekor",""),"")</f>
        <v/>
      </c>
      <c r="J1610" s="19" t="n">
        <f aca="false">IF(A1610="",0,IF(COUNTIF(A$5:A1610,A1610)=1,1,0))</f>
        <v>0</v>
      </c>
    </row>
    <row r="1611" customFormat="false" ht="15" hidden="false" customHeight="false" outlineLevel="0" collapsed="false">
      <c r="A1611" s="12"/>
      <c r="B1611" s="13"/>
      <c r="C1611" s="14"/>
      <c r="D1611" s="14"/>
      <c r="E1611" s="15"/>
      <c r="F1611" s="16" t="str">
        <f aca="false">IF(OR(C1611="",D1611="",E1611=""),"",C1611*D1611*E1611)</f>
        <v/>
      </c>
      <c r="G1611" s="17" t="str">
        <f aca="false">IF(OR(D1611="",E1611=""),"",E1611*(1+D1611/30))</f>
        <v/>
      </c>
      <c r="H1611" s="19" t="n">
        <f aca="false">IF(G1611="",0,G1611)</f>
        <v>0</v>
      </c>
      <c r="I1611" s="18" t="str">
        <f aca="false">IF(H1611&gt;0,IF(H1611&gt;=SUMPRODUCT(MAX(($B$5:$B$2004=B1611)*$H$5:$H$2004)),"Rekor",""),"")</f>
        <v/>
      </c>
      <c r="J1611" s="19" t="n">
        <f aca="false">IF(A1611="",0,IF(COUNTIF(A$5:A1611,A1611)=1,1,0))</f>
        <v>0</v>
      </c>
    </row>
    <row r="1612" customFormat="false" ht="15" hidden="false" customHeight="false" outlineLevel="0" collapsed="false">
      <c r="A1612" s="12"/>
      <c r="B1612" s="13"/>
      <c r="C1612" s="14"/>
      <c r="D1612" s="14"/>
      <c r="E1612" s="15"/>
      <c r="F1612" s="16" t="str">
        <f aca="false">IF(OR(C1612="",D1612="",E1612=""),"",C1612*D1612*E1612)</f>
        <v/>
      </c>
      <c r="G1612" s="17" t="str">
        <f aca="false">IF(OR(D1612="",E1612=""),"",E1612*(1+D1612/30))</f>
        <v/>
      </c>
      <c r="H1612" s="19" t="n">
        <f aca="false">IF(G1612="",0,G1612)</f>
        <v>0</v>
      </c>
      <c r="I1612" s="18" t="str">
        <f aca="false">IF(H1612&gt;0,IF(H1612&gt;=SUMPRODUCT(MAX(($B$5:$B$2004=B1612)*$H$5:$H$2004)),"Rekor",""),"")</f>
        <v/>
      </c>
      <c r="J1612" s="19" t="n">
        <f aca="false">IF(A1612="",0,IF(COUNTIF(A$5:A1612,A1612)=1,1,0))</f>
        <v>0</v>
      </c>
    </row>
    <row r="1613" customFormat="false" ht="15" hidden="false" customHeight="false" outlineLevel="0" collapsed="false">
      <c r="A1613" s="12"/>
      <c r="B1613" s="13"/>
      <c r="C1613" s="14"/>
      <c r="D1613" s="14"/>
      <c r="E1613" s="15"/>
      <c r="F1613" s="16" t="str">
        <f aca="false">IF(OR(C1613="",D1613="",E1613=""),"",C1613*D1613*E1613)</f>
        <v/>
      </c>
      <c r="G1613" s="17" t="str">
        <f aca="false">IF(OR(D1613="",E1613=""),"",E1613*(1+D1613/30))</f>
        <v/>
      </c>
      <c r="H1613" s="19" t="n">
        <f aca="false">IF(G1613="",0,G1613)</f>
        <v>0</v>
      </c>
      <c r="I1613" s="18" t="str">
        <f aca="false">IF(H1613&gt;0,IF(H1613&gt;=SUMPRODUCT(MAX(($B$5:$B$2004=B1613)*$H$5:$H$2004)),"Rekor",""),"")</f>
        <v/>
      </c>
      <c r="J1613" s="19" t="n">
        <f aca="false">IF(A1613="",0,IF(COUNTIF(A$5:A1613,A1613)=1,1,0))</f>
        <v>0</v>
      </c>
    </row>
    <row r="1614" customFormat="false" ht="15" hidden="false" customHeight="false" outlineLevel="0" collapsed="false">
      <c r="A1614" s="12"/>
      <c r="B1614" s="13"/>
      <c r="C1614" s="14"/>
      <c r="D1614" s="14"/>
      <c r="E1614" s="15"/>
      <c r="F1614" s="16" t="str">
        <f aca="false">IF(OR(C1614="",D1614="",E1614=""),"",C1614*D1614*E1614)</f>
        <v/>
      </c>
      <c r="G1614" s="17" t="str">
        <f aca="false">IF(OR(D1614="",E1614=""),"",E1614*(1+D1614/30))</f>
        <v/>
      </c>
      <c r="H1614" s="19" t="n">
        <f aca="false">IF(G1614="",0,G1614)</f>
        <v>0</v>
      </c>
      <c r="I1614" s="18" t="str">
        <f aca="false">IF(H1614&gt;0,IF(H1614&gt;=SUMPRODUCT(MAX(($B$5:$B$2004=B1614)*$H$5:$H$2004)),"Rekor",""),"")</f>
        <v/>
      </c>
      <c r="J1614" s="19" t="n">
        <f aca="false">IF(A1614="",0,IF(COUNTIF(A$5:A1614,A1614)=1,1,0))</f>
        <v>0</v>
      </c>
    </row>
    <row r="1615" customFormat="false" ht="15" hidden="false" customHeight="false" outlineLevel="0" collapsed="false">
      <c r="A1615" s="12"/>
      <c r="B1615" s="13"/>
      <c r="C1615" s="14"/>
      <c r="D1615" s="14"/>
      <c r="E1615" s="15"/>
      <c r="F1615" s="16" t="str">
        <f aca="false">IF(OR(C1615="",D1615="",E1615=""),"",C1615*D1615*E1615)</f>
        <v/>
      </c>
      <c r="G1615" s="17" t="str">
        <f aca="false">IF(OR(D1615="",E1615=""),"",E1615*(1+D1615/30))</f>
        <v/>
      </c>
      <c r="H1615" s="19" t="n">
        <f aca="false">IF(G1615="",0,G1615)</f>
        <v>0</v>
      </c>
      <c r="I1615" s="18" t="str">
        <f aca="false">IF(H1615&gt;0,IF(H1615&gt;=SUMPRODUCT(MAX(($B$5:$B$2004=B1615)*$H$5:$H$2004)),"Rekor",""),"")</f>
        <v/>
      </c>
      <c r="J1615" s="19" t="n">
        <f aca="false">IF(A1615="",0,IF(COUNTIF(A$5:A1615,A1615)=1,1,0))</f>
        <v>0</v>
      </c>
    </row>
    <row r="1616" customFormat="false" ht="15" hidden="false" customHeight="false" outlineLevel="0" collapsed="false">
      <c r="A1616" s="12"/>
      <c r="B1616" s="13"/>
      <c r="C1616" s="14"/>
      <c r="D1616" s="14"/>
      <c r="E1616" s="15"/>
      <c r="F1616" s="16" t="str">
        <f aca="false">IF(OR(C1616="",D1616="",E1616=""),"",C1616*D1616*E1616)</f>
        <v/>
      </c>
      <c r="G1616" s="17" t="str">
        <f aca="false">IF(OR(D1616="",E1616=""),"",E1616*(1+D1616/30))</f>
        <v/>
      </c>
      <c r="H1616" s="19" t="n">
        <f aca="false">IF(G1616="",0,G1616)</f>
        <v>0</v>
      </c>
      <c r="I1616" s="18" t="str">
        <f aca="false">IF(H1616&gt;0,IF(H1616&gt;=SUMPRODUCT(MAX(($B$5:$B$2004=B1616)*$H$5:$H$2004)),"Rekor",""),"")</f>
        <v/>
      </c>
      <c r="J1616" s="19" t="n">
        <f aca="false">IF(A1616="",0,IF(COUNTIF(A$5:A1616,A1616)=1,1,0))</f>
        <v>0</v>
      </c>
    </row>
    <row r="1617" customFormat="false" ht="15" hidden="false" customHeight="false" outlineLevel="0" collapsed="false">
      <c r="A1617" s="12"/>
      <c r="B1617" s="13"/>
      <c r="C1617" s="14"/>
      <c r="D1617" s="14"/>
      <c r="E1617" s="15"/>
      <c r="F1617" s="16" t="str">
        <f aca="false">IF(OR(C1617="",D1617="",E1617=""),"",C1617*D1617*E1617)</f>
        <v/>
      </c>
      <c r="G1617" s="17" t="str">
        <f aca="false">IF(OR(D1617="",E1617=""),"",E1617*(1+D1617/30))</f>
        <v/>
      </c>
      <c r="H1617" s="19" t="n">
        <f aca="false">IF(G1617="",0,G1617)</f>
        <v>0</v>
      </c>
      <c r="I1617" s="18" t="str">
        <f aca="false">IF(H1617&gt;0,IF(H1617&gt;=SUMPRODUCT(MAX(($B$5:$B$2004=B1617)*$H$5:$H$2004)),"Rekor",""),"")</f>
        <v/>
      </c>
      <c r="J1617" s="19" t="n">
        <f aca="false">IF(A1617="",0,IF(COUNTIF(A$5:A1617,A1617)=1,1,0))</f>
        <v>0</v>
      </c>
    </row>
    <row r="1618" customFormat="false" ht="15" hidden="false" customHeight="false" outlineLevel="0" collapsed="false">
      <c r="A1618" s="12"/>
      <c r="B1618" s="13"/>
      <c r="C1618" s="14"/>
      <c r="D1618" s="14"/>
      <c r="E1618" s="15"/>
      <c r="F1618" s="16" t="str">
        <f aca="false">IF(OR(C1618="",D1618="",E1618=""),"",C1618*D1618*E1618)</f>
        <v/>
      </c>
      <c r="G1618" s="17" t="str">
        <f aca="false">IF(OR(D1618="",E1618=""),"",E1618*(1+D1618/30))</f>
        <v/>
      </c>
      <c r="H1618" s="19" t="n">
        <f aca="false">IF(G1618="",0,G1618)</f>
        <v>0</v>
      </c>
      <c r="I1618" s="18" t="str">
        <f aca="false">IF(H1618&gt;0,IF(H1618&gt;=SUMPRODUCT(MAX(($B$5:$B$2004=B1618)*$H$5:$H$2004)),"Rekor",""),"")</f>
        <v/>
      </c>
      <c r="J1618" s="19" t="n">
        <f aca="false">IF(A1618="",0,IF(COUNTIF(A$5:A1618,A1618)=1,1,0))</f>
        <v>0</v>
      </c>
    </row>
    <row r="1619" customFormat="false" ht="15" hidden="false" customHeight="false" outlineLevel="0" collapsed="false">
      <c r="A1619" s="12"/>
      <c r="B1619" s="13"/>
      <c r="C1619" s="14"/>
      <c r="D1619" s="14"/>
      <c r="E1619" s="15"/>
      <c r="F1619" s="16" t="str">
        <f aca="false">IF(OR(C1619="",D1619="",E1619=""),"",C1619*D1619*E1619)</f>
        <v/>
      </c>
      <c r="G1619" s="17" t="str">
        <f aca="false">IF(OR(D1619="",E1619=""),"",E1619*(1+D1619/30))</f>
        <v/>
      </c>
      <c r="H1619" s="19" t="n">
        <f aca="false">IF(G1619="",0,G1619)</f>
        <v>0</v>
      </c>
      <c r="I1619" s="18" t="str">
        <f aca="false">IF(H1619&gt;0,IF(H1619&gt;=SUMPRODUCT(MAX(($B$5:$B$2004=B1619)*$H$5:$H$2004)),"Rekor",""),"")</f>
        <v/>
      </c>
      <c r="J1619" s="19" t="n">
        <f aca="false">IF(A1619="",0,IF(COUNTIF(A$5:A1619,A1619)=1,1,0))</f>
        <v>0</v>
      </c>
    </row>
    <row r="1620" customFormat="false" ht="15" hidden="false" customHeight="false" outlineLevel="0" collapsed="false">
      <c r="A1620" s="12"/>
      <c r="B1620" s="13"/>
      <c r="C1620" s="14"/>
      <c r="D1620" s="14"/>
      <c r="E1620" s="15"/>
      <c r="F1620" s="16" t="str">
        <f aca="false">IF(OR(C1620="",D1620="",E1620=""),"",C1620*D1620*E1620)</f>
        <v/>
      </c>
      <c r="G1620" s="17" t="str">
        <f aca="false">IF(OR(D1620="",E1620=""),"",E1620*(1+D1620/30))</f>
        <v/>
      </c>
      <c r="H1620" s="19" t="n">
        <f aca="false">IF(G1620="",0,G1620)</f>
        <v>0</v>
      </c>
      <c r="I1620" s="18" t="str">
        <f aca="false">IF(H1620&gt;0,IF(H1620&gt;=SUMPRODUCT(MAX(($B$5:$B$2004=B1620)*$H$5:$H$2004)),"Rekor",""),"")</f>
        <v/>
      </c>
      <c r="J1620" s="19" t="n">
        <f aca="false">IF(A1620="",0,IF(COUNTIF(A$5:A1620,A1620)=1,1,0))</f>
        <v>0</v>
      </c>
    </row>
    <row r="1621" customFormat="false" ht="15" hidden="false" customHeight="false" outlineLevel="0" collapsed="false">
      <c r="A1621" s="12"/>
      <c r="B1621" s="13"/>
      <c r="C1621" s="14"/>
      <c r="D1621" s="14"/>
      <c r="E1621" s="15"/>
      <c r="F1621" s="16" t="str">
        <f aca="false">IF(OR(C1621="",D1621="",E1621=""),"",C1621*D1621*E1621)</f>
        <v/>
      </c>
      <c r="G1621" s="17" t="str">
        <f aca="false">IF(OR(D1621="",E1621=""),"",E1621*(1+D1621/30))</f>
        <v/>
      </c>
      <c r="H1621" s="19" t="n">
        <f aca="false">IF(G1621="",0,G1621)</f>
        <v>0</v>
      </c>
      <c r="I1621" s="18" t="str">
        <f aca="false">IF(H1621&gt;0,IF(H1621&gt;=SUMPRODUCT(MAX(($B$5:$B$2004=B1621)*$H$5:$H$2004)),"Rekor",""),"")</f>
        <v/>
      </c>
      <c r="J1621" s="19" t="n">
        <f aca="false">IF(A1621="",0,IF(COUNTIF(A$5:A1621,A1621)=1,1,0))</f>
        <v>0</v>
      </c>
    </row>
    <row r="1622" customFormat="false" ht="15" hidden="false" customHeight="false" outlineLevel="0" collapsed="false">
      <c r="A1622" s="12"/>
      <c r="B1622" s="13"/>
      <c r="C1622" s="14"/>
      <c r="D1622" s="14"/>
      <c r="E1622" s="15"/>
      <c r="F1622" s="16" t="str">
        <f aca="false">IF(OR(C1622="",D1622="",E1622=""),"",C1622*D1622*E1622)</f>
        <v/>
      </c>
      <c r="G1622" s="17" t="str">
        <f aca="false">IF(OR(D1622="",E1622=""),"",E1622*(1+D1622/30))</f>
        <v/>
      </c>
      <c r="H1622" s="19" t="n">
        <f aca="false">IF(G1622="",0,G1622)</f>
        <v>0</v>
      </c>
      <c r="I1622" s="18" t="str">
        <f aca="false">IF(H1622&gt;0,IF(H1622&gt;=SUMPRODUCT(MAX(($B$5:$B$2004=B1622)*$H$5:$H$2004)),"Rekor",""),"")</f>
        <v/>
      </c>
      <c r="J1622" s="19" t="n">
        <f aca="false">IF(A1622="",0,IF(COUNTIF(A$5:A1622,A1622)=1,1,0))</f>
        <v>0</v>
      </c>
    </row>
    <row r="1623" customFormat="false" ht="15" hidden="false" customHeight="false" outlineLevel="0" collapsed="false">
      <c r="A1623" s="12"/>
      <c r="B1623" s="13"/>
      <c r="C1623" s="14"/>
      <c r="D1623" s="14"/>
      <c r="E1623" s="15"/>
      <c r="F1623" s="16" t="str">
        <f aca="false">IF(OR(C1623="",D1623="",E1623=""),"",C1623*D1623*E1623)</f>
        <v/>
      </c>
      <c r="G1623" s="17" t="str">
        <f aca="false">IF(OR(D1623="",E1623=""),"",E1623*(1+D1623/30))</f>
        <v/>
      </c>
      <c r="H1623" s="19" t="n">
        <f aca="false">IF(G1623="",0,G1623)</f>
        <v>0</v>
      </c>
      <c r="I1623" s="18" t="str">
        <f aca="false">IF(H1623&gt;0,IF(H1623&gt;=SUMPRODUCT(MAX(($B$5:$B$2004=B1623)*$H$5:$H$2004)),"Rekor",""),"")</f>
        <v/>
      </c>
      <c r="J1623" s="19" t="n">
        <f aca="false">IF(A1623="",0,IF(COUNTIF(A$5:A1623,A1623)=1,1,0))</f>
        <v>0</v>
      </c>
    </row>
    <row r="1624" customFormat="false" ht="15" hidden="false" customHeight="false" outlineLevel="0" collapsed="false">
      <c r="A1624" s="12"/>
      <c r="B1624" s="13"/>
      <c r="C1624" s="14"/>
      <c r="D1624" s="14"/>
      <c r="E1624" s="15"/>
      <c r="F1624" s="16" t="str">
        <f aca="false">IF(OR(C1624="",D1624="",E1624=""),"",C1624*D1624*E1624)</f>
        <v/>
      </c>
      <c r="G1624" s="17" t="str">
        <f aca="false">IF(OR(D1624="",E1624=""),"",E1624*(1+D1624/30))</f>
        <v/>
      </c>
      <c r="H1624" s="19" t="n">
        <f aca="false">IF(G1624="",0,G1624)</f>
        <v>0</v>
      </c>
      <c r="I1624" s="18" t="str">
        <f aca="false">IF(H1624&gt;0,IF(H1624&gt;=SUMPRODUCT(MAX(($B$5:$B$2004=B1624)*$H$5:$H$2004)),"Rekor",""),"")</f>
        <v/>
      </c>
      <c r="J1624" s="19" t="n">
        <f aca="false">IF(A1624="",0,IF(COUNTIF(A$5:A1624,A1624)=1,1,0))</f>
        <v>0</v>
      </c>
    </row>
    <row r="1625" customFormat="false" ht="15" hidden="false" customHeight="false" outlineLevel="0" collapsed="false">
      <c r="A1625" s="12"/>
      <c r="B1625" s="13"/>
      <c r="C1625" s="14"/>
      <c r="D1625" s="14"/>
      <c r="E1625" s="15"/>
      <c r="F1625" s="16" t="str">
        <f aca="false">IF(OR(C1625="",D1625="",E1625=""),"",C1625*D1625*E1625)</f>
        <v/>
      </c>
      <c r="G1625" s="17" t="str">
        <f aca="false">IF(OR(D1625="",E1625=""),"",E1625*(1+D1625/30))</f>
        <v/>
      </c>
      <c r="H1625" s="19" t="n">
        <f aca="false">IF(G1625="",0,G1625)</f>
        <v>0</v>
      </c>
      <c r="I1625" s="18" t="str">
        <f aca="false">IF(H1625&gt;0,IF(H1625&gt;=SUMPRODUCT(MAX(($B$5:$B$2004=B1625)*$H$5:$H$2004)),"Rekor",""),"")</f>
        <v/>
      </c>
      <c r="J1625" s="19" t="n">
        <f aca="false">IF(A1625="",0,IF(COUNTIF(A$5:A1625,A1625)=1,1,0))</f>
        <v>0</v>
      </c>
    </row>
    <row r="1626" customFormat="false" ht="15" hidden="false" customHeight="false" outlineLevel="0" collapsed="false">
      <c r="A1626" s="12"/>
      <c r="B1626" s="13"/>
      <c r="C1626" s="14"/>
      <c r="D1626" s="14"/>
      <c r="E1626" s="15"/>
      <c r="F1626" s="16" t="str">
        <f aca="false">IF(OR(C1626="",D1626="",E1626=""),"",C1626*D1626*E1626)</f>
        <v/>
      </c>
      <c r="G1626" s="17" t="str">
        <f aca="false">IF(OR(D1626="",E1626=""),"",E1626*(1+D1626/30))</f>
        <v/>
      </c>
      <c r="H1626" s="19" t="n">
        <f aca="false">IF(G1626="",0,G1626)</f>
        <v>0</v>
      </c>
      <c r="I1626" s="18" t="str">
        <f aca="false">IF(H1626&gt;0,IF(H1626&gt;=SUMPRODUCT(MAX(($B$5:$B$2004=B1626)*$H$5:$H$2004)),"Rekor",""),"")</f>
        <v/>
      </c>
      <c r="J1626" s="19" t="n">
        <f aca="false">IF(A1626="",0,IF(COUNTIF(A$5:A1626,A1626)=1,1,0))</f>
        <v>0</v>
      </c>
    </row>
    <row r="1627" customFormat="false" ht="15" hidden="false" customHeight="false" outlineLevel="0" collapsed="false">
      <c r="A1627" s="12"/>
      <c r="B1627" s="13"/>
      <c r="C1627" s="14"/>
      <c r="D1627" s="14"/>
      <c r="E1627" s="15"/>
      <c r="F1627" s="16" t="str">
        <f aca="false">IF(OR(C1627="",D1627="",E1627=""),"",C1627*D1627*E1627)</f>
        <v/>
      </c>
      <c r="G1627" s="17" t="str">
        <f aca="false">IF(OR(D1627="",E1627=""),"",E1627*(1+D1627/30))</f>
        <v/>
      </c>
      <c r="H1627" s="19" t="n">
        <f aca="false">IF(G1627="",0,G1627)</f>
        <v>0</v>
      </c>
      <c r="I1627" s="18" t="str">
        <f aca="false">IF(H1627&gt;0,IF(H1627&gt;=SUMPRODUCT(MAX(($B$5:$B$2004=B1627)*$H$5:$H$2004)),"Rekor",""),"")</f>
        <v/>
      </c>
      <c r="J1627" s="19" t="n">
        <f aca="false">IF(A1627="",0,IF(COUNTIF(A$5:A1627,A1627)=1,1,0))</f>
        <v>0</v>
      </c>
    </row>
    <row r="1628" customFormat="false" ht="15" hidden="false" customHeight="false" outlineLevel="0" collapsed="false">
      <c r="A1628" s="12"/>
      <c r="B1628" s="13"/>
      <c r="C1628" s="14"/>
      <c r="D1628" s="14"/>
      <c r="E1628" s="15"/>
      <c r="F1628" s="16" t="str">
        <f aca="false">IF(OR(C1628="",D1628="",E1628=""),"",C1628*D1628*E1628)</f>
        <v/>
      </c>
      <c r="G1628" s="17" t="str">
        <f aca="false">IF(OR(D1628="",E1628=""),"",E1628*(1+D1628/30))</f>
        <v/>
      </c>
      <c r="H1628" s="19" t="n">
        <f aca="false">IF(G1628="",0,G1628)</f>
        <v>0</v>
      </c>
      <c r="I1628" s="18" t="str">
        <f aca="false">IF(H1628&gt;0,IF(H1628&gt;=SUMPRODUCT(MAX(($B$5:$B$2004=B1628)*$H$5:$H$2004)),"Rekor",""),"")</f>
        <v/>
      </c>
      <c r="J1628" s="19" t="n">
        <f aca="false">IF(A1628="",0,IF(COUNTIF(A$5:A1628,A1628)=1,1,0))</f>
        <v>0</v>
      </c>
    </row>
    <row r="1629" customFormat="false" ht="15" hidden="false" customHeight="false" outlineLevel="0" collapsed="false">
      <c r="A1629" s="12"/>
      <c r="B1629" s="13"/>
      <c r="C1629" s="14"/>
      <c r="D1629" s="14"/>
      <c r="E1629" s="15"/>
      <c r="F1629" s="16" t="str">
        <f aca="false">IF(OR(C1629="",D1629="",E1629=""),"",C1629*D1629*E1629)</f>
        <v/>
      </c>
      <c r="G1629" s="17" t="str">
        <f aca="false">IF(OR(D1629="",E1629=""),"",E1629*(1+D1629/30))</f>
        <v/>
      </c>
      <c r="H1629" s="19" t="n">
        <f aca="false">IF(G1629="",0,G1629)</f>
        <v>0</v>
      </c>
      <c r="I1629" s="18" t="str">
        <f aca="false">IF(H1629&gt;0,IF(H1629&gt;=SUMPRODUCT(MAX(($B$5:$B$2004=B1629)*$H$5:$H$2004)),"Rekor",""),"")</f>
        <v/>
      </c>
      <c r="J1629" s="19" t="n">
        <f aca="false">IF(A1629="",0,IF(COUNTIF(A$5:A1629,A1629)=1,1,0))</f>
        <v>0</v>
      </c>
    </row>
    <row r="1630" customFormat="false" ht="15" hidden="false" customHeight="false" outlineLevel="0" collapsed="false">
      <c r="A1630" s="12"/>
      <c r="B1630" s="13"/>
      <c r="C1630" s="14"/>
      <c r="D1630" s="14"/>
      <c r="E1630" s="15"/>
      <c r="F1630" s="16" t="str">
        <f aca="false">IF(OR(C1630="",D1630="",E1630=""),"",C1630*D1630*E1630)</f>
        <v/>
      </c>
      <c r="G1630" s="17" t="str">
        <f aca="false">IF(OR(D1630="",E1630=""),"",E1630*(1+D1630/30))</f>
        <v/>
      </c>
      <c r="H1630" s="19" t="n">
        <f aca="false">IF(G1630="",0,G1630)</f>
        <v>0</v>
      </c>
      <c r="I1630" s="18" t="str">
        <f aca="false">IF(H1630&gt;0,IF(H1630&gt;=SUMPRODUCT(MAX(($B$5:$B$2004=B1630)*$H$5:$H$2004)),"Rekor",""),"")</f>
        <v/>
      </c>
      <c r="J1630" s="19" t="n">
        <f aca="false">IF(A1630="",0,IF(COUNTIF(A$5:A1630,A1630)=1,1,0))</f>
        <v>0</v>
      </c>
    </row>
    <row r="1631" customFormat="false" ht="15" hidden="false" customHeight="false" outlineLevel="0" collapsed="false">
      <c r="A1631" s="12"/>
      <c r="B1631" s="13"/>
      <c r="C1631" s="14"/>
      <c r="D1631" s="14"/>
      <c r="E1631" s="15"/>
      <c r="F1631" s="16" t="str">
        <f aca="false">IF(OR(C1631="",D1631="",E1631=""),"",C1631*D1631*E1631)</f>
        <v/>
      </c>
      <c r="G1631" s="17" t="str">
        <f aca="false">IF(OR(D1631="",E1631=""),"",E1631*(1+D1631/30))</f>
        <v/>
      </c>
      <c r="H1631" s="19" t="n">
        <f aca="false">IF(G1631="",0,G1631)</f>
        <v>0</v>
      </c>
      <c r="I1631" s="18" t="str">
        <f aca="false">IF(H1631&gt;0,IF(H1631&gt;=SUMPRODUCT(MAX(($B$5:$B$2004=B1631)*$H$5:$H$2004)),"Rekor",""),"")</f>
        <v/>
      </c>
      <c r="J1631" s="19" t="n">
        <f aca="false">IF(A1631="",0,IF(COUNTIF(A$5:A1631,A1631)=1,1,0))</f>
        <v>0</v>
      </c>
    </row>
    <row r="1632" customFormat="false" ht="15" hidden="false" customHeight="false" outlineLevel="0" collapsed="false">
      <c r="A1632" s="12"/>
      <c r="B1632" s="13"/>
      <c r="C1632" s="14"/>
      <c r="D1632" s="14"/>
      <c r="E1632" s="15"/>
      <c r="F1632" s="16" t="str">
        <f aca="false">IF(OR(C1632="",D1632="",E1632=""),"",C1632*D1632*E1632)</f>
        <v/>
      </c>
      <c r="G1632" s="17" t="str">
        <f aca="false">IF(OR(D1632="",E1632=""),"",E1632*(1+D1632/30))</f>
        <v/>
      </c>
      <c r="H1632" s="19" t="n">
        <f aca="false">IF(G1632="",0,G1632)</f>
        <v>0</v>
      </c>
      <c r="I1632" s="18" t="str">
        <f aca="false">IF(H1632&gt;0,IF(H1632&gt;=SUMPRODUCT(MAX(($B$5:$B$2004=B1632)*$H$5:$H$2004)),"Rekor",""),"")</f>
        <v/>
      </c>
      <c r="J1632" s="19" t="n">
        <f aca="false">IF(A1632="",0,IF(COUNTIF(A$5:A1632,A1632)=1,1,0))</f>
        <v>0</v>
      </c>
    </row>
    <row r="1633" customFormat="false" ht="15" hidden="false" customHeight="false" outlineLevel="0" collapsed="false">
      <c r="A1633" s="12"/>
      <c r="B1633" s="13"/>
      <c r="C1633" s="14"/>
      <c r="D1633" s="14"/>
      <c r="E1633" s="15"/>
      <c r="F1633" s="16" t="str">
        <f aca="false">IF(OR(C1633="",D1633="",E1633=""),"",C1633*D1633*E1633)</f>
        <v/>
      </c>
      <c r="G1633" s="17" t="str">
        <f aca="false">IF(OR(D1633="",E1633=""),"",E1633*(1+D1633/30))</f>
        <v/>
      </c>
      <c r="H1633" s="19" t="n">
        <f aca="false">IF(G1633="",0,G1633)</f>
        <v>0</v>
      </c>
      <c r="I1633" s="18" t="str">
        <f aca="false">IF(H1633&gt;0,IF(H1633&gt;=SUMPRODUCT(MAX(($B$5:$B$2004=B1633)*$H$5:$H$2004)),"Rekor",""),"")</f>
        <v/>
      </c>
      <c r="J1633" s="19" t="n">
        <f aca="false">IF(A1633="",0,IF(COUNTIF(A$5:A1633,A1633)=1,1,0))</f>
        <v>0</v>
      </c>
    </row>
    <row r="1634" customFormat="false" ht="15" hidden="false" customHeight="false" outlineLevel="0" collapsed="false">
      <c r="A1634" s="12"/>
      <c r="B1634" s="13"/>
      <c r="C1634" s="14"/>
      <c r="D1634" s="14"/>
      <c r="E1634" s="15"/>
      <c r="F1634" s="16" t="str">
        <f aca="false">IF(OR(C1634="",D1634="",E1634=""),"",C1634*D1634*E1634)</f>
        <v/>
      </c>
      <c r="G1634" s="17" t="str">
        <f aca="false">IF(OR(D1634="",E1634=""),"",E1634*(1+D1634/30))</f>
        <v/>
      </c>
      <c r="H1634" s="19" t="n">
        <f aca="false">IF(G1634="",0,G1634)</f>
        <v>0</v>
      </c>
      <c r="I1634" s="18" t="str">
        <f aca="false">IF(H1634&gt;0,IF(H1634&gt;=SUMPRODUCT(MAX(($B$5:$B$2004=B1634)*$H$5:$H$2004)),"Rekor",""),"")</f>
        <v/>
      </c>
      <c r="J1634" s="19" t="n">
        <f aca="false">IF(A1634="",0,IF(COUNTIF(A$5:A1634,A1634)=1,1,0))</f>
        <v>0</v>
      </c>
    </row>
    <row r="1635" customFormat="false" ht="15" hidden="false" customHeight="false" outlineLevel="0" collapsed="false">
      <c r="A1635" s="12"/>
      <c r="B1635" s="13"/>
      <c r="C1635" s="14"/>
      <c r="D1635" s="14"/>
      <c r="E1635" s="15"/>
      <c r="F1635" s="16" t="str">
        <f aca="false">IF(OR(C1635="",D1635="",E1635=""),"",C1635*D1635*E1635)</f>
        <v/>
      </c>
      <c r="G1635" s="17" t="str">
        <f aca="false">IF(OR(D1635="",E1635=""),"",E1635*(1+D1635/30))</f>
        <v/>
      </c>
      <c r="H1635" s="19" t="n">
        <f aca="false">IF(G1635="",0,G1635)</f>
        <v>0</v>
      </c>
      <c r="I1635" s="18" t="str">
        <f aca="false">IF(H1635&gt;0,IF(H1635&gt;=SUMPRODUCT(MAX(($B$5:$B$2004=B1635)*$H$5:$H$2004)),"Rekor",""),"")</f>
        <v/>
      </c>
      <c r="J1635" s="19" t="n">
        <f aca="false">IF(A1635="",0,IF(COUNTIF(A$5:A1635,A1635)=1,1,0))</f>
        <v>0</v>
      </c>
    </row>
    <row r="1636" customFormat="false" ht="15" hidden="false" customHeight="false" outlineLevel="0" collapsed="false">
      <c r="A1636" s="12"/>
      <c r="B1636" s="13"/>
      <c r="C1636" s="14"/>
      <c r="D1636" s="14"/>
      <c r="E1636" s="15"/>
      <c r="F1636" s="16" t="str">
        <f aca="false">IF(OR(C1636="",D1636="",E1636=""),"",C1636*D1636*E1636)</f>
        <v/>
      </c>
      <c r="G1636" s="17" t="str">
        <f aca="false">IF(OR(D1636="",E1636=""),"",E1636*(1+D1636/30))</f>
        <v/>
      </c>
      <c r="H1636" s="19" t="n">
        <f aca="false">IF(G1636="",0,G1636)</f>
        <v>0</v>
      </c>
      <c r="I1636" s="18" t="str">
        <f aca="false">IF(H1636&gt;0,IF(H1636&gt;=SUMPRODUCT(MAX(($B$5:$B$2004=B1636)*$H$5:$H$2004)),"Rekor",""),"")</f>
        <v/>
      </c>
      <c r="J1636" s="19" t="n">
        <f aca="false">IF(A1636="",0,IF(COUNTIF(A$5:A1636,A1636)=1,1,0))</f>
        <v>0</v>
      </c>
    </row>
    <row r="1637" customFormat="false" ht="15" hidden="false" customHeight="false" outlineLevel="0" collapsed="false">
      <c r="A1637" s="12"/>
      <c r="B1637" s="13"/>
      <c r="C1637" s="14"/>
      <c r="D1637" s="14"/>
      <c r="E1637" s="15"/>
      <c r="F1637" s="16" t="str">
        <f aca="false">IF(OR(C1637="",D1637="",E1637=""),"",C1637*D1637*E1637)</f>
        <v/>
      </c>
      <c r="G1637" s="17" t="str">
        <f aca="false">IF(OR(D1637="",E1637=""),"",E1637*(1+D1637/30))</f>
        <v/>
      </c>
      <c r="H1637" s="19" t="n">
        <f aca="false">IF(G1637="",0,G1637)</f>
        <v>0</v>
      </c>
      <c r="I1637" s="18" t="str">
        <f aca="false">IF(H1637&gt;0,IF(H1637&gt;=SUMPRODUCT(MAX(($B$5:$B$2004=B1637)*$H$5:$H$2004)),"Rekor",""),"")</f>
        <v/>
      </c>
      <c r="J1637" s="19" t="n">
        <f aca="false">IF(A1637="",0,IF(COUNTIF(A$5:A1637,A1637)=1,1,0))</f>
        <v>0</v>
      </c>
    </row>
    <row r="1638" customFormat="false" ht="15" hidden="false" customHeight="false" outlineLevel="0" collapsed="false">
      <c r="A1638" s="12"/>
      <c r="B1638" s="13"/>
      <c r="C1638" s="14"/>
      <c r="D1638" s="14"/>
      <c r="E1638" s="15"/>
      <c r="F1638" s="16" t="str">
        <f aca="false">IF(OR(C1638="",D1638="",E1638=""),"",C1638*D1638*E1638)</f>
        <v/>
      </c>
      <c r="G1638" s="17" t="str">
        <f aca="false">IF(OR(D1638="",E1638=""),"",E1638*(1+D1638/30))</f>
        <v/>
      </c>
      <c r="H1638" s="19" t="n">
        <f aca="false">IF(G1638="",0,G1638)</f>
        <v>0</v>
      </c>
      <c r="I1638" s="18" t="str">
        <f aca="false">IF(H1638&gt;0,IF(H1638&gt;=SUMPRODUCT(MAX(($B$5:$B$2004=B1638)*$H$5:$H$2004)),"Rekor",""),"")</f>
        <v/>
      </c>
      <c r="J1638" s="19" t="n">
        <f aca="false">IF(A1638="",0,IF(COUNTIF(A$5:A1638,A1638)=1,1,0))</f>
        <v>0</v>
      </c>
    </row>
    <row r="1639" customFormat="false" ht="15" hidden="false" customHeight="false" outlineLevel="0" collapsed="false">
      <c r="A1639" s="12"/>
      <c r="B1639" s="13"/>
      <c r="C1639" s="14"/>
      <c r="D1639" s="14"/>
      <c r="E1639" s="15"/>
      <c r="F1639" s="16" t="str">
        <f aca="false">IF(OR(C1639="",D1639="",E1639=""),"",C1639*D1639*E1639)</f>
        <v/>
      </c>
      <c r="G1639" s="17" t="str">
        <f aca="false">IF(OR(D1639="",E1639=""),"",E1639*(1+D1639/30))</f>
        <v/>
      </c>
      <c r="H1639" s="19" t="n">
        <f aca="false">IF(G1639="",0,G1639)</f>
        <v>0</v>
      </c>
      <c r="I1639" s="18" t="str">
        <f aca="false">IF(H1639&gt;0,IF(H1639&gt;=SUMPRODUCT(MAX(($B$5:$B$2004=B1639)*$H$5:$H$2004)),"Rekor",""),"")</f>
        <v/>
      </c>
      <c r="J1639" s="19" t="n">
        <f aca="false">IF(A1639="",0,IF(COUNTIF(A$5:A1639,A1639)=1,1,0))</f>
        <v>0</v>
      </c>
    </row>
    <row r="1640" customFormat="false" ht="15" hidden="false" customHeight="false" outlineLevel="0" collapsed="false">
      <c r="A1640" s="12"/>
      <c r="B1640" s="13"/>
      <c r="C1640" s="14"/>
      <c r="D1640" s="14"/>
      <c r="E1640" s="15"/>
      <c r="F1640" s="16" t="str">
        <f aca="false">IF(OR(C1640="",D1640="",E1640=""),"",C1640*D1640*E1640)</f>
        <v/>
      </c>
      <c r="G1640" s="17" t="str">
        <f aca="false">IF(OR(D1640="",E1640=""),"",E1640*(1+D1640/30))</f>
        <v/>
      </c>
      <c r="H1640" s="19" t="n">
        <f aca="false">IF(G1640="",0,G1640)</f>
        <v>0</v>
      </c>
      <c r="I1640" s="18" t="str">
        <f aca="false">IF(H1640&gt;0,IF(H1640&gt;=SUMPRODUCT(MAX(($B$5:$B$2004=B1640)*$H$5:$H$2004)),"Rekor",""),"")</f>
        <v/>
      </c>
      <c r="J1640" s="19" t="n">
        <f aca="false">IF(A1640="",0,IF(COUNTIF(A$5:A1640,A1640)=1,1,0))</f>
        <v>0</v>
      </c>
    </row>
    <row r="1641" customFormat="false" ht="15" hidden="false" customHeight="false" outlineLevel="0" collapsed="false">
      <c r="A1641" s="12"/>
      <c r="B1641" s="13"/>
      <c r="C1641" s="14"/>
      <c r="D1641" s="14"/>
      <c r="E1641" s="15"/>
      <c r="F1641" s="16" t="str">
        <f aca="false">IF(OR(C1641="",D1641="",E1641=""),"",C1641*D1641*E1641)</f>
        <v/>
      </c>
      <c r="G1641" s="17" t="str">
        <f aca="false">IF(OR(D1641="",E1641=""),"",E1641*(1+D1641/30))</f>
        <v/>
      </c>
      <c r="H1641" s="19" t="n">
        <f aca="false">IF(G1641="",0,G1641)</f>
        <v>0</v>
      </c>
      <c r="I1641" s="18" t="str">
        <f aca="false">IF(H1641&gt;0,IF(H1641&gt;=SUMPRODUCT(MAX(($B$5:$B$2004=B1641)*$H$5:$H$2004)),"Rekor",""),"")</f>
        <v/>
      </c>
      <c r="J1641" s="19" t="n">
        <f aca="false">IF(A1641="",0,IF(COUNTIF(A$5:A1641,A1641)=1,1,0))</f>
        <v>0</v>
      </c>
    </row>
    <row r="1642" customFormat="false" ht="15" hidden="false" customHeight="false" outlineLevel="0" collapsed="false">
      <c r="A1642" s="12"/>
      <c r="B1642" s="13"/>
      <c r="C1642" s="14"/>
      <c r="D1642" s="14"/>
      <c r="E1642" s="15"/>
      <c r="F1642" s="16" t="str">
        <f aca="false">IF(OR(C1642="",D1642="",E1642=""),"",C1642*D1642*E1642)</f>
        <v/>
      </c>
      <c r="G1642" s="17" t="str">
        <f aca="false">IF(OR(D1642="",E1642=""),"",E1642*(1+D1642/30))</f>
        <v/>
      </c>
      <c r="H1642" s="19" t="n">
        <f aca="false">IF(G1642="",0,G1642)</f>
        <v>0</v>
      </c>
      <c r="I1642" s="18" t="str">
        <f aca="false">IF(H1642&gt;0,IF(H1642&gt;=SUMPRODUCT(MAX(($B$5:$B$2004=B1642)*$H$5:$H$2004)),"Rekor",""),"")</f>
        <v/>
      </c>
      <c r="J1642" s="19" t="n">
        <f aca="false">IF(A1642="",0,IF(COUNTIF(A$5:A1642,A1642)=1,1,0))</f>
        <v>0</v>
      </c>
    </row>
    <row r="1643" customFormat="false" ht="15" hidden="false" customHeight="false" outlineLevel="0" collapsed="false">
      <c r="A1643" s="12"/>
      <c r="B1643" s="13"/>
      <c r="C1643" s="14"/>
      <c r="D1643" s="14"/>
      <c r="E1643" s="15"/>
      <c r="F1643" s="16" t="str">
        <f aca="false">IF(OR(C1643="",D1643="",E1643=""),"",C1643*D1643*E1643)</f>
        <v/>
      </c>
      <c r="G1643" s="17" t="str">
        <f aca="false">IF(OR(D1643="",E1643=""),"",E1643*(1+D1643/30))</f>
        <v/>
      </c>
      <c r="H1643" s="19" t="n">
        <f aca="false">IF(G1643="",0,G1643)</f>
        <v>0</v>
      </c>
      <c r="I1643" s="18" t="str">
        <f aca="false">IF(H1643&gt;0,IF(H1643&gt;=SUMPRODUCT(MAX(($B$5:$B$2004=B1643)*$H$5:$H$2004)),"Rekor",""),"")</f>
        <v/>
      </c>
      <c r="J1643" s="19" t="n">
        <f aca="false">IF(A1643="",0,IF(COUNTIF(A$5:A1643,A1643)=1,1,0))</f>
        <v>0</v>
      </c>
    </row>
    <row r="1644" customFormat="false" ht="15" hidden="false" customHeight="false" outlineLevel="0" collapsed="false">
      <c r="A1644" s="12"/>
      <c r="B1644" s="13"/>
      <c r="C1644" s="14"/>
      <c r="D1644" s="14"/>
      <c r="E1644" s="15"/>
      <c r="F1644" s="16" t="str">
        <f aca="false">IF(OR(C1644="",D1644="",E1644=""),"",C1644*D1644*E1644)</f>
        <v/>
      </c>
      <c r="G1644" s="17" t="str">
        <f aca="false">IF(OR(D1644="",E1644=""),"",E1644*(1+D1644/30))</f>
        <v/>
      </c>
      <c r="H1644" s="19" t="n">
        <f aca="false">IF(G1644="",0,G1644)</f>
        <v>0</v>
      </c>
      <c r="I1644" s="18" t="str">
        <f aca="false">IF(H1644&gt;0,IF(H1644&gt;=SUMPRODUCT(MAX(($B$5:$B$2004=B1644)*$H$5:$H$2004)),"Rekor",""),"")</f>
        <v/>
      </c>
      <c r="J1644" s="19" t="n">
        <f aca="false">IF(A1644="",0,IF(COUNTIF(A$5:A1644,A1644)=1,1,0))</f>
        <v>0</v>
      </c>
    </row>
    <row r="1645" customFormat="false" ht="15" hidden="false" customHeight="false" outlineLevel="0" collapsed="false">
      <c r="A1645" s="12"/>
      <c r="B1645" s="13"/>
      <c r="C1645" s="14"/>
      <c r="D1645" s="14"/>
      <c r="E1645" s="15"/>
      <c r="F1645" s="16" t="str">
        <f aca="false">IF(OR(C1645="",D1645="",E1645=""),"",C1645*D1645*E1645)</f>
        <v/>
      </c>
      <c r="G1645" s="17" t="str">
        <f aca="false">IF(OR(D1645="",E1645=""),"",E1645*(1+D1645/30))</f>
        <v/>
      </c>
      <c r="H1645" s="19" t="n">
        <f aca="false">IF(G1645="",0,G1645)</f>
        <v>0</v>
      </c>
      <c r="I1645" s="18" t="str">
        <f aca="false">IF(H1645&gt;0,IF(H1645&gt;=SUMPRODUCT(MAX(($B$5:$B$2004=B1645)*$H$5:$H$2004)),"Rekor",""),"")</f>
        <v/>
      </c>
      <c r="J1645" s="19" t="n">
        <f aca="false">IF(A1645="",0,IF(COUNTIF(A$5:A1645,A1645)=1,1,0))</f>
        <v>0</v>
      </c>
    </row>
    <row r="1646" customFormat="false" ht="15" hidden="false" customHeight="false" outlineLevel="0" collapsed="false">
      <c r="A1646" s="12"/>
      <c r="B1646" s="13"/>
      <c r="C1646" s="14"/>
      <c r="D1646" s="14"/>
      <c r="E1646" s="15"/>
      <c r="F1646" s="16" t="str">
        <f aca="false">IF(OR(C1646="",D1646="",E1646=""),"",C1646*D1646*E1646)</f>
        <v/>
      </c>
      <c r="G1646" s="17" t="str">
        <f aca="false">IF(OR(D1646="",E1646=""),"",E1646*(1+D1646/30))</f>
        <v/>
      </c>
      <c r="H1646" s="19" t="n">
        <f aca="false">IF(G1646="",0,G1646)</f>
        <v>0</v>
      </c>
      <c r="I1646" s="18" t="str">
        <f aca="false">IF(H1646&gt;0,IF(H1646&gt;=SUMPRODUCT(MAX(($B$5:$B$2004=B1646)*$H$5:$H$2004)),"Rekor",""),"")</f>
        <v/>
      </c>
      <c r="J1646" s="19" t="n">
        <f aca="false">IF(A1646="",0,IF(COUNTIF(A$5:A1646,A1646)=1,1,0))</f>
        <v>0</v>
      </c>
    </row>
    <row r="1647" customFormat="false" ht="15" hidden="false" customHeight="false" outlineLevel="0" collapsed="false">
      <c r="A1647" s="12"/>
      <c r="B1647" s="13"/>
      <c r="C1647" s="14"/>
      <c r="D1647" s="14"/>
      <c r="E1647" s="15"/>
      <c r="F1647" s="16" t="str">
        <f aca="false">IF(OR(C1647="",D1647="",E1647=""),"",C1647*D1647*E1647)</f>
        <v/>
      </c>
      <c r="G1647" s="17" t="str">
        <f aca="false">IF(OR(D1647="",E1647=""),"",E1647*(1+D1647/30))</f>
        <v/>
      </c>
      <c r="H1647" s="19" t="n">
        <f aca="false">IF(G1647="",0,G1647)</f>
        <v>0</v>
      </c>
      <c r="I1647" s="18" t="str">
        <f aca="false">IF(H1647&gt;0,IF(H1647&gt;=SUMPRODUCT(MAX(($B$5:$B$2004=B1647)*$H$5:$H$2004)),"Rekor",""),"")</f>
        <v/>
      </c>
      <c r="J1647" s="19" t="n">
        <f aca="false">IF(A1647="",0,IF(COUNTIF(A$5:A1647,A1647)=1,1,0))</f>
        <v>0</v>
      </c>
    </row>
    <row r="1648" customFormat="false" ht="15" hidden="false" customHeight="false" outlineLevel="0" collapsed="false">
      <c r="A1648" s="12"/>
      <c r="B1648" s="13"/>
      <c r="C1648" s="14"/>
      <c r="D1648" s="14"/>
      <c r="E1648" s="15"/>
      <c r="F1648" s="16" t="str">
        <f aca="false">IF(OR(C1648="",D1648="",E1648=""),"",C1648*D1648*E1648)</f>
        <v/>
      </c>
      <c r="G1648" s="17" t="str">
        <f aca="false">IF(OR(D1648="",E1648=""),"",E1648*(1+D1648/30))</f>
        <v/>
      </c>
      <c r="H1648" s="19" t="n">
        <f aca="false">IF(G1648="",0,G1648)</f>
        <v>0</v>
      </c>
      <c r="I1648" s="18" t="str">
        <f aca="false">IF(H1648&gt;0,IF(H1648&gt;=SUMPRODUCT(MAX(($B$5:$B$2004=B1648)*$H$5:$H$2004)),"Rekor",""),"")</f>
        <v/>
      </c>
      <c r="J1648" s="19" t="n">
        <f aca="false">IF(A1648="",0,IF(COUNTIF(A$5:A1648,A1648)=1,1,0))</f>
        <v>0</v>
      </c>
    </row>
    <row r="1649" customFormat="false" ht="15" hidden="false" customHeight="false" outlineLevel="0" collapsed="false">
      <c r="A1649" s="12"/>
      <c r="B1649" s="13"/>
      <c r="C1649" s="14"/>
      <c r="D1649" s="14"/>
      <c r="E1649" s="15"/>
      <c r="F1649" s="16" t="str">
        <f aca="false">IF(OR(C1649="",D1649="",E1649=""),"",C1649*D1649*E1649)</f>
        <v/>
      </c>
      <c r="G1649" s="17" t="str">
        <f aca="false">IF(OR(D1649="",E1649=""),"",E1649*(1+D1649/30))</f>
        <v/>
      </c>
      <c r="H1649" s="19" t="n">
        <f aca="false">IF(G1649="",0,G1649)</f>
        <v>0</v>
      </c>
      <c r="I1649" s="18" t="str">
        <f aca="false">IF(H1649&gt;0,IF(H1649&gt;=SUMPRODUCT(MAX(($B$5:$B$2004=B1649)*$H$5:$H$2004)),"Rekor",""),"")</f>
        <v/>
      </c>
      <c r="J1649" s="19" t="n">
        <f aca="false">IF(A1649="",0,IF(COUNTIF(A$5:A1649,A1649)=1,1,0))</f>
        <v>0</v>
      </c>
    </row>
    <row r="1650" customFormat="false" ht="15" hidden="false" customHeight="false" outlineLevel="0" collapsed="false">
      <c r="A1650" s="12"/>
      <c r="B1650" s="13"/>
      <c r="C1650" s="14"/>
      <c r="D1650" s="14"/>
      <c r="E1650" s="15"/>
      <c r="F1650" s="16" t="str">
        <f aca="false">IF(OR(C1650="",D1650="",E1650=""),"",C1650*D1650*E1650)</f>
        <v/>
      </c>
      <c r="G1650" s="17" t="str">
        <f aca="false">IF(OR(D1650="",E1650=""),"",E1650*(1+D1650/30))</f>
        <v/>
      </c>
      <c r="H1650" s="19" t="n">
        <f aca="false">IF(G1650="",0,G1650)</f>
        <v>0</v>
      </c>
      <c r="I1650" s="18" t="str">
        <f aca="false">IF(H1650&gt;0,IF(H1650&gt;=SUMPRODUCT(MAX(($B$5:$B$2004=B1650)*$H$5:$H$2004)),"Rekor",""),"")</f>
        <v/>
      </c>
      <c r="J1650" s="19" t="n">
        <f aca="false">IF(A1650="",0,IF(COUNTIF(A$5:A1650,A1650)=1,1,0))</f>
        <v>0</v>
      </c>
    </row>
    <row r="1651" customFormat="false" ht="15" hidden="false" customHeight="false" outlineLevel="0" collapsed="false">
      <c r="A1651" s="12"/>
      <c r="B1651" s="13"/>
      <c r="C1651" s="14"/>
      <c r="D1651" s="14"/>
      <c r="E1651" s="15"/>
      <c r="F1651" s="16" t="str">
        <f aca="false">IF(OR(C1651="",D1651="",E1651=""),"",C1651*D1651*E1651)</f>
        <v/>
      </c>
      <c r="G1651" s="17" t="str">
        <f aca="false">IF(OR(D1651="",E1651=""),"",E1651*(1+D1651/30))</f>
        <v/>
      </c>
      <c r="H1651" s="19" t="n">
        <f aca="false">IF(G1651="",0,G1651)</f>
        <v>0</v>
      </c>
      <c r="I1651" s="18" t="str">
        <f aca="false">IF(H1651&gt;0,IF(H1651&gt;=SUMPRODUCT(MAX(($B$5:$B$2004=B1651)*$H$5:$H$2004)),"Rekor",""),"")</f>
        <v/>
      </c>
      <c r="J1651" s="19" t="n">
        <f aca="false">IF(A1651="",0,IF(COUNTIF(A$5:A1651,A1651)=1,1,0))</f>
        <v>0</v>
      </c>
    </row>
    <row r="1652" customFormat="false" ht="15" hidden="false" customHeight="false" outlineLevel="0" collapsed="false">
      <c r="A1652" s="12"/>
      <c r="B1652" s="13"/>
      <c r="C1652" s="14"/>
      <c r="D1652" s="14"/>
      <c r="E1652" s="15"/>
      <c r="F1652" s="16" t="str">
        <f aca="false">IF(OR(C1652="",D1652="",E1652=""),"",C1652*D1652*E1652)</f>
        <v/>
      </c>
      <c r="G1652" s="17" t="str">
        <f aca="false">IF(OR(D1652="",E1652=""),"",E1652*(1+D1652/30))</f>
        <v/>
      </c>
      <c r="H1652" s="19" t="n">
        <f aca="false">IF(G1652="",0,G1652)</f>
        <v>0</v>
      </c>
      <c r="I1652" s="18" t="str">
        <f aca="false">IF(H1652&gt;0,IF(H1652&gt;=SUMPRODUCT(MAX(($B$5:$B$2004=B1652)*$H$5:$H$2004)),"Rekor",""),"")</f>
        <v/>
      </c>
      <c r="J1652" s="19" t="n">
        <f aca="false">IF(A1652="",0,IF(COUNTIF(A$5:A1652,A1652)=1,1,0))</f>
        <v>0</v>
      </c>
    </row>
    <row r="1653" customFormat="false" ht="15" hidden="false" customHeight="false" outlineLevel="0" collapsed="false">
      <c r="A1653" s="12"/>
      <c r="B1653" s="13"/>
      <c r="C1653" s="14"/>
      <c r="D1653" s="14"/>
      <c r="E1653" s="15"/>
      <c r="F1653" s="16" t="str">
        <f aca="false">IF(OR(C1653="",D1653="",E1653=""),"",C1653*D1653*E1653)</f>
        <v/>
      </c>
      <c r="G1653" s="17" t="str">
        <f aca="false">IF(OR(D1653="",E1653=""),"",E1653*(1+D1653/30))</f>
        <v/>
      </c>
      <c r="H1653" s="19" t="n">
        <f aca="false">IF(G1653="",0,G1653)</f>
        <v>0</v>
      </c>
      <c r="I1653" s="18" t="str">
        <f aca="false">IF(H1653&gt;0,IF(H1653&gt;=SUMPRODUCT(MAX(($B$5:$B$2004=B1653)*$H$5:$H$2004)),"Rekor",""),"")</f>
        <v/>
      </c>
      <c r="J1653" s="19" t="n">
        <f aca="false">IF(A1653="",0,IF(COUNTIF(A$5:A1653,A1653)=1,1,0))</f>
        <v>0</v>
      </c>
    </row>
    <row r="1654" customFormat="false" ht="15" hidden="false" customHeight="false" outlineLevel="0" collapsed="false">
      <c r="A1654" s="12"/>
      <c r="B1654" s="13"/>
      <c r="C1654" s="14"/>
      <c r="D1654" s="14"/>
      <c r="E1654" s="15"/>
      <c r="F1654" s="16" t="str">
        <f aca="false">IF(OR(C1654="",D1654="",E1654=""),"",C1654*D1654*E1654)</f>
        <v/>
      </c>
      <c r="G1654" s="17" t="str">
        <f aca="false">IF(OR(D1654="",E1654=""),"",E1654*(1+D1654/30))</f>
        <v/>
      </c>
      <c r="H1654" s="19" t="n">
        <f aca="false">IF(G1654="",0,G1654)</f>
        <v>0</v>
      </c>
      <c r="I1654" s="18" t="str">
        <f aca="false">IF(H1654&gt;0,IF(H1654&gt;=SUMPRODUCT(MAX(($B$5:$B$2004=B1654)*$H$5:$H$2004)),"Rekor",""),"")</f>
        <v/>
      </c>
      <c r="J1654" s="19" t="n">
        <f aca="false">IF(A1654="",0,IF(COUNTIF(A$5:A1654,A1654)=1,1,0))</f>
        <v>0</v>
      </c>
    </row>
    <row r="1655" customFormat="false" ht="15" hidden="false" customHeight="false" outlineLevel="0" collapsed="false">
      <c r="A1655" s="12"/>
      <c r="B1655" s="13"/>
      <c r="C1655" s="14"/>
      <c r="D1655" s="14"/>
      <c r="E1655" s="15"/>
      <c r="F1655" s="16" t="str">
        <f aca="false">IF(OR(C1655="",D1655="",E1655=""),"",C1655*D1655*E1655)</f>
        <v/>
      </c>
      <c r="G1655" s="17" t="str">
        <f aca="false">IF(OR(D1655="",E1655=""),"",E1655*(1+D1655/30))</f>
        <v/>
      </c>
      <c r="H1655" s="19" t="n">
        <f aca="false">IF(G1655="",0,G1655)</f>
        <v>0</v>
      </c>
      <c r="I1655" s="18" t="str">
        <f aca="false">IF(H1655&gt;0,IF(H1655&gt;=SUMPRODUCT(MAX(($B$5:$B$2004=B1655)*$H$5:$H$2004)),"Rekor",""),"")</f>
        <v/>
      </c>
      <c r="J1655" s="19" t="n">
        <f aca="false">IF(A1655="",0,IF(COUNTIF(A$5:A1655,A1655)=1,1,0))</f>
        <v>0</v>
      </c>
    </row>
    <row r="1656" customFormat="false" ht="15" hidden="false" customHeight="false" outlineLevel="0" collapsed="false">
      <c r="A1656" s="12"/>
      <c r="B1656" s="13"/>
      <c r="C1656" s="14"/>
      <c r="D1656" s="14"/>
      <c r="E1656" s="15"/>
      <c r="F1656" s="16" t="str">
        <f aca="false">IF(OR(C1656="",D1656="",E1656=""),"",C1656*D1656*E1656)</f>
        <v/>
      </c>
      <c r="G1656" s="17" t="str">
        <f aca="false">IF(OR(D1656="",E1656=""),"",E1656*(1+D1656/30))</f>
        <v/>
      </c>
      <c r="H1656" s="19" t="n">
        <f aca="false">IF(G1656="",0,G1656)</f>
        <v>0</v>
      </c>
      <c r="I1656" s="18" t="str">
        <f aca="false">IF(H1656&gt;0,IF(H1656&gt;=SUMPRODUCT(MAX(($B$5:$B$2004=B1656)*$H$5:$H$2004)),"Rekor",""),"")</f>
        <v/>
      </c>
      <c r="J1656" s="19" t="n">
        <f aca="false">IF(A1656="",0,IF(COUNTIF(A$5:A1656,A1656)=1,1,0))</f>
        <v>0</v>
      </c>
    </row>
    <row r="1657" customFormat="false" ht="15" hidden="false" customHeight="false" outlineLevel="0" collapsed="false">
      <c r="A1657" s="12"/>
      <c r="B1657" s="13"/>
      <c r="C1657" s="14"/>
      <c r="D1657" s="14"/>
      <c r="E1657" s="15"/>
      <c r="F1657" s="16" t="str">
        <f aca="false">IF(OR(C1657="",D1657="",E1657=""),"",C1657*D1657*E1657)</f>
        <v/>
      </c>
      <c r="G1657" s="17" t="str">
        <f aca="false">IF(OR(D1657="",E1657=""),"",E1657*(1+D1657/30))</f>
        <v/>
      </c>
      <c r="H1657" s="19" t="n">
        <f aca="false">IF(G1657="",0,G1657)</f>
        <v>0</v>
      </c>
      <c r="I1657" s="18" t="str">
        <f aca="false">IF(H1657&gt;0,IF(H1657&gt;=SUMPRODUCT(MAX(($B$5:$B$2004=B1657)*$H$5:$H$2004)),"Rekor",""),"")</f>
        <v/>
      </c>
      <c r="J1657" s="19" t="n">
        <f aca="false">IF(A1657="",0,IF(COUNTIF(A$5:A1657,A1657)=1,1,0))</f>
        <v>0</v>
      </c>
    </row>
    <row r="1658" customFormat="false" ht="15" hidden="false" customHeight="false" outlineLevel="0" collapsed="false">
      <c r="A1658" s="12"/>
      <c r="B1658" s="13"/>
      <c r="C1658" s="14"/>
      <c r="D1658" s="14"/>
      <c r="E1658" s="15"/>
      <c r="F1658" s="16" t="str">
        <f aca="false">IF(OR(C1658="",D1658="",E1658=""),"",C1658*D1658*E1658)</f>
        <v/>
      </c>
      <c r="G1658" s="17" t="str">
        <f aca="false">IF(OR(D1658="",E1658=""),"",E1658*(1+D1658/30))</f>
        <v/>
      </c>
      <c r="H1658" s="19" t="n">
        <f aca="false">IF(G1658="",0,G1658)</f>
        <v>0</v>
      </c>
      <c r="I1658" s="18" t="str">
        <f aca="false">IF(H1658&gt;0,IF(H1658&gt;=SUMPRODUCT(MAX(($B$5:$B$2004=B1658)*$H$5:$H$2004)),"Rekor",""),"")</f>
        <v/>
      </c>
      <c r="J1658" s="19" t="n">
        <f aca="false">IF(A1658="",0,IF(COUNTIF(A$5:A1658,A1658)=1,1,0))</f>
        <v>0</v>
      </c>
    </row>
    <row r="1659" customFormat="false" ht="15" hidden="false" customHeight="false" outlineLevel="0" collapsed="false">
      <c r="A1659" s="12"/>
      <c r="B1659" s="13"/>
      <c r="C1659" s="14"/>
      <c r="D1659" s="14"/>
      <c r="E1659" s="15"/>
      <c r="F1659" s="16" t="str">
        <f aca="false">IF(OR(C1659="",D1659="",E1659=""),"",C1659*D1659*E1659)</f>
        <v/>
      </c>
      <c r="G1659" s="17" t="str">
        <f aca="false">IF(OR(D1659="",E1659=""),"",E1659*(1+D1659/30))</f>
        <v/>
      </c>
      <c r="H1659" s="19" t="n">
        <f aca="false">IF(G1659="",0,G1659)</f>
        <v>0</v>
      </c>
      <c r="I1659" s="18" t="str">
        <f aca="false">IF(H1659&gt;0,IF(H1659&gt;=SUMPRODUCT(MAX(($B$5:$B$2004=B1659)*$H$5:$H$2004)),"Rekor",""),"")</f>
        <v/>
      </c>
      <c r="J1659" s="19" t="n">
        <f aca="false">IF(A1659="",0,IF(COUNTIF(A$5:A1659,A1659)=1,1,0))</f>
        <v>0</v>
      </c>
    </row>
    <row r="1660" customFormat="false" ht="15" hidden="false" customHeight="false" outlineLevel="0" collapsed="false">
      <c r="A1660" s="12"/>
      <c r="B1660" s="13"/>
      <c r="C1660" s="14"/>
      <c r="D1660" s="14"/>
      <c r="E1660" s="15"/>
      <c r="F1660" s="16" t="str">
        <f aca="false">IF(OR(C1660="",D1660="",E1660=""),"",C1660*D1660*E1660)</f>
        <v/>
      </c>
      <c r="G1660" s="17" t="str">
        <f aca="false">IF(OR(D1660="",E1660=""),"",E1660*(1+D1660/30))</f>
        <v/>
      </c>
      <c r="H1660" s="19" t="n">
        <f aca="false">IF(G1660="",0,G1660)</f>
        <v>0</v>
      </c>
      <c r="I1660" s="18" t="str">
        <f aca="false">IF(H1660&gt;0,IF(H1660&gt;=SUMPRODUCT(MAX(($B$5:$B$2004=B1660)*$H$5:$H$2004)),"Rekor",""),"")</f>
        <v/>
      </c>
      <c r="J1660" s="19" t="n">
        <f aca="false">IF(A1660="",0,IF(COUNTIF(A$5:A1660,A1660)=1,1,0))</f>
        <v>0</v>
      </c>
    </row>
    <row r="1661" customFormat="false" ht="15" hidden="false" customHeight="false" outlineLevel="0" collapsed="false">
      <c r="A1661" s="12"/>
      <c r="B1661" s="13"/>
      <c r="C1661" s="14"/>
      <c r="D1661" s="14"/>
      <c r="E1661" s="15"/>
      <c r="F1661" s="16" t="str">
        <f aca="false">IF(OR(C1661="",D1661="",E1661=""),"",C1661*D1661*E1661)</f>
        <v/>
      </c>
      <c r="G1661" s="17" t="str">
        <f aca="false">IF(OR(D1661="",E1661=""),"",E1661*(1+D1661/30))</f>
        <v/>
      </c>
      <c r="H1661" s="19" t="n">
        <f aca="false">IF(G1661="",0,G1661)</f>
        <v>0</v>
      </c>
      <c r="I1661" s="18" t="str">
        <f aca="false">IF(H1661&gt;0,IF(H1661&gt;=SUMPRODUCT(MAX(($B$5:$B$2004=B1661)*$H$5:$H$2004)),"Rekor",""),"")</f>
        <v/>
      </c>
      <c r="J1661" s="19" t="n">
        <f aca="false">IF(A1661="",0,IF(COUNTIF(A$5:A1661,A1661)=1,1,0))</f>
        <v>0</v>
      </c>
    </row>
    <row r="1662" customFormat="false" ht="15" hidden="false" customHeight="false" outlineLevel="0" collapsed="false">
      <c r="A1662" s="12"/>
      <c r="B1662" s="13"/>
      <c r="C1662" s="14"/>
      <c r="D1662" s="14"/>
      <c r="E1662" s="15"/>
      <c r="F1662" s="16" t="str">
        <f aca="false">IF(OR(C1662="",D1662="",E1662=""),"",C1662*D1662*E1662)</f>
        <v/>
      </c>
      <c r="G1662" s="17" t="str">
        <f aca="false">IF(OR(D1662="",E1662=""),"",E1662*(1+D1662/30))</f>
        <v/>
      </c>
      <c r="H1662" s="19" t="n">
        <f aca="false">IF(G1662="",0,G1662)</f>
        <v>0</v>
      </c>
      <c r="I1662" s="18" t="str">
        <f aca="false">IF(H1662&gt;0,IF(H1662&gt;=SUMPRODUCT(MAX(($B$5:$B$2004=B1662)*$H$5:$H$2004)),"Rekor",""),"")</f>
        <v/>
      </c>
      <c r="J1662" s="19" t="n">
        <f aca="false">IF(A1662="",0,IF(COUNTIF(A$5:A1662,A1662)=1,1,0))</f>
        <v>0</v>
      </c>
    </row>
    <row r="1663" customFormat="false" ht="15" hidden="false" customHeight="false" outlineLevel="0" collapsed="false">
      <c r="A1663" s="12"/>
      <c r="B1663" s="13"/>
      <c r="C1663" s="14"/>
      <c r="D1663" s="14"/>
      <c r="E1663" s="15"/>
      <c r="F1663" s="16" t="str">
        <f aca="false">IF(OR(C1663="",D1663="",E1663=""),"",C1663*D1663*E1663)</f>
        <v/>
      </c>
      <c r="G1663" s="17" t="str">
        <f aca="false">IF(OR(D1663="",E1663=""),"",E1663*(1+D1663/30))</f>
        <v/>
      </c>
      <c r="H1663" s="19" t="n">
        <f aca="false">IF(G1663="",0,G1663)</f>
        <v>0</v>
      </c>
      <c r="I1663" s="18" t="str">
        <f aca="false">IF(H1663&gt;0,IF(H1663&gt;=SUMPRODUCT(MAX(($B$5:$B$2004=B1663)*$H$5:$H$2004)),"Rekor",""),"")</f>
        <v/>
      </c>
      <c r="J1663" s="19" t="n">
        <f aca="false">IF(A1663="",0,IF(COUNTIF(A$5:A1663,A1663)=1,1,0))</f>
        <v>0</v>
      </c>
    </row>
    <row r="1664" customFormat="false" ht="15" hidden="false" customHeight="false" outlineLevel="0" collapsed="false">
      <c r="A1664" s="12"/>
      <c r="B1664" s="13"/>
      <c r="C1664" s="14"/>
      <c r="D1664" s="14"/>
      <c r="E1664" s="15"/>
      <c r="F1664" s="16" t="str">
        <f aca="false">IF(OR(C1664="",D1664="",E1664=""),"",C1664*D1664*E1664)</f>
        <v/>
      </c>
      <c r="G1664" s="17" t="str">
        <f aca="false">IF(OR(D1664="",E1664=""),"",E1664*(1+D1664/30))</f>
        <v/>
      </c>
      <c r="H1664" s="19" t="n">
        <f aca="false">IF(G1664="",0,G1664)</f>
        <v>0</v>
      </c>
      <c r="I1664" s="18" t="str">
        <f aca="false">IF(H1664&gt;0,IF(H1664&gt;=SUMPRODUCT(MAX(($B$5:$B$2004=B1664)*$H$5:$H$2004)),"Rekor",""),"")</f>
        <v/>
      </c>
      <c r="J1664" s="19" t="n">
        <f aca="false">IF(A1664="",0,IF(COUNTIF(A$5:A1664,A1664)=1,1,0))</f>
        <v>0</v>
      </c>
    </row>
    <row r="1665" customFormat="false" ht="15" hidden="false" customHeight="false" outlineLevel="0" collapsed="false">
      <c r="A1665" s="12"/>
      <c r="B1665" s="13"/>
      <c r="C1665" s="14"/>
      <c r="D1665" s="14"/>
      <c r="E1665" s="15"/>
      <c r="F1665" s="16" t="str">
        <f aca="false">IF(OR(C1665="",D1665="",E1665=""),"",C1665*D1665*E1665)</f>
        <v/>
      </c>
      <c r="G1665" s="17" t="str">
        <f aca="false">IF(OR(D1665="",E1665=""),"",E1665*(1+D1665/30))</f>
        <v/>
      </c>
      <c r="H1665" s="19" t="n">
        <f aca="false">IF(G1665="",0,G1665)</f>
        <v>0</v>
      </c>
      <c r="I1665" s="18" t="str">
        <f aca="false">IF(H1665&gt;0,IF(H1665&gt;=SUMPRODUCT(MAX(($B$5:$B$2004=B1665)*$H$5:$H$2004)),"Rekor",""),"")</f>
        <v/>
      </c>
      <c r="J1665" s="19" t="n">
        <f aca="false">IF(A1665="",0,IF(COUNTIF(A$5:A1665,A1665)=1,1,0))</f>
        <v>0</v>
      </c>
    </row>
    <row r="1666" customFormat="false" ht="15" hidden="false" customHeight="false" outlineLevel="0" collapsed="false">
      <c r="A1666" s="12"/>
      <c r="B1666" s="13"/>
      <c r="C1666" s="14"/>
      <c r="D1666" s="14"/>
      <c r="E1666" s="15"/>
      <c r="F1666" s="16" t="str">
        <f aca="false">IF(OR(C1666="",D1666="",E1666=""),"",C1666*D1666*E1666)</f>
        <v/>
      </c>
      <c r="G1666" s="17" t="str">
        <f aca="false">IF(OR(D1666="",E1666=""),"",E1666*(1+D1666/30))</f>
        <v/>
      </c>
      <c r="H1666" s="19" t="n">
        <f aca="false">IF(G1666="",0,G1666)</f>
        <v>0</v>
      </c>
      <c r="I1666" s="18" t="str">
        <f aca="false">IF(H1666&gt;0,IF(H1666&gt;=SUMPRODUCT(MAX(($B$5:$B$2004=B1666)*$H$5:$H$2004)),"Rekor",""),"")</f>
        <v/>
      </c>
      <c r="J1666" s="19" t="n">
        <f aca="false">IF(A1666="",0,IF(COUNTIF(A$5:A1666,A1666)=1,1,0))</f>
        <v>0</v>
      </c>
    </row>
    <row r="1667" customFormat="false" ht="15" hidden="false" customHeight="false" outlineLevel="0" collapsed="false">
      <c r="A1667" s="12"/>
      <c r="B1667" s="13"/>
      <c r="C1667" s="14"/>
      <c r="D1667" s="14"/>
      <c r="E1667" s="15"/>
      <c r="F1667" s="16" t="str">
        <f aca="false">IF(OR(C1667="",D1667="",E1667=""),"",C1667*D1667*E1667)</f>
        <v/>
      </c>
      <c r="G1667" s="17" t="str">
        <f aca="false">IF(OR(D1667="",E1667=""),"",E1667*(1+D1667/30))</f>
        <v/>
      </c>
      <c r="H1667" s="19" t="n">
        <f aca="false">IF(G1667="",0,G1667)</f>
        <v>0</v>
      </c>
      <c r="I1667" s="18" t="str">
        <f aca="false">IF(H1667&gt;0,IF(H1667&gt;=SUMPRODUCT(MAX(($B$5:$B$2004=B1667)*$H$5:$H$2004)),"Rekor",""),"")</f>
        <v/>
      </c>
      <c r="J1667" s="19" t="n">
        <f aca="false">IF(A1667="",0,IF(COUNTIF(A$5:A1667,A1667)=1,1,0))</f>
        <v>0</v>
      </c>
    </row>
    <row r="1668" customFormat="false" ht="15" hidden="false" customHeight="false" outlineLevel="0" collapsed="false">
      <c r="A1668" s="12"/>
      <c r="B1668" s="13"/>
      <c r="C1668" s="14"/>
      <c r="D1668" s="14"/>
      <c r="E1668" s="15"/>
      <c r="F1668" s="16" t="str">
        <f aca="false">IF(OR(C1668="",D1668="",E1668=""),"",C1668*D1668*E1668)</f>
        <v/>
      </c>
      <c r="G1668" s="17" t="str">
        <f aca="false">IF(OR(D1668="",E1668=""),"",E1668*(1+D1668/30))</f>
        <v/>
      </c>
      <c r="H1668" s="19" t="n">
        <f aca="false">IF(G1668="",0,G1668)</f>
        <v>0</v>
      </c>
      <c r="I1668" s="18" t="str">
        <f aca="false">IF(H1668&gt;0,IF(H1668&gt;=SUMPRODUCT(MAX(($B$5:$B$2004=B1668)*$H$5:$H$2004)),"Rekor",""),"")</f>
        <v/>
      </c>
      <c r="J1668" s="19" t="n">
        <f aca="false">IF(A1668="",0,IF(COUNTIF(A$5:A1668,A1668)=1,1,0))</f>
        <v>0</v>
      </c>
    </row>
    <row r="1669" customFormat="false" ht="15" hidden="false" customHeight="false" outlineLevel="0" collapsed="false">
      <c r="A1669" s="12"/>
      <c r="B1669" s="13"/>
      <c r="C1669" s="14"/>
      <c r="D1669" s="14"/>
      <c r="E1669" s="15"/>
      <c r="F1669" s="16" t="str">
        <f aca="false">IF(OR(C1669="",D1669="",E1669=""),"",C1669*D1669*E1669)</f>
        <v/>
      </c>
      <c r="G1669" s="17" t="str">
        <f aca="false">IF(OR(D1669="",E1669=""),"",E1669*(1+D1669/30))</f>
        <v/>
      </c>
      <c r="H1669" s="19" t="n">
        <f aca="false">IF(G1669="",0,G1669)</f>
        <v>0</v>
      </c>
      <c r="I1669" s="18" t="str">
        <f aca="false">IF(H1669&gt;0,IF(H1669&gt;=SUMPRODUCT(MAX(($B$5:$B$2004=B1669)*$H$5:$H$2004)),"Rekor",""),"")</f>
        <v/>
      </c>
      <c r="J1669" s="19" t="n">
        <f aca="false">IF(A1669="",0,IF(COUNTIF(A$5:A1669,A1669)=1,1,0))</f>
        <v>0</v>
      </c>
    </row>
    <row r="1670" customFormat="false" ht="15" hidden="false" customHeight="false" outlineLevel="0" collapsed="false">
      <c r="A1670" s="12"/>
      <c r="B1670" s="13"/>
      <c r="C1670" s="14"/>
      <c r="D1670" s="14"/>
      <c r="E1670" s="15"/>
      <c r="F1670" s="16" t="str">
        <f aca="false">IF(OR(C1670="",D1670="",E1670=""),"",C1670*D1670*E1670)</f>
        <v/>
      </c>
      <c r="G1670" s="17" t="str">
        <f aca="false">IF(OR(D1670="",E1670=""),"",E1670*(1+D1670/30))</f>
        <v/>
      </c>
      <c r="H1670" s="19" t="n">
        <f aca="false">IF(G1670="",0,G1670)</f>
        <v>0</v>
      </c>
      <c r="I1670" s="18" t="str">
        <f aca="false">IF(H1670&gt;0,IF(H1670&gt;=SUMPRODUCT(MAX(($B$5:$B$2004=B1670)*$H$5:$H$2004)),"Rekor",""),"")</f>
        <v/>
      </c>
      <c r="J1670" s="19" t="n">
        <f aca="false">IF(A1670="",0,IF(COUNTIF(A$5:A1670,A1670)=1,1,0))</f>
        <v>0</v>
      </c>
    </row>
    <row r="1671" customFormat="false" ht="15" hidden="false" customHeight="false" outlineLevel="0" collapsed="false">
      <c r="A1671" s="12"/>
      <c r="B1671" s="13"/>
      <c r="C1671" s="14"/>
      <c r="D1671" s="14"/>
      <c r="E1671" s="15"/>
      <c r="F1671" s="16" t="str">
        <f aca="false">IF(OR(C1671="",D1671="",E1671=""),"",C1671*D1671*E1671)</f>
        <v/>
      </c>
      <c r="G1671" s="17" t="str">
        <f aca="false">IF(OR(D1671="",E1671=""),"",E1671*(1+D1671/30))</f>
        <v/>
      </c>
      <c r="H1671" s="19" t="n">
        <f aca="false">IF(G1671="",0,G1671)</f>
        <v>0</v>
      </c>
      <c r="I1671" s="18" t="str">
        <f aca="false">IF(H1671&gt;0,IF(H1671&gt;=SUMPRODUCT(MAX(($B$5:$B$2004=B1671)*$H$5:$H$2004)),"Rekor",""),"")</f>
        <v/>
      </c>
      <c r="J1671" s="19" t="n">
        <f aca="false">IF(A1671="",0,IF(COUNTIF(A$5:A1671,A1671)=1,1,0))</f>
        <v>0</v>
      </c>
    </row>
    <row r="1672" customFormat="false" ht="15" hidden="false" customHeight="false" outlineLevel="0" collapsed="false">
      <c r="A1672" s="12"/>
      <c r="B1672" s="13"/>
      <c r="C1672" s="14"/>
      <c r="D1672" s="14"/>
      <c r="E1672" s="15"/>
      <c r="F1672" s="16" t="str">
        <f aca="false">IF(OR(C1672="",D1672="",E1672=""),"",C1672*D1672*E1672)</f>
        <v/>
      </c>
      <c r="G1672" s="17" t="str">
        <f aca="false">IF(OR(D1672="",E1672=""),"",E1672*(1+D1672/30))</f>
        <v/>
      </c>
      <c r="H1672" s="19" t="n">
        <f aca="false">IF(G1672="",0,G1672)</f>
        <v>0</v>
      </c>
      <c r="I1672" s="18" t="str">
        <f aca="false">IF(H1672&gt;0,IF(H1672&gt;=SUMPRODUCT(MAX(($B$5:$B$2004=B1672)*$H$5:$H$2004)),"Rekor",""),"")</f>
        <v/>
      </c>
      <c r="J1672" s="19" t="n">
        <f aca="false">IF(A1672="",0,IF(COUNTIF(A$5:A1672,A1672)=1,1,0))</f>
        <v>0</v>
      </c>
    </row>
    <row r="1673" customFormat="false" ht="15" hidden="false" customHeight="false" outlineLevel="0" collapsed="false">
      <c r="A1673" s="12"/>
      <c r="B1673" s="13"/>
      <c r="C1673" s="14"/>
      <c r="D1673" s="14"/>
      <c r="E1673" s="15"/>
      <c r="F1673" s="16" t="str">
        <f aca="false">IF(OR(C1673="",D1673="",E1673=""),"",C1673*D1673*E1673)</f>
        <v/>
      </c>
      <c r="G1673" s="17" t="str">
        <f aca="false">IF(OR(D1673="",E1673=""),"",E1673*(1+D1673/30))</f>
        <v/>
      </c>
      <c r="H1673" s="19" t="n">
        <f aca="false">IF(G1673="",0,G1673)</f>
        <v>0</v>
      </c>
      <c r="I1673" s="18" t="str">
        <f aca="false">IF(H1673&gt;0,IF(H1673&gt;=SUMPRODUCT(MAX(($B$5:$B$2004=B1673)*$H$5:$H$2004)),"Rekor",""),"")</f>
        <v/>
      </c>
      <c r="J1673" s="19" t="n">
        <f aca="false">IF(A1673="",0,IF(COUNTIF(A$5:A1673,A1673)=1,1,0))</f>
        <v>0</v>
      </c>
    </row>
    <row r="1674" customFormat="false" ht="15" hidden="false" customHeight="false" outlineLevel="0" collapsed="false">
      <c r="A1674" s="12"/>
      <c r="B1674" s="13"/>
      <c r="C1674" s="14"/>
      <c r="D1674" s="14"/>
      <c r="E1674" s="15"/>
      <c r="F1674" s="16" t="str">
        <f aca="false">IF(OR(C1674="",D1674="",E1674=""),"",C1674*D1674*E1674)</f>
        <v/>
      </c>
      <c r="G1674" s="17" t="str">
        <f aca="false">IF(OR(D1674="",E1674=""),"",E1674*(1+D1674/30))</f>
        <v/>
      </c>
      <c r="H1674" s="19" t="n">
        <f aca="false">IF(G1674="",0,G1674)</f>
        <v>0</v>
      </c>
      <c r="I1674" s="18" t="str">
        <f aca="false">IF(H1674&gt;0,IF(H1674&gt;=SUMPRODUCT(MAX(($B$5:$B$2004=B1674)*$H$5:$H$2004)),"Rekor",""),"")</f>
        <v/>
      </c>
      <c r="J1674" s="19" t="n">
        <f aca="false">IF(A1674="",0,IF(COUNTIF(A$5:A1674,A1674)=1,1,0))</f>
        <v>0</v>
      </c>
    </row>
    <row r="1675" customFormat="false" ht="15" hidden="false" customHeight="false" outlineLevel="0" collapsed="false">
      <c r="A1675" s="12"/>
      <c r="B1675" s="13"/>
      <c r="C1675" s="14"/>
      <c r="D1675" s="14"/>
      <c r="E1675" s="15"/>
      <c r="F1675" s="16" t="str">
        <f aca="false">IF(OR(C1675="",D1675="",E1675=""),"",C1675*D1675*E1675)</f>
        <v/>
      </c>
      <c r="G1675" s="17" t="str">
        <f aca="false">IF(OR(D1675="",E1675=""),"",E1675*(1+D1675/30))</f>
        <v/>
      </c>
      <c r="H1675" s="19" t="n">
        <f aca="false">IF(G1675="",0,G1675)</f>
        <v>0</v>
      </c>
      <c r="I1675" s="18" t="str">
        <f aca="false">IF(H1675&gt;0,IF(H1675&gt;=SUMPRODUCT(MAX(($B$5:$B$2004=B1675)*$H$5:$H$2004)),"Rekor",""),"")</f>
        <v/>
      </c>
      <c r="J1675" s="19" t="n">
        <f aca="false">IF(A1675="",0,IF(COUNTIF(A$5:A1675,A1675)=1,1,0))</f>
        <v>0</v>
      </c>
    </row>
    <row r="1676" customFormat="false" ht="15" hidden="false" customHeight="false" outlineLevel="0" collapsed="false">
      <c r="A1676" s="12"/>
      <c r="B1676" s="13"/>
      <c r="C1676" s="14"/>
      <c r="D1676" s="14"/>
      <c r="E1676" s="15"/>
      <c r="F1676" s="16" t="str">
        <f aca="false">IF(OR(C1676="",D1676="",E1676=""),"",C1676*D1676*E1676)</f>
        <v/>
      </c>
      <c r="G1676" s="17" t="str">
        <f aca="false">IF(OR(D1676="",E1676=""),"",E1676*(1+D1676/30))</f>
        <v/>
      </c>
      <c r="H1676" s="19" t="n">
        <f aca="false">IF(G1676="",0,G1676)</f>
        <v>0</v>
      </c>
      <c r="I1676" s="18" t="str">
        <f aca="false">IF(H1676&gt;0,IF(H1676&gt;=SUMPRODUCT(MAX(($B$5:$B$2004=B1676)*$H$5:$H$2004)),"Rekor",""),"")</f>
        <v/>
      </c>
      <c r="J1676" s="19" t="n">
        <f aca="false">IF(A1676="",0,IF(COUNTIF(A$5:A1676,A1676)=1,1,0))</f>
        <v>0</v>
      </c>
    </row>
    <row r="1677" customFormat="false" ht="15" hidden="false" customHeight="false" outlineLevel="0" collapsed="false">
      <c r="A1677" s="12"/>
      <c r="B1677" s="13"/>
      <c r="C1677" s="14"/>
      <c r="D1677" s="14"/>
      <c r="E1677" s="15"/>
      <c r="F1677" s="16" t="str">
        <f aca="false">IF(OR(C1677="",D1677="",E1677=""),"",C1677*D1677*E1677)</f>
        <v/>
      </c>
      <c r="G1677" s="17" t="str">
        <f aca="false">IF(OR(D1677="",E1677=""),"",E1677*(1+D1677/30))</f>
        <v/>
      </c>
      <c r="H1677" s="19" t="n">
        <f aca="false">IF(G1677="",0,G1677)</f>
        <v>0</v>
      </c>
      <c r="I1677" s="18" t="str">
        <f aca="false">IF(H1677&gt;0,IF(H1677&gt;=SUMPRODUCT(MAX(($B$5:$B$2004=B1677)*$H$5:$H$2004)),"Rekor",""),"")</f>
        <v/>
      </c>
      <c r="J1677" s="19" t="n">
        <f aca="false">IF(A1677="",0,IF(COUNTIF(A$5:A1677,A1677)=1,1,0))</f>
        <v>0</v>
      </c>
    </row>
    <row r="1678" customFormat="false" ht="15" hidden="false" customHeight="false" outlineLevel="0" collapsed="false">
      <c r="A1678" s="12"/>
      <c r="B1678" s="13"/>
      <c r="C1678" s="14"/>
      <c r="D1678" s="14"/>
      <c r="E1678" s="15"/>
      <c r="F1678" s="16" t="str">
        <f aca="false">IF(OR(C1678="",D1678="",E1678=""),"",C1678*D1678*E1678)</f>
        <v/>
      </c>
      <c r="G1678" s="17" t="str">
        <f aca="false">IF(OR(D1678="",E1678=""),"",E1678*(1+D1678/30))</f>
        <v/>
      </c>
      <c r="H1678" s="19" t="n">
        <f aca="false">IF(G1678="",0,G1678)</f>
        <v>0</v>
      </c>
      <c r="I1678" s="18" t="str">
        <f aca="false">IF(H1678&gt;0,IF(H1678&gt;=SUMPRODUCT(MAX(($B$5:$B$2004=B1678)*$H$5:$H$2004)),"Rekor",""),"")</f>
        <v/>
      </c>
      <c r="J1678" s="19" t="n">
        <f aca="false">IF(A1678="",0,IF(COUNTIF(A$5:A1678,A1678)=1,1,0))</f>
        <v>0</v>
      </c>
    </row>
    <row r="1679" customFormat="false" ht="15" hidden="false" customHeight="false" outlineLevel="0" collapsed="false">
      <c r="A1679" s="12"/>
      <c r="B1679" s="13"/>
      <c r="C1679" s="14"/>
      <c r="D1679" s="14"/>
      <c r="E1679" s="15"/>
      <c r="F1679" s="16" t="str">
        <f aca="false">IF(OR(C1679="",D1679="",E1679=""),"",C1679*D1679*E1679)</f>
        <v/>
      </c>
      <c r="G1679" s="17" t="str">
        <f aca="false">IF(OR(D1679="",E1679=""),"",E1679*(1+D1679/30))</f>
        <v/>
      </c>
      <c r="H1679" s="19" t="n">
        <f aca="false">IF(G1679="",0,G1679)</f>
        <v>0</v>
      </c>
      <c r="I1679" s="18" t="str">
        <f aca="false">IF(H1679&gt;0,IF(H1679&gt;=SUMPRODUCT(MAX(($B$5:$B$2004=B1679)*$H$5:$H$2004)),"Rekor",""),"")</f>
        <v/>
      </c>
      <c r="J1679" s="19" t="n">
        <f aca="false">IF(A1679="",0,IF(COUNTIF(A$5:A1679,A1679)=1,1,0))</f>
        <v>0</v>
      </c>
    </row>
    <row r="1680" customFormat="false" ht="15" hidden="false" customHeight="false" outlineLevel="0" collapsed="false">
      <c r="A1680" s="12"/>
      <c r="B1680" s="13"/>
      <c r="C1680" s="14"/>
      <c r="D1680" s="14"/>
      <c r="E1680" s="15"/>
      <c r="F1680" s="16" t="str">
        <f aca="false">IF(OR(C1680="",D1680="",E1680=""),"",C1680*D1680*E1680)</f>
        <v/>
      </c>
      <c r="G1680" s="17" t="str">
        <f aca="false">IF(OR(D1680="",E1680=""),"",E1680*(1+D1680/30))</f>
        <v/>
      </c>
      <c r="H1680" s="19" t="n">
        <f aca="false">IF(G1680="",0,G1680)</f>
        <v>0</v>
      </c>
      <c r="I1680" s="18" t="str">
        <f aca="false">IF(H1680&gt;0,IF(H1680&gt;=SUMPRODUCT(MAX(($B$5:$B$2004=B1680)*$H$5:$H$2004)),"Rekor",""),"")</f>
        <v/>
      </c>
      <c r="J1680" s="19" t="n">
        <f aca="false">IF(A1680="",0,IF(COUNTIF(A$5:A1680,A1680)=1,1,0))</f>
        <v>0</v>
      </c>
    </row>
    <row r="1681" customFormat="false" ht="15" hidden="false" customHeight="false" outlineLevel="0" collapsed="false">
      <c r="A1681" s="12"/>
      <c r="B1681" s="13"/>
      <c r="C1681" s="14"/>
      <c r="D1681" s="14"/>
      <c r="E1681" s="15"/>
      <c r="F1681" s="16" t="str">
        <f aca="false">IF(OR(C1681="",D1681="",E1681=""),"",C1681*D1681*E1681)</f>
        <v/>
      </c>
      <c r="G1681" s="17" t="str">
        <f aca="false">IF(OR(D1681="",E1681=""),"",E1681*(1+D1681/30))</f>
        <v/>
      </c>
      <c r="H1681" s="19" t="n">
        <f aca="false">IF(G1681="",0,G1681)</f>
        <v>0</v>
      </c>
      <c r="I1681" s="18" t="str">
        <f aca="false">IF(H1681&gt;0,IF(H1681&gt;=SUMPRODUCT(MAX(($B$5:$B$2004=B1681)*$H$5:$H$2004)),"Rekor",""),"")</f>
        <v/>
      </c>
      <c r="J1681" s="19" t="n">
        <f aca="false">IF(A1681="",0,IF(COUNTIF(A$5:A1681,A1681)=1,1,0))</f>
        <v>0</v>
      </c>
    </row>
    <row r="1682" customFormat="false" ht="15" hidden="false" customHeight="false" outlineLevel="0" collapsed="false">
      <c r="A1682" s="12"/>
      <c r="B1682" s="13"/>
      <c r="C1682" s="14"/>
      <c r="D1682" s="14"/>
      <c r="E1682" s="15"/>
      <c r="F1682" s="16" t="str">
        <f aca="false">IF(OR(C1682="",D1682="",E1682=""),"",C1682*D1682*E1682)</f>
        <v/>
      </c>
      <c r="G1682" s="17" t="str">
        <f aca="false">IF(OR(D1682="",E1682=""),"",E1682*(1+D1682/30))</f>
        <v/>
      </c>
      <c r="H1682" s="19" t="n">
        <f aca="false">IF(G1682="",0,G1682)</f>
        <v>0</v>
      </c>
      <c r="I1682" s="18" t="str">
        <f aca="false">IF(H1682&gt;0,IF(H1682&gt;=SUMPRODUCT(MAX(($B$5:$B$2004=B1682)*$H$5:$H$2004)),"Rekor",""),"")</f>
        <v/>
      </c>
      <c r="J1682" s="19" t="n">
        <f aca="false">IF(A1682="",0,IF(COUNTIF(A$5:A1682,A1682)=1,1,0))</f>
        <v>0</v>
      </c>
    </row>
    <row r="1683" customFormat="false" ht="15" hidden="false" customHeight="false" outlineLevel="0" collapsed="false">
      <c r="A1683" s="12"/>
      <c r="B1683" s="13"/>
      <c r="C1683" s="14"/>
      <c r="D1683" s="14"/>
      <c r="E1683" s="15"/>
      <c r="F1683" s="16" t="str">
        <f aca="false">IF(OR(C1683="",D1683="",E1683=""),"",C1683*D1683*E1683)</f>
        <v/>
      </c>
      <c r="G1683" s="17" t="str">
        <f aca="false">IF(OR(D1683="",E1683=""),"",E1683*(1+D1683/30))</f>
        <v/>
      </c>
      <c r="H1683" s="19" t="n">
        <f aca="false">IF(G1683="",0,G1683)</f>
        <v>0</v>
      </c>
      <c r="I1683" s="18" t="str">
        <f aca="false">IF(H1683&gt;0,IF(H1683&gt;=SUMPRODUCT(MAX(($B$5:$B$2004=B1683)*$H$5:$H$2004)),"Rekor",""),"")</f>
        <v/>
      </c>
      <c r="J1683" s="19" t="n">
        <f aca="false">IF(A1683="",0,IF(COUNTIF(A$5:A1683,A1683)=1,1,0))</f>
        <v>0</v>
      </c>
    </row>
    <row r="1684" customFormat="false" ht="15" hidden="false" customHeight="false" outlineLevel="0" collapsed="false">
      <c r="A1684" s="12"/>
      <c r="B1684" s="13"/>
      <c r="C1684" s="14"/>
      <c r="D1684" s="14"/>
      <c r="E1684" s="15"/>
      <c r="F1684" s="16" t="str">
        <f aca="false">IF(OR(C1684="",D1684="",E1684=""),"",C1684*D1684*E1684)</f>
        <v/>
      </c>
      <c r="G1684" s="17" t="str">
        <f aca="false">IF(OR(D1684="",E1684=""),"",E1684*(1+D1684/30))</f>
        <v/>
      </c>
      <c r="H1684" s="19" t="n">
        <f aca="false">IF(G1684="",0,G1684)</f>
        <v>0</v>
      </c>
      <c r="I1684" s="18" t="str">
        <f aca="false">IF(H1684&gt;0,IF(H1684&gt;=SUMPRODUCT(MAX(($B$5:$B$2004=B1684)*$H$5:$H$2004)),"Rekor",""),"")</f>
        <v/>
      </c>
      <c r="J1684" s="19" t="n">
        <f aca="false">IF(A1684="",0,IF(COUNTIF(A$5:A1684,A1684)=1,1,0))</f>
        <v>0</v>
      </c>
    </row>
    <row r="1685" customFormat="false" ht="15" hidden="false" customHeight="false" outlineLevel="0" collapsed="false">
      <c r="A1685" s="12"/>
      <c r="B1685" s="13"/>
      <c r="C1685" s="14"/>
      <c r="D1685" s="14"/>
      <c r="E1685" s="15"/>
      <c r="F1685" s="16" t="str">
        <f aca="false">IF(OR(C1685="",D1685="",E1685=""),"",C1685*D1685*E1685)</f>
        <v/>
      </c>
      <c r="G1685" s="17" t="str">
        <f aca="false">IF(OR(D1685="",E1685=""),"",E1685*(1+D1685/30))</f>
        <v/>
      </c>
      <c r="H1685" s="19" t="n">
        <f aca="false">IF(G1685="",0,G1685)</f>
        <v>0</v>
      </c>
      <c r="I1685" s="18" t="str">
        <f aca="false">IF(H1685&gt;0,IF(H1685&gt;=SUMPRODUCT(MAX(($B$5:$B$2004=B1685)*$H$5:$H$2004)),"Rekor",""),"")</f>
        <v/>
      </c>
      <c r="J1685" s="19" t="n">
        <f aca="false">IF(A1685="",0,IF(COUNTIF(A$5:A1685,A1685)=1,1,0))</f>
        <v>0</v>
      </c>
    </row>
    <row r="1686" customFormat="false" ht="15" hidden="false" customHeight="false" outlineLevel="0" collapsed="false">
      <c r="A1686" s="12"/>
      <c r="B1686" s="13"/>
      <c r="C1686" s="14"/>
      <c r="D1686" s="14"/>
      <c r="E1686" s="15"/>
      <c r="F1686" s="16" t="str">
        <f aca="false">IF(OR(C1686="",D1686="",E1686=""),"",C1686*D1686*E1686)</f>
        <v/>
      </c>
      <c r="G1686" s="17" t="str">
        <f aca="false">IF(OR(D1686="",E1686=""),"",E1686*(1+D1686/30))</f>
        <v/>
      </c>
      <c r="H1686" s="19" t="n">
        <f aca="false">IF(G1686="",0,G1686)</f>
        <v>0</v>
      </c>
      <c r="I1686" s="18" t="str">
        <f aca="false">IF(H1686&gt;0,IF(H1686&gt;=SUMPRODUCT(MAX(($B$5:$B$2004=B1686)*$H$5:$H$2004)),"Rekor",""),"")</f>
        <v/>
      </c>
      <c r="J1686" s="19" t="n">
        <f aca="false">IF(A1686="",0,IF(COUNTIF(A$5:A1686,A1686)=1,1,0))</f>
        <v>0</v>
      </c>
    </row>
    <row r="1687" customFormat="false" ht="15" hidden="false" customHeight="false" outlineLevel="0" collapsed="false">
      <c r="A1687" s="12"/>
      <c r="B1687" s="13"/>
      <c r="C1687" s="14"/>
      <c r="D1687" s="14"/>
      <c r="E1687" s="15"/>
      <c r="F1687" s="16" t="str">
        <f aca="false">IF(OR(C1687="",D1687="",E1687=""),"",C1687*D1687*E1687)</f>
        <v/>
      </c>
      <c r="G1687" s="17" t="str">
        <f aca="false">IF(OR(D1687="",E1687=""),"",E1687*(1+D1687/30))</f>
        <v/>
      </c>
      <c r="H1687" s="19" t="n">
        <f aca="false">IF(G1687="",0,G1687)</f>
        <v>0</v>
      </c>
      <c r="I1687" s="18" t="str">
        <f aca="false">IF(H1687&gt;0,IF(H1687&gt;=SUMPRODUCT(MAX(($B$5:$B$2004=B1687)*$H$5:$H$2004)),"Rekor",""),"")</f>
        <v/>
      </c>
      <c r="J1687" s="19" t="n">
        <f aca="false">IF(A1687="",0,IF(COUNTIF(A$5:A1687,A1687)=1,1,0))</f>
        <v>0</v>
      </c>
    </row>
    <row r="1688" customFormat="false" ht="15" hidden="false" customHeight="false" outlineLevel="0" collapsed="false">
      <c r="A1688" s="12"/>
      <c r="B1688" s="13"/>
      <c r="C1688" s="14"/>
      <c r="D1688" s="14"/>
      <c r="E1688" s="15"/>
      <c r="F1688" s="16" t="str">
        <f aca="false">IF(OR(C1688="",D1688="",E1688=""),"",C1688*D1688*E1688)</f>
        <v/>
      </c>
      <c r="G1688" s="17" t="str">
        <f aca="false">IF(OR(D1688="",E1688=""),"",E1688*(1+D1688/30))</f>
        <v/>
      </c>
      <c r="H1688" s="19" t="n">
        <f aca="false">IF(G1688="",0,G1688)</f>
        <v>0</v>
      </c>
      <c r="I1688" s="18" t="str">
        <f aca="false">IF(H1688&gt;0,IF(H1688&gt;=SUMPRODUCT(MAX(($B$5:$B$2004=B1688)*$H$5:$H$2004)),"Rekor",""),"")</f>
        <v/>
      </c>
      <c r="J1688" s="19" t="n">
        <f aca="false">IF(A1688="",0,IF(COUNTIF(A$5:A1688,A1688)=1,1,0))</f>
        <v>0</v>
      </c>
    </row>
    <row r="1689" customFormat="false" ht="15" hidden="false" customHeight="false" outlineLevel="0" collapsed="false">
      <c r="A1689" s="12"/>
      <c r="B1689" s="13"/>
      <c r="C1689" s="14"/>
      <c r="D1689" s="14"/>
      <c r="E1689" s="15"/>
      <c r="F1689" s="16" t="str">
        <f aca="false">IF(OR(C1689="",D1689="",E1689=""),"",C1689*D1689*E1689)</f>
        <v/>
      </c>
      <c r="G1689" s="17" t="str">
        <f aca="false">IF(OR(D1689="",E1689=""),"",E1689*(1+D1689/30))</f>
        <v/>
      </c>
      <c r="H1689" s="19" t="n">
        <f aca="false">IF(G1689="",0,G1689)</f>
        <v>0</v>
      </c>
      <c r="I1689" s="18" t="str">
        <f aca="false">IF(H1689&gt;0,IF(H1689&gt;=SUMPRODUCT(MAX(($B$5:$B$2004=B1689)*$H$5:$H$2004)),"Rekor",""),"")</f>
        <v/>
      </c>
      <c r="J1689" s="19" t="n">
        <f aca="false">IF(A1689="",0,IF(COUNTIF(A$5:A1689,A1689)=1,1,0))</f>
        <v>0</v>
      </c>
    </row>
    <row r="1690" customFormat="false" ht="15" hidden="false" customHeight="false" outlineLevel="0" collapsed="false">
      <c r="A1690" s="12"/>
      <c r="B1690" s="13"/>
      <c r="C1690" s="14"/>
      <c r="D1690" s="14"/>
      <c r="E1690" s="15"/>
      <c r="F1690" s="16" t="str">
        <f aca="false">IF(OR(C1690="",D1690="",E1690=""),"",C1690*D1690*E1690)</f>
        <v/>
      </c>
      <c r="G1690" s="17" t="str">
        <f aca="false">IF(OR(D1690="",E1690=""),"",E1690*(1+D1690/30))</f>
        <v/>
      </c>
      <c r="H1690" s="19" t="n">
        <f aca="false">IF(G1690="",0,G1690)</f>
        <v>0</v>
      </c>
      <c r="I1690" s="18" t="str">
        <f aca="false">IF(H1690&gt;0,IF(H1690&gt;=SUMPRODUCT(MAX(($B$5:$B$2004=B1690)*$H$5:$H$2004)),"Rekor",""),"")</f>
        <v/>
      </c>
      <c r="J1690" s="19" t="n">
        <f aca="false">IF(A1690="",0,IF(COUNTIF(A$5:A1690,A1690)=1,1,0))</f>
        <v>0</v>
      </c>
    </row>
    <row r="1691" customFormat="false" ht="15" hidden="false" customHeight="false" outlineLevel="0" collapsed="false">
      <c r="A1691" s="12"/>
      <c r="B1691" s="13"/>
      <c r="C1691" s="14"/>
      <c r="D1691" s="14"/>
      <c r="E1691" s="15"/>
      <c r="F1691" s="16" t="str">
        <f aca="false">IF(OR(C1691="",D1691="",E1691=""),"",C1691*D1691*E1691)</f>
        <v/>
      </c>
      <c r="G1691" s="17" t="str">
        <f aca="false">IF(OR(D1691="",E1691=""),"",E1691*(1+D1691/30))</f>
        <v/>
      </c>
      <c r="H1691" s="19" t="n">
        <f aca="false">IF(G1691="",0,G1691)</f>
        <v>0</v>
      </c>
      <c r="I1691" s="18" t="str">
        <f aca="false">IF(H1691&gt;0,IF(H1691&gt;=SUMPRODUCT(MAX(($B$5:$B$2004=B1691)*$H$5:$H$2004)),"Rekor",""),"")</f>
        <v/>
      </c>
      <c r="J1691" s="19" t="n">
        <f aca="false">IF(A1691="",0,IF(COUNTIF(A$5:A1691,A1691)=1,1,0))</f>
        <v>0</v>
      </c>
    </row>
    <row r="1692" customFormat="false" ht="15" hidden="false" customHeight="false" outlineLevel="0" collapsed="false">
      <c r="A1692" s="12"/>
      <c r="B1692" s="13"/>
      <c r="C1692" s="14"/>
      <c r="D1692" s="14"/>
      <c r="E1692" s="15"/>
      <c r="F1692" s="16" t="str">
        <f aca="false">IF(OR(C1692="",D1692="",E1692=""),"",C1692*D1692*E1692)</f>
        <v/>
      </c>
      <c r="G1692" s="17" t="str">
        <f aca="false">IF(OR(D1692="",E1692=""),"",E1692*(1+D1692/30))</f>
        <v/>
      </c>
      <c r="H1692" s="19" t="n">
        <f aca="false">IF(G1692="",0,G1692)</f>
        <v>0</v>
      </c>
      <c r="I1692" s="18" t="str">
        <f aca="false">IF(H1692&gt;0,IF(H1692&gt;=SUMPRODUCT(MAX(($B$5:$B$2004=B1692)*$H$5:$H$2004)),"Rekor",""),"")</f>
        <v/>
      </c>
      <c r="J1692" s="19" t="n">
        <f aca="false">IF(A1692="",0,IF(COUNTIF(A$5:A1692,A1692)=1,1,0))</f>
        <v>0</v>
      </c>
    </row>
    <row r="1693" customFormat="false" ht="15" hidden="false" customHeight="false" outlineLevel="0" collapsed="false">
      <c r="A1693" s="12"/>
      <c r="B1693" s="13"/>
      <c r="C1693" s="14"/>
      <c r="D1693" s="14"/>
      <c r="E1693" s="15"/>
      <c r="F1693" s="16" t="str">
        <f aca="false">IF(OR(C1693="",D1693="",E1693=""),"",C1693*D1693*E1693)</f>
        <v/>
      </c>
      <c r="G1693" s="17" t="str">
        <f aca="false">IF(OR(D1693="",E1693=""),"",E1693*(1+D1693/30))</f>
        <v/>
      </c>
      <c r="H1693" s="19" t="n">
        <f aca="false">IF(G1693="",0,G1693)</f>
        <v>0</v>
      </c>
      <c r="I1693" s="18" t="str">
        <f aca="false">IF(H1693&gt;0,IF(H1693&gt;=SUMPRODUCT(MAX(($B$5:$B$2004=B1693)*$H$5:$H$2004)),"Rekor",""),"")</f>
        <v/>
      </c>
      <c r="J1693" s="19" t="n">
        <f aca="false">IF(A1693="",0,IF(COUNTIF(A$5:A1693,A1693)=1,1,0))</f>
        <v>0</v>
      </c>
    </row>
    <row r="1694" customFormat="false" ht="15" hidden="false" customHeight="false" outlineLevel="0" collapsed="false">
      <c r="A1694" s="12"/>
      <c r="B1694" s="13"/>
      <c r="C1694" s="14"/>
      <c r="D1694" s="14"/>
      <c r="E1694" s="15"/>
      <c r="F1694" s="16" t="str">
        <f aca="false">IF(OR(C1694="",D1694="",E1694=""),"",C1694*D1694*E1694)</f>
        <v/>
      </c>
      <c r="G1694" s="17" t="str">
        <f aca="false">IF(OR(D1694="",E1694=""),"",E1694*(1+D1694/30))</f>
        <v/>
      </c>
      <c r="H1694" s="19" t="n">
        <f aca="false">IF(G1694="",0,G1694)</f>
        <v>0</v>
      </c>
      <c r="I1694" s="18" t="str">
        <f aca="false">IF(H1694&gt;0,IF(H1694&gt;=SUMPRODUCT(MAX(($B$5:$B$2004=B1694)*$H$5:$H$2004)),"Rekor",""),"")</f>
        <v/>
      </c>
      <c r="J1694" s="19" t="n">
        <f aca="false">IF(A1694="",0,IF(COUNTIF(A$5:A1694,A1694)=1,1,0))</f>
        <v>0</v>
      </c>
    </row>
    <row r="1695" customFormat="false" ht="15" hidden="false" customHeight="false" outlineLevel="0" collapsed="false">
      <c r="A1695" s="12"/>
      <c r="B1695" s="13"/>
      <c r="C1695" s="14"/>
      <c r="D1695" s="14"/>
      <c r="E1695" s="15"/>
      <c r="F1695" s="16" t="str">
        <f aca="false">IF(OR(C1695="",D1695="",E1695=""),"",C1695*D1695*E1695)</f>
        <v/>
      </c>
      <c r="G1695" s="17" t="str">
        <f aca="false">IF(OR(D1695="",E1695=""),"",E1695*(1+D1695/30))</f>
        <v/>
      </c>
      <c r="H1695" s="19" t="n">
        <f aca="false">IF(G1695="",0,G1695)</f>
        <v>0</v>
      </c>
      <c r="I1695" s="18" t="str">
        <f aca="false">IF(H1695&gt;0,IF(H1695&gt;=SUMPRODUCT(MAX(($B$5:$B$2004=B1695)*$H$5:$H$2004)),"Rekor",""),"")</f>
        <v/>
      </c>
      <c r="J1695" s="19" t="n">
        <f aca="false">IF(A1695="",0,IF(COUNTIF(A$5:A1695,A1695)=1,1,0))</f>
        <v>0</v>
      </c>
    </row>
    <row r="1696" customFormat="false" ht="15" hidden="false" customHeight="false" outlineLevel="0" collapsed="false">
      <c r="A1696" s="12"/>
      <c r="B1696" s="13"/>
      <c r="C1696" s="14"/>
      <c r="D1696" s="14"/>
      <c r="E1696" s="15"/>
      <c r="F1696" s="16" t="str">
        <f aca="false">IF(OR(C1696="",D1696="",E1696=""),"",C1696*D1696*E1696)</f>
        <v/>
      </c>
      <c r="G1696" s="17" t="str">
        <f aca="false">IF(OR(D1696="",E1696=""),"",E1696*(1+D1696/30))</f>
        <v/>
      </c>
      <c r="H1696" s="19" t="n">
        <f aca="false">IF(G1696="",0,G1696)</f>
        <v>0</v>
      </c>
      <c r="I1696" s="18" t="str">
        <f aca="false">IF(H1696&gt;0,IF(H1696&gt;=SUMPRODUCT(MAX(($B$5:$B$2004=B1696)*$H$5:$H$2004)),"Rekor",""),"")</f>
        <v/>
      </c>
      <c r="J1696" s="19" t="n">
        <f aca="false">IF(A1696="",0,IF(COUNTIF(A$5:A1696,A1696)=1,1,0))</f>
        <v>0</v>
      </c>
    </row>
    <row r="1697" customFormat="false" ht="15" hidden="false" customHeight="false" outlineLevel="0" collapsed="false">
      <c r="A1697" s="12"/>
      <c r="B1697" s="13"/>
      <c r="C1697" s="14"/>
      <c r="D1697" s="14"/>
      <c r="E1697" s="15"/>
      <c r="F1697" s="16" t="str">
        <f aca="false">IF(OR(C1697="",D1697="",E1697=""),"",C1697*D1697*E1697)</f>
        <v/>
      </c>
      <c r="G1697" s="17" t="str">
        <f aca="false">IF(OR(D1697="",E1697=""),"",E1697*(1+D1697/30))</f>
        <v/>
      </c>
      <c r="H1697" s="19" t="n">
        <f aca="false">IF(G1697="",0,G1697)</f>
        <v>0</v>
      </c>
      <c r="I1697" s="18" t="str">
        <f aca="false">IF(H1697&gt;0,IF(H1697&gt;=SUMPRODUCT(MAX(($B$5:$B$2004=B1697)*$H$5:$H$2004)),"Rekor",""),"")</f>
        <v/>
      </c>
      <c r="J1697" s="19" t="n">
        <f aca="false">IF(A1697="",0,IF(COUNTIF(A$5:A1697,A1697)=1,1,0))</f>
        <v>0</v>
      </c>
    </row>
    <row r="1698" customFormat="false" ht="15" hidden="false" customHeight="false" outlineLevel="0" collapsed="false">
      <c r="A1698" s="12"/>
      <c r="B1698" s="13"/>
      <c r="C1698" s="14"/>
      <c r="D1698" s="14"/>
      <c r="E1698" s="15"/>
      <c r="F1698" s="16" t="str">
        <f aca="false">IF(OR(C1698="",D1698="",E1698=""),"",C1698*D1698*E1698)</f>
        <v/>
      </c>
      <c r="G1698" s="17" t="str">
        <f aca="false">IF(OR(D1698="",E1698=""),"",E1698*(1+D1698/30))</f>
        <v/>
      </c>
      <c r="H1698" s="19" t="n">
        <f aca="false">IF(G1698="",0,G1698)</f>
        <v>0</v>
      </c>
      <c r="I1698" s="18" t="str">
        <f aca="false">IF(H1698&gt;0,IF(H1698&gt;=SUMPRODUCT(MAX(($B$5:$B$2004=B1698)*$H$5:$H$2004)),"Rekor",""),"")</f>
        <v/>
      </c>
      <c r="J1698" s="19" t="n">
        <f aca="false">IF(A1698="",0,IF(COUNTIF(A$5:A1698,A1698)=1,1,0))</f>
        <v>0</v>
      </c>
    </row>
    <row r="1699" customFormat="false" ht="15" hidden="false" customHeight="false" outlineLevel="0" collapsed="false">
      <c r="A1699" s="12"/>
      <c r="B1699" s="13"/>
      <c r="C1699" s="14"/>
      <c r="D1699" s="14"/>
      <c r="E1699" s="15"/>
      <c r="F1699" s="16" t="str">
        <f aca="false">IF(OR(C1699="",D1699="",E1699=""),"",C1699*D1699*E1699)</f>
        <v/>
      </c>
      <c r="G1699" s="17" t="str">
        <f aca="false">IF(OR(D1699="",E1699=""),"",E1699*(1+D1699/30))</f>
        <v/>
      </c>
      <c r="H1699" s="19" t="n">
        <f aca="false">IF(G1699="",0,G1699)</f>
        <v>0</v>
      </c>
      <c r="I1699" s="18" t="str">
        <f aca="false">IF(H1699&gt;0,IF(H1699&gt;=SUMPRODUCT(MAX(($B$5:$B$2004=B1699)*$H$5:$H$2004)),"Rekor",""),"")</f>
        <v/>
      </c>
      <c r="J1699" s="19" t="n">
        <f aca="false">IF(A1699="",0,IF(COUNTIF(A$5:A1699,A1699)=1,1,0))</f>
        <v>0</v>
      </c>
    </row>
    <row r="1700" customFormat="false" ht="15" hidden="false" customHeight="false" outlineLevel="0" collapsed="false">
      <c r="A1700" s="12"/>
      <c r="B1700" s="13"/>
      <c r="C1700" s="14"/>
      <c r="D1700" s="14"/>
      <c r="E1700" s="15"/>
      <c r="F1700" s="16" t="str">
        <f aca="false">IF(OR(C1700="",D1700="",E1700=""),"",C1700*D1700*E1700)</f>
        <v/>
      </c>
      <c r="G1700" s="17" t="str">
        <f aca="false">IF(OR(D1700="",E1700=""),"",E1700*(1+D1700/30))</f>
        <v/>
      </c>
      <c r="H1700" s="19" t="n">
        <f aca="false">IF(G1700="",0,G1700)</f>
        <v>0</v>
      </c>
      <c r="I1700" s="18" t="str">
        <f aca="false">IF(H1700&gt;0,IF(H1700&gt;=SUMPRODUCT(MAX(($B$5:$B$2004=B1700)*$H$5:$H$2004)),"Rekor",""),"")</f>
        <v/>
      </c>
      <c r="J1700" s="19" t="n">
        <f aca="false">IF(A1700="",0,IF(COUNTIF(A$5:A1700,A1700)=1,1,0))</f>
        <v>0</v>
      </c>
    </row>
    <row r="1701" customFormat="false" ht="15" hidden="false" customHeight="false" outlineLevel="0" collapsed="false">
      <c r="A1701" s="12"/>
      <c r="B1701" s="13"/>
      <c r="C1701" s="14"/>
      <c r="D1701" s="14"/>
      <c r="E1701" s="15"/>
      <c r="F1701" s="16" t="str">
        <f aca="false">IF(OR(C1701="",D1701="",E1701=""),"",C1701*D1701*E1701)</f>
        <v/>
      </c>
      <c r="G1701" s="17" t="str">
        <f aca="false">IF(OR(D1701="",E1701=""),"",E1701*(1+D1701/30))</f>
        <v/>
      </c>
      <c r="H1701" s="19" t="n">
        <f aca="false">IF(G1701="",0,G1701)</f>
        <v>0</v>
      </c>
      <c r="I1701" s="18" t="str">
        <f aca="false">IF(H1701&gt;0,IF(H1701&gt;=SUMPRODUCT(MAX(($B$5:$B$2004=B1701)*$H$5:$H$2004)),"Rekor",""),"")</f>
        <v/>
      </c>
      <c r="J1701" s="19" t="n">
        <f aca="false">IF(A1701="",0,IF(COUNTIF(A$5:A1701,A1701)=1,1,0))</f>
        <v>0</v>
      </c>
    </row>
    <row r="1702" customFormat="false" ht="15" hidden="false" customHeight="false" outlineLevel="0" collapsed="false">
      <c r="A1702" s="12"/>
      <c r="B1702" s="13"/>
      <c r="C1702" s="14"/>
      <c r="D1702" s="14"/>
      <c r="E1702" s="15"/>
      <c r="F1702" s="16" t="str">
        <f aca="false">IF(OR(C1702="",D1702="",E1702=""),"",C1702*D1702*E1702)</f>
        <v/>
      </c>
      <c r="G1702" s="17" t="str">
        <f aca="false">IF(OR(D1702="",E1702=""),"",E1702*(1+D1702/30))</f>
        <v/>
      </c>
      <c r="H1702" s="19" t="n">
        <f aca="false">IF(G1702="",0,G1702)</f>
        <v>0</v>
      </c>
      <c r="I1702" s="18" t="str">
        <f aca="false">IF(H1702&gt;0,IF(H1702&gt;=SUMPRODUCT(MAX(($B$5:$B$2004=B1702)*$H$5:$H$2004)),"Rekor",""),"")</f>
        <v/>
      </c>
      <c r="J1702" s="19" t="n">
        <f aca="false">IF(A1702="",0,IF(COUNTIF(A$5:A1702,A1702)=1,1,0))</f>
        <v>0</v>
      </c>
    </row>
    <row r="1703" customFormat="false" ht="15" hidden="false" customHeight="false" outlineLevel="0" collapsed="false">
      <c r="A1703" s="12"/>
      <c r="B1703" s="13"/>
      <c r="C1703" s="14"/>
      <c r="D1703" s="14"/>
      <c r="E1703" s="15"/>
      <c r="F1703" s="16" t="str">
        <f aca="false">IF(OR(C1703="",D1703="",E1703=""),"",C1703*D1703*E1703)</f>
        <v/>
      </c>
      <c r="G1703" s="17" t="str">
        <f aca="false">IF(OR(D1703="",E1703=""),"",E1703*(1+D1703/30))</f>
        <v/>
      </c>
      <c r="H1703" s="19" t="n">
        <f aca="false">IF(G1703="",0,G1703)</f>
        <v>0</v>
      </c>
      <c r="I1703" s="18" t="str">
        <f aca="false">IF(H1703&gt;0,IF(H1703&gt;=SUMPRODUCT(MAX(($B$5:$B$2004=B1703)*$H$5:$H$2004)),"Rekor",""),"")</f>
        <v/>
      </c>
      <c r="J1703" s="19" t="n">
        <f aca="false">IF(A1703="",0,IF(COUNTIF(A$5:A1703,A1703)=1,1,0))</f>
        <v>0</v>
      </c>
    </row>
    <row r="1704" customFormat="false" ht="15" hidden="false" customHeight="false" outlineLevel="0" collapsed="false">
      <c r="A1704" s="12"/>
      <c r="B1704" s="13"/>
      <c r="C1704" s="14"/>
      <c r="D1704" s="14"/>
      <c r="E1704" s="15"/>
      <c r="F1704" s="16" t="str">
        <f aca="false">IF(OR(C1704="",D1704="",E1704=""),"",C1704*D1704*E1704)</f>
        <v/>
      </c>
      <c r="G1704" s="17" t="str">
        <f aca="false">IF(OR(D1704="",E1704=""),"",E1704*(1+D1704/30))</f>
        <v/>
      </c>
      <c r="H1704" s="19" t="n">
        <f aca="false">IF(G1704="",0,G1704)</f>
        <v>0</v>
      </c>
      <c r="I1704" s="18" t="str">
        <f aca="false">IF(H1704&gt;0,IF(H1704&gt;=SUMPRODUCT(MAX(($B$5:$B$2004=B1704)*$H$5:$H$2004)),"Rekor",""),"")</f>
        <v/>
      </c>
      <c r="J1704" s="19" t="n">
        <f aca="false">IF(A1704="",0,IF(COUNTIF(A$5:A1704,A1704)=1,1,0))</f>
        <v>0</v>
      </c>
    </row>
    <row r="1705" customFormat="false" ht="15" hidden="false" customHeight="false" outlineLevel="0" collapsed="false">
      <c r="A1705" s="12"/>
      <c r="B1705" s="13"/>
      <c r="C1705" s="14"/>
      <c r="D1705" s="14"/>
      <c r="E1705" s="15"/>
      <c r="F1705" s="16" t="str">
        <f aca="false">IF(OR(C1705="",D1705="",E1705=""),"",C1705*D1705*E1705)</f>
        <v/>
      </c>
      <c r="G1705" s="17" t="str">
        <f aca="false">IF(OR(D1705="",E1705=""),"",E1705*(1+D1705/30))</f>
        <v/>
      </c>
      <c r="H1705" s="19" t="n">
        <f aca="false">IF(G1705="",0,G1705)</f>
        <v>0</v>
      </c>
      <c r="I1705" s="18" t="str">
        <f aca="false">IF(H1705&gt;0,IF(H1705&gt;=SUMPRODUCT(MAX(($B$5:$B$2004=B1705)*$H$5:$H$2004)),"Rekor",""),"")</f>
        <v/>
      </c>
      <c r="J1705" s="19" t="n">
        <f aca="false">IF(A1705="",0,IF(COUNTIF(A$5:A1705,A1705)=1,1,0))</f>
        <v>0</v>
      </c>
    </row>
    <row r="1706" customFormat="false" ht="15" hidden="false" customHeight="false" outlineLevel="0" collapsed="false">
      <c r="A1706" s="12"/>
      <c r="B1706" s="13"/>
      <c r="C1706" s="14"/>
      <c r="D1706" s="14"/>
      <c r="E1706" s="15"/>
      <c r="F1706" s="16" t="str">
        <f aca="false">IF(OR(C1706="",D1706="",E1706=""),"",C1706*D1706*E1706)</f>
        <v/>
      </c>
      <c r="G1706" s="17" t="str">
        <f aca="false">IF(OR(D1706="",E1706=""),"",E1706*(1+D1706/30))</f>
        <v/>
      </c>
      <c r="H1706" s="19" t="n">
        <f aca="false">IF(G1706="",0,G1706)</f>
        <v>0</v>
      </c>
      <c r="I1706" s="18" t="str">
        <f aca="false">IF(H1706&gt;0,IF(H1706&gt;=SUMPRODUCT(MAX(($B$5:$B$2004=B1706)*$H$5:$H$2004)),"Rekor",""),"")</f>
        <v/>
      </c>
      <c r="J1706" s="19" t="n">
        <f aca="false">IF(A1706="",0,IF(COUNTIF(A$5:A1706,A1706)=1,1,0))</f>
        <v>0</v>
      </c>
    </row>
    <row r="1707" customFormat="false" ht="15" hidden="false" customHeight="false" outlineLevel="0" collapsed="false">
      <c r="A1707" s="12"/>
      <c r="B1707" s="13"/>
      <c r="C1707" s="14"/>
      <c r="D1707" s="14"/>
      <c r="E1707" s="15"/>
      <c r="F1707" s="16" t="str">
        <f aca="false">IF(OR(C1707="",D1707="",E1707=""),"",C1707*D1707*E1707)</f>
        <v/>
      </c>
      <c r="G1707" s="17" t="str">
        <f aca="false">IF(OR(D1707="",E1707=""),"",E1707*(1+D1707/30))</f>
        <v/>
      </c>
      <c r="H1707" s="19" t="n">
        <f aca="false">IF(G1707="",0,G1707)</f>
        <v>0</v>
      </c>
      <c r="I1707" s="18" t="str">
        <f aca="false">IF(H1707&gt;0,IF(H1707&gt;=SUMPRODUCT(MAX(($B$5:$B$2004=B1707)*$H$5:$H$2004)),"Rekor",""),"")</f>
        <v/>
      </c>
      <c r="J1707" s="19" t="n">
        <f aca="false">IF(A1707="",0,IF(COUNTIF(A$5:A1707,A1707)=1,1,0))</f>
        <v>0</v>
      </c>
    </row>
    <row r="1708" customFormat="false" ht="15" hidden="false" customHeight="false" outlineLevel="0" collapsed="false">
      <c r="A1708" s="12"/>
      <c r="B1708" s="13"/>
      <c r="C1708" s="14"/>
      <c r="D1708" s="14"/>
      <c r="E1708" s="15"/>
      <c r="F1708" s="16" t="str">
        <f aca="false">IF(OR(C1708="",D1708="",E1708=""),"",C1708*D1708*E1708)</f>
        <v/>
      </c>
      <c r="G1708" s="17" t="str">
        <f aca="false">IF(OR(D1708="",E1708=""),"",E1708*(1+D1708/30))</f>
        <v/>
      </c>
      <c r="H1708" s="19" t="n">
        <f aca="false">IF(G1708="",0,G1708)</f>
        <v>0</v>
      </c>
      <c r="I1708" s="18" t="str">
        <f aca="false">IF(H1708&gt;0,IF(H1708&gt;=SUMPRODUCT(MAX(($B$5:$B$2004=B1708)*$H$5:$H$2004)),"Rekor",""),"")</f>
        <v/>
      </c>
      <c r="J1708" s="19" t="n">
        <f aca="false">IF(A1708="",0,IF(COUNTIF(A$5:A1708,A1708)=1,1,0))</f>
        <v>0</v>
      </c>
    </row>
    <row r="1709" customFormat="false" ht="15" hidden="false" customHeight="false" outlineLevel="0" collapsed="false">
      <c r="A1709" s="12"/>
      <c r="B1709" s="13"/>
      <c r="C1709" s="14"/>
      <c r="D1709" s="14"/>
      <c r="E1709" s="15"/>
      <c r="F1709" s="16" t="str">
        <f aca="false">IF(OR(C1709="",D1709="",E1709=""),"",C1709*D1709*E1709)</f>
        <v/>
      </c>
      <c r="G1709" s="17" t="str">
        <f aca="false">IF(OR(D1709="",E1709=""),"",E1709*(1+D1709/30))</f>
        <v/>
      </c>
      <c r="H1709" s="19" t="n">
        <f aca="false">IF(G1709="",0,G1709)</f>
        <v>0</v>
      </c>
      <c r="I1709" s="18" t="str">
        <f aca="false">IF(H1709&gt;0,IF(H1709&gt;=SUMPRODUCT(MAX(($B$5:$B$2004=B1709)*$H$5:$H$2004)),"Rekor",""),"")</f>
        <v/>
      </c>
      <c r="J1709" s="19" t="n">
        <f aca="false">IF(A1709="",0,IF(COUNTIF(A$5:A1709,A1709)=1,1,0))</f>
        <v>0</v>
      </c>
    </row>
    <row r="1710" customFormat="false" ht="15" hidden="false" customHeight="false" outlineLevel="0" collapsed="false">
      <c r="A1710" s="12"/>
      <c r="B1710" s="13"/>
      <c r="C1710" s="14"/>
      <c r="D1710" s="14"/>
      <c r="E1710" s="15"/>
      <c r="F1710" s="16" t="str">
        <f aca="false">IF(OR(C1710="",D1710="",E1710=""),"",C1710*D1710*E1710)</f>
        <v/>
      </c>
      <c r="G1710" s="17" t="str">
        <f aca="false">IF(OR(D1710="",E1710=""),"",E1710*(1+D1710/30))</f>
        <v/>
      </c>
      <c r="H1710" s="19" t="n">
        <f aca="false">IF(G1710="",0,G1710)</f>
        <v>0</v>
      </c>
      <c r="I1710" s="18" t="str">
        <f aca="false">IF(H1710&gt;0,IF(H1710&gt;=SUMPRODUCT(MAX(($B$5:$B$2004=B1710)*$H$5:$H$2004)),"Rekor",""),"")</f>
        <v/>
      </c>
      <c r="J1710" s="19" t="n">
        <f aca="false">IF(A1710="",0,IF(COUNTIF(A$5:A1710,A1710)=1,1,0))</f>
        <v>0</v>
      </c>
    </row>
    <row r="1711" customFormat="false" ht="15" hidden="false" customHeight="false" outlineLevel="0" collapsed="false">
      <c r="A1711" s="12"/>
      <c r="B1711" s="13"/>
      <c r="C1711" s="14"/>
      <c r="D1711" s="14"/>
      <c r="E1711" s="15"/>
      <c r="F1711" s="16" t="str">
        <f aca="false">IF(OR(C1711="",D1711="",E1711=""),"",C1711*D1711*E1711)</f>
        <v/>
      </c>
      <c r="G1711" s="17" t="str">
        <f aca="false">IF(OR(D1711="",E1711=""),"",E1711*(1+D1711/30))</f>
        <v/>
      </c>
      <c r="H1711" s="19" t="n">
        <f aca="false">IF(G1711="",0,G1711)</f>
        <v>0</v>
      </c>
      <c r="I1711" s="18" t="str">
        <f aca="false">IF(H1711&gt;0,IF(H1711&gt;=SUMPRODUCT(MAX(($B$5:$B$2004=B1711)*$H$5:$H$2004)),"Rekor",""),"")</f>
        <v/>
      </c>
      <c r="J1711" s="19" t="n">
        <f aca="false">IF(A1711="",0,IF(COUNTIF(A$5:A1711,A1711)=1,1,0))</f>
        <v>0</v>
      </c>
    </row>
    <row r="1712" customFormat="false" ht="15" hidden="false" customHeight="false" outlineLevel="0" collapsed="false">
      <c r="A1712" s="12"/>
      <c r="B1712" s="13"/>
      <c r="C1712" s="14"/>
      <c r="D1712" s="14"/>
      <c r="E1712" s="15"/>
      <c r="F1712" s="16" t="str">
        <f aca="false">IF(OR(C1712="",D1712="",E1712=""),"",C1712*D1712*E1712)</f>
        <v/>
      </c>
      <c r="G1712" s="17" t="str">
        <f aca="false">IF(OR(D1712="",E1712=""),"",E1712*(1+D1712/30))</f>
        <v/>
      </c>
      <c r="H1712" s="19" t="n">
        <f aca="false">IF(G1712="",0,G1712)</f>
        <v>0</v>
      </c>
      <c r="I1712" s="18" t="str">
        <f aca="false">IF(H1712&gt;0,IF(H1712&gt;=SUMPRODUCT(MAX(($B$5:$B$2004=B1712)*$H$5:$H$2004)),"Rekor",""),"")</f>
        <v/>
      </c>
      <c r="J1712" s="19" t="n">
        <f aca="false">IF(A1712="",0,IF(COUNTIF(A$5:A1712,A1712)=1,1,0))</f>
        <v>0</v>
      </c>
    </row>
    <row r="1713" customFormat="false" ht="15" hidden="false" customHeight="false" outlineLevel="0" collapsed="false">
      <c r="A1713" s="12"/>
      <c r="B1713" s="13"/>
      <c r="C1713" s="14"/>
      <c r="D1713" s="14"/>
      <c r="E1713" s="15"/>
      <c r="F1713" s="16" t="str">
        <f aca="false">IF(OR(C1713="",D1713="",E1713=""),"",C1713*D1713*E1713)</f>
        <v/>
      </c>
      <c r="G1713" s="17" t="str">
        <f aca="false">IF(OR(D1713="",E1713=""),"",E1713*(1+D1713/30))</f>
        <v/>
      </c>
      <c r="H1713" s="19" t="n">
        <f aca="false">IF(G1713="",0,G1713)</f>
        <v>0</v>
      </c>
      <c r="I1713" s="18" t="str">
        <f aca="false">IF(H1713&gt;0,IF(H1713&gt;=SUMPRODUCT(MAX(($B$5:$B$2004=B1713)*$H$5:$H$2004)),"Rekor",""),"")</f>
        <v/>
      </c>
      <c r="J1713" s="19" t="n">
        <f aca="false">IF(A1713="",0,IF(COUNTIF(A$5:A1713,A1713)=1,1,0))</f>
        <v>0</v>
      </c>
    </row>
    <row r="1714" customFormat="false" ht="15" hidden="false" customHeight="false" outlineLevel="0" collapsed="false">
      <c r="A1714" s="12"/>
      <c r="B1714" s="13"/>
      <c r="C1714" s="14"/>
      <c r="D1714" s="14"/>
      <c r="E1714" s="15"/>
      <c r="F1714" s="16" t="str">
        <f aca="false">IF(OR(C1714="",D1714="",E1714=""),"",C1714*D1714*E1714)</f>
        <v/>
      </c>
      <c r="G1714" s="17" t="str">
        <f aca="false">IF(OR(D1714="",E1714=""),"",E1714*(1+D1714/30))</f>
        <v/>
      </c>
      <c r="H1714" s="19" t="n">
        <f aca="false">IF(G1714="",0,G1714)</f>
        <v>0</v>
      </c>
      <c r="I1714" s="18" t="str">
        <f aca="false">IF(H1714&gt;0,IF(H1714&gt;=SUMPRODUCT(MAX(($B$5:$B$2004=B1714)*$H$5:$H$2004)),"Rekor",""),"")</f>
        <v/>
      </c>
      <c r="J1714" s="19" t="n">
        <f aca="false">IF(A1714="",0,IF(COUNTIF(A$5:A1714,A1714)=1,1,0))</f>
        <v>0</v>
      </c>
    </row>
    <row r="1715" customFormat="false" ht="15" hidden="false" customHeight="false" outlineLevel="0" collapsed="false">
      <c r="A1715" s="12"/>
      <c r="B1715" s="13"/>
      <c r="C1715" s="14"/>
      <c r="D1715" s="14"/>
      <c r="E1715" s="15"/>
      <c r="F1715" s="16" t="str">
        <f aca="false">IF(OR(C1715="",D1715="",E1715=""),"",C1715*D1715*E1715)</f>
        <v/>
      </c>
      <c r="G1715" s="17" t="str">
        <f aca="false">IF(OR(D1715="",E1715=""),"",E1715*(1+D1715/30))</f>
        <v/>
      </c>
      <c r="H1715" s="19" t="n">
        <f aca="false">IF(G1715="",0,G1715)</f>
        <v>0</v>
      </c>
      <c r="I1715" s="18" t="str">
        <f aca="false">IF(H1715&gt;0,IF(H1715&gt;=SUMPRODUCT(MAX(($B$5:$B$2004=B1715)*$H$5:$H$2004)),"Rekor",""),"")</f>
        <v/>
      </c>
      <c r="J1715" s="19" t="n">
        <f aca="false">IF(A1715="",0,IF(COUNTIF(A$5:A1715,A1715)=1,1,0))</f>
        <v>0</v>
      </c>
    </row>
    <row r="1716" customFormat="false" ht="15" hidden="false" customHeight="false" outlineLevel="0" collapsed="false">
      <c r="A1716" s="12"/>
      <c r="B1716" s="13"/>
      <c r="C1716" s="14"/>
      <c r="D1716" s="14"/>
      <c r="E1716" s="15"/>
      <c r="F1716" s="16" t="str">
        <f aca="false">IF(OR(C1716="",D1716="",E1716=""),"",C1716*D1716*E1716)</f>
        <v/>
      </c>
      <c r="G1716" s="17" t="str">
        <f aca="false">IF(OR(D1716="",E1716=""),"",E1716*(1+D1716/30))</f>
        <v/>
      </c>
      <c r="H1716" s="19" t="n">
        <f aca="false">IF(G1716="",0,G1716)</f>
        <v>0</v>
      </c>
      <c r="I1716" s="18" t="str">
        <f aca="false">IF(H1716&gt;0,IF(H1716&gt;=SUMPRODUCT(MAX(($B$5:$B$2004=B1716)*$H$5:$H$2004)),"Rekor",""),"")</f>
        <v/>
      </c>
      <c r="J1716" s="19" t="n">
        <f aca="false">IF(A1716="",0,IF(COUNTIF(A$5:A1716,A1716)=1,1,0))</f>
        <v>0</v>
      </c>
    </row>
    <row r="1717" customFormat="false" ht="15" hidden="false" customHeight="false" outlineLevel="0" collapsed="false">
      <c r="A1717" s="12"/>
      <c r="B1717" s="13"/>
      <c r="C1717" s="14"/>
      <c r="D1717" s="14"/>
      <c r="E1717" s="15"/>
      <c r="F1717" s="16" t="str">
        <f aca="false">IF(OR(C1717="",D1717="",E1717=""),"",C1717*D1717*E1717)</f>
        <v/>
      </c>
      <c r="G1717" s="17" t="str">
        <f aca="false">IF(OR(D1717="",E1717=""),"",E1717*(1+D1717/30))</f>
        <v/>
      </c>
      <c r="H1717" s="19" t="n">
        <f aca="false">IF(G1717="",0,G1717)</f>
        <v>0</v>
      </c>
      <c r="I1717" s="18" t="str">
        <f aca="false">IF(H1717&gt;0,IF(H1717&gt;=SUMPRODUCT(MAX(($B$5:$B$2004=B1717)*$H$5:$H$2004)),"Rekor",""),"")</f>
        <v/>
      </c>
      <c r="J1717" s="19" t="n">
        <f aca="false">IF(A1717="",0,IF(COUNTIF(A$5:A1717,A1717)=1,1,0))</f>
        <v>0</v>
      </c>
    </row>
    <row r="1718" customFormat="false" ht="15" hidden="false" customHeight="false" outlineLevel="0" collapsed="false">
      <c r="A1718" s="12"/>
      <c r="B1718" s="13"/>
      <c r="C1718" s="14"/>
      <c r="D1718" s="14"/>
      <c r="E1718" s="15"/>
      <c r="F1718" s="16" t="str">
        <f aca="false">IF(OR(C1718="",D1718="",E1718=""),"",C1718*D1718*E1718)</f>
        <v/>
      </c>
      <c r="G1718" s="17" t="str">
        <f aca="false">IF(OR(D1718="",E1718=""),"",E1718*(1+D1718/30))</f>
        <v/>
      </c>
      <c r="H1718" s="19" t="n">
        <f aca="false">IF(G1718="",0,G1718)</f>
        <v>0</v>
      </c>
      <c r="I1718" s="18" t="str">
        <f aca="false">IF(H1718&gt;0,IF(H1718&gt;=SUMPRODUCT(MAX(($B$5:$B$2004=B1718)*$H$5:$H$2004)),"Rekor",""),"")</f>
        <v/>
      </c>
      <c r="J1718" s="19" t="n">
        <f aca="false">IF(A1718="",0,IF(COUNTIF(A$5:A1718,A1718)=1,1,0))</f>
        <v>0</v>
      </c>
    </row>
    <row r="1719" customFormat="false" ht="15" hidden="false" customHeight="false" outlineLevel="0" collapsed="false">
      <c r="A1719" s="12"/>
      <c r="B1719" s="13"/>
      <c r="C1719" s="14"/>
      <c r="D1719" s="14"/>
      <c r="E1719" s="15"/>
      <c r="F1719" s="16" t="str">
        <f aca="false">IF(OR(C1719="",D1719="",E1719=""),"",C1719*D1719*E1719)</f>
        <v/>
      </c>
      <c r="G1719" s="17" t="str">
        <f aca="false">IF(OR(D1719="",E1719=""),"",E1719*(1+D1719/30))</f>
        <v/>
      </c>
      <c r="H1719" s="19" t="n">
        <f aca="false">IF(G1719="",0,G1719)</f>
        <v>0</v>
      </c>
      <c r="I1719" s="18" t="str">
        <f aca="false">IF(H1719&gt;0,IF(H1719&gt;=SUMPRODUCT(MAX(($B$5:$B$2004=B1719)*$H$5:$H$2004)),"Rekor",""),"")</f>
        <v/>
      </c>
      <c r="J1719" s="19" t="n">
        <f aca="false">IF(A1719="",0,IF(COUNTIF(A$5:A1719,A1719)=1,1,0))</f>
        <v>0</v>
      </c>
    </row>
    <row r="1720" customFormat="false" ht="15" hidden="false" customHeight="false" outlineLevel="0" collapsed="false">
      <c r="A1720" s="12"/>
      <c r="B1720" s="13"/>
      <c r="C1720" s="14"/>
      <c r="D1720" s="14"/>
      <c r="E1720" s="15"/>
      <c r="F1720" s="16" t="str">
        <f aca="false">IF(OR(C1720="",D1720="",E1720=""),"",C1720*D1720*E1720)</f>
        <v/>
      </c>
      <c r="G1720" s="17" t="str">
        <f aca="false">IF(OR(D1720="",E1720=""),"",E1720*(1+D1720/30))</f>
        <v/>
      </c>
      <c r="H1720" s="19" t="n">
        <f aca="false">IF(G1720="",0,G1720)</f>
        <v>0</v>
      </c>
      <c r="I1720" s="18" t="str">
        <f aca="false">IF(H1720&gt;0,IF(H1720&gt;=SUMPRODUCT(MAX(($B$5:$B$2004=B1720)*$H$5:$H$2004)),"Rekor",""),"")</f>
        <v/>
      </c>
      <c r="J1720" s="19" t="n">
        <f aca="false">IF(A1720="",0,IF(COUNTIF(A$5:A1720,A1720)=1,1,0))</f>
        <v>0</v>
      </c>
    </row>
    <row r="1721" customFormat="false" ht="15" hidden="false" customHeight="false" outlineLevel="0" collapsed="false">
      <c r="A1721" s="12"/>
      <c r="B1721" s="13"/>
      <c r="C1721" s="14"/>
      <c r="D1721" s="14"/>
      <c r="E1721" s="15"/>
      <c r="F1721" s="16" t="str">
        <f aca="false">IF(OR(C1721="",D1721="",E1721=""),"",C1721*D1721*E1721)</f>
        <v/>
      </c>
      <c r="G1721" s="17" t="str">
        <f aca="false">IF(OR(D1721="",E1721=""),"",E1721*(1+D1721/30))</f>
        <v/>
      </c>
      <c r="H1721" s="19" t="n">
        <f aca="false">IF(G1721="",0,G1721)</f>
        <v>0</v>
      </c>
      <c r="I1721" s="18" t="str">
        <f aca="false">IF(H1721&gt;0,IF(H1721&gt;=SUMPRODUCT(MAX(($B$5:$B$2004=B1721)*$H$5:$H$2004)),"Rekor",""),"")</f>
        <v/>
      </c>
      <c r="J1721" s="19" t="n">
        <f aca="false">IF(A1721="",0,IF(COUNTIF(A$5:A1721,A1721)=1,1,0))</f>
        <v>0</v>
      </c>
    </row>
    <row r="1722" customFormat="false" ht="15" hidden="false" customHeight="false" outlineLevel="0" collapsed="false">
      <c r="A1722" s="12"/>
      <c r="B1722" s="13"/>
      <c r="C1722" s="14"/>
      <c r="D1722" s="14"/>
      <c r="E1722" s="15"/>
      <c r="F1722" s="16" t="str">
        <f aca="false">IF(OR(C1722="",D1722="",E1722=""),"",C1722*D1722*E1722)</f>
        <v/>
      </c>
      <c r="G1722" s="17" t="str">
        <f aca="false">IF(OR(D1722="",E1722=""),"",E1722*(1+D1722/30))</f>
        <v/>
      </c>
      <c r="H1722" s="19" t="n">
        <f aca="false">IF(G1722="",0,G1722)</f>
        <v>0</v>
      </c>
      <c r="I1722" s="18" t="str">
        <f aca="false">IF(H1722&gt;0,IF(H1722&gt;=SUMPRODUCT(MAX(($B$5:$B$2004=B1722)*$H$5:$H$2004)),"Rekor",""),"")</f>
        <v/>
      </c>
      <c r="J1722" s="19" t="n">
        <f aca="false">IF(A1722="",0,IF(COUNTIF(A$5:A1722,A1722)=1,1,0))</f>
        <v>0</v>
      </c>
    </row>
    <row r="1723" customFormat="false" ht="15" hidden="false" customHeight="false" outlineLevel="0" collapsed="false">
      <c r="A1723" s="12"/>
      <c r="B1723" s="13"/>
      <c r="C1723" s="14"/>
      <c r="D1723" s="14"/>
      <c r="E1723" s="15"/>
      <c r="F1723" s="16" t="str">
        <f aca="false">IF(OR(C1723="",D1723="",E1723=""),"",C1723*D1723*E1723)</f>
        <v/>
      </c>
      <c r="G1723" s="17" t="str">
        <f aca="false">IF(OR(D1723="",E1723=""),"",E1723*(1+D1723/30))</f>
        <v/>
      </c>
      <c r="H1723" s="19" t="n">
        <f aca="false">IF(G1723="",0,G1723)</f>
        <v>0</v>
      </c>
      <c r="I1723" s="18" t="str">
        <f aca="false">IF(H1723&gt;0,IF(H1723&gt;=SUMPRODUCT(MAX(($B$5:$B$2004=B1723)*$H$5:$H$2004)),"Rekor",""),"")</f>
        <v/>
      </c>
      <c r="J1723" s="19" t="n">
        <f aca="false">IF(A1723="",0,IF(COUNTIF(A$5:A1723,A1723)=1,1,0))</f>
        <v>0</v>
      </c>
    </row>
    <row r="1724" customFormat="false" ht="15" hidden="false" customHeight="false" outlineLevel="0" collapsed="false">
      <c r="A1724" s="12"/>
      <c r="B1724" s="13"/>
      <c r="C1724" s="14"/>
      <c r="D1724" s="14"/>
      <c r="E1724" s="15"/>
      <c r="F1724" s="16" t="str">
        <f aca="false">IF(OR(C1724="",D1724="",E1724=""),"",C1724*D1724*E1724)</f>
        <v/>
      </c>
      <c r="G1724" s="17" t="str">
        <f aca="false">IF(OR(D1724="",E1724=""),"",E1724*(1+D1724/30))</f>
        <v/>
      </c>
      <c r="H1724" s="19" t="n">
        <f aca="false">IF(G1724="",0,G1724)</f>
        <v>0</v>
      </c>
      <c r="I1724" s="18" t="str">
        <f aca="false">IF(H1724&gt;0,IF(H1724&gt;=SUMPRODUCT(MAX(($B$5:$B$2004=B1724)*$H$5:$H$2004)),"Rekor",""),"")</f>
        <v/>
      </c>
      <c r="J1724" s="19" t="n">
        <f aca="false">IF(A1724="",0,IF(COUNTIF(A$5:A1724,A1724)=1,1,0))</f>
        <v>0</v>
      </c>
    </row>
    <row r="1725" customFormat="false" ht="15" hidden="false" customHeight="false" outlineLevel="0" collapsed="false">
      <c r="A1725" s="12"/>
      <c r="B1725" s="13"/>
      <c r="C1725" s="14"/>
      <c r="D1725" s="14"/>
      <c r="E1725" s="15"/>
      <c r="F1725" s="16" t="str">
        <f aca="false">IF(OR(C1725="",D1725="",E1725=""),"",C1725*D1725*E1725)</f>
        <v/>
      </c>
      <c r="G1725" s="17" t="str">
        <f aca="false">IF(OR(D1725="",E1725=""),"",E1725*(1+D1725/30))</f>
        <v/>
      </c>
      <c r="H1725" s="19" t="n">
        <f aca="false">IF(G1725="",0,G1725)</f>
        <v>0</v>
      </c>
      <c r="I1725" s="18" t="str">
        <f aca="false">IF(H1725&gt;0,IF(H1725&gt;=SUMPRODUCT(MAX(($B$5:$B$2004=B1725)*$H$5:$H$2004)),"Rekor",""),"")</f>
        <v/>
      </c>
      <c r="J1725" s="19" t="n">
        <f aca="false">IF(A1725="",0,IF(COUNTIF(A$5:A1725,A1725)=1,1,0))</f>
        <v>0</v>
      </c>
    </row>
    <row r="1726" customFormat="false" ht="15" hidden="false" customHeight="false" outlineLevel="0" collapsed="false">
      <c r="A1726" s="12"/>
      <c r="B1726" s="13"/>
      <c r="C1726" s="14"/>
      <c r="D1726" s="14"/>
      <c r="E1726" s="15"/>
      <c r="F1726" s="16" t="str">
        <f aca="false">IF(OR(C1726="",D1726="",E1726=""),"",C1726*D1726*E1726)</f>
        <v/>
      </c>
      <c r="G1726" s="17" t="str">
        <f aca="false">IF(OR(D1726="",E1726=""),"",E1726*(1+D1726/30))</f>
        <v/>
      </c>
      <c r="H1726" s="19" t="n">
        <f aca="false">IF(G1726="",0,G1726)</f>
        <v>0</v>
      </c>
      <c r="I1726" s="18" t="str">
        <f aca="false">IF(H1726&gt;0,IF(H1726&gt;=SUMPRODUCT(MAX(($B$5:$B$2004=B1726)*$H$5:$H$2004)),"Rekor",""),"")</f>
        <v/>
      </c>
      <c r="J1726" s="19" t="n">
        <f aca="false">IF(A1726="",0,IF(COUNTIF(A$5:A1726,A1726)=1,1,0))</f>
        <v>0</v>
      </c>
    </row>
    <row r="1727" customFormat="false" ht="15" hidden="false" customHeight="false" outlineLevel="0" collapsed="false">
      <c r="A1727" s="12"/>
      <c r="B1727" s="13"/>
      <c r="C1727" s="14"/>
      <c r="D1727" s="14"/>
      <c r="E1727" s="15"/>
      <c r="F1727" s="16" t="str">
        <f aca="false">IF(OR(C1727="",D1727="",E1727=""),"",C1727*D1727*E1727)</f>
        <v/>
      </c>
      <c r="G1727" s="17" t="str">
        <f aca="false">IF(OR(D1727="",E1727=""),"",E1727*(1+D1727/30))</f>
        <v/>
      </c>
      <c r="H1727" s="19" t="n">
        <f aca="false">IF(G1727="",0,G1727)</f>
        <v>0</v>
      </c>
      <c r="I1727" s="18" t="str">
        <f aca="false">IF(H1727&gt;0,IF(H1727&gt;=SUMPRODUCT(MAX(($B$5:$B$2004=B1727)*$H$5:$H$2004)),"Rekor",""),"")</f>
        <v/>
      </c>
      <c r="J1727" s="19" t="n">
        <f aca="false">IF(A1727="",0,IF(COUNTIF(A$5:A1727,A1727)=1,1,0))</f>
        <v>0</v>
      </c>
    </row>
    <row r="1728" customFormat="false" ht="15" hidden="false" customHeight="false" outlineLevel="0" collapsed="false">
      <c r="A1728" s="12"/>
      <c r="B1728" s="13"/>
      <c r="C1728" s="14"/>
      <c r="D1728" s="14"/>
      <c r="E1728" s="15"/>
      <c r="F1728" s="16" t="str">
        <f aca="false">IF(OR(C1728="",D1728="",E1728=""),"",C1728*D1728*E1728)</f>
        <v/>
      </c>
      <c r="G1728" s="17" t="str">
        <f aca="false">IF(OR(D1728="",E1728=""),"",E1728*(1+D1728/30))</f>
        <v/>
      </c>
      <c r="H1728" s="19" t="n">
        <f aca="false">IF(G1728="",0,G1728)</f>
        <v>0</v>
      </c>
      <c r="I1728" s="18" t="str">
        <f aca="false">IF(H1728&gt;0,IF(H1728&gt;=SUMPRODUCT(MAX(($B$5:$B$2004=B1728)*$H$5:$H$2004)),"Rekor",""),"")</f>
        <v/>
      </c>
      <c r="J1728" s="19" t="n">
        <f aca="false">IF(A1728="",0,IF(COUNTIF(A$5:A1728,A1728)=1,1,0))</f>
        <v>0</v>
      </c>
    </row>
    <row r="1729" customFormat="false" ht="15" hidden="false" customHeight="false" outlineLevel="0" collapsed="false">
      <c r="A1729" s="12"/>
      <c r="B1729" s="13"/>
      <c r="C1729" s="14"/>
      <c r="D1729" s="14"/>
      <c r="E1729" s="15"/>
      <c r="F1729" s="16" t="str">
        <f aca="false">IF(OR(C1729="",D1729="",E1729=""),"",C1729*D1729*E1729)</f>
        <v/>
      </c>
      <c r="G1729" s="17" t="str">
        <f aca="false">IF(OR(D1729="",E1729=""),"",E1729*(1+D1729/30))</f>
        <v/>
      </c>
      <c r="H1729" s="19" t="n">
        <f aca="false">IF(G1729="",0,G1729)</f>
        <v>0</v>
      </c>
      <c r="I1729" s="18" t="str">
        <f aca="false">IF(H1729&gt;0,IF(H1729&gt;=SUMPRODUCT(MAX(($B$5:$B$2004=B1729)*$H$5:$H$2004)),"Rekor",""),"")</f>
        <v/>
      </c>
      <c r="J1729" s="19" t="n">
        <f aca="false">IF(A1729="",0,IF(COUNTIF(A$5:A1729,A1729)=1,1,0))</f>
        <v>0</v>
      </c>
    </row>
    <row r="1730" customFormat="false" ht="15" hidden="false" customHeight="false" outlineLevel="0" collapsed="false">
      <c r="A1730" s="12"/>
      <c r="B1730" s="13"/>
      <c r="C1730" s="14"/>
      <c r="D1730" s="14"/>
      <c r="E1730" s="15"/>
      <c r="F1730" s="16" t="str">
        <f aca="false">IF(OR(C1730="",D1730="",E1730=""),"",C1730*D1730*E1730)</f>
        <v/>
      </c>
      <c r="G1730" s="17" t="str">
        <f aca="false">IF(OR(D1730="",E1730=""),"",E1730*(1+D1730/30))</f>
        <v/>
      </c>
      <c r="H1730" s="19" t="n">
        <f aca="false">IF(G1730="",0,G1730)</f>
        <v>0</v>
      </c>
      <c r="I1730" s="18" t="str">
        <f aca="false">IF(H1730&gt;0,IF(H1730&gt;=SUMPRODUCT(MAX(($B$5:$B$2004=B1730)*$H$5:$H$2004)),"Rekor",""),"")</f>
        <v/>
      </c>
      <c r="J1730" s="19" t="n">
        <f aca="false">IF(A1730="",0,IF(COUNTIF(A$5:A1730,A1730)=1,1,0))</f>
        <v>0</v>
      </c>
    </row>
    <row r="1731" customFormat="false" ht="15" hidden="false" customHeight="false" outlineLevel="0" collapsed="false">
      <c r="A1731" s="12"/>
      <c r="B1731" s="13"/>
      <c r="C1731" s="14"/>
      <c r="D1731" s="14"/>
      <c r="E1731" s="15"/>
      <c r="F1731" s="16" t="str">
        <f aca="false">IF(OR(C1731="",D1731="",E1731=""),"",C1731*D1731*E1731)</f>
        <v/>
      </c>
      <c r="G1731" s="17" t="str">
        <f aca="false">IF(OR(D1731="",E1731=""),"",E1731*(1+D1731/30))</f>
        <v/>
      </c>
      <c r="H1731" s="19" t="n">
        <f aca="false">IF(G1731="",0,G1731)</f>
        <v>0</v>
      </c>
      <c r="I1731" s="18" t="str">
        <f aca="false">IF(H1731&gt;0,IF(H1731&gt;=SUMPRODUCT(MAX(($B$5:$B$2004=B1731)*$H$5:$H$2004)),"Rekor",""),"")</f>
        <v/>
      </c>
      <c r="J1731" s="19" t="n">
        <f aca="false">IF(A1731="",0,IF(COUNTIF(A$5:A1731,A1731)=1,1,0))</f>
        <v>0</v>
      </c>
    </row>
    <row r="1732" customFormat="false" ht="15" hidden="false" customHeight="false" outlineLevel="0" collapsed="false">
      <c r="A1732" s="12"/>
      <c r="B1732" s="13"/>
      <c r="C1732" s="14"/>
      <c r="D1732" s="14"/>
      <c r="E1732" s="15"/>
      <c r="F1732" s="16" t="str">
        <f aca="false">IF(OR(C1732="",D1732="",E1732=""),"",C1732*D1732*E1732)</f>
        <v/>
      </c>
      <c r="G1732" s="17" t="str">
        <f aca="false">IF(OR(D1732="",E1732=""),"",E1732*(1+D1732/30))</f>
        <v/>
      </c>
      <c r="H1732" s="19" t="n">
        <f aca="false">IF(G1732="",0,G1732)</f>
        <v>0</v>
      </c>
      <c r="I1732" s="18" t="str">
        <f aca="false">IF(H1732&gt;0,IF(H1732&gt;=SUMPRODUCT(MAX(($B$5:$B$2004=B1732)*$H$5:$H$2004)),"Rekor",""),"")</f>
        <v/>
      </c>
      <c r="J1732" s="19" t="n">
        <f aca="false">IF(A1732="",0,IF(COUNTIF(A$5:A1732,A1732)=1,1,0))</f>
        <v>0</v>
      </c>
    </row>
    <row r="1733" customFormat="false" ht="15" hidden="false" customHeight="false" outlineLevel="0" collapsed="false">
      <c r="A1733" s="12"/>
      <c r="B1733" s="13"/>
      <c r="C1733" s="14"/>
      <c r="D1733" s="14"/>
      <c r="E1733" s="15"/>
      <c r="F1733" s="16" t="str">
        <f aca="false">IF(OR(C1733="",D1733="",E1733=""),"",C1733*D1733*E1733)</f>
        <v/>
      </c>
      <c r="G1733" s="17" t="str">
        <f aca="false">IF(OR(D1733="",E1733=""),"",E1733*(1+D1733/30))</f>
        <v/>
      </c>
      <c r="H1733" s="19" t="n">
        <f aca="false">IF(G1733="",0,G1733)</f>
        <v>0</v>
      </c>
      <c r="I1733" s="18" t="str">
        <f aca="false">IF(H1733&gt;0,IF(H1733&gt;=SUMPRODUCT(MAX(($B$5:$B$2004=B1733)*$H$5:$H$2004)),"Rekor",""),"")</f>
        <v/>
      </c>
      <c r="J1733" s="19" t="n">
        <f aca="false">IF(A1733="",0,IF(COUNTIF(A$5:A1733,A1733)=1,1,0))</f>
        <v>0</v>
      </c>
    </row>
    <row r="1734" customFormat="false" ht="15" hidden="false" customHeight="false" outlineLevel="0" collapsed="false">
      <c r="A1734" s="12"/>
      <c r="B1734" s="13"/>
      <c r="C1734" s="14"/>
      <c r="D1734" s="14"/>
      <c r="E1734" s="15"/>
      <c r="F1734" s="16" t="str">
        <f aca="false">IF(OR(C1734="",D1734="",E1734=""),"",C1734*D1734*E1734)</f>
        <v/>
      </c>
      <c r="G1734" s="17" t="str">
        <f aca="false">IF(OR(D1734="",E1734=""),"",E1734*(1+D1734/30))</f>
        <v/>
      </c>
      <c r="H1734" s="19" t="n">
        <f aca="false">IF(G1734="",0,G1734)</f>
        <v>0</v>
      </c>
      <c r="I1734" s="18" t="str">
        <f aca="false">IF(H1734&gt;0,IF(H1734&gt;=SUMPRODUCT(MAX(($B$5:$B$2004=B1734)*$H$5:$H$2004)),"Rekor",""),"")</f>
        <v/>
      </c>
      <c r="J1734" s="19" t="n">
        <f aca="false">IF(A1734="",0,IF(COUNTIF(A$5:A1734,A1734)=1,1,0))</f>
        <v>0</v>
      </c>
    </row>
    <row r="1735" customFormat="false" ht="15" hidden="false" customHeight="false" outlineLevel="0" collapsed="false">
      <c r="A1735" s="12"/>
      <c r="B1735" s="13"/>
      <c r="C1735" s="14"/>
      <c r="D1735" s="14"/>
      <c r="E1735" s="15"/>
      <c r="F1735" s="16" t="str">
        <f aca="false">IF(OR(C1735="",D1735="",E1735=""),"",C1735*D1735*E1735)</f>
        <v/>
      </c>
      <c r="G1735" s="17" t="str">
        <f aca="false">IF(OR(D1735="",E1735=""),"",E1735*(1+D1735/30))</f>
        <v/>
      </c>
      <c r="H1735" s="19" t="n">
        <f aca="false">IF(G1735="",0,G1735)</f>
        <v>0</v>
      </c>
      <c r="I1735" s="18" t="str">
        <f aca="false">IF(H1735&gt;0,IF(H1735&gt;=SUMPRODUCT(MAX(($B$5:$B$2004=B1735)*$H$5:$H$2004)),"Rekor",""),"")</f>
        <v/>
      </c>
      <c r="J1735" s="19" t="n">
        <f aca="false">IF(A1735="",0,IF(COUNTIF(A$5:A1735,A1735)=1,1,0))</f>
        <v>0</v>
      </c>
    </row>
    <row r="1736" customFormat="false" ht="15" hidden="false" customHeight="false" outlineLevel="0" collapsed="false">
      <c r="A1736" s="12"/>
      <c r="B1736" s="13"/>
      <c r="C1736" s="14"/>
      <c r="D1736" s="14"/>
      <c r="E1736" s="15"/>
      <c r="F1736" s="16" t="str">
        <f aca="false">IF(OR(C1736="",D1736="",E1736=""),"",C1736*D1736*E1736)</f>
        <v/>
      </c>
      <c r="G1736" s="17" t="str">
        <f aca="false">IF(OR(D1736="",E1736=""),"",E1736*(1+D1736/30))</f>
        <v/>
      </c>
      <c r="H1736" s="19" t="n">
        <f aca="false">IF(G1736="",0,G1736)</f>
        <v>0</v>
      </c>
      <c r="I1736" s="18" t="str">
        <f aca="false">IF(H1736&gt;0,IF(H1736&gt;=SUMPRODUCT(MAX(($B$5:$B$2004=B1736)*$H$5:$H$2004)),"Rekor",""),"")</f>
        <v/>
      </c>
      <c r="J1736" s="19" t="n">
        <f aca="false">IF(A1736="",0,IF(COUNTIF(A$5:A1736,A1736)=1,1,0))</f>
        <v>0</v>
      </c>
    </row>
    <row r="1737" customFormat="false" ht="15" hidden="false" customHeight="false" outlineLevel="0" collapsed="false">
      <c r="A1737" s="12"/>
      <c r="B1737" s="13"/>
      <c r="C1737" s="14"/>
      <c r="D1737" s="14"/>
      <c r="E1737" s="15"/>
      <c r="F1737" s="16" t="str">
        <f aca="false">IF(OR(C1737="",D1737="",E1737=""),"",C1737*D1737*E1737)</f>
        <v/>
      </c>
      <c r="G1737" s="17" t="str">
        <f aca="false">IF(OR(D1737="",E1737=""),"",E1737*(1+D1737/30))</f>
        <v/>
      </c>
      <c r="H1737" s="19" t="n">
        <f aca="false">IF(G1737="",0,G1737)</f>
        <v>0</v>
      </c>
      <c r="I1737" s="18" t="str">
        <f aca="false">IF(H1737&gt;0,IF(H1737&gt;=SUMPRODUCT(MAX(($B$5:$B$2004=B1737)*$H$5:$H$2004)),"Rekor",""),"")</f>
        <v/>
      </c>
      <c r="J1737" s="19" t="n">
        <f aca="false">IF(A1737="",0,IF(COUNTIF(A$5:A1737,A1737)=1,1,0))</f>
        <v>0</v>
      </c>
    </row>
    <row r="1738" customFormat="false" ht="15" hidden="false" customHeight="false" outlineLevel="0" collapsed="false">
      <c r="A1738" s="12"/>
      <c r="B1738" s="13"/>
      <c r="C1738" s="14"/>
      <c r="D1738" s="14"/>
      <c r="E1738" s="15"/>
      <c r="F1738" s="16" t="str">
        <f aca="false">IF(OR(C1738="",D1738="",E1738=""),"",C1738*D1738*E1738)</f>
        <v/>
      </c>
      <c r="G1738" s="17" t="str">
        <f aca="false">IF(OR(D1738="",E1738=""),"",E1738*(1+D1738/30))</f>
        <v/>
      </c>
      <c r="H1738" s="19" t="n">
        <f aca="false">IF(G1738="",0,G1738)</f>
        <v>0</v>
      </c>
      <c r="I1738" s="18" t="str">
        <f aca="false">IF(H1738&gt;0,IF(H1738&gt;=SUMPRODUCT(MAX(($B$5:$B$2004=B1738)*$H$5:$H$2004)),"Rekor",""),"")</f>
        <v/>
      </c>
      <c r="J1738" s="19" t="n">
        <f aca="false">IF(A1738="",0,IF(COUNTIF(A$5:A1738,A1738)=1,1,0))</f>
        <v>0</v>
      </c>
    </row>
    <row r="1739" customFormat="false" ht="15" hidden="false" customHeight="false" outlineLevel="0" collapsed="false">
      <c r="A1739" s="12"/>
      <c r="B1739" s="13"/>
      <c r="C1739" s="14"/>
      <c r="D1739" s="14"/>
      <c r="E1739" s="15"/>
      <c r="F1739" s="16" t="str">
        <f aca="false">IF(OR(C1739="",D1739="",E1739=""),"",C1739*D1739*E1739)</f>
        <v/>
      </c>
      <c r="G1739" s="17" t="str">
        <f aca="false">IF(OR(D1739="",E1739=""),"",E1739*(1+D1739/30))</f>
        <v/>
      </c>
      <c r="H1739" s="19" t="n">
        <f aca="false">IF(G1739="",0,G1739)</f>
        <v>0</v>
      </c>
      <c r="I1739" s="18" t="str">
        <f aca="false">IF(H1739&gt;0,IF(H1739&gt;=SUMPRODUCT(MAX(($B$5:$B$2004=B1739)*$H$5:$H$2004)),"Rekor",""),"")</f>
        <v/>
      </c>
      <c r="J1739" s="19" t="n">
        <f aca="false">IF(A1739="",0,IF(COUNTIF(A$5:A1739,A1739)=1,1,0))</f>
        <v>0</v>
      </c>
    </row>
    <row r="1740" customFormat="false" ht="15" hidden="false" customHeight="false" outlineLevel="0" collapsed="false">
      <c r="A1740" s="12"/>
      <c r="B1740" s="13"/>
      <c r="C1740" s="14"/>
      <c r="D1740" s="14"/>
      <c r="E1740" s="15"/>
      <c r="F1740" s="16" t="str">
        <f aca="false">IF(OR(C1740="",D1740="",E1740=""),"",C1740*D1740*E1740)</f>
        <v/>
      </c>
      <c r="G1740" s="17" t="str">
        <f aca="false">IF(OR(D1740="",E1740=""),"",E1740*(1+D1740/30))</f>
        <v/>
      </c>
      <c r="H1740" s="19" t="n">
        <f aca="false">IF(G1740="",0,G1740)</f>
        <v>0</v>
      </c>
      <c r="I1740" s="18" t="str">
        <f aca="false">IF(H1740&gt;0,IF(H1740&gt;=SUMPRODUCT(MAX(($B$5:$B$2004=B1740)*$H$5:$H$2004)),"Rekor",""),"")</f>
        <v/>
      </c>
      <c r="J1740" s="19" t="n">
        <f aca="false">IF(A1740="",0,IF(COUNTIF(A$5:A1740,A1740)=1,1,0))</f>
        <v>0</v>
      </c>
    </row>
    <row r="1741" customFormat="false" ht="15" hidden="false" customHeight="false" outlineLevel="0" collapsed="false">
      <c r="A1741" s="12"/>
      <c r="B1741" s="13"/>
      <c r="C1741" s="14"/>
      <c r="D1741" s="14"/>
      <c r="E1741" s="15"/>
      <c r="F1741" s="16" t="str">
        <f aca="false">IF(OR(C1741="",D1741="",E1741=""),"",C1741*D1741*E1741)</f>
        <v/>
      </c>
      <c r="G1741" s="17" t="str">
        <f aca="false">IF(OR(D1741="",E1741=""),"",E1741*(1+D1741/30))</f>
        <v/>
      </c>
      <c r="H1741" s="19" t="n">
        <f aca="false">IF(G1741="",0,G1741)</f>
        <v>0</v>
      </c>
      <c r="I1741" s="18" t="str">
        <f aca="false">IF(H1741&gt;0,IF(H1741&gt;=SUMPRODUCT(MAX(($B$5:$B$2004=B1741)*$H$5:$H$2004)),"Rekor",""),"")</f>
        <v/>
      </c>
      <c r="J1741" s="19" t="n">
        <f aca="false">IF(A1741="",0,IF(COUNTIF(A$5:A1741,A1741)=1,1,0))</f>
        <v>0</v>
      </c>
    </row>
    <row r="1742" customFormat="false" ht="15" hidden="false" customHeight="false" outlineLevel="0" collapsed="false">
      <c r="A1742" s="12"/>
      <c r="B1742" s="13"/>
      <c r="C1742" s="14"/>
      <c r="D1742" s="14"/>
      <c r="E1742" s="15"/>
      <c r="F1742" s="16" t="str">
        <f aca="false">IF(OR(C1742="",D1742="",E1742=""),"",C1742*D1742*E1742)</f>
        <v/>
      </c>
      <c r="G1742" s="17" t="str">
        <f aca="false">IF(OR(D1742="",E1742=""),"",E1742*(1+D1742/30))</f>
        <v/>
      </c>
      <c r="H1742" s="19" t="n">
        <f aca="false">IF(G1742="",0,G1742)</f>
        <v>0</v>
      </c>
      <c r="I1742" s="18" t="str">
        <f aca="false">IF(H1742&gt;0,IF(H1742&gt;=SUMPRODUCT(MAX(($B$5:$B$2004=B1742)*$H$5:$H$2004)),"Rekor",""),"")</f>
        <v/>
      </c>
      <c r="J1742" s="19" t="n">
        <f aca="false">IF(A1742="",0,IF(COUNTIF(A$5:A1742,A1742)=1,1,0))</f>
        <v>0</v>
      </c>
    </row>
    <row r="1743" customFormat="false" ht="15" hidden="false" customHeight="false" outlineLevel="0" collapsed="false">
      <c r="A1743" s="12"/>
      <c r="B1743" s="13"/>
      <c r="C1743" s="14"/>
      <c r="D1743" s="14"/>
      <c r="E1743" s="15"/>
      <c r="F1743" s="16" t="str">
        <f aca="false">IF(OR(C1743="",D1743="",E1743=""),"",C1743*D1743*E1743)</f>
        <v/>
      </c>
      <c r="G1743" s="17" t="str">
        <f aca="false">IF(OR(D1743="",E1743=""),"",E1743*(1+D1743/30))</f>
        <v/>
      </c>
      <c r="H1743" s="19" t="n">
        <f aca="false">IF(G1743="",0,G1743)</f>
        <v>0</v>
      </c>
      <c r="I1743" s="18" t="str">
        <f aca="false">IF(H1743&gt;0,IF(H1743&gt;=SUMPRODUCT(MAX(($B$5:$B$2004=B1743)*$H$5:$H$2004)),"Rekor",""),"")</f>
        <v/>
      </c>
      <c r="J1743" s="19" t="n">
        <f aca="false">IF(A1743="",0,IF(COUNTIF(A$5:A1743,A1743)=1,1,0))</f>
        <v>0</v>
      </c>
    </row>
    <row r="1744" customFormat="false" ht="15" hidden="false" customHeight="false" outlineLevel="0" collapsed="false">
      <c r="A1744" s="12"/>
      <c r="B1744" s="13"/>
      <c r="C1744" s="14"/>
      <c r="D1744" s="14"/>
      <c r="E1744" s="15"/>
      <c r="F1744" s="16" t="str">
        <f aca="false">IF(OR(C1744="",D1744="",E1744=""),"",C1744*D1744*E1744)</f>
        <v/>
      </c>
      <c r="G1744" s="17" t="str">
        <f aca="false">IF(OR(D1744="",E1744=""),"",E1744*(1+D1744/30))</f>
        <v/>
      </c>
      <c r="H1744" s="19" t="n">
        <f aca="false">IF(G1744="",0,G1744)</f>
        <v>0</v>
      </c>
      <c r="I1744" s="18" t="str">
        <f aca="false">IF(H1744&gt;0,IF(H1744&gt;=SUMPRODUCT(MAX(($B$5:$B$2004=B1744)*$H$5:$H$2004)),"Rekor",""),"")</f>
        <v/>
      </c>
      <c r="J1744" s="19" t="n">
        <f aca="false">IF(A1744="",0,IF(COUNTIF(A$5:A1744,A1744)=1,1,0))</f>
        <v>0</v>
      </c>
    </row>
    <row r="1745" customFormat="false" ht="15" hidden="false" customHeight="false" outlineLevel="0" collapsed="false">
      <c r="A1745" s="12"/>
      <c r="B1745" s="13"/>
      <c r="C1745" s="14"/>
      <c r="D1745" s="14"/>
      <c r="E1745" s="15"/>
      <c r="F1745" s="16" t="str">
        <f aca="false">IF(OR(C1745="",D1745="",E1745=""),"",C1745*D1745*E1745)</f>
        <v/>
      </c>
      <c r="G1745" s="17" t="str">
        <f aca="false">IF(OR(D1745="",E1745=""),"",E1745*(1+D1745/30))</f>
        <v/>
      </c>
      <c r="H1745" s="19" t="n">
        <f aca="false">IF(G1745="",0,G1745)</f>
        <v>0</v>
      </c>
      <c r="I1745" s="18" t="str">
        <f aca="false">IF(H1745&gt;0,IF(H1745&gt;=SUMPRODUCT(MAX(($B$5:$B$2004=B1745)*$H$5:$H$2004)),"Rekor",""),"")</f>
        <v/>
      </c>
      <c r="J1745" s="19" t="n">
        <f aca="false">IF(A1745="",0,IF(COUNTIF(A$5:A1745,A1745)=1,1,0))</f>
        <v>0</v>
      </c>
    </row>
    <row r="1746" customFormat="false" ht="15" hidden="false" customHeight="false" outlineLevel="0" collapsed="false">
      <c r="A1746" s="12"/>
      <c r="B1746" s="13"/>
      <c r="C1746" s="14"/>
      <c r="D1746" s="14"/>
      <c r="E1746" s="15"/>
      <c r="F1746" s="16" t="str">
        <f aca="false">IF(OR(C1746="",D1746="",E1746=""),"",C1746*D1746*E1746)</f>
        <v/>
      </c>
      <c r="G1746" s="17" t="str">
        <f aca="false">IF(OR(D1746="",E1746=""),"",E1746*(1+D1746/30))</f>
        <v/>
      </c>
      <c r="H1746" s="19" t="n">
        <f aca="false">IF(G1746="",0,G1746)</f>
        <v>0</v>
      </c>
      <c r="I1746" s="18" t="str">
        <f aca="false">IF(H1746&gt;0,IF(H1746&gt;=SUMPRODUCT(MAX(($B$5:$B$2004=B1746)*$H$5:$H$2004)),"Rekor",""),"")</f>
        <v/>
      </c>
      <c r="J1746" s="19" t="n">
        <f aca="false">IF(A1746="",0,IF(COUNTIF(A$5:A1746,A1746)=1,1,0))</f>
        <v>0</v>
      </c>
    </row>
    <row r="1747" customFormat="false" ht="15" hidden="false" customHeight="false" outlineLevel="0" collapsed="false">
      <c r="A1747" s="12"/>
      <c r="B1747" s="13"/>
      <c r="C1747" s="14"/>
      <c r="D1747" s="14"/>
      <c r="E1747" s="15"/>
      <c r="F1747" s="16" t="str">
        <f aca="false">IF(OR(C1747="",D1747="",E1747=""),"",C1747*D1747*E1747)</f>
        <v/>
      </c>
      <c r="G1747" s="17" t="str">
        <f aca="false">IF(OR(D1747="",E1747=""),"",E1747*(1+D1747/30))</f>
        <v/>
      </c>
      <c r="H1747" s="19" t="n">
        <f aca="false">IF(G1747="",0,G1747)</f>
        <v>0</v>
      </c>
      <c r="I1747" s="18" t="str">
        <f aca="false">IF(H1747&gt;0,IF(H1747&gt;=SUMPRODUCT(MAX(($B$5:$B$2004=B1747)*$H$5:$H$2004)),"Rekor",""),"")</f>
        <v/>
      </c>
      <c r="J1747" s="19" t="n">
        <f aca="false">IF(A1747="",0,IF(COUNTIF(A$5:A1747,A1747)=1,1,0))</f>
        <v>0</v>
      </c>
    </row>
    <row r="1748" customFormat="false" ht="15" hidden="false" customHeight="false" outlineLevel="0" collapsed="false">
      <c r="A1748" s="12"/>
      <c r="B1748" s="13"/>
      <c r="C1748" s="14"/>
      <c r="D1748" s="14"/>
      <c r="E1748" s="15"/>
      <c r="F1748" s="16" t="str">
        <f aca="false">IF(OR(C1748="",D1748="",E1748=""),"",C1748*D1748*E1748)</f>
        <v/>
      </c>
      <c r="G1748" s="17" t="str">
        <f aca="false">IF(OR(D1748="",E1748=""),"",E1748*(1+D1748/30))</f>
        <v/>
      </c>
      <c r="H1748" s="19" t="n">
        <f aca="false">IF(G1748="",0,G1748)</f>
        <v>0</v>
      </c>
      <c r="I1748" s="18" t="str">
        <f aca="false">IF(H1748&gt;0,IF(H1748&gt;=SUMPRODUCT(MAX(($B$5:$B$2004=B1748)*$H$5:$H$2004)),"Rekor",""),"")</f>
        <v/>
      </c>
      <c r="J1748" s="19" t="n">
        <f aca="false">IF(A1748="",0,IF(COUNTIF(A$5:A1748,A1748)=1,1,0))</f>
        <v>0</v>
      </c>
    </row>
    <row r="1749" customFormat="false" ht="15" hidden="false" customHeight="false" outlineLevel="0" collapsed="false">
      <c r="A1749" s="12"/>
      <c r="B1749" s="13"/>
      <c r="C1749" s="14"/>
      <c r="D1749" s="14"/>
      <c r="E1749" s="15"/>
      <c r="F1749" s="16" t="str">
        <f aca="false">IF(OR(C1749="",D1749="",E1749=""),"",C1749*D1749*E1749)</f>
        <v/>
      </c>
      <c r="G1749" s="17" t="str">
        <f aca="false">IF(OR(D1749="",E1749=""),"",E1749*(1+D1749/30))</f>
        <v/>
      </c>
      <c r="H1749" s="19" t="n">
        <f aca="false">IF(G1749="",0,G1749)</f>
        <v>0</v>
      </c>
      <c r="I1749" s="18" t="str">
        <f aca="false">IF(H1749&gt;0,IF(H1749&gt;=SUMPRODUCT(MAX(($B$5:$B$2004=B1749)*$H$5:$H$2004)),"Rekor",""),"")</f>
        <v/>
      </c>
      <c r="J1749" s="19" t="n">
        <f aca="false">IF(A1749="",0,IF(COUNTIF(A$5:A1749,A1749)=1,1,0))</f>
        <v>0</v>
      </c>
    </row>
    <row r="1750" customFormat="false" ht="15" hidden="false" customHeight="false" outlineLevel="0" collapsed="false">
      <c r="A1750" s="12"/>
      <c r="B1750" s="13"/>
      <c r="C1750" s="14"/>
      <c r="D1750" s="14"/>
      <c r="E1750" s="15"/>
      <c r="F1750" s="16" t="str">
        <f aca="false">IF(OR(C1750="",D1750="",E1750=""),"",C1750*D1750*E1750)</f>
        <v/>
      </c>
      <c r="G1750" s="17" t="str">
        <f aca="false">IF(OR(D1750="",E1750=""),"",E1750*(1+D1750/30))</f>
        <v/>
      </c>
      <c r="H1750" s="19" t="n">
        <f aca="false">IF(G1750="",0,G1750)</f>
        <v>0</v>
      </c>
      <c r="I1750" s="18" t="str">
        <f aca="false">IF(H1750&gt;0,IF(H1750&gt;=SUMPRODUCT(MAX(($B$5:$B$2004=B1750)*$H$5:$H$2004)),"Rekor",""),"")</f>
        <v/>
      </c>
      <c r="J1750" s="19" t="n">
        <f aca="false">IF(A1750="",0,IF(COUNTIF(A$5:A1750,A1750)=1,1,0))</f>
        <v>0</v>
      </c>
    </row>
    <row r="1751" customFormat="false" ht="15" hidden="false" customHeight="false" outlineLevel="0" collapsed="false">
      <c r="A1751" s="12"/>
      <c r="B1751" s="13"/>
      <c r="C1751" s="14"/>
      <c r="D1751" s="14"/>
      <c r="E1751" s="15"/>
      <c r="F1751" s="16" t="str">
        <f aca="false">IF(OR(C1751="",D1751="",E1751=""),"",C1751*D1751*E1751)</f>
        <v/>
      </c>
      <c r="G1751" s="17" t="str">
        <f aca="false">IF(OR(D1751="",E1751=""),"",E1751*(1+D1751/30))</f>
        <v/>
      </c>
      <c r="H1751" s="19" t="n">
        <f aca="false">IF(G1751="",0,G1751)</f>
        <v>0</v>
      </c>
      <c r="I1751" s="18" t="str">
        <f aca="false">IF(H1751&gt;0,IF(H1751&gt;=SUMPRODUCT(MAX(($B$5:$B$2004=B1751)*$H$5:$H$2004)),"Rekor",""),"")</f>
        <v/>
      </c>
      <c r="J1751" s="19" t="n">
        <f aca="false">IF(A1751="",0,IF(COUNTIF(A$5:A1751,A1751)=1,1,0))</f>
        <v>0</v>
      </c>
    </row>
    <row r="1752" customFormat="false" ht="15" hidden="false" customHeight="false" outlineLevel="0" collapsed="false">
      <c r="A1752" s="12"/>
      <c r="B1752" s="13"/>
      <c r="C1752" s="14"/>
      <c r="D1752" s="14"/>
      <c r="E1752" s="15"/>
      <c r="F1752" s="16" t="str">
        <f aca="false">IF(OR(C1752="",D1752="",E1752=""),"",C1752*D1752*E1752)</f>
        <v/>
      </c>
      <c r="G1752" s="17" t="str">
        <f aca="false">IF(OR(D1752="",E1752=""),"",E1752*(1+D1752/30))</f>
        <v/>
      </c>
      <c r="H1752" s="19" t="n">
        <f aca="false">IF(G1752="",0,G1752)</f>
        <v>0</v>
      </c>
      <c r="I1752" s="18" t="str">
        <f aca="false">IF(H1752&gt;0,IF(H1752&gt;=SUMPRODUCT(MAX(($B$5:$B$2004=B1752)*$H$5:$H$2004)),"Rekor",""),"")</f>
        <v/>
      </c>
      <c r="J1752" s="19" t="n">
        <f aca="false">IF(A1752="",0,IF(COUNTIF(A$5:A1752,A1752)=1,1,0))</f>
        <v>0</v>
      </c>
    </row>
    <row r="1753" customFormat="false" ht="15" hidden="false" customHeight="false" outlineLevel="0" collapsed="false">
      <c r="A1753" s="12"/>
      <c r="B1753" s="13"/>
      <c r="C1753" s="14"/>
      <c r="D1753" s="14"/>
      <c r="E1753" s="15"/>
      <c r="F1753" s="16" t="str">
        <f aca="false">IF(OR(C1753="",D1753="",E1753=""),"",C1753*D1753*E1753)</f>
        <v/>
      </c>
      <c r="G1753" s="17" t="str">
        <f aca="false">IF(OR(D1753="",E1753=""),"",E1753*(1+D1753/30))</f>
        <v/>
      </c>
      <c r="H1753" s="19" t="n">
        <f aca="false">IF(G1753="",0,G1753)</f>
        <v>0</v>
      </c>
      <c r="I1753" s="18" t="str">
        <f aca="false">IF(H1753&gt;0,IF(H1753&gt;=SUMPRODUCT(MAX(($B$5:$B$2004=B1753)*$H$5:$H$2004)),"Rekor",""),"")</f>
        <v/>
      </c>
      <c r="J1753" s="19" t="n">
        <f aca="false">IF(A1753="",0,IF(COUNTIF(A$5:A1753,A1753)=1,1,0))</f>
        <v>0</v>
      </c>
    </row>
    <row r="1754" customFormat="false" ht="15" hidden="false" customHeight="false" outlineLevel="0" collapsed="false">
      <c r="A1754" s="12"/>
      <c r="B1754" s="13"/>
      <c r="C1754" s="14"/>
      <c r="D1754" s="14"/>
      <c r="E1754" s="15"/>
      <c r="F1754" s="16" t="str">
        <f aca="false">IF(OR(C1754="",D1754="",E1754=""),"",C1754*D1754*E1754)</f>
        <v/>
      </c>
      <c r="G1754" s="17" t="str">
        <f aca="false">IF(OR(D1754="",E1754=""),"",E1754*(1+D1754/30))</f>
        <v/>
      </c>
      <c r="H1754" s="19" t="n">
        <f aca="false">IF(G1754="",0,G1754)</f>
        <v>0</v>
      </c>
      <c r="I1754" s="18" t="str">
        <f aca="false">IF(H1754&gt;0,IF(H1754&gt;=SUMPRODUCT(MAX(($B$5:$B$2004=B1754)*$H$5:$H$2004)),"Rekor",""),"")</f>
        <v/>
      </c>
      <c r="J1754" s="19" t="n">
        <f aca="false">IF(A1754="",0,IF(COUNTIF(A$5:A1754,A1754)=1,1,0))</f>
        <v>0</v>
      </c>
    </row>
    <row r="1755" customFormat="false" ht="15" hidden="false" customHeight="false" outlineLevel="0" collapsed="false">
      <c r="A1755" s="12"/>
      <c r="B1755" s="13"/>
      <c r="C1755" s="14"/>
      <c r="D1755" s="14"/>
      <c r="E1755" s="15"/>
      <c r="F1755" s="16" t="str">
        <f aca="false">IF(OR(C1755="",D1755="",E1755=""),"",C1755*D1755*E1755)</f>
        <v/>
      </c>
      <c r="G1755" s="17" t="str">
        <f aca="false">IF(OR(D1755="",E1755=""),"",E1755*(1+D1755/30))</f>
        <v/>
      </c>
      <c r="H1755" s="19" t="n">
        <f aca="false">IF(G1755="",0,G1755)</f>
        <v>0</v>
      </c>
      <c r="I1755" s="18" t="str">
        <f aca="false">IF(H1755&gt;0,IF(H1755&gt;=SUMPRODUCT(MAX(($B$5:$B$2004=B1755)*$H$5:$H$2004)),"Rekor",""),"")</f>
        <v/>
      </c>
      <c r="J1755" s="19" t="n">
        <f aca="false">IF(A1755="",0,IF(COUNTIF(A$5:A1755,A1755)=1,1,0))</f>
        <v>0</v>
      </c>
    </row>
    <row r="1756" customFormat="false" ht="15" hidden="false" customHeight="false" outlineLevel="0" collapsed="false">
      <c r="A1756" s="12"/>
      <c r="B1756" s="13"/>
      <c r="C1756" s="14"/>
      <c r="D1756" s="14"/>
      <c r="E1756" s="15"/>
      <c r="F1756" s="16" t="str">
        <f aca="false">IF(OR(C1756="",D1756="",E1756=""),"",C1756*D1756*E1756)</f>
        <v/>
      </c>
      <c r="G1756" s="17" t="str">
        <f aca="false">IF(OR(D1756="",E1756=""),"",E1756*(1+D1756/30))</f>
        <v/>
      </c>
      <c r="H1756" s="19" t="n">
        <f aca="false">IF(G1756="",0,G1756)</f>
        <v>0</v>
      </c>
      <c r="I1756" s="18" t="str">
        <f aca="false">IF(H1756&gt;0,IF(H1756&gt;=SUMPRODUCT(MAX(($B$5:$B$2004=B1756)*$H$5:$H$2004)),"Rekor",""),"")</f>
        <v/>
      </c>
      <c r="J1756" s="19" t="n">
        <f aca="false">IF(A1756="",0,IF(COUNTIF(A$5:A1756,A1756)=1,1,0))</f>
        <v>0</v>
      </c>
    </row>
    <row r="1757" customFormat="false" ht="15" hidden="false" customHeight="false" outlineLevel="0" collapsed="false">
      <c r="A1757" s="12"/>
      <c r="B1757" s="13"/>
      <c r="C1757" s="14"/>
      <c r="D1757" s="14"/>
      <c r="E1757" s="15"/>
      <c r="F1757" s="16" t="str">
        <f aca="false">IF(OR(C1757="",D1757="",E1757=""),"",C1757*D1757*E1757)</f>
        <v/>
      </c>
      <c r="G1757" s="17" t="str">
        <f aca="false">IF(OR(D1757="",E1757=""),"",E1757*(1+D1757/30))</f>
        <v/>
      </c>
      <c r="H1757" s="19" t="n">
        <f aca="false">IF(G1757="",0,G1757)</f>
        <v>0</v>
      </c>
      <c r="I1757" s="18" t="str">
        <f aca="false">IF(H1757&gt;0,IF(H1757&gt;=SUMPRODUCT(MAX(($B$5:$B$2004=B1757)*$H$5:$H$2004)),"Rekor",""),"")</f>
        <v/>
      </c>
      <c r="J1757" s="19" t="n">
        <f aca="false">IF(A1757="",0,IF(COUNTIF(A$5:A1757,A1757)=1,1,0))</f>
        <v>0</v>
      </c>
    </row>
    <row r="1758" customFormat="false" ht="15" hidden="false" customHeight="false" outlineLevel="0" collapsed="false">
      <c r="A1758" s="12"/>
      <c r="B1758" s="13"/>
      <c r="C1758" s="14"/>
      <c r="D1758" s="14"/>
      <c r="E1758" s="15"/>
      <c r="F1758" s="16" t="str">
        <f aca="false">IF(OR(C1758="",D1758="",E1758=""),"",C1758*D1758*E1758)</f>
        <v/>
      </c>
      <c r="G1758" s="17" t="str">
        <f aca="false">IF(OR(D1758="",E1758=""),"",E1758*(1+D1758/30))</f>
        <v/>
      </c>
      <c r="H1758" s="19" t="n">
        <f aca="false">IF(G1758="",0,G1758)</f>
        <v>0</v>
      </c>
      <c r="I1758" s="18" t="str">
        <f aca="false">IF(H1758&gt;0,IF(H1758&gt;=SUMPRODUCT(MAX(($B$5:$B$2004=B1758)*$H$5:$H$2004)),"Rekor",""),"")</f>
        <v/>
      </c>
      <c r="J1758" s="19" t="n">
        <f aca="false">IF(A1758="",0,IF(COUNTIF(A$5:A1758,A1758)=1,1,0))</f>
        <v>0</v>
      </c>
    </row>
    <row r="1759" customFormat="false" ht="15" hidden="false" customHeight="false" outlineLevel="0" collapsed="false">
      <c r="A1759" s="12"/>
      <c r="B1759" s="13"/>
      <c r="C1759" s="14"/>
      <c r="D1759" s="14"/>
      <c r="E1759" s="15"/>
      <c r="F1759" s="16" t="str">
        <f aca="false">IF(OR(C1759="",D1759="",E1759=""),"",C1759*D1759*E1759)</f>
        <v/>
      </c>
      <c r="G1759" s="17" t="str">
        <f aca="false">IF(OR(D1759="",E1759=""),"",E1759*(1+D1759/30))</f>
        <v/>
      </c>
      <c r="H1759" s="19" t="n">
        <f aca="false">IF(G1759="",0,G1759)</f>
        <v>0</v>
      </c>
      <c r="I1759" s="18" t="str">
        <f aca="false">IF(H1759&gt;0,IF(H1759&gt;=SUMPRODUCT(MAX(($B$5:$B$2004=B1759)*$H$5:$H$2004)),"Rekor",""),"")</f>
        <v/>
      </c>
      <c r="J1759" s="19" t="n">
        <f aca="false">IF(A1759="",0,IF(COUNTIF(A$5:A1759,A1759)=1,1,0))</f>
        <v>0</v>
      </c>
    </row>
    <row r="1760" customFormat="false" ht="15" hidden="false" customHeight="false" outlineLevel="0" collapsed="false">
      <c r="A1760" s="12"/>
      <c r="B1760" s="13"/>
      <c r="C1760" s="14"/>
      <c r="D1760" s="14"/>
      <c r="E1760" s="15"/>
      <c r="F1760" s="16" t="str">
        <f aca="false">IF(OR(C1760="",D1760="",E1760=""),"",C1760*D1760*E1760)</f>
        <v/>
      </c>
      <c r="G1760" s="17" t="str">
        <f aca="false">IF(OR(D1760="",E1760=""),"",E1760*(1+D1760/30))</f>
        <v/>
      </c>
      <c r="H1760" s="19" t="n">
        <f aca="false">IF(G1760="",0,G1760)</f>
        <v>0</v>
      </c>
      <c r="I1760" s="18" t="str">
        <f aca="false">IF(H1760&gt;0,IF(H1760&gt;=SUMPRODUCT(MAX(($B$5:$B$2004=B1760)*$H$5:$H$2004)),"Rekor",""),"")</f>
        <v/>
      </c>
      <c r="J1760" s="19" t="n">
        <f aca="false">IF(A1760="",0,IF(COUNTIF(A$5:A1760,A1760)=1,1,0))</f>
        <v>0</v>
      </c>
    </row>
    <row r="1761" customFormat="false" ht="15" hidden="false" customHeight="false" outlineLevel="0" collapsed="false">
      <c r="A1761" s="12"/>
      <c r="B1761" s="13"/>
      <c r="C1761" s="14"/>
      <c r="D1761" s="14"/>
      <c r="E1761" s="15"/>
      <c r="F1761" s="16" t="str">
        <f aca="false">IF(OR(C1761="",D1761="",E1761=""),"",C1761*D1761*E1761)</f>
        <v/>
      </c>
      <c r="G1761" s="17" t="str">
        <f aca="false">IF(OR(D1761="",E1761=""),"",E1761*(1+D1761/30))</f>
        <v/>
      </c>
      <c r="H1761" s="19" t="n">
        <f aca="false">IF(G1761="",0,G1761)</f>
        <v>0</v>
      </c>
      <c r="I1761" s="18" t="str">
        <f aca="false">IF(H1761&gt;0,IF(H1761&gt;=SUMPRODUCT(MAX(($B$5:$B$2004=B1761)*$H$5:$H$2004)),"Rekor",""),"")</f>
        <v/>
      </c>
      <c r="J1761" s="19" t="n">
        <f aca="false">IF(A1761="",0,IF(COUNTIF(A$5:A1761,A1761)=1,1,0))</f>
        <v>0</v>
      </c>
    </row>
    <row r="1762" customFormat="false" ht="15" hidden="false" customHeight="false" outlineLevel="0" collapsed="false">
      <c r="A1762" s="12"/>
      <c r="B1762" s="13"/>
      <c r="C1762" s="14"/>
      <c r="D1762" s="14"/>
      <c r="E1762" s="15"/>
      <c r="F1762" s="16" t="str">
        <f aca="false">IF(OR(C1762="",D1762="",E1762=""),"",C1762*D1762*E1762)</f>
        <v/>
      </c>
      <c r="G1762" s="17" t="str">
        <f aca="false">IF(OR(D1762="",E1762=""),"",E1762*(1+D1762/30))</f>
        <v/>
      </c>
      <c r="H1762" s="19" t="n">
        <f aca="false">IF(G1762="",0,G1762)</f>
        <v>0</v>
      </c>
      <c r="I1762" s="18" t="str">
        <f aca="false">IF(H1762&gt;0,IF(H1762&gt;=SUMPRODUCT(MAX(($B$5:$B$2004=B1762)*$H$5:$H$2004)),"Rekor",""),"")</f>
        <v/>
      </c>
      <c r="J1762" s="19" t="n">
        <f aca="false">IF(A1762="",0,IF(COUNTIF(A$5:A1762,A1762)=1,1,0))</f>
        <v>0</v>
      </c>
    </row>
    <row r="1763" customFormat="false" ht="15" hidden="false" customHeight="false" outlineLevel="0" collapsed="false">
      <c r="A1763" s="12"/>
      <c r="B1763" s="13"/>
      <c r="C1763" s="14"/>
      <c r="D1763" s="14"/>
      <c r="E1763" s="15"/>
      <c r="F1763" s="16" t="str">
        <f aca="false">IF(OR(C1763="",D1763="",E1763=""),"",C1763*D1763*E1763)</f>
        <v/>
      </c>
      <c r="G1763" s="17" t="str">
        <f aca="false">IF(OR(D1763="",E1763=""),"",E1763*(1+D1763/30))</f>
        <v/>
      </c>
      <c r="H1763" s="19" t="n">
        <f aca="false">IF(G1763="",0,G1763)</f>
        <v>0</v>
      </c>
      <c r="I1763" s="18" t="str">
        <f aca="false">IF(H1763&gt;0,IF(H1763&gt;=SUMPRODUCT(MAX(($B$5:$B$2004=B1763)*$H$5:$H$2004)),"Rekor",""),"")</f>
        <v/>
      </c>
      <c r="J1763" s="19" t="n">
        <f aca="false">IF(A1763="",0,IF(COUNTIF(A$5:A1763,A1763)=1,1,0))</f>
        <v>0</v>
      </c>
    </row>
    <row r="1764" customFormat="false" ht="15" hidden="false" customHeight="false" outlineLevel="0" collapsed="false">
      <c r="A1764" s="12"/>
      <c r="B1764" s="13"/>
      <c r="C1764" s="14"/>
      <c r="D1764" s="14"/>
      <c r="E1764" s="15"/>
      <c r="F1764" s="16" t="str">
        <f aca="false">IF(OR(C1764="",D1764="",E1764=""),"",C1764*D1764*E1764)</f>
        <v/>
      </c>
      <c r="G1764" s="17" t="str">
        <f aca="false">IF(OR(D1764="",E1764=""),"",E1764*(1+D1764/30))</f>
        <v/>
      </c>
      <c r="H1764" s="19" t="n">
        <f aca="false">IF(G1764="",0,G1764)</f>
        <v>0</v>
      </c>
      <c r="I1764" s="18" t="str">
        <f aca="false">IF(H1764&gt;0,IF(H1764&gt;=SUMPRODUCT(MAX(($B$5:$B$2004=B1764)*$H$5:$H$2004)),"Rekor",""),"")</f>
        <v/>
      </c>
      <c r="J1764" s="19" t="n">
        <f aca="false">IF(A1764="",0,IF(COUNTIF(A$5:A1764,A1764)=1,1,0))</f>
        <v>0</v>
      </c>
    </row>
    <row r="1765" customFormat="false" ht="15" hidden="false" customHeight="false" outlineLevel="0" collapsed="false">
      <c r="A1765" s="12"/>
      <c r="B1765" s="13"/>
      <c r="C1765" s="14"/>
      <c r="D1765" s="14"/>
      <c r="E1765" s="15"/>
      <c r="F1765" s="16" t="str">
        <f aca="false">IF(OR(C1765="",D1765="",E1765=""),"",C1765*D1765*E1765)</f>
        <v/>
      </c>
      <c r="G1765" s="17" t="str">
        <f aca="false">IF(OR(D1765="",E1765=""),"",E1765*(1+D1765/30))</f>
        <v/>
      </c>
      <c r="H1765" s="19" t="n">
        <f aca="false">IF(G1765="",0,G1765)</f>
        <v>0</v>
      </c>
      <c r="I1765" s="18" t="str">
        <f aca="false">IF(H1765&gt;0,IF(H1765&gt;=SUMPRODUCT(MAX(($B$5:$B$2004=B1765)*$H$5:$H$2004)),"Rekor",""),"")</f>
        <v/>
      </c>
      <c r="J1765" s="19" t="n">
        <f aca="false">IF(A1765="",0,IF(COUNTIF(A$5:A1765,A1765)=1,1,0))</f>
        <v>0</v>
      </c>
    </row>
    <row r="1766" customFormat="false" ht="15" hidden="false" customHeight="false" outlineLevel="0" collapsed="false">
      <c r="A1766" s="12"/>
      <c r="B1766" s="13"/>
      <c r="C1766" s="14"/>
      <c r="D1766" s="14"/>
      <c r="E1766" s="15"/>
      <c r="F1766" s="16" t="str">
        <f aca="false">IF(OR(C1766="",D1766="",E1766=""),"",C1766*D1766*E1766)</f>
        <v/>
      </c>
      <c r="G1766" s="17" t="str">
        <f aca="false">IF(OR(D1766="",E1766=""),"",E1766*(1+D1766/30))</f>
        <v/>
      </c>
      <c r="H1766" s="19" t="n">
        <f aca="false">IF(G1766="",0,G1766)</f>
        <v>0</v>
      </c>
      <c r="I1766" s="18" t="str">
        <f aca="false">IF(H1766&gt;0,IF(H1766&gt;=SUMPRODUCT(MAX(($B$5:$B$2004=B1766)*$H$5:$H$2004)),"Rekor",""),"")</f>
        <v/>
      </c>
      <c r="J1766" s="19" t="n">
        <f aca="false">IF(A1766="",0,IF(COUNTIF(A$5:A1766,A1766)=1,1,0))</f>
        <v>0</v>
      </c>
    </row>
    <row r="1767" customFormat="false" ht="15" hidden="false" customHeight="false" outlineLevel="0" collapsed="false">
      <c r="A1767" s="12"/>
      <c r="B1767" s="13"/>
      <c r="C1767" s="14"/>
      <c r="D1767" s="14"/>
      <c r="E1767" s="15"/>
      <c r="F1767" s="16" t="str">
        <f aca="false">IF(OR(C1767="",D1767="",E1767=""),"",C1767*D1767*E1767)</f>
        <v/>
      </c>
      <c r="G1767" s="17" t="str">
        <f aca="false">IF(OR(D1767="",E1767=""),"",E1767*(1+D1767/30))</f>
        <v/>
      </c>
      <c r="H1767" s="19" t="n">
        <f aca="false">IF(G1767="",0,G1767)</f>
        <v>0</v>
      </c>
      <c r="I1767" s="18" t="str">
        <f aca="false">IF(H1767&gt;0,IF(H1767&gt;=SUMPRODUCT(MAX(($B$5:$B$2004=B1767)*$H$5:$H$2004)),"Rekor",""),"")</f>
        <v/>
      </c>
      <c r="J1767" s="19" t="n">
        <f aca="false">IF(A1767="",0,IF(COUNTIF(A$5:A1767,A1767)=1,1,0))</f>
        <v>0</v>
      </c>
    </row>
    <row r="1768" customFormat="false" ht="15" hidden="false" customHeight="false" outlineLevel="0" collapsed="false">
      <c r="A1768" s="12"/>
      <c r="B1768" s="13"/>
      <c r="C1768" s="14"/>
      <c r="D1768" s="14"/>
      <c r="E1768" s="15"/>
      <c r="F1768" s="16" t="str">
        <f aca="false">IF(OR(C1768="",D1768="",E1768=""),"",C1768*D1768*E1768)</f>
        <v/>
      </c>
      <c r="G1768" s="17" t="str">
        <f aca="false">IF(OR(D1768="",E1768=""),"",E1768*(1+D1768/30))</f>
        <v/>
      </c>
      <c r="H1768" s="19" t="n">
        <f aca="false">IF(G1768="",0,G1768)</f>
        <v>0</v>
      </c>
      <c r="I1768" s="18" t="str">
        <f aca="false">IF(H1768&gt;0,IF(H1768&gt;=SUMPRODUCT(MAX(($B$5:$B$2004=B1768)*$H$5:$H$2004)),"Rekor",""),"")</f>
        <v/>
      </c>
      <c r="J1768" s="19" t="n">
        <f aca="false">IF(A1768="",0,IF(COUNTIF(A$5:A1768,A1768)=1,1,0))</f>
        <v>0</v>
      </c>
    </row>
    <row r="1769" customFormat="false" ht="15" hidden="false" customHeight="false" outlineLevel="0" collapsed="false">
      <c r="A1769" s="12"/>
      <c r="B1769" s="13"/>
      <c r="C1769" s="14"/>
      <c r="D1769" s="14"/>
      <c r="E1769" s="15"/>
      <c r="F1769" s="16" t="str">
        <f aca="false">IF(OR(C1769="",D1769="",E1769=""),"",C1769*D1769*E1769)</f>
        <v/>
      </c>
      <c r="G1769" s="17" t="str">
        <f aca="false">IF(OR(D1769="",E1769=""),"",E1769*(1+D1769/30))</f>
        <v/>
      </c>
      <c r="H1769" s="19" t="n">
        <f aca="false">IF(G1769="",0,G1769)</f>
        <v>0</v>
      </c>
      <c r="I1769" s="18" t="str">
        <f aca="false">IF(H1769&gt;0,IF(H1769&gt;=SUMPRODUCT(MAX(($B$5:$B$2004=B1769)*$H$5:$H$2004)),"Rekor",""),"")</f>
        <v/>
      </c>
      <c r="J1769" s="19" t="n">
        <f aca="false">IF(A1769="",0,IF(COUNTIF(A$5:A1769,A1769)=1,1,0))</f>
        <v>0</v>
      </c>
    </row>
    <row r="1770" customFormat="false" ht="15" hidden="false" customHeight="false" outlineLevel="0" collapsed="false">
      <c r="A1770" s="12"/>
      <c r="B1770" s="13"/>
      <c r="C1770" s="14"/>
      <c r="D1770" s="14"/>
      <c r="E1770" s="15"/>
      <c r="F1770" s="16" t="str">
        <f aca="false">IF(OR(C1770="",D1770="",E1770=""),"",C1770*D1770*E1770)</f>
        <v/>
      </c>
      <c r="G1770" s="17" t="str">
        <f aca="false">IF(OR(D1770="",E1770=""),"",E1770*(1+D1770/30))</f>
        <v/>
      </c>
      <c r="H1770" s="19" t="n">
        <f aca="false">IF(G1770="",0,G1770)</f>
        <v>0</v>
      </c>
      <c r="I1770" s="18" t="str">
        <f aca="false">IF(H1770&gt;0,IF(H1770&gt;=SUMPRODUCT(MAX(($B$5:$B$2004=B1770)*$H$5:$H$2004)),"Rekor",""),"")</f>
        <v/>
      </c>
      <c r="J1770" s="19" t="n">
        <f aca="false">IF(A1770="",0,IF(COUNTIF(A$5:A1770,A1770)=1,1,0))</f>
        <v>0</v>
      </c>
    </row>
    <row r="1771" customFormat="false" ht="15" hidden="false" customHeight="false" outlineLevel="0" collapsed="false">
      <c r="A1771" s="12"/>
      <c r="B1771" s="13"/>
      <c r="C1771" s="14"/>
      <c r="D1771" s="14"/>
      <c r="E1771" s="15"/>
      <c r="F1771" s="16" t="str">
        <f aca="false">IF(OR(C1771="",D1771="",E1771=""),"",C1771*D1771*E1771)</f>
        <v/>
      </c>
      <c r="G1771" s="17" t="str">
        <f aca="false">IF(OR(D1771="",E1771=""),"",E1771*(1+D1771/30))</f>
        <v/>
      </c>
      <c r="H1771" s="19" t="n">
        <f aca="false">IF(G1771="",0,G1771)</f>
        <v>0</v>
      </c>
      <c r="I1771" s="18" t="str">
        <f aca="false">IF(H1771&gt;0,IF(H1771&gt;=SUMPRODUCT(MAX(($B$5:$B$2004=B1771)*$H$5:$H$2004)),"Rekor",""),"")</f>
        <v/>
      </c>
      <c r="J1771" s="19" t="n">
        <f aca="false">IF(A1771="",0,IF(COUNTIF(A$5:A1771,A1771)=1,1,0))</f>
        <v>0</v>
      </c>
    </row>
    <row r="1772" customFormat="false" ht="15" hidden="false" customHeight="false" outlineLevel="0" collapsed="false">
      <c r="A1772" s="12"/>
      <c r="B1772" s="13"/>
      <c r="C1772" s="14"/>
      <c r="D1772" s="14"/>
      <c r="E1772" s="15"/>
      <c r="F1772" s="16" t="str">
        <f aca="false">IF(OR(C1772="",D1772="",E1772=""),"",C1772*D1772*E1772)</f>
        <v/>
      </c>
      <c r="G1772" s="17" t="str">
        <f aca="false">IF(OR(D1772="",E1772=""),"",E1772*(1+D1772/30))</f>
        <v/>
      </c>
      <c r="H1772" s="19" t="n">
        <f aca="false">IF(G1772="",0,G1772)</f>
        <v>0</v>
      </c>
      <c r="I1772" s="18" t="str">
        <f aca="false">IF(H1772&gt;0,IF(H1772&gt;=SUMPRODUCT(MAX(($B$5:$B$2004=B1772)*$H$5:$H$2004)),"Rekor",""),"")</f>
        <v/>
      </c>
      <c r="J1772" s="19" t="n">
        <f aca="false">IF(A1772="",0,IF(COUNTIF(A$5:A1772,A1772)=1,1,0))</f>
        <v>0</v>
      </c>
    </row>
    <row r="1773" customFormat="false" ht="15" hidden="false" customHeight="false" outlineLevel="0" collapsed="false">
      <c r="A1773" s="12"/>
      <c r="B1773" s="13"/>
      <c r="C1773" s="14"/>
      <c r="D1773" s="14"/>
      <c r="E1773" s="15"/>
      <c r="F1773" s="16" t="str">
        <f aca="false">IF(OR(C1773="",D1773="",E1773=""),"",C1773*D1773*E1773)</f>
        <v/>
      </c>
      <c r="G1773" s="17" t="str">
        <f aca="false">IF(OR(D1773="",E1773=""),"",E1773*(1+D1773/30))</f>
        <v/>
      </c>
      <c r="H1773" s="19" t="n">
        <f aca="false">IF(G1773="",0,G1773)</f>
        <v>0</v>
      </c>
      <c r="I1773" s="18" t="str">
        <f aca="false">IF(H1773&gt;0,IF(H1773&gt;=SUMPRODUCT(MAX(($B$5:$B$2004=B1773)*$H$5:$H$2004)),"Rekor",""),"")</f>
        <v/>
      </c>
      <c r="J1773" s="19" t="n">
        <f aca="false">IF(A1773="",0,IF(COUNTIF(A$5:A1773,A1773)=1,1,0))</f>
        <v>0</v>
      </c>
    </row>
    <row r="1774" customFormat="false" ht="15" hidden="false" customHeight="false" outlineLevel="0" collapsed="false">
      <c r="A1774" s="12"/>
      <c r="B1774" s="13"/>
      <c r="C1774" s="14"/>
      <c r="D1774" s="14"/>
      <c r="E1774" s="15"/>
      <c r="F1774" s="16" t="str">
        <f aca="false">IF(OR(C1774="",D1774="",E1774=""),"",C1774*D1774*E1774)</f>
        <v/>
      </c>
      <c r="G1774" s="17" t="str">
        <f aca="false">IF(OR(D1774="",E1774=""),"",E1774*(1+D1774/30))</f>
        <v/>
      </c>
      <c r="H1774" s="19" t="n">
        <f aca="false">IF(G1774="",0,G1774)</f>
        <v>0</v>
      </c>
      <c r="I1774" s="18" t="str">
        <f aca="false">IF(H1774&gt;0,IF(H1774&gt;=SUMPRODUCT(MAX(($B$5:$B$2004=B1774)*$H$5:$H$2004)),"Rekor",""),"")</f>
        <v/>
      </c>
      <c r="J1774" s="19" t="n">
        <f aca="false">IF(A1774="",0,IF(COUNTIF(A$5:A1774,A1774)=1,1,0))</f>
        <v>0</v>
      </c>
    </row>
    <row r="1775" customFormat="false" ht="15" hidden="false" customHeight="false" outlineLevel="0" collapsed="false">
      <c r="A1775" s="12"/>
      <c r="B1775" s="13"/>
      <c r="C1775" s="14"/>
      <c r="D1775" s="14"/>
      <c r="E1775" s="15"/>
      <c r="F1775" s="16" t="str">
        <f aca="false">IF(OR(C1775="",D1775="",E1775=""),"",C1775*D1775*E1775)</f>
        <v/>
      </c>
      <c r="G1775" s="17" t="str">
        <f aca="false">IF(OR(D1775="",E1775=""),"",E1775*(1+D1775/30))</f>
        <v/>
      </c>
      <c r="H1775" s="19" t="n">
        <f aca="false">IF(G1775="",0,G1775)</f>
        <v>0</v>
      </c>
      <c r="I1775" s="18" t="str">
        <f aca="false">IF(H1775&gt;0,IF(H1775&gt;=SUMPRODUCT(MAX(($B$5:$B$2004=B1775)*$H$5:$H$2004)),"Rekor",""),"")</f>
        <v/>
      </c>
      <c r="J1775" s="19" t="n">
        <f aca="false">IF(A1775="",0,IF(COUNTIF(A$5:A1775,A1775)=1,1,0))</f>
        <v>0</v>
      </c>
    </row>
    <row r="1776" customFormat="false" ht="15" hidden="false" customHeight="false" outlineLevel="0" collapsed="false">
      <c r="A1776" s="12"/>
      <c r="B1776" s="13"/>
      <c r="C1776" s="14"/>
      <c r="D1776" s="14"/>
      <c r="E1776" s="15"/>
      <c r="F1776" s="16" t="str">
        <f aca="false">IF(OR(C1776="",D1776="",E1776=""),"",C1776*D1776*E1776)</f>
        <v/>
      </c>
      <c r="G1776" s="17" t="str">
        <f aca="false">IF(OR(D1776="",E1776=""),"",E1776*(1+D1776/30))</f>
        <v/>
      </c>
      <c r="H1776" s="19" t="n">
        <f aca="false">IF(G1776="",0,G1776)</f>
        <v>0</v>
      </c>
      <c r="I1776" s="18" t="str">
        <f aca="false">IF(H1776&gt;0,IF(H1776&gt;=SUMPRODUCT(MAX(($B$5:$B$2004=B1776)*$H$5:$H$2004)),"Rekor",""),"")</f>
        <v/>
      </c>
      <c r="J1776" s="19" t="n">
        <f aca="false">IF(A1776="",0,IF(COUNTIF(A$5:A1776,A1776)=1,1,0))</f>
        <v>0</v>
      </c>
    </row>
    <row r="1777" customFormat="false" ht="15" hidden="false" customHeight="false" outlineLevel="0" collapsed="false">
      <c r="A1777" s="12"/>
      <c r="B1777" s="13"/>
      <c r="C1777" s="14"/>
      <c r="D1777" s="14"/>
      <c r="E1777" s="15"/>
      <c r="F1777" s="16" t="str">
        <f aca="false">IF(OR(C1777="",D1777="",E1777=""),"",C1777*D1777*E1777)</f>
        <v/>
      </c>
      <c r="G1777" s="17" t="str">
        <f aca="false">IF(OR(D1777="",E1777=""),"",E1777*(1+D1777/30))</f>
        <v/>
      </c>
      <c r="H1777" s="19" t="n">
        <f aca="false">IF(G1777="",0,G1777)</f>
        <v>0</v>
      </c>
      <c r="I1777" s="18" t="str">
        <f aca="false">IF(H1777&gt;0,IF(H1777&gt;=SUMPRODUCT(MAX(($B$5:$B$2004=B1777)*$H$5:$H$2004)),"Rekor",""),"")</f>
        <v/>
      </c>
      <c r="J1777" s="19" t="n">
        <f aca="false">IF(A1777="",0,IF(COUNTIF(A$5:A1777,A1777)=1,1,0))</f>
        <v>0</v>
      </c>
    </row>
    <row r="1778" customFormat="false" ht="15" hidden="false" customHeight="false" outlineLevel="0" collapsed="false">
      <c r="A1778" s="12"/>
      <c r="B1778" s="13"/>
      <c r="C1778" s="14"/>
      <c r="D1778" s="14"/>
      <c r="E1778" s="15"/>
      <c r="F1778" s="16" t="str">
        <f aca="false">IF(OR(C1778="",D1778="",E1778=""),"",C1778*D1778*E1778)</f>
        <v/>
      </c>
      <c r="G1778" s="17" t="str">
        <f aca="false">IF(OR(D1778="",E1778=""),"",E1778*(1+D1778/30))</f>
        <v/>
      </c>
      <c r="H1778" s="19" t="n">
        <f aca="false">IF(G1778="",0,G1778)</f>
        <v>0</v>
      </c>
      <c r="I1778" s="18" t="str">
        <f aca="false">IF(H1778&gt;0,IF(H1778&gt;=SUMPRODUCT(MAX(($B$5:$B$2004=B1778)*$H$5:$H$2004)),"Rekor",""),"")</f>
        <v/>
      </c>
      <c r="J1778" s="19" t="n">
        <f aca="false">IF(A1778="",0,IF(COUNTIF(A$5:A1778,A1778)=1,1,0))</f>
        <v>0</v>
      </c>
    </row>
    <row r="1779" customFormat="false" ht="15" hidden="false" customHeight="false" outlineLevel="0" collapsed="false">
      <c r="A1779" s="12"/>
      <c r="B1779" s="13"/>
      <c r="C1779" s="14"/>
      <c r="D1779" s="14"/>
      <c r="E1779" s="15"/>
      <c r="F1779" s="16" t="str">
        <f aca="false">IF(OR(C1779="",D1779="",E1779=""),"",C1779*D1779*E1779)</f>
        <v/>
      </c>
      <c r="G1779" s="17" t="str">
        <f aca="false">IF(OR(D1779="",E1779=""),"",E1779*(1+D1779/30))</f>
        <v/>
      </c>
      <c r="H1779" s="19" t="n">
        <f aca="false">IF(G1779="",0,G1779)</f>
        <v>0</v>
      </c>
      <c r="I1779" s="18" t="str">
        <f aca="false">IF(H1779&gt;0,IF(H1779&gt;=SUMPRODUCT(MAX(($B$5:$B$2004=B1779)*$H$5:$H$2004)),"Rekor",""),"")</f>
        <v/>
      </c>
      <c r="J1779" s="19" t="n">
        <f aca="false">IF(A1779="",0,IF(COUNTIF(A$5:A1779,A1779)=1,1,0))</f>
        <v>0</v>
      </c>
    </row>
    <row r="1780" customFormat="false" ht="15" hidden="false" customHeight="false" outlineLevel="0" collapsed="false">
      <c r="A1780" s="12"/>
      <c r="B1780" s="13"/>
      <c r="C1780" s="14"/>
      <c r="D1780" s="14"/>
      <c r="E1780" s="15"/>
      <c r="F1780" s="16" t="str">
        <f aca="false">IF(OR(C1780="",D1780="",E1780=""),"",C1780*D1780*E1780)</f>
        <v/>
      </c>
      <c r="G1780" s="17" t="str">
        <f aca="false">IF(OR(D1780="",E1780=""),"",E1780*(1+D1780/30))</f>
        <v/>
      </c>
      <c r="H1780" s="19" t="n">
        <f aca="false">IF(G1780="",0,G1780)</f>
        <v>0</v>
      </c>
      <c r="I1780" s="18" t="str">
        <f aca="false">IF(H1780&gt;0,IF(H1780&gt;=SUMPRODUCT(MAX(($B$5:$B$2004=B1780)*$H$5:$H$2004)),"Rekor",""),"")</f>
        <v/>
      </c>
      <c r="J1780" s="19" t="n">
        <f aca="false">IF(A1780="",0,IF(COUNTIF(A$5:A1780,A1780)=1,1,0))</f>
        <v>0</v>
      </c>
    </row>
    <row r="1781" customFormat="false" ht="15" hidden="false" customHeight="false" outlineLevel="0" collapsed="false">
      <c r="A1781" s="12"/>
      <c r="B1781" s="13"/>
      <c r="C1781" s="14"/>
      <c r="D1781" s="14"/>
      <c r="E1781" s="15"/>
      <c r="F1781" s="16" t="str">
        <f aca="false">IF(OR(C1781="",D1781="",E1781=""),"",C1781*D1781*E1781)</f>
        <v/>
      </c>
      <c r="G1781" s="17" t="str">
        <f aca="false">IF(OR(D1781="",E1781=""),"",E1781*(1+D1781/30))</f>
        <v/>
      </c>
      <c r="H1781" s="19" t="n">
        <f aca="false">IF(G1781="",0,G1781)</f>
        <v>0</v>
      </c>
      <c r="I1781" s="18" t="str">
        <f aca="false">IF(H1781&gt;0,IF(H1781&gt;=SUMPRODUCT(MAX(($B$5:$B$2004=B1781)*$H$5:$H$2004)),"Rekor",""),"")</f>
        <v/>
      </c>
      <c r="J1781" s="19" t="n">
        <f aca="false">IF(A1781="",0,IF(COUNTIF(A$5:A1781,A1781)=1,1,0))</f>
        <v>0</v>
      </c>
    </row>
    <row r="1782" customFormat="false" ht="15" hidden="false" customHeight="false" outlineLevel="0" collapsed="false">
      <c r="A1782" s="12"/>
      <c r="B1782" s="13"/>
      <c r="C1782" s="14"/>
      <c r="D1782" s="14"/>
      <c r="E1782" s="15"/>
      <c r="F1782" s="16" t="str">
        <f aca="false">IF(OR(C1782="",D1782="",E1782=""),"",C1782*D1782*E1782)</f>
        <v/>
      </c>
      <c r="G1782" s="17" t="str">
        <f aca="false">IF(OR(D1782="",E1782=""),"",E1782*(1+D1782/30))</f>
        <v/>
      </c>
      <c r="H1782" s="19" t="n">
        <f aca="false">IF(G1782="",0,G1782)</f>
        <v>0</v>
      </c>
      <c r="I1782" s="18" t="str">
        <f aca="false">IF(H1782&gt;0,IF(H1782&gt;=SUMPRODUCT(MAX(($B$5:$B$2004=B1782)*$H$5:$H$2004)),"Rekor",""),"")</f>
        <v/>
      </c>
      <c r="J1782" s="19" t="n">
        <f aca="false">IF(A1782="",0,IF(COUNTIF(A$5:A1782,A1782)=1,1,0))</f>
        <v>0</v>
      </c>
    </row>
    <row r="1783" customFormat="false" ht="15" hidden="false" customHeight="false" outlineLevel="0" collapsed="false">
      <c r="A1783" s="12"/>
      <c r="B1783" s="13"/>
      <c r="C1783" s="14"/>
      <c r="D1783" s="14"/>
      <c r="E1783" s="15"/>
      <c r="F1783" s="16" t="str">
        <f aca="false">IF(OR(C1783="",D1783="",E1783=""),"",C1783*D1783*E1783)</f>
        <v/>
      </c>
      <c r="G1783" s="17" t="str">
        <f aca="false">IF(OR(D1783="",E1783=""),"",E1783*(1+D1783/30))</f>
        <v/>
      </c>
      <c r="H1783" s="19" t="n">
        <f aca="false">IF(G1783="",0,G1783)</f>
        <v>0</v>
      </c>
      <c r="I1783" s="18" t="str">
        <f aca="false">IF(H1783&gt;0,IF(H1783&gt;=SUMPRODUCT(MAX(($B$5:$B$2004=B1783)*$H$5:$H$2004)),"Rekor",""),"")</f>
        <v/>
      </c>
      <c r="J1783" s="19" t="n">
        <f aca="false">IF(A1783="",0,IF(COUNTIF(A$5:A1783,A1783)=1,1,0))</f>
        <v>0</v>
      </c>
    </row>
    <row r="1784" customFormat="false" ht="15" hidden="false" customHeight="false" outlineLevel="0" collapsed="false">
      <c r="A1784" s="12"/>
      <c r="B1784" s="13"/>
      <c r="C1784" s="14"/>
      <c r="D1784" s="14"/>
      <c r="E1784" s="15"/>
      <c r="F1784" s="16" t="str">
        <f aca="false">IF(OR(C1784="",D1784="",E1784=""),"",C1784*D1784*E1784)</f>
        <v/>
      </c>
      <c r="G1784" s="17" t="str">
        <f aca="false">IF(OR(D1784="",E1784=""),"",E1784*(1+D1784/30))</f>
        <v/>
      </c>
      <c r="H1784" s="19" t="n">
        <f aca="false">IF(G1784="",0,G1784)</f>
        <v>0</v>
      </c>
      <c r="I1784" s="18" t="str">
        <f aca="false">IF(H1784&gt;0,IF(H1784&gt;=SUMPRODUCT(MAX(($B$5:$B$2004=B1784)*$H$5:$H$2004)),"Rekor",""),"")</f>
        <v/>
      </c>
      <c r="J1784" s="19" t="n">
        <f aca="false">IF(A1784="",0,IF(COUNTIF(A$5:A1784,A1784)=1,1,0))</f>
        <v>0</v>
      </c>
    </row>
    <row r="1785" customFormat="false" ht="15" hidden="false" customHeight="false" outlineLevel="0" collapsed="false">
      <c r="A1785" s="12"/>
      <c r="B1785" s="13"/>
      <c r="C1785" s="14"/>
      <c r="D1785" s="14"/>
      <c r="E1785" s="15"/>
      <c r="F1785" s="16" t="str">
        <f aca="false">IF(OR(C1785="",D1785="",E1785=""),"",C1785*D1785*E1785)</f>
        <v/>
      </c>
      <c r="G1785" s="17" t="str">
        <f aca="false">IF(OR(D1785="",E1785=""),"",E1785*(1+D1785/30))</f>
        <v/>
      </c>
      <c r="H1785" s="19" t="n">
        <f aca="false">IF(G1785="",0,G1785)</f>
        <v>0</v>
      </c>
      <c r="I1785" s="18" t="str">
        <f aca="false">IF(H1785&gt;0,IF(H1785&gt;=SUMPRODUCT(MAX(($B$5:$B$2004=B1785)*$H$5:$H$2004)),"Rekor",""),"")</f>
        <v/>
      </c>
      <c r="J1785" s="19" t="n">
        <f aca="false">IF(A1785="",0,IF(COUNTIF(A$5:A1785,A1785)=1,1,0))</f>
        <v>0</v>
      </c>
    </row>
    <row r="1786" customFormat="false" ht="15" hidden="false" customHeight="false" outlineLevel="0" collapsed="false">
      <c r="A1786" s="12"/>
      <c r="B1786" s="13"/>
      <c r="C1786" s="14"/>
      <c r="D1786" s="14"/>
      <c r="E1786" s="15"/>
      <c r="F1786" s="16" t="str">
        <f aca="false">IF(OR(C1786="",D1786="",E1786=""),"",C1786*D1786*E1786)</f>
        <v/>
      </c>
      <c r="G1786" s="17" t="str">
        <f aca="false">IF(OR(D1786="",E1786=""),"",E1786*(1+D1786/30))</f>
        <v/>
      </c>
      <c r="H1786" s="19" t="n">
        <f aca="false">IF(G1786="",0,G1786)</f>
        <v>0</v>
      </c>
      <c r="I1786" s="18" t="str">
        <f aca="false">IF(H1786&gt;0,IF(H1786&gt;=SUMPRODUCT(MAX(($B$5:$B$2004=B1786)*$H$5:$H$2004)),"Rekor",""),"")</f>
        <v/>
      </c>
      <c r="J1786" s="19" t="n">
        <f aca="false">IF(A1786="",0,IF(COUNTIF(A$5:A1786,A1786)=1,1,0))</f>
        <v>0</v>
      </c>
    </row>
    <row r="1787" customFormat="false" ht="15" hidden="false" customHeight="false" outlineLevel="0" collapsed="false">
      <c r="A1787" s="12"/>
      <c r="B1787" s="13"/>
      <c r="C1787" s="14"/>
      <c r="D1787" s="14"/>
      <c r="E1787" s="15"/>
      <c r="F1787" s="16" t="str">
        <f aca="false">IF(OR(C1787="",D1787="",E1787=""),"",C1787*D1787*E1787)</f>
        <v/>
      </c>
      <c r="G1787" s="17" t="str">
        <f aca="false">IF(OR(D1787="",E1787=""),"",E1787*(1+D1787/30))</f>
        <v/>
      </c>
      <c r="H1787" s="19" t="n">
        <f aca="false">IF(G1787="",0,G1787)</f>
        <v>0</v>
      </c>
      <c r="I1787" s="18" t="str">
        <f aca="false">IF(H1787&gt;0,IF(H1787&gt;=SUMPRODUCT(MAX(($B$5:$B$2004=B1787)*$H$5:$H$2004)),"Rekor",""),"")</f>
        <v/>
      </c>
      <c r="J1787" s="19" t="n">
        <f aca="false">IF(A1787="",0,IF(COUNTIF(A$5:A1787,A1787)=1,1,0))</f>
        <v>0</v>
      </c>
    </row>
    <row r="1788" customFormat="false" ht="15" hidden="false" customHeight="false" outlineLevel="0" collapsed="false">
      <c r="A1788" s="12"/>
      <c r="B1788" s="13"/>
      <c r="C1788" s="14"/>
      <c r="D1788" s="14"/>
      <c r="E1788" s="15"/>
      <c r="F1788" s="16" t="str">
        <f aca="false">IF(OR(C1788="",D1788="",E1788=""),"",C1788*D1788*E1788)</f>
        <v/>
      </c>
      <c r="G1788" s="17" t="str">
        <f aca="false">IF(OR(D1788="",E1788=""),"",E1788*(1+D1788/30))</f>
        <v/>
      </c>
      <c r="H1788" s="19" t="n">
        <f aca="false">IF(G1788="",0,G1788)</f>
        <v>0</v>
      </c>
      <c r="I1788" s="18" t="str">
        <f aca="false">IF(H1788&gt;0,IF(H1788&gt;=SUMPRODUCT(MAX(($B$5:$B$2004=B1788)*$H$5:$H$2004)),"Rekor",""),"")</f>
        <v/>
      </c>
      <c r="J1788" s="19" t="n">
        <f aca="false">IF(A1788="",0,IF(COUNTIF(A$5:A1788,A1788)=1,1,0))</f>
        <v>0</v>
      </c>
    </row>
    <row r="1789" customFormat="false" ht="15" hidden="false" customHeight="false" outlineLevel="0" collapsed="false">
      <c r="A1789" s="12"/>
      <c r="B1789" s="13"/>
      <c r="C1789" s="14"/>
      <c r="D1789" s="14"/>
      <c r="E1789" s="15"/>
      <c r="F1789" s="16" t="str">
        <f aca="false">IF(OR(C1789="",D1789="",E1789=""),"",C1789*D1789*E1789)</f>
        <v/>
      </c>
      <c r="G1789" s="17" t="str">
        <f aca="false">IF(OR(D1789="",E1789=""),"",E1789*(1+D1789/30))</f>
        <v/>
      </c>
      <c r="H1789" s="19" t="n">
        <f aca="false">IF(G1789="",0,G1789)</f>
        <v>0</v>
      </c>
      <c r="I1789" s="18" t="str">
        <f aca="false">IF(H1789&gt;0,IF(H1789&gt;=SUMPRODUCT(MAX(($B$5:$B$2004=B1789)*$H$5:$H$2004)),"Rekor",""),"")</f>
        <v/>
      </c>
      <c r="J1789" s="19" t="n">
        <f aca="false">IF(A1789="",0,IF(COUNTIF(A$5:A1789,A1789)=1,1,0))</f>
        <v>0</v>
      </c>
    </row>
    <row r="1790" customFormat="false" ht="15" hidden="false" customHeight="false" outlineLevel="0" collapsed="false">
      <c r="A1790" s="12"/>
      <c r="B1790" s="13"/>
      <c r="C1790" s="14"/>
      <c r="D1790" s="14"/>
      <c r="E1790" s="15"/>
      <c r="F1790" s="16" t="str">
        <f aca="false">IF(OR(C1790="",D1790="",E1790=""),"",C1790*D1790*E1790)</f>
        <v/>
      </c>
      <c r="G1790" s="17" t="str">
        <f aca="false">IF(OR(D1790="",E1790=""),"",E1790*(1+D1790/30))</f>
        <v/>
      </c>
      <c r="H1790" s="19" t="n">
        <f aca="false">IF(G1790="",0,G1790)</f>
        <v>0</v>
      </c>
      <c r="I1790" s="18" t="str">
        <f aca="false">IF(H1790&gt;0,IF(H1790&gt;=SUMPRODUCT(MAX(($B$5:$B$2004=B1790)*$H$5:$H$2004)),"Rekor",""),"")</f>
        <v/>
      </c>
      <c r="J1790" s="19" t="n">
        <f aca="false">IF(A1790="",0,IF(COUNTIF(A$5:A1790,A1790)=1,1,0))</f>
        <v>0</v>
      </c>
    </row>
    <row r="1791" customFormat="false" ht="15" hidden="false" customHeight="false" outlineLevel="0" collapsed="false">
      <c r="A1791" s="12"/>
      <c r="B1791" s="13"/>
      <c r="C1791" s="14"/>
      <c r="D1791" s="14"/>
      <c r="E1791" s="15"/>
      <c r="F1791" s="16" t="str">
        <f aca="false">IF(OR(C1791="",D1791="",E1791=""),"",C1791*D1791*E1791)</f>
        <v/>
      </c>
      <c r="G1791" s="17" t="str">
        <f aca="false">IF(OR(D1791="",E1791=""),"",E1791*(1+D1791/30))</f>
        <v/>
      </c>
      <c r="H1791" s="19" t="n">
        <f aca="false">IF(G1791="",0,G1791)</f>
        <v>0</v>
      </c>
      <c r="I1791" s="18" t="str">
        <f aca="false">IF(H1791&gt;0,IF(H1791&gt;=SUMPRODUCT(MAX(($B$5:$B$2004=B1791)*$H$5:$H$2004)),"Rekor",""),"")</f>
        <v/>
      </c>
      <c r="J1791" s="19" t="n">
        <f aca="false">IF(A1791="",0,IF(COUNTIF(A$5:A1791,A1791)=1,1,0))</f>
        <v>0</v>
      </c>
    </row>
    <row r="1792" customFormat="false" ht="15" hidden="false" customHeight="false" outlineLevel="0" collapsed="false">
      <c r="A1792" s="12"/>
      <c r="B1792" s="13"/>
      <c r="C1792" s="14"/>
      <c r="D1792" s="14"/>
      <c r="E1792" s="15"/>
      <c r="F1792" s="16" t="str">
        <f aca="false">IF(OR(C1792="",D1792="",E1792=""),"",C1792*D1792*E1792)</f>
        <v/>
      </c>
      <c r="G1792" s="17" t="str">
        <f aca="false">IF(OR(D1792="",E1792=""),"",E1792*(1+D1792/30))</f>
        <v/>
      </c>
      <c r="H1792" s="19" t="n">
        <f aca="false">IF(G1792="",0,G1792)</f>
        <v>0</v>
      </c>
      <c r="I1792" s="18" t="str">
        <f aca="false">IF(H1792&gt;0,IF(H1792&gt;=SUMPRODUCT(MAX(($B$5:$B$2004=B1792)*$H$5:$H$2004)),"Rekor",""),"")</f>
        <v/>
      </c>
      <c r="J1792" s="19" t="n">
        <f aca="false">IF(A1792="",0,IF(COUNTIF(A$5:A1792,A1792)=1,1,0))</f>
        <v>0</v>
      </c>
    </row>
    <row r="1793" customFormat="false" ht="15" hidden="false" customHeight="false" outlineLevel="0" collapsed="false">
      <c r="A1793" s="12"/>
      <c r="B1793" s="13"/>
      <c r="C1793" s="14"/>
      <c r="D1793" s="14"/>
      <c r="E1793" s="15"/>
      <c r="F1793" s="16" t="str">
        <f aca="false">IF(OR(C1793="",D1793="",E1793=""),"",C1793*D1793*E1793)</f>
        <v/>
      </c>
      <c r="G1793" s="17" t="str">
        <f aca="false">IF(OR(D1793="",E1793=""),"",E1793*(1+D1793/30))</f>
        <v/>
      </c>
      <c r="H1793" s="19" t="n">
        <f aca="false">IF(G1793="",0,G1793)</f>
        <v>0</v>
      </c>
      <c r="I1793" s="18" t="str">
        <f aca="false">IF(H1793&gt;0,IF(H1793&gt;=SUMPRODUCT(MAX(($B$5:$B$2004=B1793)*$H$5:$H$2004)),"Rekor",""),"")</f>
        <v/>
      </c>
      <c r="J1793" s="19" t="n">
        <f aca="false">IF(A1793="",0,IF(COUNTIF(A$5:A1793,A1793)=1,1,0))</f>
        <v>0</v>
      </c>
    </row>
    <row r="1794" customFormat="false" ht="15" hidden="false" customHeight="false" outlineLevel="0" collapsed="false">
      <c r="A1794" s="12"/>
      <c r="B1794" s="13"/>
      <c r="C1794" s="14"/>
      <c r="D1794" s="14"/>
      <c r="E1794" s="15"/>
      <c r="F1794" s="16" t="str">
        <f aca="false">IF(OR(C1794="",D1794="",E1794=""),"",C1794*D1794*E1794)</f>
        <v/>
      </c>
      <c r="G1794" s="17" t="str">
        <f aca="false">IF(OR(D1794="",E1794=""),"",E1794*(1+D1794/30))</f>
        <v/>
      </c>
      <c r="H1794" s="19" t="n">
        <f aca="false">IF(G1794="",0,G1794)</f>
        <v>0</v>
      </c>
      <c r="I1794" s="18" t="str">
        <f aca="false">IF(H1794&gt;0,IF(H1794&gt;=SUMPRODUCT(MAX(($B$5:$B$2004=B1794)*$H$5:$H$2004)),"Rekor",""),"")</f>
        <v/>
      </c>
      <c r="J1794" s="19" t="n">
        <f aca="false">IF(A1794="",0,IF(COUNTIF(A$5:A1794,A1794)=1,1,0))</f>
        <v>0</v>
      </c>
    </row>
    <row r="1795" customFormat="false" ht="15" hidden="false" customHeight="false" outlineLevel="0" collapsed="false">
      <c r="A1795" s="12"/>
      <c r="B1795" s="13"/>
      <c r="C1795" s="14"/>
      <c r="D1795" s="14"/>
      <c r="E1795" s="15"/>
      <c r="F1795" s="16" t="str">
        <f aca="false">IF(OR(C1795="",D1795="",E1795=""),"",C1795*D1795*E1795)</f>
        <v/>
      </c>
      <c r="G1795" s="17" t="str">
        <f aca="false">IF(OR(D1795="",E1795=""),"",E1795*(1+D1795/30))</f>
        <v/>
      </c>
      <c r="H1795" s="19" t="n">
        <f aca="false">IF(G1795="",0,G1795)</f>
        <v>0</v>
      </c>
      <c r="I1795" s="18" t="str">
        <f aca="false">IF(H1795&gt;0,IF(H1795&gt;=SUMPRODUCT(MAX(($B$5:$B$2004=B1795)*$H$5:$H$2004)),"Rekor",""),"")</f>
        <v/>
      </c>
      <c r="J1795" s="19" t="n">
        <f aca="false">IF(A1795="",0,IF(COUNTIF(A$5:A1795,A1795)=1,1,0))</f>
        <v>0</v>
      </c>
    </row>
    <row r="1796" customFormat="false" ht="15" hidden="false" customHeight="false" outlineLevel="0" collapsed="false">
      <c r="A1796" s="12"/>
      <c r="B1796" s="13"/>
      <c r="C1796" s="14"/>
      <c r="D1796" s="14"/>
      <c r="E1796" s="15"/>
      <c r="F1796" s="16" t="str">
        <f aca="false">IF(OR(C1796="",D1796="",E1796=""),"",C1796*D1796*E1796)</f>
        <v/>
      </c>
      <c r="G1796" s="17" t="str">
        <f aca="false">IF(OR(D1796="",E1796=""),"",E1796*(1+D1796/30))</f>
        <v/>
      </c>
      <c r="H1796" s="19" t="n">
        <f aca="false">IF(G1796="",0,G1796)</f>
        <v>0</v>
      </c>
      <c r="I1796" s="18" t="str">
        <f aca="false">IF(H1796&gt;0,IF(H1796&gt;=SUMPRODUCT(MAX(($B$5:$B$2004=B1796)*$H$5:$H$2004)),"Rekor",""),"")</f>
        <v/>
      </c>
      <c r="J1796" s="19" t="n">
        <f aca="false">IF(A1796="",0,IF(COUNTIF(A$5:A1796,A1796)=1,1,0))</f>
        <v>0</v>
      </c>
    </row>
    <row r="1797" customFormat="false" ht="15" hidden="false" customHeight="false" outlineLevel="0" collapsed="false">
      <c r="A1797" s="12"/>
      <c r="B1797" s="13"/>
      <c r="C1797" s="14"/>
      <c r="D1797" s="14"/>
      <c r="E1797" s="15"/>
      <c r="F1797" s="16" t="str">
        <f aca="false">IF(OR(C1797="",D1797="",E1797=""),"",C1797*D1797*E1797)</f>
        <v/>
      </c>
      <c r="G1797" s="17" t="str">
        <f aca="false">IF(OR(D1797="",E1797=""),"",E1797*(1+D1797/30))</f>
        <v/>
      </c>
      <c r="H1797" s="19" t="n">
        <f aca="false">IF(G1797="",0,G1797)</f>
        <v>0</v>
      </c>
      <c r="I1797" s="18" t="str">
        <f aca="false">IF(H1797&gt;0,IF(H1797&gt;=SUMPRODUCT(MAX(($B$5:$B$2004=B1797)*$H$5:$H$2004)),"Rekor",""),"")</f>
        <v/>
      </c>
      <c r="J1797" s="19" t="n">
        <f aca="false">IF(A1797="",0,IF(COUNTIF(A$5:A1797,A1797)=1,1,0))</f>
        <v>0</v>
      </c>
    </row>
    <row r="1798" customFormat="false" ht="15" hidden="false" customHeight="false" outlineLevel="0" collapsed="false">
      <c r="A1798" s="12"/>
      <c r="B1798" s="13"/>
      <c r="C1798" s="14"/>
      <c r="D1798" s="14"/>
      <c r="E1798" s="15"/>
      <c r="F1798" s="16" t="str">
        <f aca="false">IF(OR(C1798="",D1798="",E1798=""),"",C1798*D1798*E1798)</f>
        <v/>
      </c>
      <c r="G1798" s="17" t="str">
        <f aca="false">IF(OR(D1798="",E1798=""),"",E1798*(1+D1798/30))</f>
        <v/>
      </c>
      <c r="H1798" s="19" t="n">
        <f aca="false">IF(G1798="",0,G1798)</f>
        <v>0</v>
      </c>
      <c r="I1798" s="18" t="str">
        <f aca="false">IF(H1798&gt;0,IF(H1798&gt;=SUMPRODUCT(MAX(($B$5:$B$2004=B1798)*$H$5:$H$2004)),"Rekor",""),"")</f>
        <v/>
      </c>
      <c r="J1798" s="19" t="n">
        <f aca="false">IF(A1798="",0,IF(COUNTIF(A$5:A1798,A1798)=1,1,0))</f>
        <v>0</v>
      </c>
    </row>
    <row r="1799" customFormat="false" ht="15" hidden="false" customHeight="false" outlineLevel="0" collapsed="false">
      <c r="A1799" s="12"/>
      <c r="B1799" s="13"/>
      <c r="C1799" s="14"/>
      <c r="D1799" s="14"/>
      <c r="E1799" s="15"/>
      <c r="F1799" s="16" t="str">
        <f aca="false">IF(OR(C1799="",D1799="",E1799=""),"",C1799*D1799*E1799)</f>
        <v/>
      </c>
      <c r="G1799" s="17" t="str">
        <f aca="false">IF(OR(D1799="",E1799=""),"",E1799*(1+D1799/30))</f>
        <v/>
      </c>
      <c r="H1799" s="19" t="n">
        <f aca="false">IF(G1799="",0,G1799)</f>
        <v>0</v>
      </c>
      <c r="I1799" s="18" t="str">
        <f aca="false">IF(H1799&gt;0,IF(H1799&gt;=SUMPRODUCT(MAX(($B$5:$B$2004=B1799)*$H$5:$H$2004)),"Rekor",""),"")</f>
        <v/>
      </c>
      <c r="J1799" s="19" t="n">
        <f aca="false">IF(A1799="",0,IF(COUNTIF(A$5:A1799,A1799)=1,1,0))</f>
        <v>0</v>
      </c>
    </row>
    <row r="1800" customFormat="false" ht="15" hidden="false" customHeight="false" outlineLevel="0" collapsed="false">
      <c r="A1800" s="12"/>
      <c r="B1800" s="13"/>
      <c r="C1800" s="14"/>
      <c r="D1800" s="14"/>
      <c r="E1800" s="15"/>
      <c r="F1800" s="16" t="str">
        <f aca="false">IF(OR(C1800="",D1800="",E1800=""),"",C1800*D1800*E1800)</f>
        <v/>
      </c>
      <c r="G1800" s="17" t="str">
        <f aca="false">IF(OR(D1800="",E1800=""),"",E1800*(1+D1800/30))</f>
        <v/>
      </c>
      <c r="H1800" s="19" t="n">
        <f aca="false">IF(G1800="",0,G1800)</f>
        <v>0</v>
      </c>
      <c r="I1800" s="18" t="str">
        <f aca="false">IF(H1800&gt;0,IF(H1800&gt;=SUMPRODUCT(MAX(($B$5:$B$2004=B1800)*$H$5:$H$2004)),"Rekor",""),"")</f>
        <v/>
      </c>
      <c r="J1800" s="19" t="n">
        <f aca="false">IF(A1800="",0,IF(COUNTIF(A$5:A1800,A1800)=1,1,0))</f>
        <v>0</v>
      </c>
    </row>
    <row r="1801" customFormat="false" ht="15" hidden="false" customHeight="false" outlineLevel="0" collapsed="false">
      <c r="A1801" s="12"/>
      <c r="B1801" s="13"/>
      <c r="C1801" s="14"/>
      <c r="D1801" s="14"/>
      <c r="E1801" s="15"/>
      <c r="F1801" s="16" t="str">
        <f aca="false">IF(OR(C1801="",D1801="",E1801=""),"",C1801*D1801*E1801)</f>
        <v/>
      </c>
      <c r="G1801" s="17" t="str">
        <f aca="false">IF(OR(D1801="",E1801=""),"",E1801*(1+D1801/30))</f>
        <v/>
      </c>
      <c r="H1801" s="19" t="n">
        <f aca="false">IF(G1801="",0,G1801)</f>
        <v>0</v>
      </c>
      <c r="I1801" s="18" t="str">
        <f aca="false">IF(H1801&gt;0,IF(H1801&gt;=SUMPRODUCT(MAX(($B$5:$B$2004=B1801)*$H$5:$H$2004)),"Rekor",""),"")</f>
        <v/>
      </c>
      <c r="J1801" s="19" t="n">
        <f aca="false">IF(A1801="",0,IF(COUNTIF(A$5:A1801,A1801)=1,1,0))</f>
        <v>0</v>
      </c>
    </row>
    <row r="1802" customFormat="false" ht="15" hidden="false" customHeight="false" outlineLevel="0" collapsed="false">
      <c r="A1802" s="12"/>
      <c r="B1802" s="13"/>
      <c r="C1802" s="14"/>
      <c r="D1802" s="14"/>
      <c r="E1802" s="15"/>
      <c r="F1802" s="16" t="str">
        <f aca="false">IF(OR(C1802="",D1802="",E1802=""),"",C1802*D1802*E1802)</f>
        <v/>
      </c>
      <c r="G1802" s="17" t="str">
        <f aca="false">IF(OR(D1802="",E1802=""),"",E1802*(1+D1802/30))</f>
        <v/>
      </c>
      <c r="H1802" s="19" t="n">
        <f aca="false">IF(G1802="",0,G1802)</f>
        <v>0</v>
      </c>
      <c r="I1802" s="18" t="str">
        <f aca="false">IF(H1802&gt;0,IF(H1802&gt;=SUMPRODUCT(MAX(($B$5:$B$2004=B1802)*$H$5:$H$2004)),"Rekor",""),"")</f>
        <v/>
      </c>
      <c r="J1802" s="19" t="n">
        <f aca="false">IF(A1802="",0,IF(COUNTIF(A$5:A1802,A1802)=1,1,0))</f>
        <v>0</v>
      </c>
    </row>
    <row r="1803" customFormat="false" ht="15" hidden="false" customHeight="false" outlineLevel="0" collapsed="false">
      <c r="A1803" s="12"/>
      <c r="B1803" s="13"/>
      <c r="C1803" s="14"/>
      <c r="D1803" s="14"/>
      <c r="E1803" s="15"/>
      <c r="F1803" s="16" t="str">
        <f aca="false">IF(OR(C1803="",D1803="",E1803=""),"",C1803*D1803*E1803)</f>
        <v/>
      </c>
      <c r="G1803" s="17" t="str">
        <f aca="false">IF(OR(D1803="",E1803=""),"",E1803*(1+D1803/30))</f>
        <v/>
      </c>
      <c r="H1803" s="19" t="n">
        <f aca="false">IF(G1803="",0,G1803)</f>
        <v>0</v>
      </c>
      <c r="I1803" s="18" t="str">
        <f aca="false">IF(H1803&gt;0,IF(H1803&gt;=SUMPRODUCT(MAX(($B$5:$B$2004=B1803)*$H$5:$H$2004)),"Rekor",""),"")</f>
        <v/>
      </c>
      <c r="J1803" s="19" t="n">
        <f aca="false">IF(A1803="",0,IF(COUNTIF(A$5:A1803,A1803)=1,1,0))</f>
        <v>0</v>
      </c>
    </row>
    <row r="1804" customFormat="false" ht="15" hidden="false" customHeight="false" outlineLevel="0" collapsed="false">
      <c r="A1804" s="12"/>
      <c r="B1804" s="13"/>
      <c r="C1804" s="14"/>
      <c r="D1804" s="14"/>
      <c r="E1804" s="15"/>
      <c r="F1804" s="16" t="str">
        <f aca="false">IF(OR(C1804="",D1804="",E1804=""),"",C1804*D1804*E1804)</f>
        <v/>
      </c>
      <c r="G1804" s="17" t="str">
        <f aca="false">IF(OR(D1804="",E1804=""),"",E1804*(1+D1804/30))</f>
        <v/>
      </c>
      <c r="H1804" s="19" t="n">
        <f aca="false">IF(G1804="",0,G1804)</f>
        <v>0</v>
      </c>
      <c r="I1804" s="18" t="str">
        <f aca="false">IF(H1804&gt;0,IF(H1804&gt;=SUMPRODUCT(MAX(($B$5:$B$2004=B1804)*$H$5:$H$2004)),"Rekor",""),"")</f>
        <v/>
      </c>
      <c r="J1804" s="19" t="n">
        <f aca="false">IF(A1804="",0,IF(COUNTIF(A$5:A1804,A1804)=1,1,0))</f>
        <v>0</v>
      </c>
    </row>
    <row r="1805" customFormat="false" ht="15" hidden="false" customHeight="false" outlineLevel="0" collapsed="false">
      <c r="A1805" s="12"/>
      <c r="B1805" s="13"/>
      <c r="C1805" s="14"/>
      <c r="D1805" s="14"/>
      <c r="E1805" s="15"/>
      <c r="F1805" s="16" t="str">
        <f aca="false">IF(OR(C1805="",D1805="",E1805=""),"",C1805*D1805*E1805)</f>
        <v/>
      </c>
      <c r="G1805" s="17" t="str">
        <f aca="false">IF(OR(D1805="",E1805=""),"",E1805*(1+D1805/30))</f>
        <v/>
      </c>
      <c r="H1805" s="19" t="n">
        <f aca="false">IF(G1805="",0,G1805)</f>
        <v>0</v>
      </c>
      <c r="I1805" s="18" t="str">
        <f aca="false">IF(H1805&gt;0,IF(H1805&gt;=SUMPRODUCT(MAX(($B$5:$B$2004=B1805)*$H$5:$H$2004)),"Rekor",""),"")</f>
        <v/>
      </c>
      <c r="J1805" s="19" t="n">
        <f aca="false">IF(A1805="",0,IF(COUNTIF(A$5:A1805,A1805)=1,1,0))</f>
        <v>0</v>
      </c>
    </row>
    <row r="1806" customFormat="false" ht="15" hidden="false" customHeight="false" outlineLevel="0" collapsed="false">
      <c r="A1806" s="12"/>
      <c r="B1806" s="13"/>
      <c r="C1806" s="14"/>
      <c r="D1806" s="14"/>
      <c r="E1806" s="15"/>
      <c r="F1806" s="16" t="str">
        <f aca="false">IF(OR(C1806="",D1806="",E1806=""),"",C1806*D1806*E1806)</f>
        <v/>
      </c>
      <c r="G1806" s="17" t="str">
        <f aca="false">IF(OR(D1806="",E1806=""),"",E1806*(1+D1806/30))</f>
        <v/>
      </c>
      <c r="H1806" s="19" t="n">
        <f aca="false">IF(G1806="",0,G1806)</f>
        <v>0</v>
      </c>
      <c r="I1806" s="18" t="str">
        <f aca="false">IF(H1806&gt;0,IF(H1806&gt;=SUMPRODUCT(MAX(($B$5:$B$2004=B1806)*$H$5:$H$2004)),"Rekor",""),"")</f>
        <v/>
      </c>
      <c r="J1806" s="19" t="n">
        <f aca="false">IF(A1806="",0,IF(COUNTIF(A$5:A1806,A1806)=1,1,0))</f>
        <v>0</v>
      </c>
    </row>
    <row r="1807" customFormat="false" ht="15" hidden="false" customHeight="false" outlineLevel="0" collapsed="false">
      <c r="A1807" s="12"/>
      <c r="B1807" s="13"/>
      <c r="C1807" s="14"/>
      <c r="D1807" s="14"/>
      <c r="E1807" s="15"/>
      <c r="F1807" s="16" t="str">
        <f aca="false">IF(OR(C1807="",D1807="",E1807=""),"",C1807*D1807*E1807)</f>
        <v/>
      </c>
      <c r="G1807" s="17" t="str">
        <f aca="false">IF(OR(D1807="",E1807=""),"",E1807*(1+D1807/30))</f>
        <v/>
      </c>
      <c r="H1807" s="19" t="n">
        <f aca="false">IF(G1807="",0,G1807)</f>
        <v>0</v>
      </c>
      <c r="I1807" s="18" t="str">
        <f aca="false">IF(H1807&gt;0,IF(H1807&gt;=SUMPRODUCT(MAX(($B$5:$B$2004=B1807)*$H$5:$H$2004)),"Rekor",""),"")</f>
        <v/>
      </c>
      <c r="J1807" s="19" t="n">
        <f aca="false">IF(A1807="",0,IF(COUNTIF(A$5:A1807,A1807)=1,1,0))</f>
        <v>0</v>
      </c>
    </row>
    <row r="1808" customFormat="false" ht="15" hidden="false" customHeight="false" outlineLevel="0" collapsed="false">
      <c r="A1808" s="12"/>
      <c r="B1808" s="13"/>
      <c r="C1808" s="14"/>
      <c r="D1808" s="14"/>
      <c r="E1808" s="15"/>
      <c r="F1808" s="16" t="str">
        <f aca="false">IF(OR(C1808="",D1808="",E1808=""),"",C1808*D1808*E1808)</f>
        <v/>
      </c>
      <c r="G1808" s="17" t="str">
        <f aca="false">IF(OR(D1808="",E1808=""),"",E1808*(1+D1808/30))</f>
        <v/>
      </c>
      <c r="H1808" s="19" t="n">
        <f aca="false">IF(G1808="",0,G1808)</f>
        <v>0</v>
      </c>
      <c r="I1808" s="18" t="str">
        <f aca="false">IF(H1808&gt;0,IF(H1808&gt;=SUMPRODUCT(MAX(($B$5:$B$2004=B1808)*$H$5:$H$2004)),"Rekor",""),"")</f>
        <v/>
      </c>
      <c r="J1808" s="19" t="n">
        <f aca="false">IF(A1808="",0,IF(COUNTIF(A$5:A1808,A1808)=1,1,0))</f>
        <v>0</v>
      </c>
    </row>
    <row r="1809" customFormat="false" ht="15" hidden="false" customHeight="false" outlineLevel="0" collapsed="false">
      <c r="A1809" s="12"/>
      <c r="B1809" s="13"/>
      <c r="C1809" s="14"/>
      <c r="D1809" s="14"/>
      <c r="E1809" s="15"/>
      <c r="F1809" s="16" t="str">
        <f aca="false">IF(OR(C1809="",D1809="",E1809=""),"",C1809*D1809*E1809)</f>
        <v/>
      </c>
      <c r="G1809" s="17" t="str">
        <f aca="false">IF(OR(D1809="",E1809=""),"",E1809*(1+D1809/30))</f>
        <v/>
      </c>
      <c r="H1809" s="19" t="n">
        <f aca="false">IF(G1809="",0,G1809)</f>
        <v>0</v>
      </c>
      <c r="I1809" s="18" t="str">
        <f aca="false">IF(H1809&gt;0,IF(H1809&gt;=SUMPRODUCT(MAX(($B$5:$B$2004=B1809)*$H$5:$H$2004)),"Rekor",""),"")</f>
        <v/>
      </c>
      <c r="J1809" s="19" t="n">
        <f aca="false">IF(A1809="",0,IF(COUNTIF(A$5:A1809,A1809)=1,1,0))</f>
        <v>0</v>
      </c>
    </row>
    <row r="1810" customFormat="false" ht="15" hidden="false" customHeight="false" outlineLevel="0" collapsed="false">
      <c r="A1810" s="12"/>
      <c r="B1810" s="13"/>
      <c r="C1810" s="14"/>
      <c r="D1810" s="14"/>
      <c r="E1810" s="15"/>
      <c r="F1810" s="16" t="str">
        <f aca="false">IF(OR(C1810="",D1810="",E1810=""),"",C1810*D1810*E1810)</f>
        <v/>
      </c>
      <c r="G1810" s="17" t="str">
        <f aca="false">IF(OR(D1810="",E1810=""),"",E1810*(1+D1810/30))</f>
        <v/>
      </c>
      <c r="H1810" s="19" t="n">
        <f aca="false">IF(G1810="",0,G1810)</f>
        <v>0</v>
      </c>
      <c r="I1810" s="18" t="str">
        <f aca="false">IF(H1810&gt;0,IF(H1810&gt;=SUMPRODUCT(MAX(($B$5:$B$2004=B1810)*$H$5:$H$2004)),"Rekor",""),"")</f>
        <v/>
      </c>
      <c r="J1810" s="19" t="n">
        <f aca="false">IF(A1810="",0,IF(COUNTIF(A$5:A1810,A1810)=1,1,0))</f>
        <v>0</v>
      </c>
    </row>
    <row r="1811" customFormat="false" ht="15" hidden="false" customHeight="false" outlineLevel="0" collapsed="false">
      <c r="A1811" s="12"/>
      <c r="B1811" s="13"/>
      <c r="C1811" s="14"/>
      <c r="D1811" s="14"/>
      <c r="E1811" s="15"/>
      <c r="F1811" s="16" t="str">
        <f aca="false">IF(OR(C1811="",D1811="",E1811=""),"",C1811*D1811*E1811)</f>
        <v/>
      </c>
      <c r="G1811" s="17" t="str">
        <f aca="false">IF(OR(D1811="",E1811=""),"",E1811*(1+D1811/30))</f>
        <v/>
      </c>
      <c r="H1811" s="19" t="n">
        <f aca="false">IF(G1811="",0,G1811)</f>
        <v>0</v>
      </c>
      <c r="I1811" s="18" t="str">
        <f aca="false">IF(H1811&gt;0,IF(H1811&gt;=SUMPRODUCT(MAX(($B$5:$B$2004=B1811)*$H$5:$H$2004)),"Rekor",""),"")</f>
        <v/>
      </c>
      <c r="J1811" s="19" t="n">
        <f aca="false">IF(A1811="",0,IF(COUNTIF(A$5:A1811,A1811)=1,1,0))</f>
        <v>0</v>
      </c>
    </row>
    <row r="1812" customFormat="false" ht="15" hidden="false" customHeight="false" outlineLevel="0" collapsed="false">
      <c r="A1812" s="12"/>
      <c r="B1812" s="13"/>
      <c r="C1812" s="14"/>
      <c r="D1812" s="14"/>
      <c r="E1812" s="15"/>
      <c r="F1812" s="16" t="str">
        <f aca="false">IF(OR(C1812="",D1812="",E1812=""),"",C1812*D1812*E1812)</f>
        <v/>
      </c>
      <c r="G1812" s="17" t="str">
        <f aca="false">IF(OR(D1812="",E1812=""),"",E1812*(1+D1812/30))</f>
        <v/>
      </c>
      <c r="H1812" s="19" t="n">
        <f aca="false">IF(G1812="",0,G1812)</f>
        <v>0</v>
      </c>
      <c r="I1812" s="18" t="str">
        <f aca="false">IF(H1812&gt;0,IF(H1812&gt;=SUMPRODUCT(MAX(($B$5:$B$2004=B1812)*$H$5:$H$2004)),"Rekor",""),"")</f>
        <v/>
      </c>
      <c r="J1812" s="19" t="n">
        <f aca="false">IF(A1812="",0,IF(COUNTIF(A$5:A1812,A1812)=1,1,0))</f>
        <v>0</v>
      </c>
    </row>
    <row r="1813" customFormat="false" ht="15" hidden="false" customHeight="false" outlineLevel="0" collapsed="false">
      <c r="A1813" s="12"/>
      <c r="B1813" s="13"/>
      <c r="C1813" s="14"/>
      <c r="D1813" s="14"/>
      <c r="E1813" s="15"/>
      <c r="F1813" s="16" t="str">
        <f aca="false">IF(OR(C1813="",D1813="",E1813=""),"",C1813*D1813*E1813)</f>
        <v/>
      </c>
      <c r="G1813" s="17" t="str">
        <f aca="false">IF(OR(D1813="",E1813=""),"",E1813*(1+D1813/30))</f>
        <v/>
      </c>
      <c r="H1813" s="19" t="n">
        <f aca="false">IF(G1813="",0,G1813)</f>
        <v>0</v>
      </c>
      <c r="I1813" s="18" t="str">
        <f aca="false">IF(H1813&gt;0,IF(H1813&gt;=SUMPRODUCT(MAX(($B$5:$B$2004=B1813)*$H$5:$H$2004)),"Rekor",""),"")</f>
        <v/>
      </c>
      <c r="J1813" s="19" t="n">
        <f aca="false">IF(A1813="",0,IF(COUNTIF(A$5:A1813,A1813)=1,1,0))</f>
        <v>0</v>
      </c>
    </row>
    <row r="1814" customFormat="false" ht="15" hidden="false" customHeight="false" outlineLevel="0" collapsed="false">
      <c r="A1814" s="12"/>
      <c r="B1814" s="13"/>
      <c r="C1814" s="14"/>
      <c r="D1814" s="14"/>
      <c r="E1814" s="15"/>
      <c r="F1814" s="16" t="str">
        <f aca="false">IF(OR(C1814="",D1814="",E1814=""),"",C1814*D1814*E1814)</f>
        <v/>
      </c>
      <c r="G1814" s="17" t="str">
        <f aca="false">IF(OR(D1814="",E1814=""),"",E1814*(1+D1814/30))</f>
        <v/>
      </c>
      <c r="H1814" s="19" t="n">
        <f aca="false">IF(G1814="",0,G1814)</f>
        <v>0</v>
      </c>
      <c r="I1814" s="18" t="str">
        <f aca="false">IF(H1814&gt;0,IF(H1814&gt;=SUMPRODUCT(MAX(($B$5:$B$2004=B1814)*$H$5:$H$2004)),"Rekor",""),"")</f>
        <v/>
      </c>
      <c r="J1814" s="19" t="n">
        <f aca="false">IF(A1814="",0,IF(COUNTIF(A$5:A1814,A1814)=1,1,0))</f>
        <v>0</v>
      </c>
    </row>
    <row r="1815" customFormat="false" ht="15" hidden="false" customHeight="false" outlineLevel="0" collapsed="false">
      <c r="A1815" s="12"/>
      <c r="B1815" s="13"/>
      <c r="C1815" s="14"/>
      <c r="D1815" s="14"/>
      <c r="E1815" s="15"/>
      <c r="F1815" s="16" t="str">
        <f aca="false">IF(OR(C1815="",D1815="",E1815=""),"",C1815*D1815*E1815)</f>
        <v/>
      </c>
      <c r="G1815" s="17" t="str">
        <f aca="false">IF(OR(D1815="",E1815=""),"",E1815*(1+D1815/30))</f>
        <v/>
      </c>
      <c r="H1815" s="19" t="n">
        <f aca="false">IF(G1815="",0,G1815)</f>
        <v>0</v>
      </c>
      <c r="I1815" s="18" t="str">
        <f aca="false">IF(H1815&gt;0,IF(H1815&gt;=SUMPRODUCT(MAX(($B$5:$B$2004=B1815)*$H$5:$H$2004)),"Rekor",""),"")</f>
        <v/>
      </c>
      <c r="J1815" s="19" t="n">
        <f aca="false">IF(A1815="",0,IF(COUNTIF(A$5:A1815,A1815)=1,1,0))</f>
        <v>0</v>
      </c>
    </row>
    <row r="1816" customFormat="false" ht="15" hidden="false" customHeight="false" outlineLevel="0" collapsed="false">
      <c r="A1816" s="12"/>
      <c r="B1816" s="13"/>
      <c r="C1816" s="14"/>
      <c r="D1816" s="14"/>
      <c r="E1816" s="15"/>
      <c r="F1816" s="16" t="str">
        <f aca="false">IF(OR(C1816="",D1816="",E1816=""),"",C1816*D1816*E1816)</f>
        <v/>
      </c>
      <c r="G1816" s="17" t="str">
        <f aca="false">IF(OR(D1816="",E1816=""),"",E1816*(1+D1816/30))</f>
        <v/>
      </c>
      <c r="H1816" s="19" t="n">
        <f aca="false">IF(G1816="",0,G1816)</f>
        <v>0</v>
      </c>
      <c r="I1816" s="18" t="str">
        <f aca="false">IF(H1816&gt;0,IF(H1816&gt;=SUMPRODUCT(MAX(($B$5:$B$2004=B1816)*$H$5:$H$2004)),"Rekor",""),"")</f>
        <v/>
      </c>
      <c r="J1816" s="19" t="n">
        <f aca="false">IF(A1816="",0,IF(COUNTIF(A$5:A1816,A1816)=1,1,0))</f>
        <v>0</v>
      </c>
    </row>
    <row r="1817" customFormat="false" ht="15" hidden="false" customHeight="false" outlineLevel="0" collapsed="false">
      <c r="A1817" s="12"/>
      <c r="B1817" s="13"/>
      <c r="C1817" s="14"/>
      <c r="D1817" s="14"/>
      <c r="E1817" s="15"/>
      <c r="F1817" s="16" t="str">
        <f aca="false">IF(OR(C1817="",D1817="",E1817=""),"",C1817*D1817*E1817)</f>
        <v/>
      </c>
      <c r="G1817" s="17" t="str">
        <f aca="false">IF(OR(D1817="",E1817=""),"",E1817*(1+D1817/30))</f>
        <v/>
      </c>
      <c r="H1817" s="19" t="n">
        <f aca="false">IF(G1817="",0,G1817)</f>
        <v>0</v>
      </c>
      <c r="I1817" s="18" t="str">
        <f aca="false">IF(H1817&gt;0,IF(H1817&gt;=SUMPRODUCT(MAX(($B$5:$B$2004=B1817)*$H$5:$H$2004)),"Rekor",""),"")</f>
        <v/>
      </c>
      <c r="J1817" s="19" t="n">
        <f aca="false">IF(A1817="",0,IF(COUNTIF(A$5:A1817,A1817)=1,1,0))</f>
        <v>0</v>
      </c>
    </row>
    <row r="1818" customFormat="false" ht="15" hidden="false" customHeight="false" outlineLevel="0" collapsed="false">
      <c r="A1818" s="12"/>
      <c r="B1818" s="13"/>
      <c r="C1818" s="14"/>
      <c r="D1818" s="14"/>
      <c r="E1818" s="15"/>
      <c r="F1818" s="16" t="str">
        <f aca="false">IF(OR(C1818="",D1818="",E1818=""),"",C1818*D1818*E1818)</f>
        <v/>
      </c>
      <c r="G1818" s="17" t="str">
        <f aca="false">IF(OR(D1818="",E1818=""),"",E1818*(1+D1818/30))</f>
        <v/>
      </c>
      <c r="H1818" s="19" t="n">
        <f aca="false">IF(G1818="",0,G1818)</f>
        <v>0</v>
      </c>
      <c r="I1818" s="18" t="str">
        <f aca="false">IF(H1818&gt;0,IF(H1818&gt;=SUMPRODUCT(MAX(($B$5:$B$2004=B1818)*$H$5:$H$2004)),"Rekor",""),"")</f>
        <v/>
      </c>
      <c r="J1818" s="19" t="n">
        <f aca="false">IF(A1818="",0,IF(COUNTIF(A$5:A1818,A1818)=1,1,0))</f>
        <v>0</v>
      </c>
    </row>
    <row r="1819" customFormat="false" ht="15" hidden="false" customHeight="false" outlineLevel="0" collapsed="false">
      <c r="A1819" s="12"/>
      <c r="B1819" s="13"/>
      <c r="C1819" s="14"/>
      <c r="D1819" s="14"/>
      <c r="E1819" s="15"/>
      <c r="F1819" s="16" t="str">
        <f aca="false">IF(OR(C1819="",D1819="",E1819=""),"",C1819*D1819*E1819)</f>
        <v/>
      </c>
      <c r="G1819" s="17" t="str">
        <f aca="false">IF(OR(D1819="",E1819=""),"",E1819*(1+D1819/30))</f>
        <v/>
      </c>
      <c r="H1819" s="19" t="n">
        <f aca="false">IF(G1819="",0,G1819)</f>
        <v>0</v>
      </c>
      <c r="I1819" s="18" t="str">
        <f aca="false">IF(H1819&gt;0,IF(H1819&gt;=SUMPRODUCT(MAX(($B$5:$B$2004=B1819)*$H$5:$H$2004)),"Rekor",""),"")</f>
        <v/>
      </c>
      <c r="J1819" s="19" t="n">
        <f aca="false">IF(A1819="",0,IF(COUNTIF(A$5:A1819,A1819)=1,1,0))</f>
        <v>0</v>
      </c>
    </row>
    <row r="1820" customFormat="false" ht="15" hidden="false" customHeight="false" outlineLevel="0" collapsed="false">
      <c r="A1820" s="12"/>
      <c r="B1820" s="13"/>
      <c r="C1820" s="14"/>
      <c r="D1820" s="14"/>
      <c r="E1820" s="15"/>
      <c r="F1820" s="16" t="str">
        <f aca="false">IF(OR(C1820="",D1820="",E1820=""),"",C1820*D1820*E1820)</f>
        <v/>
      </c>
      <c r="G1820" s="17" t="str">
        <f aca="false">IF(OR(D1820="",E1820=""),"",E1820*(1+D1820/30))</f>
        <v/>
      </c>
      <c r="H1820" s="19" t="n">
        <f aca="false">IF(G1820="",0,G1820)</f>
        <v>0</v>
      </c>
      <c r="I1820" s="18" t="str">
        <f aca="false">IF(H1820&gt;0,IF(H1820&gt;=SUMPRODUCT(MAX(($B$5:$B$2004=B1820)*$H$5:$H$2004)),"Rekor",""),"")</f>
        <v/>
      </c>
      <c r="J1820" s="19" t="n">
        <f aca="false">IF(A1820="",0,IF(COUNTIF(A$5:A1820,A1820)=1,1,0))</f>
        <v>0</v>
      </c>
    </row>
    <row r="1821" customFormat="false" ht="15" hidden="false" customHeight="false" outlineLevel="0" collapsed="false">
      <c r="A1821" s="12"/>
      <c r="B1821" s="13"/>
      <c r="C1821" s="14"/>
      <c r="D1821" s="14"/>
      <c r="E1821" s="15"/>
      <c r="F1821" s="16" t="str">
        <f aca="false">IF(OR(C1821="",D1821="",E1821=""),"",C1821*D1821*E1821)</f>
        <v/>
      </c>
      <c r="G1821" s="17" t="str">
        <f aca="false">IF(OR(D1821="",E1821=""),"",E1821*(1+D1821/30))</f>
        <v/>
      </c>
      <c r="H1821" s="19" t="n">
        <f aca="false">IF(G1821="",0,G1821)</f>
        <v>0</v>
      </c>
      <c r="I1821" s="18" t="str">
        <f aca="false">IF(H1821&gt;0,IF(H1821&gt;=SUMPRODUCT(MAX(($B$5:$B$2004=B1821)*$H$5:$H$2004)),"Rekor",""),"")</f>
        <v/>
      </c>
      <c r="J1821" s="19" t="n">
        <f aca="false">IF(A1821="",0,IF(COUNTIF(A$5:A1821,A1821)=1,1,0))</f>
        <v>0</v>
      </c>
    </row>
    <row r="1822" customFormat="false" ht="15" hidden="false" customHeight="false" outlineLevel="0" collapsed="false">
      <c r="A1822" s="12"/>
      <c r="B1822" s="13"/>
      <c r="C1822" s="14"/>
      <c r="D1822" s="14"/>
      <c r="E1822" s="15"/>
      <c r="F1822" s="16" t="str">
        <f aca="false">IF(OR(C1822="",D1822="",E1822=""),"",C1822*D1822*E1822)</f>
        <v/>
      </c>
      <c r="G1822" s="17" t="str">
        <f aca="false">IF(OR(D1822="",E1822=""),"",E1822*(1+D1822/30))</f>
        <v/>
      </c>
      <c r="H1822" s="19" t="n">
        <f aca="false">IF(G1822="",0,G1822)</f>
        <v>0</v>
      </c>
      <c r="I1822" s="18" t="str">
        <f aca="false">IF(H1822&gt;0,IF(H1822&gt;=SUMPRODUCT(MAX(($B$5:$B$2004=B1822)*$H$5:$H$2004)),"Rekor",""),"")</f>
        <v/>
      </c>
      <c r="J1822" s="19" t="n">
        <f aca="false">IF(A1822="",0,IF(COUNTIF(A$5:A1822,A1822)=1,1,0))</f>
        <v>0</v>
      </c>
    </row>
    <row r="1823" customFormat="false" ht="15" hidden="false" customHeight="false" outlineLevel="0" collapsed="false">
      <c r="A1823" s="12"/>
      <c r="B1823" s="13"/>
      <c r="C1823" s="14"/>
      <c r="D1823" s="14"/>
      <c r="E1823" s="15"/>
      <c r="F1823" s="16" t="str">
        <f aca="false">IF(OR(C1823="",D1823="",E1823=""),"",C1823*D1823*E1823)</f>
        <v/>
      </c>
      <c r="G1823" s="17" t="str">
        <f aca="false">IF(OR(D1823="",E1823=""),"",E1823*(1+D1823/30))</f>
        <v/>
      </c>
      <c r="H1823" s="19" t="n">
        <f aca="false">IF(G1823="",0,G1823)</f>
        <v>0</v>
      </c>
      <c r="I1823" s="18" t="str">
        <f aca="false">IF(H1823&gt;0,IF(H1823&gt;=SUMPRODUCT(MAX(($B$5:$B$2004=B1823)*$H$5:$H$2004)),"Rekor",""),"")</f>
        <v/>
      </c>
      <c r="J1823" s="19" t="n">
        <f aca="false">IF(A1823="",0,IF(COUNTIF(A$5:A1823,A1823)=1,1,0))</f>
        <v>0</v>
      </c>
    </row>
    <row r="1824" customFormat="false" ht="15" hidden="false" customHeight="false" outlineLevel="0" collapsed="false">
      <c r="A1824" s="12"/>
      <c r="B1824" s="13"/>
      <c r="C1824" s="14"/>
      <c r="D1824" s="14"/>
      <c r="E1824" s="15"/>
      <c r="F1824" s="16" t="str">
        <f aca="false">IF(OR(C1824="",D1824="",E1824=""),"",C1824*D1824*E1824)</f>
        <v/>
      </c>
      <c r="G1824" s="17" t="str">
        <f aca="false">IF(OR(D1824="",E1824=""),"",E1824*(1+D1824/30))</f>
        <v/>
      </c>
      <c r="H1824" s="19" t="n">
        <f aca="false">IF(G1824="",0,G1824)</f>
        <v>0</v>
      </c>
      <c r="I1824" s="18" t="str">
        <f aca="false">IF(H1824&gt;0,IF(H1824&gt;=SUMPRODUCT(MAX(($B$5:$B$2004=B1824)*$H$5:$H$2004)),"Rekor",""),"")</f>
        <v/>
      </c>
      <c r="J1824" s="19" t="n">
        <f aca="false">IF(A1824="",0,IF(COUNTIF(A$5:A1824,A1824)=1,1,0))</f>
        <v>0</v>
      </c>
    </row>
    <row r="1825" customFormat="false" ht="15" hidden="false" customHeight="false" outlineLevel="0" collapsed="false">
      <c r="A1825" s="12"/>
      <c r="B1825" s="13"/>
      <c r="C1825" s="14"/>
      <c r="D1825" s="14"/>
      <c r="E1825" s="15"/>
      <c r="F1825" s="16" t="str">
        <f aca="false">IF(OR(C1825="",D1825="",E1825=""),"",C1825*D1825*E1825)</f>
        <v/>
      </c>
      <c r="G1825" s="17" t="str">
        <f aca="false">IF(OR(D1825="",E1825=""),"",E1825*(1+D1825/30))</f>
        <v/>
      </c>
      <c r="H1825" s="19" t="n">
        <f aca="false">IF(G1825="",0,G1825)</f>
        <v>0</v>
      </c>
      <c r="I1825" s="18" t="str">
        <f aca="false">IF(H1825&gt;0,IF(H1825&gt;=SUMPRODUCT(MAX(($B$5:$B$2004=B1825)*$H$5:$H$2004)),"Rekor",""),"")</f>
        <v/>
      </c>
      <c r="J1825" s="19" t="n">
        <f aca="false">IF(A1825="",0,IF(COUNTIF(A$5:A1825,A1825)=1,1,0))</f>
        <v>0</v>
      </c>
    </row>
    <row r="1826" customFormat="false" ht="15" hidden="false" customHeight="false" outlineLevel="0" collapsed="false">
      <c r="A1826" s="12"/>
      <c r="B1826" s="13"/>
      <c r="C1826" s="14"/>
      <c r="D1826" s="14"/>
      <c r="E1826" s="15"/>
      <c r="F1826" s="16" t="str">
        <f aca="false">IF(OR(C1826="",D1826="",E1826=""),"",C1826*D1826*E1826)</f>
        <v/>
      </c>
      <c r="G1826" s="17" t="str">
        <f aca="false">IF(OR(D1826="",E1826=""),"",E1826*(1+D1826/30))</f>
        <v/>
      </c>
      <c r="H1826" s="19" t="n">
        <f aca="false">IF(G1826="",0,G1826)</f>
        <v>0</v>
      </c>
      <c r="I1826" s="18" t="str">
        <f aca="false">IF(H1826&gt;0,IF(H1826&gt;=SUMPRODUCT(MAX(($B$5:$B$2004=B1826)*$H$5:$H$2004)),"Rekor",""),"")</f>
        <v/>
      </c>
      <c r="J1826" s="19" t="n">
        <f aca="false">IF(A1826="",0,IF(COUNTIF(A$5:A1826,A1826)=1,1,0))</f>
        <v>0</v>
      </c>
    </row>
    <row r="1827" customFormat="false" ht="15" hidden="false" customHeight="false" outlineLevel="0" collapsed="false">
      <c r="A1827" s="12"/>
      <c r="B1827" s="13"/>
      <c r="C1827" s="14"/>
      <c r="D1827" s="14"/>
      <c r="E1827" s="15"/>
      <c r="F1827" s="16" t="str">
        <f aca="false">IF(OR(C1827="",D1827="",E1827=""),"",C1827*D1827*E1827)</f>
        <v/>
      </c>
      <c r="G1827" s="17" t="str">
        <f aca="false">IF(OR(D1827="",E1827=""),"",E1827*(1+D1827/30))</f>
        <v/>
      </c>
      <c r="H1827" s="19" t="n">
        <f aca="false">IF(G1827="",0,G1827)</f>
        <v>0</v>
      </c>
      <c r="I1827" s="18" t="str">
        <f aca="false">IF(H1827&gt;0,IF(H1827&gt;=SUMPRODUCT(MAX(($B$5:$B$2004=B1827)*$H$5:$H$2004)),"Rekor",""),"")</f>
        <v/>
      </c>
      <c r="J1827" s="19" t="n">
        <f aca="false">IF(A1827="",0,IF(COUNTIF(A$5:A1827,A1827)=1,1,0))</f>
        <v>0</v>
      </c>
    </row>
    <row r="1828" customFormat="false" ht="15" hidden="false" customHeight="false" outlineLevel="0" collapsed="false">
      <c r="A1828" s="12"/>
      <c r="B1828" s="13"/>
      <c r="C1828" s="14"/>
      <c r="D1828" s="14"/>
      <c r="E1828" s="15"/>
      <c r="F1828" s="16" t="str">
        <f aca="false">IF(OR(C1828="",D1828="",E1828=""),"",C1828*D1828*E1828)</f>
        <v/>
      </c>
      <c r="G1828" s="17" t="str">
        <f aca="false">IF(OR(D1828="",E1828=""),"",E1828*(1+D1828/30))</f>
        <v/>
      </c>
      <c r="H1828" s="19" t="n">
        <f aca="false">IF(G1828="",0,G1828)</f>
        <v>0</v>
      </c>
      <c r="I1828" s="18" t="str">
        <f aca="false">IF(H1828&gt;0,IF(H1828&gt;=SUMPRODUCT(MAX(($B$5:$B$2004=B1828)*$H$5:$H$2004)),"Rekor",""),"")</f>
        <v/>
      </c>
      <c r="J1828" s="19" t="n">
        <f aca="false">IF(A1828="",0,IF(COUNTIF(A$5:A1828,A1828)=1,1,0))</f>
        <v>0</v>
      </c>
    </row>
    <row r="1829" customFormat="false" ht="15" hidden="false" customHeight="false" outlineLevel="0" collapsed="false">
      <c r="A1829" s="12"/>
      <c r="B1829" s="13"/>
      <c r="C1829" s="14"/>
      <c r="D1829" s="14"/>
      <c r="E1829" s="15"/>
      <c r="F1829" s="16" t="str">
        <f aca="false">IF(OR(C1829="",D1829="",E1829=""),"",C1829*D1829*E1829)</f>
        <v/>
      </c>
      <c r="G1829" s="17" t="str">
        <f aca="false">IF(OR(D1829="",E1829=""),"",E1829*(1+D1829/30))</f>
        <v/>
      </c>
      <c r="H1829" s="19" t="n">
        <f aca="false">IF(G1829="",0,G1829)</f>
        <v>0</v>
      </c>
      <c r="I1829" s="18" t="str">
        <f aca="false">IF(H1829&gt;0,IF(H1829&gt;=SUMPRODUCT(MAX(($B$5:$B$2004=B1829)*$H$5:$H$2004)),"Rekor",""),"")</f>
        <v/>
      </c>
      <c r="J1829" s="19" t="n">
        <f aca="false">IF(A1829="",0,IF(COUNTIF(A$5:A1829,A1829)=1,1,0))</f>
        <v>0</v>
      </c>
    </row>
    <row r="1830" customFormat="false" ht="15" hidden="false" customHeight="false" outlineLevel="0" collapsed="false">
      <c r="A1830" s="12"/>
      <c r="B1830" s="13"/>
      <c r="C1830" s="14"/>
      <c r="D1830" s="14"/>
      <c r="E1830" s="15"/>
      <c r="F1830" s="16" t="str">
        <f aca="false">IF(OR(C1830="",D1830="",E1830=""),"",C1830*D1830*E1830)</f>
        <v/>
      </c>
      <c r="G1830" s="17" t="str">
        <f aca="false">IF(OR(D1830="",E1830=""),"",E1830*(1+D1830/30))</f>
        <v/>
      </c>
      <c r="H1830" s="19" t="n">
        <f aca="false">IF(G1830="",0,G1830)</f>
        <v>0</v>
      </c>
      <c r="I1830" s="18" t="str">
        <f aca="false">IF(H1830&gt;0,IF(H1830&gt;=SUMPRODUCT(MAX(($B$5:$B$2004=B1830)*$H$5:$H$2004)),"Rekor",""),"")</f>
        <v/>
      </c>
      <c r="J1830" s="19" t="n">
        <f aca="false">IF(A1830="",0,IF(COUNTIF(A$5:A1830,A1830)=1,1,0))</f>
        <v>0</v>
      </c>
    </row>
    <row r="1831" customFormat="false" ht="15" hidden="false" customHeight="false" outlineLevel="0" collapsed="false">
      <c r="A1831" s="12"/>
      <c r="B1831" s="13"/>
      <c r="C1831" s="14"/>
      <c r="D1831" s="14"/>
      <c r="E1831" s="15"/>
      <c r="F1831" s="16" t="str">
        <f aca="false">IF(OR(C1831="",D1831="",E1831=""),"",C1831*D1831*E1831)</f>
        <v/>
      </c>
      <c r="G1831" s="17" t="str">
        <f aca="false">IF(OR(D1831="",E1831=""),"",E1831*(1+D1831/30))</f>
        <v/>
      </c>
      <c r="H1831" s="19" t="n">
        <f aca="false">IF(G1831="",0,G1831)</f>
        <v>0</v>
      </c>
      <c r="I1831" s="18" t="str">
        <f aca="false">IF(H1831&gt;0,IF(H1831&gt;=SUMPRODUCT(MAX(($B$5:$B$2004=B1831)*$H$5:$H$2004)),"Rekor",""),"")</f>
        <v/>
      </c>
      <c r="J1831" s="19" t="n">
        <f aca="false">IF(A1831="",0,IF(COUNTIF(A$5:A1831,A1831)=1,1,0))</f>
        <v>0</v>
      </c>
    </row>
    <row r="1832" customFormat="false" ht="15" hidden="false" customHeight="false" outlineLevel="0" collapsed="false">
      <c r="A1832" s="12"/>
      <c r="B1832" s="13"/>
      <c r="C1832" s="14"/>
      <c r="D1832" s="14"/>
      <c r="E1832" s="15"/>
      <c r="F1832" s="16" t="str">
        <f aca="false">IF(OR(C1832="",D1832="",E1832=""),"",C1832*D1832*E1832)</f>
        <v/>
      </c>
      <c r="G1832" s="17" t="str">
        <f aca="false">IF(OR(D1832="",E1832=""),"",E1832*(1+D1832/30))</f>
        <v/>
      </c>
      <c r="H1832" s="19" t="n">
        <f aca="false">IF(G1832="",0,G1832)</f>
        <v>0</v>
      </c>
      <c r="I1832" s="18" t="str">
        <f aca="false">IF(H1832&gt;0,IF(H1832&gt;=SUMPRODUCT(MAX(($B$5:$B$2004=B1832)*$H$5:$H$2004)),"Rekor",""),"")</f>
        <v/>
      </c>
      <c r="J1832" s="19" t="n">
        <f aca="false">IF(A1832="",0,IF(COUNTIF(A$5:A1832,A1832)=1,1,0))</f>
        <v>0</v>
      </c>
    </row>
    <row r="1833" customFormat="false" ht="15" hidden="false" customHeight="false" outlineLevel="0" collapsed="false">
      <c r="A1833" s="12"/>
      <c r="B1833" s="13"/>
      <c r="C1833" s="14"/>
      <c r="D1833" s="14"/>
      <c r="E1833" s="15"/>
      <c r="F1833" s="16" t="str">
        <f aca="false">IF(OR(C1833="",D1833="",E1833=""),"",C1833*D1833*E1833)</f>
        <v/>
      </c>
      <c r="G1833" s="17" t="str">
        <f aca="false">IF(OR(D1833="",E1833=""),"",E1833*(1+D1833/30))</f>
        <v/>
      </c>
      <c r="H1833" s="19" t="n">
        <f aca="false">IF(G1833="",0,G1833)</f>
        <v>0</v>
      </c>
      <c r="I1833" s="18" t="str">
        <f aca="false">IF(H1833&gt;0,IF(H1833&gt;=SUMPRODUCT(MAX(($B$5:$B$2004=B1833)*$H$5:$H$2004)),"Rekor",""),"")</f>
        <v/>
      </c>
      <c r="J1833" s="19" t="n">
        <f aca="false">IF(A1833="",0,IF(COUNTIF(A$5:A1833,A1833)=1,1,0))</f>
        <v>0</v>
      </c>
    </row>
    <row r="1834" customFormat="false" ht="15" hidden="false" customHeight="false" outlineLevel="0" collapsed="false">
      <c r="A1834" s="12"/>
      <c r="B1834" s="13"/>
      <c r="C1834" s="14"/>
      <c r="D1834" s="14"/>
      <c r="E1834" s="15"/>
      <c r="F1834" s="16" t="str">
        <f aca="false">IF(OR(C1834="",D1834="",E1834=""),"",C1834*D1834*E1834)</f>
        <v/>
      </c>
      <c r="G1834" s="17" t="str">
        <f aca="false">IF(OR(D1834="",E1834=""),"",E1834*(1+D1834/30))</f>
        <v/>
      </c>
      <c r="H1834" s="19" t="n">
        <f aca="false">IF(G1834="",0,G1834)</f>
        <v>0</v>
      </c>
      <c r="I1834" s="18" t="str">
        <f aca="false">IF(H1834&gt;0,IF(H1834&gt;=SUMPRODUCT(MAX(($B$5:$B$2004=B1834)*$H$5:$H$2004)),"Rekor",""),"")</f>
        <v/>
      </c>
      <c r="J1834" s="19" t="n">
        <f aca="false">IF(A1834="",0,IF(COUNTIF(A$5:A1834,A1834)=1,1,0))</f>
        <v>0</v>
      </c>
    </row>
    <row r="1835" customFormat="false" ht="15" hidden="false" customHeight="false" outlineLevel="0" collapsed="false">
      <c r="A1835" s="12"/>
      <c r="B1835" s="13"/>
      <c r="C1835" s="14"/>
      <c r="D1835" s="14"/>
      <c r="E1835" s="15"/>
      <c r="F1835" s="16" t="str">
        <f aca="false">IF(OR(C1835="",D1835="",E1835=""),"",C1835*D1835*E1835)</f>
        <v/>
      </c>
      <c r="G1835" s="17" t="str">
        <f aca="false">IF(OR(D1835="",E1835=""),"",E1835*(1+D1835/30))</f>
        <v/>
      </c>
      <c r="H1835" s="19" t="n">
        <f aca="false">IF(G1835="",0,G1835)</f>
        <v>0</v>
      </c>
      <c r="I1835" s="18" t="str">
        <f aca="false">IF(H1835&gt;0,IF(H1835&gt;=SUMPRODUCT(MAX(($B$5:$B$2004=B1835)*$H$5:$H$2004)),"Rekor",""),"")</f>
        <v/>
      </c>
      <c r="J1835" s="19" t="n">
        <f aca="false">IF(A1835="",0,IF(COUNTIF(A$5:A1835,A1835)=1,1,0))</f>
        <v>0</v>
      </c>
    </row>
    <row r="1836" customFormat="false" ht="15" hidden="false" customHeight="false" outlineLevel="0" collapsed="false">
      <c r="A1836" s="12"/>
      <c r="B1836" s="13"/>
      <c r="C1836" s="14"/>
      <c r="D1836" s="14"/>
      <c r="E1836" s="15"/>
      <c r="F1836" s="16" t="str">
        <f aca="false">IF(OR(C1836="",D1836="",E1836=""),"",C1836*D1836*E1836)</f>
        <v/>
      </c>
      <c r="G1836" s="17" t="str">
        <f aca="false">IF(OR(D1836="",E1836=""),"",E1836*(1+D1836/30))</f>
        <v/>
      </c>
      <c r="H1836" s="19" t="n">
        <f aca="false">IF(G1836="",0,G1836)</f>
        <v>0</v>
      </c>
      <c r="I1836" s="18" t="str">
        <f aca="false">IF(H1836&gt;0,IF(H1836&gt;=SUMPRODUCT(MAX(($B$5:$B$2004=B1836)*$H$5:$H$2004)),"Rekor",""),"")</f>
        <v/>
      </c>
      <c r="J1836" s="19" t="n">
        <f aca="false">IF(A1836="",0,IF(COUNTIF(A$5:A1836,A1836)=1,1,0))</f>
        <v>0</v>
      </c>
    </row>
    <row r="1837" customFormat="false" ht="15" hidden="false" customHeight="false" outlineLevel="0" collapsed="false">
      <c r="A1837" s="12"/>
      <c r="B1837" s="13"/>
      <c r="C1837" s="14"/>
      <c r="D1837" s="14"/>
      <c r="E1837" s="15"/>
      <c r="F1837" s="16" t="str">
        <f aca="false">IF(OR(C1837="",D1837="",E1837=""),"",C1837*D1837*E1837)</f>
        <v/>
      </c>
      <c r="G1837" s="17" t="str">
        <f aca="false">IF(OR(D1837="",E1837=""),"",E1837*(1+D1837/30))</f>
        <v/>
      </c>
      <c r="H1837" s="19" t="n">
        <f aca="false">IF(G1837="",0,G1837)</f>
        <v>0</v>
      </c>
      <c r="I1837" s="18" t="str">
        <f aca="false">IF(H1837&gt;0,IF(H1837&gt;=SUMPRODUCT(MAX(($B$5:$B$2004=B1837)*$H$5:$H$2004)),"Rekor",""),"")</f>
        <v/>
      </c>
      <c r="J1837" s="19" t="n">
        <f aca="false">IF(A1837="",0,IF(COUNTIF(A$5:A1837,A1837)=1,1,0))</f>
        <v>0</v>
      </c>
    </row>
    <row r="1838" customFormat="false" ht="15" hidden="false" customHeight="false" outlineLevel="0" collapsed="false">
      <c r="A1838" s="12"/>
      <c r="B1838" s="13"/>
      <c r="C1838" s="14"/>
      <c r="D1838" s="14"/>
      <c r="E1838" s="15"/>
      <c r="F1838" s="16" t="str">
        <f aca="false">IF(OR(C1838="",D1838="",E1838=""),"",C1838*D1838*E1838)</f>
        <v/>
      </c>
      <c r="G1838" s="17" t="str">
        <f aca="false">IF(OR(D1838="",E1838=""),"",E1838*(1+D1838/30))</f>
        <v/>
      </c>
      <c r="H1838" s="19" t="n">
        <f aca="false">IF(G1838="",0,G1838)</f>
        <v>0</v>
      </c>
      <c r="I1838" s="18" t="str">
        <f aca="false">IF(H1838&gt;0,IF(H1838&gt;=SUMPRODUCT(MAX(($B$5:$B$2004=B1838)*$H$5:$H$2004)),"Rekor",""),"")</f>
        <v/>
      </c>
      <c r="J1838" s="19" t="n">
        <f aca="false">IF(A1838="",0,IF(COUNTIF(A$5:A1838,A1838)=1,1,0))</f>
        <v>0</v>
      </c>
    </row>
    <row r="1839" customFormat="false" ht="15" hidden="false" customHeight="false" outlineLevel="0" collapsed="false">
      <c r="A1839" s="12"/>
      <c r="B1839" s="13"/>
      <c r="C1839" s="14"/>
      <c r="D1839" s="14"/>
      <c r="E1839" s="15"/>
      <c r="F1839" s="16" t="str">
        <f aca="false">IF(OR(C1839="",D1839="",E1839=""),"",C1839*D1839*E1839)</f>
        <v/>
      </c>
      <c r="G1839" s="17" t="str">
        <f aca="false">IF(OR(D1839="",E1839=""),"",E1839*(1+D1839/30))</f>
        <v/>
      </c>
      <c r="H1839" s="19" t="n">
        <f aca="false">IF(G1839="",0,G1839)</f>
        <v>0</v>
      </c>
      <c r="I1839" s="18" t="str">
        <f aca="false">IF(H1839&gt;0,IF(H1839&gt;=SUMPRODUCT(MAX(($B$5:$B$2004=B1839)*$H$5:$H$2004)),"Rekor",""),"")</f>
        <v/>
      </c>
      <c r="J1839" s="19" t="n">
        <f aca="false">IF(A1839="",0,IF(COUNTIF(A$5:A1839,A1839)=1,1,0))</f>
        <v>0</v>
      </c>
    </row>
    <row r="1840" customFormat="false" ht="15" hidden="false" customHeight="false" outlineLevel="0" collapsed="false">
      <c r="A1840" s="12"/>
      <c r="B1840" s="13"/>
      <c r="C1840" s="14"/>
      <c r="D1840" s="14"/>
      <c r="E1840" s="15"/>
      <c r="F1840" s="16" t="str">
        <f aca="false">IF(OR(C1840="",D1840="",E1840=""),"",C1840*D1840*E1840)</f>
        <v/>
      </c>
      <c r="G1840" s="17" t="str">
        <f aca="false">IF(OR(D1840="",E1840=""),"",E1840*(1+D1840/30))</f>
        <v/>
      </c>
      <c r="H1840" s="19" t="n">
        <f aca="false">IF(G1840="",0,G1840)</f>
        <v>0</v>
      </c>
      <c r="I1840" s="18" t="str">
        <f aca="false">IF(H1840&gt;0,IF(H1840&gt;=SUMPRODUCT(MAX(($B$5:$B$2004=B1840)*$H$5:$H$2004)),"Rekor",""),"")</f>
        <v/>
      </c>
      <c r="J1840" s="19" t="n">
        <f aca="false">IF(A1840="",0,IF(COUNTIF(A$5:A1840,A1840)=1,1,0))</f>
        <v>0</v>
      </c>
    </row>
    <row r="1841" customFormat="false" ht="15" hidden="false" customHeight="false" outlineLevel="0" collapsed="false">
      <c r="A1841" s="12"/>
      <c r="B1841" s="13"/>
      <c r="C1841" s="14"/>
      <c r="D1841" s="14"/>
      <c r="E1841" s="15"/>
      <c r="F1841" s="16" t="str">
        <f aca="false">IF(OR(C1841="",D1841="",E1841=""),"",C1841*D1841*E1841)</f>
        <v/>
      </c>
      <c r="G1841" s="17" t="str">
        <f aca="false">IF(OR(D1841="",E1841=""),"",E1841*(1+D1841/30))</f>
        <v/>
      </c>
      <c r="H1841" s="19" t="n">
        <f aca="false">IF(G1841="",0,G1841)</f>
        <v>0</v>
      </c>
      <c r="I1841" s="18" t="str">
        <f aca="false">IF(H1841&gt;0,IF(H1841&gt;=SUMPRODUCT(MAX(($B$5:$B$2004=B1841)*$H$5:$H$2004)),"Rekor",""),"")</f>
        <v/>
      </c>
      <c r="J1841" s="19" t="n">
        <f aca="false">IF(A1841="",0,IF(COUNTIF(A$5:A1841,A1841)=1,1,0))</f>
        <v>0</v>
      </c>
    </row>
    <row r="1842" customFormat="false" ht="15" hidden="false" customHeight="false" outlineLevel="0" collapsed="false">
      <c r="A1842" s="12"/>
      <c r="B1842" s="13"/>
      <c r="C1842" s="14"/>
      <c r="D1842" s="14"/>
      <c r="E1842" s="15"/>
      <c r="F1842" s="16" t="str">
        <f aca="false">IF(OR(C1842="",D1842="",E1842=""),"",C1842*D1842*E1842)</f>
        <v/>
      </c>
      <c r="G1842" s="17" t="str">
        <f aca="false">IF(OR(D1842="",E1842=""),"",E1842*(1+D1842/30))</f>
        <v/>
      </c>
      <c r="H1842" s="19" t="n">
        <f aca="false">IF(G1842="",0,G1842)</f>
        <v>0</v>
      </c>
      <c r="I1842" s="18" t="str">
        <f aca="false">IF(H1842&gt;0,IF(H1842&gt;=SUMPRODUCT(MAX(($B$5:$B$2004=B1842)*$H$5:$H$2004)),"Rekor",""),"")</f>
        <v/>
      </c>
      <c r="J1842" s="19" t="n">
        <f aca="false">IF(A1842="",0,IF(COUNTIF(A$5:A1842,A1842)=1,1,0))</f>
        <v>0</v>
      </c>
    </row>
    <row r="1843" customFormat="false" ht="15" hidden="false" customHeight="false" outlineLevel="0" collapsed="false">
      <c r="A1843" s="12"/>
      <c r="B1843" s="13"/>
      <c r="C1843" s="14"/>
      <c r="D1843" s="14"/>
      <c r="E1843" s="15"/>
      <c r="F1843" s="16" t="str">
        <f aca="false">IF(OR(C1843="",D1843="",E1843=""),"",C1843*D1843*E1843)</f>
        <v/>
      </c>
      <c r="G1843" s="17" t="str">
        <f aca="false">IF(OR(D1843="",E1843=""),"",E1843*(1+D1843/30))</f>
        <v/>
      </c>
      <c r="H1843" s="19" t="n">
        <f aca="false">IF(G1843="",0,G1843)</f>
        <v>0</v>
      </c>
      <c r="I1843" s="18" t="str">
        <f aca="false">IF(H1843&gt;0,IF(H1843&gt;=SUMPRODUCT(MAX(($B$5:$B$2004=B1843)*$H$5:$H$2004)),"Rekor",""),"")</f>
        <v/>
      </c>
      <c r="J1843" s="19" t="n">
        <f aca="false">IF(A1843="",0,IF(COUNTIF(A$5:A1843,A1843)=1,1,0))</f>
        <v>0</v>
      </c>
    </row>
    <row r="1844" customFormat="false" ht="15" hidden="false" customHeight="false" outlineLevel="0" collapsed="false">
      <c r="A1844" s="12"/>
      <c r="B1844" s="13"/>
      <c r="C1844" s="14"/>
      <c r="D1844" s="14"/>
      <c r="E1844" s="15"/>
      <c r="F1844" s="16" t="str">
        <f aca="false">IF(OR(C1844="",D1844="",E1844=""),"",C1844*D1844*E1844)</f>
        <v/>
      </c>
      <c r="G1844" s="17" t="str">
        <f aca="false">IF(OR(D1844="",E1844=""),"",E1844*(1+D1844/30))</f>
        <v/>
      </c>
      <c r="H1844" s="19" t="n">
        <f aca="false">IF(G1844="",0,G1844)</f>
        <v>0</v>
      </c>
      <c r="I1844" s="18" t="str">
        <f aca="false">IF(H1844&gt;0,IF(H1844&gt;=SUMPRODUCT(MAX(($B$5:$B$2004=B1844)*$H$5:$H$2004)),"Rekor",""),"")</f>
        <v/>
      </c>
      <c r="J1844" s="19" t="n">
        <f aca="false">IF(A1844="",0,IF(COUNTIF(A$5:A1844,A1844)=1,1,0))</f>
        <v>0</v>
      </c>
    </row>
    <row r="1845" customFormat="false" ht="15" hidden="false" customHeight="false" outlineLevel="0" collapsed="false">
      <c r="A1845" s="12"/>
      <c r="B1845" s="13"/>
      <c r="C1845" s="14"/>
      <c r="D1845" s="14"/>
      <c r="E1845" s="15"/>
      <c r="F1845" s="16" t="str">
        <f aca="false">IF(OR(C1845="",D1845="",E1845=""),"",C1845*D1845*E1845)</f>
        <v/>
      </c>
      <c r="G1845" s="17" t="str">
        <f aca="false">IF(OR(D1845="",E1845=""),"",E1845*(1+D1845/30))</f>
        <v/>
      </c>
      <c r="H1845" s="19" t="n">
        <f aca="false">IF(G1845="",0,G1845)</f>
        <v>0</v>
      </c>
      <c r="I1845" s="18" t="str">
        <f aca="false">IF(H1845&gt;0,IF(H1845&gt;=SUMPRODUCT(MAX(($B$5:$B$2004=B1845)*$H$5:$H$2004)),"Rekor",""),"")</f>
        <v/>
      </c>
      <c r="J1845" s="19" t="n">
        <f aca="false">IF(A1845="",0,IF(COUNTIF(A$5:A1845,A1845)=1,1,0))</f>
        <v>0</v>
      </c>
    </row>
    <row r="1846" customFormat="false" ht="15" hidden="false" customHeight="false" outlineLevel="0" collapsed="false">
      <c r="A1846" s="12"/>
      <c r="B1846" s="13"/>
      <c r="C1846" s="14"/>
      <c r="D1846" s="14"/>
      <c r="E1846" s="15"/>
      <c r="F1846" s="16" t="str">
        <f aca="false">IF(OR(C1846="",D1846="",E1846=""),"",C1846*D1846*E1846)</f>
        <v/>
      </c>
      <c r="G1846" s="17" t="str">
        <f aca="false">IF(OR(D1846="",E1846=""),"",E1846*(1+D1846/30))</f>
        <v/>
      </c>
      <c r="H1846" s="19" t="n">
        <f aca="false">IF(G1846="",0,G1846)</f>
        <v>0</v>
      </c>
      <c r="I1846" s="18" t="str">
        <f aca="false">IF(H1846&gt;0,IF(H1846&gt;=SUMPRODUCT(MAX(($B$5:$B$2004=B1846)*$H$5:$H$2004)),"Rekor",""),"")</f>
        <v/>
      </c>
      <c r="J1846" s="19" t="n">
        <f aca="false">IF(A1846="",0,IF(COUNTIF(A$5:A1846,A1846)=1,1,0))</f>
        <v>0</v>
      </c>
    </row>
    <row r="1847" customFormat="false" ht="15" hidden="false" customHeight="false" outlineLevel="0" collapsed="false">
      <c r="A1847" s="12"/>
      <c r="B1847" s="13"/>
      <c r="C1847" s="14"/>
      <c r="D1847" s="14"/>
      <c r="E1847" s="15"/>
      <c r="F1847" s="16" t="str">
        <f aca="false">IF(OR(C1847="",D1847="",E1847=""),"",C1847*D1847*E1847)</f>
        <v/>
      </c>
      <c r="G1847" s="17" t="str">
        <f aca="false">IF(OR(D1847="",E1847=""),"",E1847*(1+D1847/30))</f>
        <v/>
      </c>
      <c r="H1847" s="19" t="n">
        <f aca="false">IF(G1847="",0,G1847)</f>
        <v>0</v>
      </c>
      <c r="I1847" s="18" t="str">
        <f aca="false">IF(H1847&gt;0,IF(H1847&gt;=SUMPRODUCT(MAX(($B$5:$B$2004=B1847)*$H$5:$H$2004)),"Rekor",""),"")</f>
        <v/>
      </c>
      <c r="J1847" s="19" t="n">
        <f aca="false">IF(A1847="",0,IF(COUNTIF(A$5:A1847,A1847)=1,1,0))</f>
        <v>0</v>
      </c>
    </row>
    <row r="1848" customFormat="false" ht="15" hidden="false" customHeight="false" outlineLevel="0" collapsed="false">
      <c r="A1848" s="12"/>
      <c r="B1848" s="13"/>
      <c r="C1848" s="14"/>
      <c r="D1848" s="14"/>
      <c r="E1848" s="15"/>
      <c r="F1848" s="16" t="str">
        <f aca="false">IF(OR(C1848="",D1848="",E1848=""),"",C1848*D1848*E1848)</f>
        <v/>
      </c>
      <c r="G1848" s="17" t="str">
        <f aca="false">IF(OR(D1848="",E1848=""),"",E1848*(1+D1848/30))</f>
        <v/>
      </c>
      <c r="H1848" s="19" t="n">
        <f aca="false">IF(G1848="",0,G1848)</f>
        <v>0</v>
      </c>
      <c r="I1848" s="18" t="str">
        <f aca="false">IF(H1848&gt;0,IF(H1848&gt;=SUMPRODUCT(MAX(($B$5:$B$2004=B1848)*$H$5:$H$2004)),"Rekor",""),"")</f>
        <v/>
      </c>
      <c r="J1848" s="19" t="n">
        <f aca="false">IF(A1848="",0,IF(COUNTIF(A$5:A1848,A1848)=1,1,0))</f>
        <v>0</v>
      </c>
    </row>
    <row r="1849" customFormat="false" ht="15" hidden="false" customHeight="false" outlineLevel="0" collapsed="false">
      <c r="A1849" s="12"/>
      <c r="B1849" s="13"/>
      <c r="C1849" s="14"/>
      <c r="D1849" s="14"/>
      <c r="E1849" s="15"/>
      <c r="F1849" s="16" t="str">
        <f aca="false">IF(OR(C1849="",D1849="",E1849=""),"",C1849*D1849*E1849)</f>
        <v/>
      </c>
      <c r="G1849" s="17" t="str">
        <f aca="false">IF(OR(D1849="",E1849=""),"",E1849*(1+D1849/30))</f>
        <v/>
      </c>
      <c r="H1849" s="19" t="n">
        <f aca="false">IF(G1849="",0,G1849)</f>
        <v>0</v>
      </c>
      <c r="I1849" s="18" t="str">
        <f aca="false">IF(H1849&gt;0,IF(H1849&gt;=SUMPRODUCT(MAX(($B$5:$B$2004=B1849)*$H$5:$H$2004)),"Rekor",""),"")</f>
        <v/>
      </c>
      <c r="J1849" s="19" t="n">
        <f aca="false">IF(A1849="",0,IF(COUNTIF(A$5:A1849,A1849)=1,1,0))</f>
        <v>0</v>
      </c>
    </row>
    <row r="1850" customFormat="false" ht="15" hidden="false" customHeight="false" outlineLevel="0" collapsed="false">
      <c r="A1850" s="12"/>
      <c r="B1850" s="13"/>
      <c r="C1850" s="14"/>
      <c r="D1850" s="14"/>
      <c r="E1850" s="15"/>
      <c r="F1850" s="16" t="str">
        <f aca="false">IF(OR(C1850="",D1850="",E1850=""),"",C1850*D1850*E1850)</f>
        <v/>
      </c>
      <c r="G1850" s="17" t="str">
        <f aca="false">IF(OR(D1850="",E1850=""),"",E1850*(1+D1850/30))</f>
        <v/>
      </c>
      <c r="H1850" s="19" t="n">
        <f aca="false">IF(G1850="",0,G1850)</f>
        <v>0</v>
      </c>
      <c r="I1850" s="18" t="str">
        <f aca="false">IF(H1850&gt;0,IF(H1850&gt;=SUMPRODUCT(MAX(($B$5:$B$2004=B1850)*$H$5:$H$2004)),"Rekor",""),"")</f>
        <v/>
      </c>
      <c r="J1850" s="19" t="n">
        <f aca="false">IF(A1850="",0,IF(COUNTIF(A$5:A1850,A1850)=1,1,0))</f>
        <v>0</v>
      </c>
    </row>
    <row r="1851" customFormat="false" ht="15" hidden="false" customHeight="false" outlineLevel="0" collapsed="false">
      <c r="A1851" s="12"/>
      <c r="B1851" s="13"/>
      <c r="C1851" s="14"/>
      <c r="D1851" s="14"/>
      <c r="E1851" s="15"/>
      <c r="F1851" s="16" t="str">
        <f aca="false">IF(OR(C1851="",D1851="",E1851=""),"",C1851*D1851*E1851)</f>
        <v/>
      </c>
      <c r="G1851" s="17" t="str">
        <f aca="false">IF(OR(D1851="",E1851=""),"",E1851*(1+D1851/30))</f>
        <v/>
      </c>
      <c r="H1851" s="19" t="n">
        <f aca="false">IF(G1851="",0,G1851)</f>
        <v>0</v>
      </c>
      <c r="I1851" s="18" t="str">
        <f aca="false">IF(H1851&gt;0,IF(H1851&gt;=SUMPRODUCT(MAX(($B$5:$B$2004=B1851)*$H$5:$H$2004)),"Rekor",""),"")</f>
        <v/>
      </c>
      <c r="J1851" s="19" t="n">
        <f aca="false">IF(A1851="",0,IF(COUNTIF(A$5:A1851,A1851)=1,1,0))</f>
        <v>0</v>
      </c>
    </row>
    <row r="1852" customFormat="false" ht="15" hidden="false" customHeight="false" outlineLevel="0" collapsed="false">
      <c r="A1852" s="12"/>
      <c r="B1852" s="13"/>
      <c r="C1852" s="14"/>
      <c r="D1852" s="14"/>
      <c r="E1852" s="15"/>
      <c r="F1852" s="16" t="str">
        <f aca="false">IF(OR(C1852="",D1852="",E1852=""),"",C1852*D1852*E1852)</f>
        <v/>
      </c>
      <c r="G1852" s="17" t="str">
        <f aca="false">IF(OR(D1852="",E1852=""),"",E1852*(1+D1852/30))</f>
        <v/>
      </c>
      <c r="H1852" s="19" t="n">
        <f aca="false">IF(G1852="",0,G1852)</f>
        <v>0</v>
      </c>
      <c r="I1852" s="18" t="str">
        <f aca="false">IF(H1852&gt;0,IF(H1852&gt;=SUMPRODUCT(MAX(($B$5:$B$2004=B1852)*$H$5:$H$2004)),"Rekor",""),"")</f>
        <v/>
      </c>
      <c r="J1852" s="19" t="n">
        <f aca="false">IF(A1852="",0,IF(COUNTIF(A$5:A1852,A1852)=1,1,0))</f>
        <v>0</v>
      </c>
    </row>
    <row r="1853" customFormat="false" ht="15" hidden="false" customHeight="false" outlineLevel="0" collapsed="false">
      <c r="A1853" s="12"/>
      <c r="B1853" s="13"/>
      <c r="C1853" s="14"/>
      <c r="D1853" s="14"/>
      <c r="E1853" s="15"/>
      <c r="F1853" s="16" t="str">
        <f aca="false">IF(OR(C1853="",D1853="",E1853=""),"",C1853*D1853*E1853)</f>
        <v/>
      </c>
      <c r="G1853" s="17" t="str">
        <f aca="false">IF(OR(D1853="",E1853=""),"",E1853*(1+D1853/30))</f>
        <v/>
      </c>
      <c r="H1853" s="19" t="n">
        <f aca="false">IF(G1853="",0,G1853)</f>
        <v>0</v>
      </c>
      <c r="I1853" s="18" t="str">
        <f aca="false">IF(H1853&gt;0,IF(H1853&gt;=SUMPRODUCT(MAX(($B$5:$B$2004=B1853)*$H$5:$H$2004)),"Rekor",""),"")</f>
        <v/>
      </c>
      <c r="J1853" s="19" t="n">
        <f aca="false">IF(A1853="",0,IF(COUNTIF(A$5:A1853,A1853)=1,1,0))</f>
        <v>0</v>
      </c>
    </row>
    <row r="1854" customFormat="false" ht="15" hidden="false" customHeight="false" outlineLevel="0" collapsed="false">
      <c r="A1854" s="12"/>
      <c r="B1854" s="13"/>
      <c r="C1854" s="14"/>
      <c r="D1854" s="14"/>
      <c r="E1854" s="15"/>
      <c r="F1854" s="16" t="str">
        <f aca="false">IF(OR(C1854="",D1854="",E1854=""),"",C1854*D1854*E1854)</f>
        <v/>
      </c>
      <c r="G1854" s="17" t="str">
        <f aca="false">IF(OR(D1854="",E1854=""),"",E1854*(1+D1854/30))</f>
        <v/>
      </c>
      <c r="H1854" s="19" t="n">
        <f aca="false">IF(G1854="",0,G1854)</f>
        <v>0</v>
      </c>
      <c r="I1854" s="18" t="str">
        <f aca="false">IF(H1854&gt;0,IF(H1854&gt;=SUMPRODUCT(MAX(($B$5:$B$2004=B1854)*$H$5:$H$2004)),"Rekor",""),"")</f>
        <v/>
      </c>
      <c r="J1854" s="19" t="n">
        <f aca="false">IF(A1854="",0,IF(COUNTIF(A$5:A1854,A1854)=1,1,0))</f>
        <v>0</v>
      </c>
    </row>
    <row r="1855" customFormat="false" ht="15" hidden="false" customHeight="false" outlineLevel="0" collapsed="false">
      <c r="A1855" s="12"/>
      <c r="B1855" s="13"/>
      <c r="C1855" s="14"/>
      <c r="D1855" s="14"/>
      <c r="E1855" s="15"/>
      <c r="F1855" s="16" t="str">
        <f aca="false">IF(OR(C1855="",D1855="",E1855=""),"",C1855*D1855*E1855)</f>
        <v/>
      </c>
      <c r="G1855" s="17" t="str">
        <f aca="false">IF(OR(D1855="",E1855=""),"",E1855*(1+D1855/30))</f>
        <v/>
      </c>
      <c r="H1855" s="19" t="n">
        <f aca="false">IF(G1855="",0,G1855)</f>
        <v>0</v>
      </c>
      <c r="I1855" s="18" t="str">
        <f aca="false">IF(H1855&gt;0,IF(H1855&gt;=SUMPRODUCT(MAX(($B$5:$B$2004=B1855)*$H$5:$H$2004)),"Rekor",""),"")</f>
        <v/>
      </c>
      <c r="J1855" s="19" t="n">
        <f aca="false">IF(A1855="",0,IF(COUNTIF(A$5:A1855,A1855)=1,1,0))</f>
        <v>0</v>
      </c>
    </row>
    <row r="1856" customFormat="false" ht="15" hidden="false" customHeight="false" outlineLevel="0" collapsed="false">
      <c r="A1856" s="12"/>
      <c r="B1856" s="13"/>
      <c r="C1856" s="14"/>
      <c r="D1856" s="14"/>
      <c r="E1856" s="15"/>
      <c r="F1856" s="16" t="str">
        <f aca="false">IF(OR(C1856="",D1856="",E1856=""),"",C1856*D1856*E1856)</f>
        <v/>
      </c>
      <c r="G1856" s="17" t="str">
        <f aca="false">IF(OR(D1856="",E1856=""),"",E1856*(1+D1856/30))</f>
        <v/>
      </c>
      <c r="H1856" s="19" t="n">
        <f aca="false">IF(G1856="",0,G1856)</f>
        <v>0</v>
      </c>
      <c r="I1856" s="18" t="str">
        <f aca="false">IF(H1856&gt;0,IF(H1856&gt;=SUMPRODUCT(MAX(($B$5:$B$2004=B1856)*$H$5:$H$2004)),"Rekor",""),"")</f>
        <v/>
      </c>
      <c r="J1856" s="19" t="n">
        <f aca="false">IF(A1856="",0,IF(COUNTIF(A$5:A1856,A1856)=1,1,0))</f>
        <v>0</v>
      </c>
    </row>
    <row r="1857" customFormat="false" ht="15" hidden="false" customHeight="false" outlineLevel="0" collapsed="false">
      <c r="A1857" s="12"/>
      <c r="B1857" s="13"/>
      <c r="C1857" s="14"/>
      <c r="D1857" s="14"/>
      <c r="E1857" s="15"/>
      <c r="F1857" s="16" t="str">
        <f aca="false">IF(OR(C1857="",D1857="",E1857=""),"",C1857*D1857*E1857)</f>
        <v/>
      </c>
      <c r="G1857" s="17" t="str">
        <f aca="false">IF(OR(D1857="",E1857=""),"",E1857*(1+D1857/30))</f>
        <v/>
      </c>
      <c r="H1857" s="19" t="n">
        <f aca="false">IF(G1857="",0,G1857)</f>
        <v>0</v>
      </c>
      <c r="I1857" s="18" t="str">
        <f aca="false">IF(H1857&gt;0,IF(H1857&gt;=SUMPRODUCT(MAX(($B$5:$B$2004=B1857)*$H$5:$H$2004)),"Rekor",""),"")</f>
        <v/>
      </c>
      <c r="J1857" s="19" t="n">
        <f aca="false">IF(A1857="",0,IF(COUNTIF(A$5:A1857,A1857)=1,1,0))</f>
        <v>0</v>
      </c>
    </row>
    <row r="1858" customFormat="false" ht="15" hidden="false" customHeight="false" outlineLevel="0" collapsed="false">
      <c r="A1858" s="12"/>
      <c r="B1858" s="13"/>
      <c r="C1858" s="14"/>
      <c r="D1858" s="14"/>
      <c r="E1858" s="15"/>
      <c r="F1858" s="16" t="str">
        <f aca="false">IF(OR(C1858="",D1858="",E1858=""),"",C1858*D1858*E1858)</f>
        <v/>
      </c>
      <c r="G1858" s="17" t="str">
        <f aca="false">IF(OR(D1858="",E1858=""),"",E1858*(1+D1858/30))</f>
        <v/>
      </c>
      <c r="H1858" s="19" t="n">
        <f aca="false">IF(G1858="",0,G1858)</f>
        <v>0</v>
      </c>
      <c r="I1858" s="18" t="str">
        <f aca="false">IF(H1858&gt;0,IF(H1858&gt;=SUMPRODUCT(MAX(($B$5:$B$2004=B1858)*$H$5:$H$2004)),"Rekor",""),"")</f>
        <v/>
      </c>
      <c r="J1858" s="19" t="n">
        <f aca="false">IF(A1858="",0,IF(COUNTIF(A$5:A1858,A1858)=1,1,0))</f>
        <v>0</v>
      </c>
    </row>
    <row r="1859" customFormat="false" ht="15" hidden="false" customHeight="false" outlineLevel="0" collapsed="false">
      <c r="A1859" s="12"/>
      <c r="B1859" s="13"/>
      <c r="C1859" s="14"/>
      <c r="D1859" s="14"/>
      <c r="E1859" s="15"/>
      <c r="F1859" s="16" t="str">
        <f aca="false">IF(OR(C1859="",D1859="",E1859=""),"",C1859*D1859*E1859)</f>
        <v/>
      </c>
      <c r="G1859" s="17" t="str">
        <f aca="false">IF(OR(D1859="",E1859=""),"",E1859*(1+D1859/30))</f>
        <v/>
      </c>
      <c r="H1859" s="19" t="n">
        <f aca="false">IF(G1859="",0,G1859)</f>
        <v>0</v>
      </c>
      <c r="I1859" s="18" t="str">
        <f aca="false">IF(H1859&gt;0,IF(H1859&gt;=SUMPRODUCT(MAX(($B$5:$B$2004=B1859)*$H$5:$H$2004)),"Rekor",""),"")</f>
        <v/>
      </c>
      <c r="J1859" s="19" t="n">
        <f aca="false">IF(A1859="",0,IF(COUNTIF(A$5:A1859,A1859)=1,1,0))</f>
        <v>0</v>
      </c>
    </row>
    <row r="1860" customFormat="false" ht="15" hidden="false" customHeight="false" outlineLevel="0" collapsed="false">
      <c r="A1860" s="12"/>
      <c r="B1860" s="13"/>
      <c r="C1860" s="14"/>
      <c r="D1860" s="14"/>
      <c r="E1860" s="15"/>
      <c r="F1860" s="16" t="str">
        <f aca="false">IF(OR(C1860="",D1860="",E1860=""),"",C1860*D1860*E1860)</f>
        <v/>
      </c>
      <c r="G1860" s="17" t="str">
        <f aca="false">IF(OR(D1860="",E1860=""),"",E1860*(1+D1860/30))</f>
        <v/>
      </c>
      <c r="H1860" s="19" t="n">
        <f aca="false">IF(G1860="",0,G1860)</f>
        <v>0</v>
      </c>
      <c r="I1860" s="18" t="str">
        <f aca="false">IF(H1860&gt;0,IF(H1860&gt;=SUMPRODUCT(MAX(($B$5:$B$2004=B1860)*$H$5:$H$2004)),"Rekor",""),"")</f>
        <v/>
      </c>
      <c r="J1860" s="19" t="n">
        <f aca="false">IF(A1860="",0,IF(COUNTIF(A$5:A1860,A1860)=1,1,0))</f>
        <v>0</v>
      </c>
    </row>
    <row r="1861" customFormat="false" ht="15" hidden="false" customHeight="false" outlineLevel="0" collapsed="false">
      <c r="A1861" s="12"/>
      <c r="B1861" s="13"/>
      <c r="C1861" s="14"/>
      <c r="D1861" s="14"/>
      <c r="E1861" s="15"/>
      <c r="F1861" s="16" t="str">
        <f aca="false">IF(OR(C1861="",D1861="",E1861=""),"",C1861*D1861*E1861)</f>
        <v/>
      </c>
      <c r="G1861" s="17" t="str">
        <f aca="false">IF(OR(D1861="",E1861=""),"",E1861*(1+D1861/30))</f>
        <v/>
      </c>
      <c r="H1861" s="19" t="n">
        <f aca="false">IF(G1861="",0,G1861)</f>
        <v>0</v>
      </c>
      <c r="I1861" s="18" t="str">
        <f aca="false">IF(H1861&gt;0,IF(H1861&gt;=SUMPRODUCT(MAX(($B$5:$B$2004=B1861)*$H$5:$H$2004)),"Rekor",""),"")</f>
        <v/>
      </c>
      <c r="J1861" s="19" t="n">
        <f aca="false">IF(A1861="",0,IF(COUNTIF(A$5:A1861,A1861)=1,1,0))</f>
        <v>0</v>
      </c>
    </row>
    <row r="1862" customFormat="false" ht="15" hidden="false" customHeight="false" outlineLevel="0" collapsed="false">
      <c r="A1862" s="12"/>
      <c r="B1862" s="13"/>
      <c r="C1862" s="14"/>
      <c r="D1862" s="14"/>
      <c r="E1862" s="15"/>
      <c r="F1862" s="16" t="str">
        <f aca="false">IF(OR(C1862="",D1862="",E1862=""),"",C1862*D1862*E1862)</f>
        <v/>
      </c>
      <c r="G1862" s="17" t="str">
        <f aca="false">IF(OR(D1862="",E1862=""),"",E1862*(1+D1862/30))</f>
        <v/>
      </c>
      <c r="H1862" s="19" t="n">
        <f aca="false">IF(G1862="",0,G1862)</f>
        <v>0</v>
      </c>
      <c r="I1862" s="18" t="str">
        <f aca="false">IF(H1862&gt;0,IF(H1862&gt;=SUMPRODUCT(MAX(($B$5:$B$2004=B1862)*$H$5:$H$2004)),"Rekor",""),"")</f>
        <v/>
      </c>
      <c r="J1862" s="19" t="n">
        <f aca="false">IF(A1862="",0,IF(COUNTIF(A$5:A1862,A1862)=1,1,0))</f>
        <v>0</v>
      </c>
    </row>
    <row r="1863" customFormat="false" ht="15" hidden="false" customHeight="false" outlineLevel="0" collapsed="false">
      <c r="A1863" s="12"/>
      <c r="B1863" s="13"/>
      <c r="C1863" s="14"/>
      <c r="D1863" s="14"/>
      <c r="E1863" s="15"/>
      <c r="F1863" s="16" t="str">
        <f aca="false">IF(OR(C1863="",D1863="",E1863=""),"",C1863*D1863*E1863)</f>
        <v/>
      </c>
      <c r="G1863" s="17" t="str">
        <f aca="false">IF(OR(D1863="",E1863=""),"",E1863*(1+D1863/30))</f>
        <v/>
      </c>
      <c r="H1863" s="19" t="n">
        <f aca="false">IF(G1863="",0,G1863)</f>
        <v>0</v>
      </c>
      <c r="I1863" s="18" t="str">
        <f aca="false">IF(H1863&gt;0,IF(H1863&gt;=SUMPRODUCT(MAX(($B$5:$B$2004=B1863)*$H$5:$H$2004)),"Rekor",""),"")</f>
        <v/>
      </c>
      <c r="J1863" s="19" t="n">
        <f aca="false">IF(A1863="",0,IF(COUNTIF(A$5:A1863,A1863)=1,1,0))</f>
        <v>0</v>
      </c>
    </row>
    <row r="1864" customFormat="false" ht="15" hidden="false" customHeight="false" outlineLevel="0" collapsed="false">
      <c r="A1864" s="12"/>
      <c r="B1864" s="13"/>
      <c r="C1864" s="14"/>
      <c r="D1864" s="14"/>
      <c r="E1864" s="15"/>
      <c r="F1864" s="16" t="str">
        <f aca="false">IF(OR(C1864="",D1864="",E1864=""),"",C1864*D1864*E1864)</f>
        <v/>
      </c>
      <c r="G1864" s="17" t="str">
        <f aca="false">IF(OR(D1864="",E1864=""),"",E1864*(1+D1864/30))</f>
        <v/>
      </c>
      <c r="H1864" s="19" t="n">
        <f aca="false">IF(G1864="",0,G1864)</f>
        <v>0</v>
      </c>
      <c r="I1864" s="18" t="str">
        <f aca="false">IF(H1864&gt;0,IF(H1864&gt;=SUMPRODUCT(MAX(($B$5:$B$2004=B1864)*$H$5:$H$2004)),"Rekor",""),"")</f>
        <v/>
      </c>
      <c r="J1864" s="19" t="n">
        <f aca="false">IF(A1864="",0,IF(COUNTIF(A$5:A1864,A1864)=1,1,0))</f>
        <v>0</v>
      </c>
    </row>
    <row r="1865" customFormat="false" ht="15" hidden="false" customHeight="false" outlineLevel="0" collapsed="false">
      <c r="A1865" s="12"/>
      <c r="B1865" s="13"/>
      <c r="C1865" s="14"/>
      <c r="D1865" s="14"/>
      <c r="E1865" s="15"/>
      <c r="F1865" s="16" t="str">
        <f aca="false">IF(OR(C1865="",D1865="",E1865=""),"",C1865*D1865*E1865)</f>
        <v/>
      </c>
      <c r="G1865" s="17" t="str">
        <f aca="false">IF(OR(D1865="",E1865=""),"",E1865*(1+D1865/30))</f>
        <v/>
      </c>
      <c r="H1865" s="19" t="n">
        <f aca="false">IF(G1865="",0,G1865)</f>
        <v>0</v>
      </c>
      <c r="I1865" s="18" t="str">
        <f aca="false">IF(H1865&gt;0,IF(H1865&gt;=SUMPRODUCT(MAX(($B$5:$B$2004=B1865)*$H$5:$H$2004)),"Rekor",""),"")</f>
        <v/>
      </c>
      <c r="J1865" s="19" t="n">
        <f aca="false">IF(A1865="",0,IF(COUNTIF(A$5:A1865,A1865)=1,1,0))</f>
        <v>0</v>
      </c>
    </row>
    <row r="1866" customFormat="false" ht="15" hidden="false" customHeight="false" outlineLevel="0" collapsed="false">
      <c r="A1866" s="12"/>
      <c r="B1866" s="13"/>
      <c r="C1866" s="14"/>
      <c r="D1866" s="14"/>
      <c r="E1866" s="15"/>
      <c r="F1866" s="16" t="str">
        <f aca="false">IF(OR(C1866="",D1866="",E1866=""),"",C1866*D1866*E1866)</f>
        <v/>
      </c>
      <c r="G1866" s="17" t="str">
        <f aca="false">IF(OR(D1866="",E1866=""),"",E1866*(1+D1866/30))</f>
        <v/>
      </c>
      <c r="H1866" s="19" t="n">
        <f aca="false">IF(G1866="",0,G1866)</f>
        <v>0</v>
      </c>
      <c r="I1866" s="18" t="str">
        <f aca="false">IF(H1866&gt;0,IF(H1866&gt;=SUMPRODUCT(MAX(($B$5:$B$2004=B1866)*$H$5:$H$2004)),"Rekor",""),"")</f>
        <v/>
      </c>
      <c r="J1866" s="19" t="n">
        <f aca="false">IF(A1866="",0,IF(COUNTIF(A$5:A1866,A1866)=1,1,0))</f>
        <v>0</v>
      </c>
    </row>
    <row r="1867" customFormat="false" ht="15" hidden="false" customHeight="false" outlineLevel="0" collapsed="false">
      <c r="A1867" s="12"/>
      <c r="B1867" s="13"/>
      <c r="C1867" s="14"/>
      <c r="D1867" s="14"/>
      <c r="E1867" s="15"/>
      <c r="F1867" s="16" t="str">
        <f aca="false">IF(OR(C1867="",D1867="",E1867=""),"",C1867*D1867*E1867)</f>
        <v/>
      </c>
      <c r="G1867" s="17" t="str">
        <f aca="false">IF(OR(D1867="",E1867=""),"",E1867*(1+D1867/30))</f>
        <v/>
      </c>
      <c r="H1867" s="19" t="n">
        <f aca="false">IF(G1867="",0,G1867)</f>
        <v>0</v>
      </c>
      <c r="I1867" s="18" t="str">
        <f aca="false">IF(H1867&gt;0,IF(H1867&gt;=SUMPRODUCT(MAX(($B$5:$B$2004=B1867)*$H$5:$H$2004)),"Rekor",""),"")</f>
        <v/>
      </c>
      <c r="J1867" s="19" t="n">
        <f aca="false">IF(A1867="",0,IF(COUNTIF(A$5:A1867,A1867)=1,1,0))</f>
        <v>0</v>
      </c>
    </row>
    <row r="1868" customFormat="false" ht="15" hidden="false" customHeight="false" outlineLevel="0" collapsed="false">
      <c r="A1868" s="12"/>
      <c r="B1868" s="13"/>
      <c r="C1868" s="14"/>
      <c r="D1868" s="14"/>
      <c r="E1868" s="15"/>
      <c r="F1868" s="16" t="str">
        <f aca="false">IF(OR(C1868="",D1868="",E1868=""),"",C1868*D1868*E1868)</f>
        <v/>
      </c>
      <c r="G1868" s="17" t="str">
        <f aca="false">IF(OR(D1868="",E1868=""),"",E1868*(1+D1868/30))</f>
        <v/>
      </c>
      <c r="H1868" s="19" t="n">
        <f aca="false">IF(G1868="",0,G1868)</f>
        <v>0</v>
      </c>
      <c r="I1868" s="18" t="str">
        <f aca="false">IF(H1868&gt;0,IF(H1868&gt;=SUMPRODUCT(MAX(($B$5:$B$2004=B1868)*$H$5:$H$2004)),"Rekor",""),"")</f>
        <v/>
      </c>
      <c r="J1868" s="19" t="n">
        <f aca="false">IF(A1868="",0,IF(COUNTIF(A$5:A1868,A1868)=1,1,0))</f>
        <v>0</v>
      </c>
    </row>
    <row r="1869" customFormat="false" ht="15" hidden="false" customHeight="false" outlineLevel="0" collapsed="false">
      <c r="A1869" s="12"/>
      <c r="B1869" s="13"/>
      <c r="C1869" s="14"/>
      <c r="D1869" s="14"/>
      <c r="E1869" s="15"/>
      <c r="F1869" s="16" t="str">
        <f aca="false">IF(OR(C1869="",D1869="",E1869=""),"",C1869*D1869*E1869)</f>
        <v/>
      </c>
      <c r="G1869" s="17" t="str">
        <f aca="false">IF(OR(D1869="",E1869=""),"",E1869*(1+D1869/30))</f>
        <v/>
      </c>
      <c r="H1869" s="19" t="n">
        <f aca="false">IF(G1869="",0,G1869)</f>
        <v>0</v>
      </c>
      <c r="I1869" s="18" t="str">
        <f aca="false">IF(H1869&gt;0,IF(H1869&gt;=SUMPRODUCT(MAX(($B$5:$B$2004=B1869)*$H$5:$H$2004)),"Rekor",""),"")</f>
        <v/>
      </c>
      <c r="J1869" s="19" t="n">
        <f aca="false">IF(A1869="",0,IF(COUNTIF(A$5:A1869,A1869)=1,1,0))</f>
        <v>0</v>
      </c>
    </row>
    <row r="1870" customFormat="false" ht="15" hidden="false" customHeight="false" outlineLevel="0" collapsed="false">
      <c r="A1870" s="12"/>
      <c r="B1870" s="13"/>
      <c r="C1870" s="14"/>
      <c r="D1870" s="14"/>
      <c r="E1870" s="15"/>
      <c r="F1870" s="16" t="str">
        <f aca="false">IF(OR(C1870="",D1870="",E1870=""),"",C1870*D1870*E1870)</f>
        <v/>
      </c>
      <c r="G1870" s="17" t="str">
        <f aca="false">IF(OR(D1870="",E1870=""),"",E1870*(1+D1870/30))</f>
        <v/>
      </c>
      <c r="H1870" s="19" t="n">
        <f aca="false">IF(G1870="",0,G1870)</f>
        <v>0</v>
      </c>
      <c r="I1870" s="18" t="str">
        <f aca="false">IF(H1870&gt;0,IF(H1870&gt;=SUMPRODUCT(MAX(($B$5:$B$2004=B1870)*$H$5:$H$2004)),"Rekor",""),"")</f>
        <v/>
      </c>
      <c r="J1870" s="19" t="n">
        <f aca="false">IF(A1870="",0,IF(COUNTIF(A$5:A1870,A1870)=1,1,0))</f>
        <v>0</v>
      </c>
    </row>
    <row r="1871" customFormat="false" ht="15" hidden="false" customHeight="false" outlineLevel="0" collapsed="false">
      <c r="A1871" s="12"/>
      <c r="B1871" s="13"/>
      <c r="C1871" s="14"/>
      <c r="D1871" s="14"/>
      <c r="E1871" s="15"/>
      <c r="F1871" s="16" t="str">
        <f aca="false">IF(OR(C1871="",D1871="",E1871=""),"",C1871*D1871*E1871)</f>
        <v/>
      </c>
      <c r="G1871" s="17" t="str">
        <f aca="false">IF(OR(D1871="",E1871=""),"",E1871*(1+D1871/30))</f>
        <v/>
      </c>
      <c r="H1871" s="19" t="n">
        <f aca="false">IF(G1871="",0,G1871)</f>
        <v>0</v>
      </c>
      <c r="I1871" s="18" t="str">
        <f aca="false">IF(H1871&gt;0,IF(H1871&gt;=SUMPRODUCT(MAX(($B$5:$B$2004=B1871)*$H$5:$H$2004)),"Rekor",""),"")</f>
        <v/>
      </c>
      <c r="J1871" s="19" t="n">
        <f aca="false">IF(A1871="",0,IF(COUNTIF(A$5:A1871,A1871)=1,1,0))</f>
        <v>0</v>
      </c>
    </row>
    <row r="1872" customFormat="false" ht="15" hidden="false" customHeight="false" outlineLevel="0" collapsed="false">
      <c r="A1872" s="12"/>
      <c r="B1872" s="13"/>
      <c r="C1872" s="14"/>
      <c r="D1872" s="14"/>
      <c r="E1872" s="15"/>
      <c r="F1872" s="16" t="str">
        <f aca="false">IF(OR(C1872="",D1872="",E1872=""),"",C1872*D1872*E1872)</f>
        <v/>
      </c>
      <c r="G1872" s="17" t="str">
        <f aca="false">IF(OR(D1872="",E1872=""),"",E1872*(1+D1872/30))</f>
        <v/>
      </c>
      <c r="H1872" s="19" t="n">
        <f aca="false">IF(G1872="",0,G1872)</f>
        <v>0</v>
      </c>
      <c r="I1872" s="18" t="str">
        <f aca="false">IF(H1872&gt;0,IF(H1872&gt;=SUMPRODUCT(MAX(($B$5:$B$2004=B1872)*$H$5:$H$2004)),"Rekor",""),"")</f>
        <v/>
      </c>
      <c r="J1872" s="19" t="n">
        <f aca="false">IF(A1872="",0,IF(COUNTIF(A$5:A1872,A1872)=1,1,0))</f>
        <v>0</v>
      </c>
    </row>
    <row r="1873" customFormat="false" ht="15" hidden="false" customHeight="false" outlineLevel="0" collapsed="false">
      <c r="A1873" s="12"/>
      <c r="B1873" s="13"/>
      <c r="C1873" s="14"/>
      <c r="D1873" s="14"/>
      <c r="E1873" s="15"/>
      <c r="F1873" s="16" t="str">
        <f aca="false">IF(OR(C1873="",D1873="",E1873=""),"",C1873*D1873*E1873)</f>
        <v/>
      </c>
      <c r="G1873" s="17" t="str">
        <f aca="false">IF(OR(D1873="",E1873=""),"",E1873*(1+D1873/30))</f>
        <v/>
      </c>
      <c r="H1873" s="19" t="n">
        <f aca="false">IF(G1873="",0,G1873)</f>
        <v>0</v>
      </c>
      <c r="I1873" s="18" t="str">
        <f aca="false">IF(H1873&gt;0,IF(H1873&gt;=SUMPRODUCT(MAX(($B$5:$B$2004=B1873)*$H$5:$H$2004)),"Rekor",""),"")</f>
        <v/>
      </c>
      <c r="J1873" s="19" t="n">
        <f aca="false">IF(A1873="",0,IF(COUNTIF(A$5:A1873,A1873)=1,1,0))</f>
        <v>0</v>
      </c>
    </row>
    <row r="1874" customFormat="false" ht="15" hidden="false" customHeight="false" outlineLevel="0" collapsed="false">
      <c r="A1874" s="12"/>
      <c r="B1874" s="13"/>
      <c r="C1874" s="14"/>
      <c r="D1874" s="14"/>
      <c r="E1874" s="15"/>
      <c r="F1874" s="16" t="str">
        <f aca="false">IF(OR(C1874="",D1874="",E1874=""),"",C1874*D1874*E1874)</f>
        <v/>
      </c>
      <c r="G1874" s="17" t="str">
        <f aca="false">IF(OR(D1874="",E1874=""),"",E1874*(1+D1874/30))</f>
        <v/>
      </c>
      <c r="H1874" s="19" t="n">
        <f aca="false">IF(G1874="",0,G1874)</f>
        <v>0</v>
      </c>
      <c r="I1874" s="18" t="str">
        <f aca="false">IF(H1874&gt;0,IF(H1874&gt;=SUMPRODUCT(MAX(($B$5:$B$2004=B1874)*$H$5:$H$2004)),"Rekor",""),"")</f>
        <v/>
      </c>
      <c r="J1874" s="19" t="n">
        <f aca="false">IF(A1874="",0,IF(COUNTIF(A$5:A1874,A1874)=1,1,0))</f>
        <v>0</v>
      </c>
    </row>
    <row r="1875" customFormat="false" ht="15" hidden="false" customHeight="false" outlineLevel="0" collapsed="false">
      <c r="A1875" s="12"/>
      <c r="B1875" s="13"/>
      <c r="C1875" s="14"/>
      <c r="D1875" s="14"/>
      <c r="E1875" s="15"/>
      <c r="F1875" s="16" t="str">
        <f aca="false">IF(OR(C1875="",D1875="",E1875=""),"",C1875*D1875*E1875)</f>
        <v/>
      </c>
      <c r="G1875" s="17" t="str">
        <f aca="false">IF(OR(D1875="",E1875=""),"",E1875*(1+D1875/30))</f>
        <v/>
      </c>
      <c r="H1875" s="19" t="n">
        <f aca="false">IF(G1875="",0,G1875)</f>
        <v>0</v>
      </c>
      <c r="I1875" s="18" t="str">
        <f aca="false">IF(H1875&gt;0,IF(H1875&gt;=SUMPRODUCT(MAX(($B$5:$B$2004=B1875)*$H$5:$H$2004)),"Rekor",""),"")</f>
        <v/>
      </c>
      <c r="J1875" s="19" t="n">
        <f aca="false">IF(A1875="",0,IF(COUNTIF(A$5:A1875,A1875)=1,1,0))</f>
        <v>0</v>
      </c>
    </row>
    <row r="1876" customFormat="false" ht="15" hidden="false" customHeight="false" outlineLevel="0" collapsed="false">
      <c r="A1876" s="12"/>
      <c r="B1876" s="13"/>
      <c r="C1876" s="14"/>
      <c r="D1876" s="14"/>
      <c r="E1876" s="15"/>
      <c r="F1876" s="16" t="str">
        <f aca="false">IF(OR(C1876="",D1876="",E1876=""),"",C1876*D1876*E1876)</f>
        <v/>
      </c>
      <c r="G1876" s="17" t="str">
        <f aca="false">IF(OR(D1876="",E1876=""),"",E1876*(1+D1876/30))</f>
        <v/>
      </c>
      <c r="H1876" s="19" t="n">
        <f aca="false">IF(G1876="",0,G1876)</f>
        <v>0</v>
      </c>
      <c r="I1876" s="18" t="str">
        <f aca="false">IF(H1876&gt;0,IF(H1876&gt;=SUMPRODUCT(MAX(($B$5:$B$2004=B1876)*$H$5:$H$2004)),"Rekor",""),"")</f>
        <v/>
      </c>
      <c r="J1876" s="19" t="n">
        <f aca="false">IF(A1876="",0,IF(COUNTIF(A$5:A1876,A1876)=1,1,0))</f>
        <v>0</v>
      </c>
    </row>
    <row r="1877" customFormat="false" ht="15" hidden="false" customHeight="false" outlineLevel="0" collapsed="false">
      <c r="A1877" s="12"/>
      <c r="B1877" s="13"/>
      <c r="C1877" s="14"/>
      <c r="D1877" s="14"/>
      <c r="E1877" s="15"/>
      <c r="F1877" s="16" t="str">
        <f aca="false">IF(OR(C1877="",D1877="",E1877=""),"",C1877*D1877*E1877)</f>
        <v/>
      </c>
      <c r="G1877" s="17" t="str">
        <f aca="false">IF(OR(D1877="",E1877=""),"",E1877*(1+D1877/30))</f>
        <v/>
      </c>
      <c r="H1877" s="19" t="n">
        <f aca="false">IF(G1877="",0,G1877)</f>
        <v>0</v>
      </c>
      <c r="I1877" s="18" t="str">
        <f aca="false">IF(H1877&gt;0,IF(H1877&gt;=SUMPRODUCT(MAX(($B$5:$B$2004=B1877)*$H$5:$H$2004)),"Rekor",""),"")</f>
        <v/>
      </c>
      <c r="J1877" s="19" t="n">
        <f aca="false">IF(A1877="",0,IF(COUNTIF(A$5:A1877,A1877)=1,1,0))</f>
        <v>0</v>
      </c>
    </row>
    <row r="1878" customFormat="false" ht="15" hidden="false" customHeight="false" outlineLevel="0" collapsed="false">
      <c r="A1878" s="12"/>
      <c r="B1878" s="13"/>
      <c r="C1878" s="14"/>
      <c r="D1878" s="14"/>
      <c r="E1878" s="15"/>
      <c r="F1878" s="16" t="str">
        <f aca="false">IF(OR(C1878="",D1878="",E1878=""),"",C1878*D1878*E1878)</f>
        <v/>
      </c>
      <c r="G1878" s="17" t="str">
        <f aca="false">IF(OR(D1878="",E1878=""),"",E1878*(1+D1878/30))</f>
        <v/>
      </c>
      <c r="H1878" s="19" t="n">
        <f aca="false">IF(G1878="",0,G1878)</f>
        <v>0</v>
      </c>
      <c r="I1878" s="18" t="str">
        <f aca="false">IF(H1878&gt;0,IF(H1878&gt;=SUMPRODUCT(MAX(($B$5:$B$2004=B1878)*$H$5:$H$2004)),"Rekor",""),"")</f>
        <v/>
      </c>
      <c r="J1878" s="19" t="n">
        <f aca="false">IF(A1878="",0,IF(COUNTIF(A$5:A1878,A1878)=1,1,0))</f>
        <v>0</v>
      </c>
    </row>
    <row r="1879" customFormat="false" ht="15" hidden="false" customHeight="false" outlineLevel="0" collapsed="false">
      <c r="A1879" s="12"/>
      <c r="B1879" s="13"/>
      <c r="C1879" s="14"/>
      <c r="D1879" s="14"/>
      <c r="E1879" s="15"/>
      <c r="F1879" s="16" t="str">
        <f aca="false">IF(OR(C1879="",D1879="",E1879=""),"",C1879*D1879*E1879)</f>
        <v/>
      </c>
      <c r="G1879" s="17" t="str">
        <f aca="false">IF(OR(D1879="",E1879=""),"",E1879*(1+D1879/30))</f>
        <v/>
      </c>
      <c r="H1879" s="19" t="n">
        <f aca="false">IF(G1879="",0,G1879)</f>
        <v>0</v>
      </c>
      <c r="I1879" s="18" t="str">
        <f aca="false">IF(H1879&gt;0,IF(H1879&gt;=SUMPRODUCT(MAX(($B$5:$B$2004=B1879)*$H$5:$H$2004)),"Rekor",""),"")</f>
        <v/>
      </c>
      <c r="J1879" s="19" t="n">
        <f aca="false">IF(A1879="",0,IF(COUNTIF(A$5:A1879,A1879)=1,1,0))</f>
        <v>0</v>
      </c>
    </row>
    <row r="1880" customFormat="false" ht="15" hidden="false" customHeight="false" outlineLevel="0" collapsed="false">
      <c r="A1880" s="12"/>
      <c r="B1880" s="13"/>
      <c r="C1880" s="14"/>
      <c r="D1880" s="14"/>
      <c r="E1880" s="15"/>
      <c r="F1880" s="16" t="str">
        <f aca="false">IF(OR(C1880="",D1880="",E1880=""),"",C1880*D1880*E1880)</f>
        <v/>
      </c>
      <c r="G1880" s="17" t="str">
        <f aca="false">IF(OR(D1880="",E1880=""),"",E1880*(1+D1880/30))</f>
        <v/>
      </c>
      <c r="H1880" s="19" t="n">
        <f aca="false">IF(G1880="",0,G1880)</f>
        <v>0</v>
      </c>
      <c r="I1880" s="18" t="str">
        <f aca="false">IF(H1880&gt;0,IF(H1880&gt;=SUMPRODUCT(MAX(($B$5:$B$2004=B1880)*$H$5:$H$2004)),"Rekor",""),"")</f>
        <v/>
      </c>
      <c r="J1880" s="19" t="n">
        <f aca="false">IF(A1880="",0,IF(COUNTIF(A$5:A1880,A1880)=1,1,0))</f>
        <v>0</v>
      </c>
    </row>
    <row r="1881" customFormat="false" ht="15" hidden="false" customHeight="false" outlineLevel="0" collapsed="false">
      <c r="A1881" s="12"/>
      <c r="B1881" s="13"/>
      <c r="C1881" s="14"/>
      <c r="D1881" s="14"/>
      <c r="E1881" s="15"/>
      <c r="F1881" s="16" t="str">
        <f aca="false">IF(OR(C1881="",D1881="",E1881=""),"",C1881*D1881*E1881)</f>
        <v/>
      </c>
      <c r="G1881" s="17" t="str">
        <f aca="false">IF(OR(D1881="",E1881=""),"",E1881*(1+D1881/30))</f>
        <v/>
      </c>
      <c r="H1881" s="19" t="n">
        <f aca="false">IF(G1881="",0,G1881)</f>
        <v>0</v>
      </c>
      <c r="I1881" s="18" t="str">
        <f aca="false">IF(H1881&gt;0,IF(H1881&gt;=SUMPRODUCT(MAX(($B$5:$B$2004=B1881)*$H$5:$H$2004)),"Rekor",""),"")</f>
        <v/>
      </c>
      <c r="J1881" s="19" t="n">
        <f aca="false">IF(A1881="",0,IF(COUNTIF(A$5:A1881,A1881)=1,1,0))</f>
        <v>0</v>
      </c>
    </row>
    <row r="1882" customFormat="false" ht="15" hidden="false" customHeight="false" outlineLevel="0" collapsed="false">
      <c r="A1882" s="12"/>
      <c r="B1882" s="13"/>
      <c r="C1882" s="14"/>
      <c r="D1882" s="14"/>
      <c r="E1882" s="15"/>
      <c r="F1882" s="16" t="str">
        <f aca="false">IF(OR(C1882="",D1882="",E1882=""),"",C1882*D1882*E1882)</f>
        <v/>
      </c>
      <c r="G1882" s="17" t="str">
        <f aca="false">IF(OR(D1882="",E1882=""),"",E1882*(1+D1882/30))</f>
        <v/>
      </c>
      <c r="H1882" s="19" t="n">
        <f aca="false">IF(G1882="",0,G1882)</f>
        <v>0</v>
      </c>
      <c r="I1882" s="18" t="str">
        <f aca="false">IF(H1882&gt;0,IF(H1882&gt;=SUMPRODUCT(MAX(($B$5:$B$2004=B1882)*$H$5:$H$2004)),"Rekor",""),"")</f>
        <v/>
      </c>
      <c r="J1882" s="19" t="n">
        <f aca="false">IF(A1882="",0,IF(COUNTIF(A$5:A1882,A1882)=1,1,0))</f>
        <v>0</v>
      </c>
    </row>
    <row r="1883" customFormat="false" ht="15" hidden="false" customHeight="false" outlineLevel="0" collapsed="false">
      <c r="A1883" s="12"/>
      <c r="B1883" s="13"/>
      <c r="C1883" s="14"/>
      <c r="D1883" s="14"/>
      <c r="E1883" s="15"/>
      <c r="F1883" s="16" t="str">
        <f aca="false">IF(OR(C1883="",D1883="",E1883=""),"",C1883*D1883*E1883)</f>
        <v/>
      </c>
      <c r="G1883" s="17" t="str">
        <f aca="false">IF(OR(D1883="",E1883=""),"",E1883*(1+D1883/30))</f>
        <v/>
      </c>
      <c r="H1883" s="19" t="n">
        <f aca="false">IF(G1883="",0,G1883)</f>
        <v>0</v>
      </c>
      <c r="I1883" s="18" t="str">
        <f aca="false">IF(H1883&gt;0,IF(H1883&gt;=SUMPRODUCT(MAX(($B$5:$B$2004=B1883)*$H$5:$H$2004)),"Rekor",""),"")</f>
        <v/>
      </c>
      <c r="J1883" s="19" t="n">
        <f aca="false">IF(A1883="",0,IF(COUNTIF(A$5:A1883,A1883)=1,1,0))</f>
        <v>0</v>
      </c>
    </row>
    <row r="1884" customFormat="false" ht="15" hidden="false" customHeight="false" outlineLevel="0" collapsed="false">
      <c r="A1884" s="12"/>
      <c r="B1884" s="13"/>
      <c r="C1884" s="14"/>
      <c r="D1884" s="14"/>
      <c r="E1884" s="15"/>
      <c r="F1884" s="16" t="str">
        <f aca="false">IF(OR(C1884="",D1884="",E1884=""),"",C1884*D1884*E1884)</f>
        <v/>
      </c>
      <c r="G1884" s="17" t="str">
        <f aca="false">IF(OR(D1884="",E1884=""),"",E1884*(1+D1884/30))</f>
        <v/>
      </c>
      <c r="H1884" s="19" t="n">
        <f aca="false">IF(G1884="",0,G1884)</f>
        <v>0</v>
      </c>
      <c r="I1884" s="18" t="str">
        <f aca="false">IF(H1884&gt;0,IF(H1884&gt;=SUMPRODUCT(MAX(($B$5:$B$2004=B1884)*$H$5:$H$2004)),"Rekor",""),"")</f>
        <v/>
      </c>
      <c r="J1884" s="19" t="n">
        <f aca="false">IF(A1884="",0,IF(COUNTIF(A$5:A1884,A1884)=1,1,0))</f>
        <v>0</v>
      </c>
    </row>
    <row r="1885" customFormat="false" ht="15" hidden="false" customHeight="false" outlineLevel="0" collapsed="false">
      <c r="A1885" s="12"/>
      <c r="B1885" s="13"/>
      <c r="C1885" s="14"/>
      <c r="D1885" s="14"/>
      <c r="E1885" s="15"/>
      <c r="F1885" s="16" t="str">
        <f aca="false">IF(OR(C1885="",D1885="",E1885=""),"",C1885*D1885*E1885)</f>
        <v/>
      </c>
      <c r="G1885" s="17" t="str">
        <f aca="false">IF(OR(D1885="",E1885=""),"",E1885*(1+D1885/30))</f>
        <v/>
      </c>
      <c r="H1885" s="19" t="n">
        <f aca="false">IF(G1885="",0,G1885)</f>
        <v>0</v>
      </c>
      <c r="I1885" s="18" t="str">
        <f aca="false">IF(H1885&gt;0,IF(H1885&gt;=SUMPRODUCT(MAX(($B$5:$B$2004=B1885)*$H$5:$H$2004)),"Rekor",""),"")</f>
        <v/>
      </c>
      <c r="J1885" s="19" t="n">
        <f aca="false">IF(A1885="",0,IF(COUNTIF(A$5:A1885,A1885)=1,1,0))</f>
        <v>0</v>
      </c>
    </row>
    <row r="1886" customFormat="false" ht="15" hidden="false" customHeight="false" outlineLevel="0" collapsed="false">
      <c r="A1886" s="12"/>
      <c r="B1886" s="13"/>
      <c r="C1886" s="14"/>
      <c r="D1886" s="14"/>
      <c r="E1886" s="15"/>
      <c r="F1886" s="16" t="str">
        <f aca="false">IF(OR(C1886="",D1886="",E1886=""),"",C1886*D1886*E1886)</f>
        <v/>
      </c>
      <c r="G1886" s="17" t="str">
        <f aca="false">IF(OR(D1886="",E1886=""),"",E1886*(1+D1886/30))</f>
        <v/>
      </c>
      <c r="H1886" s="19" t="n">
        <f aca="false">IF(G1886="",0,G1886)</f>
        <v>0</v>
      </c>
      <c r="I1886" s="18" t="str">
        <f aca="false">IF(H1886&gt;0,IF(H1886&gt;=SUMPRODUCT(MAX(($B$5:$B$2004=B1886)*$H$5:$H$2004)),"Rekor",""),"")</f>
        <v/>
      </c>
      <c r="J1886" s="19" t="n">
        <f aca="false">IF(A1886="",0,IF(COUNTIF(A$5:A1886,A1886)=1,1,0))</f>
        <v>0</v>
      </c>
    </row>
    <row r="1887" customFormat="false" ht="15" hidden="false" customHeight="false" outlineLevel="0" collapsed="false">
      <c r="A1887" s="12"/>
      <c r="B1887" s="13"/>
      <c r="C1887" s="14"/>
      <c r="D1887" s="14"/>
      <c r="E1887" s="15"/>
      <c r="F1887" s="16" t="str">
        <f aca="false">IF(OR(C1887="",D1887="",E1887=""),"",C1887*D1887*E1887)</f>
        <v/>
      </c>
      <c r="G1887" s="17" t="str">
        <f aca="false">IF(OR(D1887="",E1887=""),"",E1887*(1+D1887/30))</f>
        <v/>
      </c>
      <c r="H1887" s="19" t="n">
        <f aca="false">IF(G1887="",0,G1887)</f>
        <v>0</v>
      </c>
      <c r="I1887" s="18" t="str">
        <f aca="false">IF(H1887&gt;0,IF(H1887&gt;=SUMPRODUCT(MAX(($B$5:$B$2004=B1887)*$H$5:$H$2004)),"Rekor",""),"")</f>
        <v/>
      </c>
      <c r="J1887" s="19" t="n">
        <f aca="false">IF(A1887="",0,IF(COUNTIF(A$5:A1887,A1887)=1,1,0))</f>
        <v>0</v>
      </c>
    </row>
    <row r="1888" customFormat="false" ht="15" hidden="false" customHeight="false" outlineLevel="0" collapsed="false">
      <c r="A1888" s="12"/>
      <c r="B1888" s="13"/>
      <c r="C1888" s="14"/>
      <c r="D1888" s="14"/>
      <c r="E1888" s="15"/>
      <c r="F1888" s="16" t="str">
        <f aca="false">IF(OR(C1888="",D1888="",E1888=""),"",C1888*D1888*E1888)</f>
        <v/>
      </c>
      <c r="G1888" s="17" t="str">
        <f aca="false">IF(OR(D1888="",E1888=""),"",E1888*(1+D1888/30))</f>
        <v/>
      </c>
      <c r="H1888" s="19" t="n">
        <f aca="false">IF(G1888="",0,G1888)</f>
        <v>0</v>
      </c>
      <c r="I1888" s="18" t="str">
        <f aca="false">IF(H1888&gt;0,IF(H1888&gt;=SUMPRODUCT(MAX(($B$5:$B$2004=B1888)*$H$5:$H$2004)),"Rekor",""),"")</f>
        <v/>
      </c>
      <c r="J1888" s="19" t="n">
        <f aca="false">IF(A1888="",0,IF(COUNTIF(A$5:A1888,A1888)=1,1,0))</f>
        <v>0</v>
      </c>
    </row>
    <row r="1889" customFormat="false" ht="15" hidden="false" customHeight="false" outlineLevel="0" collapsed="false">
      <c r="A1889" s="12"/>
      <c r="B1889" s="13"/>
      <c r="C1889" s="14"/>
      <c r="D1889" s="14"/>
      <c r="E1889" s="15"/>
      <c r="F1889" s="16" t="str">
        <f aca="false">IF(OR(C1889="",D1889="",E1889=""),"",C1889*D1889*E1889)</f>
        <v/>
      </c>
      <c r="G1889" s="17" t="str">
        <f aca="false">IF(OR(D1889="",E1889=""),"",E1889*(1+D1889/30))</f>
        <v/>
      </c>
      <c r="H1889" s="19" t="n">
        <f aca="false">IF(G1889="",0,G1889)</f>
        <v>0</v>
      </c>
      <c r="I1889" s="18" t="str">
        <f aca="false">IF(H1889&gt;0,IF(H1889&gt;=SUMPRODUCT(MAX(($B$5:$B$2004=B1889)*$H$5:$H$2004)),"Rekor",""),"")</f>
        <v/>
      </c>
      <c r="J1889" s="19" t="n">
        <f aca="false">IF(A1889="",0,IF(COUNTIF(A$5:A1889,A1889)=1,1,0))</f>
        <v>0</v>
      </c>
    </row>
    <row r="1890" customFormat="false" ht="15" hidden="false" customHeight="false" outlineLevel="0" collapsed="false">
      <c r="A1890" s="12"/>
      <c r="B1890" s="13"/>
      <c r="C1890" s="14"/>
      <c r="D1890" s="14"/>
      <c r="E1890" s="15"/>
      <c r="F1890" s="16" t="str">
        <f aca="false">IF(OR(C1890="",D1890="",E1890=""),"",C1890*D1890*E1890)</f>
        <v/>
      </c>
      <c r="G1890" s="17" t="str">
        <f aca="false">IF(OR(D1890="",E1890=""),"",E1890*(1+D1890/30))</f>
        <v/>
      </c>
      <c r="H1890" s="19" t="n">
        <f aca="false">IF(G1890="",0,G1890)</f>
        <v>0</v>
      </c>
      <c r="I1890" s="18" t="str">
        <f aca="false">IF(H1890&gt;0,IF(H1890&gt;=SUMPRODUCT(MAX(($B$5:$B$2004=B1890)*$H$5:$H$2004)),"Rekor",""),"")</f>
        <v/>
      </c>
      <c r="J1890" s="19" t="n">
        <f aca="false">IF(A1890="",0,IF(COUNTIF(A$5:A1890,A1890)=1,1,0))</f>
        <v>0</v>
      </c>
    </row>
    <row r="1891" customFormat="false" ht="15" hidden="false" customHeight="false" outlineLevel="0" collapsed="false">
      <c r="A1891" s="12"/>
      <c r="B1891" s="13"/>
      <c r="C1891" s="14"/>
      <c r="D1891" s="14"/>
      <c r="E1891" s="15"/>
      <c r="F1891" s="16" t="str">
        <f aca="false">IF(OR(C1891="",D1891="",E1891=""),"",C1891*D1891*E1891)</f>
        <v/>
      </c>
      <c r="G1891" s="17" t="str">
        <f aca="false">IF(OR(D1891="",E1891=""),"",E1891*(1+D1891/30))</f>
        <v/>
      </c>
      <c r="H1891" s="19" t="n">
        <f aca="false">IF(G1891="",0,G1891)</f>
        <v>0</v>
      </c>
      <c r="I1891" s="18" t="str">
        <f aca="false">IF(H1891&gt;0,IF(H1891&gt;=SUMPRODUCT(MAX(($B$5:$B$2004=B1891)*$H$5:$H$2004)),"Rekor",""),"")</f>
        <v/>
      </c>
      <c r="J1891" s="19" t="n">
        <f aca="false">IF(A1891="",0,IF(COUNTIF(A$5:A1891,A1891)=1,1,0))</f>
        <v>0</v>
      </c>
    </row>
    <row r="1892" customFormat="false" ht="15" hidden="false" customHeight="false" outlineLevel="0" collapsed="false">
      <c r="A1892" s="12"/>
      <c r="B1892" s="13"/>
      <c r="C1892" s="14"/>
      <c r="D1892" s="14"/>
      <c r="E1892" s="15"/>
      <c r="F1892" s="16" t="str">
        <f aca="false">IF(OR(C1892="",D1892="",E1892=""),"",C1892*D1892*E1892)</f>
        <v/>
      </c>
      <c r="G1892" s="17" t="str">
        <f aca="false">IF(OR(D1892="",E1892=""),"",E1892*(1+D1892/30))</f>
        <v/>
      </c>
      <c r="H1892" s="19" t="n">
        <f aca="false">IF(G1892="",0,G1892)</f>
        <v>0</v>
      </c>
      <c r="I1892" s="18" t="str">
        <f aca="false">IF(H1892&gt;0,IF(H1892&gt;=SUMPRODUCT(MAX(($B$5:$B$2004=B1892)*$H$5:$H$2004)),"Rekor",""),"")</f>
        <v/>
      </c>
      <c r="J1892" s="19" t="n">
        <f aca="false">IF(A1892="",0,IF(COUNTIF(A$5:A1892,A1892)=1,1,0))</f>
        <v>0</v>
      </c>
    </row>
    <row r="1893" customFormat="false" ht="15" hidden="false" customHeight="false" outlineLevel="0" collapsed="false">
      <c r="A1893" s="12"/>
      <c r="B1893" s="13"/>
      <c r="C1893" s="14"/>
      <c r="D1893" s="14"/>
      <c r="E1893" s="15"/>
      <c r="F1893" s="16" t="str">
        <f aca="false">IF(OR(C1893="",D1893="",E1893=""),"",C1893*D1893*E1893)</f>
        <v/>
      </c>
      <c r="G1893" s="17" t="str">
        <f aca="false">IF(OR(D1893="",E1893=""),"",E1893*(1+D1893/30))</f>
        <v/>
      </c>
      <c r="H1893" s="19" t="n">
        <f aca="false">IF(G1893="",0,G1893)</f>
        <v>0</v>
      </c>
      <c r="I1893" s="18" t="str">
        <f aca="false">IF(H1893&gt;0,IF(H1893&gt;=SUMPRODUCT(MAX(($B$5:$B$2004=B1893)*$H$5:$H$2004)),"Rekor",""),"")</f>
        <v/>
      </c>
      <c r="J1893" s="19" t="n">
        <f aca="false">IF(A1893="",0,IF(COUNTIF(A$5:A1893,A1893)=1,1,0))</f>
        <v>0</v>
      </c>
    </row>
    <row r="1894" customFormat="false" ht="15" hidden="false" customHeight="false" outlineLevel="0" collapsed="false">
      <c r="A1894" s="12"/>
      <c r="B1894" s="13"/>
      <c r="C1894" s="14"/>
      <c r="D1894" s="14"/>
      <c r="E1894" s="15"/>
      <c r="F1894" s="16" t="str">
        <f aca="false">IF(OR(C1894="",D1894="",E1894=""),"",C1894*D1894*E1894)</f>
        <v/>
      </c>
      <c r="G1894" s="17" t="str">
        <f aca="false">IF(OR(D1894="",E1894=""),"",E1894*(1+D1894/30))</f>
        <v/>
      </c>
      <c r="H1894" s="19" t="n">
        <f aca="false">IF(G1894="",0,G1894)</f>
        <v>0</v>
      </c>
      <c r="I1894" s="18" t="str">
        <f aca="false">IF(H1894&gt;0,IF(H1894&gt;=SUMPRODUCT(MAX(($B$5:$B$2004=B1894)*$H$5:$H$2004)),"Rekor",""),"")</f>
        <v/>
      </c>
      <c r="J1894" s="19" t="n">
        <f aca="false">IF(A1894="",0,IF(COUNTIF(A$5:A1894,A1894)=1,1,0))</f>
        <v>0</v>
      </c>
    </row>
    <row r="1895" customFormat="false" ht="15" hidden="false" customHeight="false" outlineLevel="0" collapsed="false">
      <c r="A1895" s="12"/>
      <c r="B1895" s="13"/>
      <c r="C1895" s="14"/>
      <c r="D1895" s="14"/>
      <c r="E1895" s="15"/>
      <c r="F1895" s="16" t="str">
        <f aca="false">IF(OR(C1895="",D1895="",E1895=""),"",C1895*D1895*E1895)</f>
        <v/>
      </c>
      <c r="G1895" s="17" t="str">
        <f aca="false">IF(OR(D1895="",E1895=""),"",E1895*(1+D1895/30))</f>
        <v/>
      </c>
      <c r="H1895" s="19" t="n">
        <f aca="false">IF(G1895="",0,G1895)</f>
        <v>0</v>
      </c>
      <c r="I1895" s="18" t="str">
        <f aca="false">IF(H1895&gt;0,IF(H1895&gt;=SUMPRODUCT(MAX(($B$5:$B$2004=B1895)*$H$5:$H$2004)),"Rekor",""),"")</f>
        <v/>
      </c>
      <c r="J1895" s="19" t="n">
        <f aca="false">IF(A1895="",0,IF(COUNTIF(A$5:A1895,A1895)=1,1,0))</f>
        <v>0</v>
      </c>
    </row>
    <row r="1896" customFormat="false" ht="15" hidden="false" customHeight="false" outlineLevel="0" collapsed="false">
      <c r="A1896" s="12"/>
      <c r="B1896" s="13"/>
      <c r="C1896" s="14"/>
      <c r="D1896" s="14"/>
      <c r="E1896" s="15"/>
      <c r="F1896" s="16" t="str">
        <f aca="false">IF(OR(C1896="",D1896="",E1896=""),"",C1896*D1896*E1896)</f>
        <v/>
      </c>
      <c r="G1896" s="17" t="str">
        <f aca="false">IF(OR(D1896="",E1896=""),"",E1896*(1+D1896/30))</f>
        <v/>
      </c>
      <c r="H1896" s="19" t="n">
        <f aca="false">IF(G1896="",0,G1896)</f>
        <v>0</v>
      </c>
      <c r="I1896" s="18" t="str">
        <f aca="false">IF(H1896&gt;0,IF(H1896&gt;=SUMPRODUCT(MAX(($B$5:$B$2004=B1896)*$H$5:$H$2004)),"Rekor",""),"")</f>
        <v/>
      </c>
      <c r="J1896" s="19" t="n">
        <f aca="false">IF(A1896="",0,IF(COUNTIF(A$5:A1896,A1896)=1,1,0))</f>
        <v>0</v>
      </c>
    </row>
    <row r="1897" customFormat="false" ht="15" hidden="false" customHeight="false" outlineLevel="0" collapsed="false">
      <c r="A1897" s="12"/>
      <c r="B1897" s="13"/>
      <c r="C1897" s="14"/>
      <c r="D1897" s="14"/>
      <c r="E1897" s="15"/>
      <c r="F1897" s="16" t="str">
        <f aca="false">IF(OR(C1897="",D1897="",E1897=""),"",C1897*D1897*E1897)</f>
        <v/>
      </c>
      <c r="G1897" s="17" t="str">
        <f aca="false">IF(OR(D1897="",E1897=""),"",E1897*(1+D1897/30))</f>
        <v/>
      </c>
      <c r="H1897" s="19" t="n">
        <f aca="false">IF(G1897="",0,G1897)</f>
        <v>0</v>
      </c>
      <c r="I1897" s="18" t="str">
        <f aca="false">IF(H1897&gt;0,IF(H1897&gt;=SUMPRODUCT(MAX(($B$5:$B$2004=B1897)*$H$5:$H$2004)),"Rekor",""),"")</f>
        <v/>
      </c>
      <c r="J1897" s="19" t="n">
        <f aca="false">IF(A1897="",0,IF(COUNTIF(A$5:A1897,A1897)=1,1,0))</f>
        <v>0</v>
      </c>
    </row>
    <row r="1898" customFormat="false" ht="15" hidden="false" customHeight="false" outlineLevel="0" collapsed="false">
      <c r="A1898" s="12"/>
      <c r="B1898" s="13"/>
      <c r="C1898" s="14"/>
      <c r="D1898" s="14"/>
      <c r="E1898" s="15"/>
      <c r="F1898" s="16" t="str">
        <f aca="false">IF(OR(C1898="",D1898="",E1898=""),"",C1898*D1898*E1898)</f>
        <v/>
      </c>
      <c r="G1898" s="17" t="str">
        <f aca="false">IF(OR(D1898="",E1898=""),"",E1898*(1+D1898/30))</f>
        <v/>
      </c>
      <c r="H1898" s="19" t="n">
        <f aca="false">IF(G1898="",0,G1898)</f>
        <v>0</v>
      </c>
      <c r="I1898" s="18" t="str">
        <f aca="false">IF(H1898&gt;0,IF(H1898&gt;=SUMPRODUCT(MAX(($B$5:$B$2004=B1898)*$H$5:$H$2004)),"Rekor",""),"")</f>
        <v/>
      </c>
      <c r="J1898" s="19" t="n">
        <f aca="false">IF(A1898="",0,IF(COUNTIF(A$5:A1898,A1898)=1,1,0))</f>
        <v>0</v>
      </c>
    </row>
    <row r="1899" customFormat="false" ht="15" hidden="false" customHeight="false" outlineLevel="0" collapsed="false">
      <c r="A1899" s="12"/>
      <c r="B1899" s="13"/>
      <c r="C1899" s="14"/>
      <c r="D1899" s="14"/>
      <c r="E1899" s="15"/>
      <c r="F1899" s="16" t="str">
        <f aca="false">IF(OR(C1899="",D1899="",E1899=""),"",C1899*D1899*E1899)</f>
        <v/>
      </c>
      <c r="G1899" s="17" t="str">
        <f aca="false">IF(OR(D1899="",E1899=""),"",E1899*(1+D1899/30))</f>
        <v/>
      </c>
      <c r="H1899" s="19" t="n">
        <f aca="false">IF(G1899="",0,G1899)</f>
        <v>0</v>
      </c>
      <c r="I1899" s="18" t="str">
        <f aca="false">IF(H1899&gt;0,IF(H1899&gt;=SUMPRODUCT(MAX(($B$5:$B$2004=B1899)*$H$5:$H$2004)),"Rekor",""),"")</f>
        <v/>
      </c>
      <c r="J1899" s="19" t="n">
        <f aca="false">IF(A1899="",0,IF(COUNTIF(A$5:A1899,A1899)=1,1,0))</f>
        <v>0</v>
      </c>
    </row>
    <row r="1900" customFormat="false" ht="15" hidden="false" customHeight="false" outlineLevel="0" collapsed="false">
      <c r="A1900" s="12"/>
      <c r="B1900" s="13"/>
      <c r="C1900" s="14"/>
      <c r="D1900" s="14"/>
      <c r="E1900" s="15"/>
      <c r="F1900" s="16" t="str">
        <f aca="false">IF(OR(C1900="",D1900="",E1900=""),"",C1900*D1900*E1900)</f>
        <v/>
      </c>
      <c r="G1900" s="17" t="str">
        <f aca="false">IF(OR(D1900="",E1900=""),"",E1900*(1+D1900/30))</f>
        <v/>
      </c>
      <c r="H1900" s="19" t="n">
        <f aca="false">IF(G1900="",0,G1900)</f>
        <v>0</v>
      </c>
      <c r="I1900" s="18" t="str">
        <f aca="false">IF(H1900&gt;0,IF(H1900&gt;=SUMPRODUCT(MAX(($B$5:$B$2004=B1900)*$H$5:$H$2004)),"Rekor",""),"")</f>
        <v/>
      </c>
      <c r="J1900" s="19" t="n">
        <f aca="false">IF(A1900="",0,IF(COUNTIF(A$5:A1900,A1900)=1,1,0))</f>
        <v>0</v>
      </c>
    </row>
    <row r="1901" customFormat="false" ht="15" hidden="false" customHeight="false" outlineLevel="0" collapsed="false">
      <c r="A1901" s="12"/>
      <c r="B1901" s="13"/>
      <c r="C1901" s="14"/>
      <c r="D1901" s="14"/>
      <c r="E1901" s="15"/>
      <c r="F1901" s="16" t="str">
        <f aca="false">IF(OR(C1901="",D1901="",E1901=""),"",C1901*D1901*E1901)</f>
        <v/>
      </c>
      <c r="G1901" s="17" t="str">
        <f aca="false">IF(OR(D1901="",E1901=""),"",E1901*(1+D1901/30))</f>
        <v/>
      </c>
      <c r="H1901" s="19" t="n">
        <f aca="false">IF(G1901="",0,G1901)</f>
        <v>0</v>
      </c>
      <c r="I1901" s="18" t="str">
        <f aca="false">IF(H1901&gt;0,IF(H1901&gt;=SUMPRODUCT(MAX(($B$5:$B$2004=B1901)*$H$5:$H$2004)),"Rekor",""),"")</f>
        <v/>
      </c>
      <c r="J1901" s="19" t="n">
        <f aca="false">IF(A1901="",0,IF(COUNTIF(A$5:A1901,A1901)=1,1,0))</f>
        <v>0</v>
      </c>
    </row>
    <row r="1902" customFormat="false" ht="15" hidden="false" customHeight="false" outlineLevel="0" collapsed="false">
      <c r="A1902" s="12"/>
      <c r="B1902" s="13"/>
      <c r="C1902" s="14"/>
      <c r="D1902" s="14"/>
      <c r="E1902" s="15"/>
      <c r="F1902" s="16" t="str">
        <f aca="false">IF(OR(C1902="",D1902="",E1902=""),"",C1902*D1902*E1902)</f>
        <v/>
      </c>
      <c r="G1902" s="17" t="str">
        <f aca="false">IF(OR(D1902="",E1902=""),"",E1902*(1+D1902/30))</f>
        <v/>
      </c>
      <c r="H1902" s="19" t="n">
        <f aca="false">IF(G1902="",0,G1902)</f>
        <v>0</v>
      </c>
      <c r="I1902" s="18" t="str">
        <f aca="false">IF(H1902&gt;0,IF(H1902&gt;=SUMPRODUCT(MAX(($B$5:$B$2004=B1902)*$H$5:$H$2004)),"Rekor",""),"")</f>
        <v/>
      </c>
      <c r="J1902" s="19" t="n">
        <f aca="false">IF(A1902="",0,IF(COUNTIF(A$5:A1902,A1902)=1,1,0))</f>
        <v>0</v>
      </c>
    </row>
    <row r="1903" customFormat="false" ht="15" hidden="false" customHeight="false" outlineLevel="0" collapsed="false">
      <c r="A1903" s="12"/>
      <c r="B1903" s="13"/>
      <c r="C1903" s="14"/>
      <c r="D1903" s="14"/>
      <c r="E1903" s="15"/>
      <c r="F1903" s="16" t="str">
        <f aca="false">IF(OR(C1903="",D1903="",E1903=""),"",C1903*D1903*E1903)</f>
        <v/>
      </c>
      <c r="G1903" s="17" t="str">
        <f aca="false">IF(OR(D1903="",E1903=""),"",E1903*(1+D1903/30))</f>
        <v/>
      </c>
      <c r="H1903" s="19" t="n">
        <f aca="false">IF(G1903="",0,G1903)</f>
        <v>0</v>
      </c>
      <c r="I1903" s="18" t="str">
        <f aca="false">IF(H1903&gt;0,IF(H1903&gt;=SUMPRODUCT(MAX(($B$5:$B$2004=B1903)*$H$5:$H$2004)),"Rekor",""),"")</f>
        <v/>
      </c>
      <c r="J1903" s="19" t="n">
        <f aca="false">IF(A1903="",0,IF(COUNTIF(A$5:A1903,A1903)=1,1,0))</f>
        <v>0</v>
      </c>
    </row>
    <row r="1904" customFormat="false" ht="15" hidden="false" customHeight="false" outlineLevel="0" collapsed="false">
      <c r="A1904" s="12"/>
      <c r="B1904" s="13"/>
      <c r="C1904" s="14"/>
      <c r="D1904" s="14"/>
      <c r="E1904" s="15"/>
      <c r="F1904" s="16" t="str">
        <f aca="false">IF(OR(C1904="",D1904="",E1904=""),"",C1904*D1904*E1904)</f>
        <v/>
      </c>
      <c r="G1904" s="17" t="str">
        <f aca="false">IF(OR(D1904="",E1904=""),"",E1904*(1+D1904/30))</f>
        <v/>
      </c>
      <c r="H1904" s="19" t="n">
        <f aca="false">IF(G1904="",0,G1904)</f>
        <v>0</v>
      </c>
      <c r="I1904" s="18" t="str">
        <f aca="false">IF(H1904&gt;0,IF(H1904&gt;=SUMPRODUCT(MAX(($B$5:$B$2004=B1904)*$H$5:$H$2004)),"Rekor",""),"")</f>
        <v/>
      </c>
      <c r="J1904" s="19" t="n">
        <f aca="false">IF(A1904="",0,IF(COUNTIF(A$5:A1904,A1904)=1,1,0))</f>
        <v>0</v>
      </c>
    </row>
    <row r="1905" customFormat="false" ht="15" hidden="false" customHeight="false" outlineLevel="0" collapsed="false">
      <c r="A1905" s="12"/>
      <c r="B1905" s="13"/>
      <c r="C1905" s="14"/>
      <c r="D1905" s="14"/>
      <c r="E1905" s="15"/>
      <c r="F1905" s="16" t="str">
        <f aca="false">IF(OR(C1905="",D1905="",E1905=""),"",C1905*D1905*E1905)</f>
        <v/>
      </c>
      <c r="G1905" s="17" t="str">
        <f aca="false">IF(OR(D1905="",E1905=""),"",E1905*(1+D1905/30))</f>
        <v/>
      </c>
      <c r="H1905" s="19" t="n">
        <f aca="false">IF(G1905="",0,G1905)</f>
        <v>0</v>
      </c>
      <c r="I1905" s="18" t="str">
        <f aca="false">IF(H1905&gt;0,IF(H1905&gt;=SUMPRODUCT(MAX(($B$5:$B$2004=B1905)*$H$5:$H$2004)),"Rekor",""),"")</f>
        <v/>
      </c>
      <c r="J1905" s="19" t="n">
        <f aca="false">IF(A1905="",0,IF(COUNTIF(A$5:A1905,A1905)=1,1,0))</f>
        <v>0</v>
      </c>
    </row>
    <row r="1906" customFormat="false" ht="15" hidden="false" customHeight="false" outlineLevel="0" collapsed="false">
      <c r="A1906" s="12"/>
      <c r="B1906" s="13"/>
      <c r="C1906" s="14"/>
      <c r="D1906" s="14"/>
      <c r="E1906" s="15"/>
      <c r="F1906" s="16" t="str">
        <f aca="false">IF(OR(C1906="",D1906="",E1906=""),"",C1906*D1906*E1906)</f>
        <v/>
      </c>
      <c r="G1906" s="17" t="str">
        <f aca="false">IF(OR(D1906="",E1906=""),"",E1906*(1+D1906/30))</f>
        <v/>
      </c>
      <c r="H1906" s="19" t="n">
        <f aca="false">IF(G1906="",0,G1906)</f>
        <v>0</v>
      </c>
      <c r="I1906" s="18" t="str">
        <f aca="false">IF(H1906&gt;0,IF(H1906&gt;=SUMPRODUCT(MAX(($B$5:$B$2004=B1906)*$H$5:$H$2004)),"Rekor",""),"")</f>
        <v/>
      </c>
      <c r="J1906" s="19" t="n">
        <f aca="false">IF(A1906="",0,IF(COUNTIF(A$5:A1906,A1906)=1,1,0))</f>
        <v>0</v>
      </c>
    </row>
    <row r="1907" customFormat="false" ht="15" hidden="false" customHeight="false" outlineLevel="0" collapsed="false">
      <c r="A1907" s="12"/>
      <c r="B1907" s="13"/>
      <c r="C1907" s="14"/>
      <c r="D1907" s="14"/>
      <c r="E1907" s="15"/>
      <c r="F1907" s="16" t="str">
        <f aca="false">IF(OR(C1907="",D1907="",E1907=""),"",C1907*D1907*E1907)</f>
        <v/>
      </c>
      <c r="G1907" s="17" t="str">
        <f aca="false">IF(OR(D1907="",E1907=""),"",E1907*(1+D1907/30))</f>
        <v/>
      </c>
      <c r="H1907" s="19" t="n">
        <f aca="false">IF(G1907="",0,G1907)</f>
        <v>0</v>
      </c>
      <c r="I1907" s="18" t="str">
        <f aca="false">IF(H1907&gt;0,IF(H1907&gt;=SUMPRODUCT(MAX(($B$5:$B$2004=B1907)*$H$5:$H$2004)),"Rekor",""),"")</f>
        <v/>
      </c>
      <c r="J1907" s="19" t="n">
        <f aca="false">IF(A1907="",0,IF(COUNTIF(A$5:A1907,A1907)=1,1,0))</f>
        <v>0</v>
      </c>
    </row>
    <row r="1908" customFormat="false" ht="15" hidden="false" customHeight="false" outlineLevel="0" collapsed="false">
      <c r="A1908" s="12"/>
      <c r="B1908" s="13"/>
      <c r="C1908" s="14"/>
      <c r="D1908" s="14"/>
      <c r="E1908" s="15"/>
      <c r="F1908" s="16" t="str">
        <f aca="false">IF(OR(C1908="",D1908="",E1908=""),"",C1908*D1908*E1908)</f>
        <v/>
      </c>
      <c r="G1908" s="17" t="str">
        <f aca="false">IF(OR(D1908="",E1908=""),"",E1908*(1+D1908/30))</f>
        <v/>
      </c>
      <c r="H1908" s="19" t="n">
        <f aca="false">IF(G1908="",0,G1908)</f>
        <v>0</v>
      </c>
      <c r="I1908" s="18" t="str">
        <f aca="false">IF(H1908&gt;0,IF(H1908&gt;=SUMPRODUCT(MAX(($B$5:$B$2004=B1908)*$H$5:$H$2004)),"Rekor",""),"")</f>
        <v/>
      </c>
      <c r="J1908" s="19" t="n">
        <f aca="false">IF(A1908="",0,IF(COUNTIF(A$5:A1908,A1908)=1,1,0))</f>
        <v>0</v>
      </c>
    </row>
    <row r="1909" customFormat="false" ht="15" hidden="false" customHeight="false" outlineLevel="0" collapsed="false">
      <c r="A1909" s="12"/>
      <c r="B1909" s="13"/>
      <c r="C1909" s="14"/>
      <c r="D1909" s="14"/>
      <c r="E1909" s="15"/>
      <c r="F1909" s="16" t="str">
        <f aca="false">IF(OR(C1909="",D1909="",E1909=""),"",C1909*D1909*E1909)</f>
        <v/>
      </c>
      <c r="G1909" s="17" t="str">
        <f aca="false">IF(OR(D1909="",E1909=""),"",E1909*(1+D1909/30))</f>
        <v/>
      </c>
      <c r="H1909" s="19" t="n">
        <f aca="false">IF(G1909="",0,G1909)</f>
        <v>0</v>
      </c>
      <c r="I1909" s="18" t="str">
        <f aca="false">IF(H1909&gt;0,IF(H1909&gt;=SUMPRODUCT(MAX(($B$5:$B$2004=B1909)*$H$5:$H$2004)),"Rekor",""),"")</f>
        <v/>
      </c>
      <c r="J1909" s="19" t="n">
        <f aca="false">IF(A1909="",0,IF(COUNTIF(A$5:A1909,A1909)=1,1,0))</f>
        <v>0</v>
      </c>
    </row>
    <row r="1910" customFormat="false" ht="15" hidden="false" customHeight="false" outlineLevel="0" collapsed="false">
      <c r="A1910" s="12"/>
      <c r="B1910" s="13"/>
      <c r="C1910" s="14"/>
      <c r="D1910" s="14"/>
      <c r="E1910" s="15"/>
      <c r="F1910" s="16" t="str">
        <f aca="false">IF(OR(C1910="",D1910="",E1910=""),"",C1910*D1910*E1910)</f>
        <v/>
      </c>
      <c r="G1910" s="17" t="str">
        <f aca="false">IF(OR(D1910="",E1910=""),"",E1910*(1+D1910/30))</f>
        <v/>
      </c>
      <c r="H1910" s="19" t="n">
        <f aca="false">IF(G1910="",0,G1910)</f>
        <v>0</v>
      </c>
      <c r="I1910" s="18" t="str">
        <f aca="false">IF(H1910&gt;0,IF(H1910&gt;=SUMPRODUCT(MAX(($B$5:$B$2004=B1910)*$H$5:$H$2004)),"Rekor",""),"")</f>
        <v/>
      </c>
      <c r="J1910" s="19" t="n">
        <f aca="false">IF(A1910="",0,IF(COUNTIF(A$5:A1910,A1910)=1,1,0))</f>
        <v>0</v>
      </c>
    </row>
    <row r="1911" customFormat="false" ht="15" hidden="false" customHeight="false" outlineLevel="0" collapsed="false">
      <c r="A1911" s="12"/>
      <c r="B1911" s="13"/>
      <c r="C1911" s="14"/>
      <c r="D1911" s="14"/>
      <c r="E1911" s="15"/>
      <c r="F1911" s="16" t="str">
        <f aca="false">IF(OR(C1911="",D1911="",E1911=""),"",C1911*D1911*E1911)</f>
        <v/>
      </c>
      <c r="G1911" s="17" t="str">
        <f aca="false">IF(OR(D1911="",E1911=""),"",E1911*(1+D1911/30))</f>
        <v/>
      </c>
      <c r="H1911" s="19" t="n">
        <f aca="false">IF(G1911="",0,G1911)</f>
        <v>0</v>
      </c>
      <c r="I1911" s="18" t="str">
        <f aca="false">IF(H1911&gt;0,IF(H1911&gt;=SUMPRODUCT(MAX(($B$5:$B$2004=B1911)*$H$5:$H$2004)),"Rekor",""),"")</f>
        <v/>
      </c>
      <c r="J1911" s="19" t="n">
        <f aca="false">IF(A1911="",0,IF(COUNTIF(A$5:A1911,A1911)=1,1,0))</f>
        <v>0</v>
      </c>
    </row>
    <row r="1912" customFormat="false" ht="15" hidden="false" customHeight="false" outlineLevel="0" collapsed="false">
      <c r="A1912" s="12"/>
      <c r="B1912" s="13"/>
      <c r="C1912" s="14"/>
      <c r="D1912" s="14"/>
      <c r="E1912" s="15"/>
      <c r="F1912" s="16" t="str">
        <f aca="false">IF(OR(C1912="",D1912="",E1912=""),"",C1912*D1912*E1912)</f>
        <v/>
      </c>
      <c r="G1912" s="17" t="str">
        <f aca="false">IF(OR(D1912="",E1912=""),"",E1912*(1+D1912/30))</f>
        <v/>
      </c>
      <c r="H1912" s="19" t="n">
        <f aca="false">IF(G1912="",0,G1912)</f>
        <v>0</v>
      </c>
      <c r="I1912" s="18" t="str">
        <f aca="false">IF(H1912&gt;0,IF(H1912&gt;=SUMPRODUCT(MAX(($B$5:$B$2004=B1912)*$H$5:$H$2004)),"Rekor",""),"")</f>
        <v/>
      </c>
      <c r="J1912" s="19" t="n">
        <f aca="false">IF(A1912="",0,IF(COUNTIF(A$5:A1912,A1912)=1,1,0))</f>
        <v>0</v>
      </c>
    </row>
    <row r="1913" customFormat="false" ht="15" hidden="false" customHeight="false" outlineLevel="0" collapsed="false">
      <c r="A1913" s="12"/>
      <c r="B1913" s="13"/>
      <c r="C1913" s="14"/>
      <c r="D1913" s="14"/>
      <c r="E1913" s="15"/>
      <c r="F1913" s="16" t="str">
        <f aca="false">IF(OR(C1913="",D1913="",E1913=""),"",C1913*D1913*E1913)</f>
        <v/>
      </c>
      <c r="G1913" s="17" t="str">
        <f aca="false">IF(OR(D1913="",E1913=""),"",E1913*(1+D1913/30))</f>
        <v/>
      </c>
      <c r="H1913" s="19" t="n">
        <f aca="false">IF(G1913="",0,G1913)</f>
        <v>0</v>
      </c>
      <c r="I1913" s="18" t="str">
        <f aca="false">IF(H1913&gt;0,IF(H1913&gt;=SUMPRODUCT(MAX(($B$5:$B$2004=B1913)*$H$5:$H$2004)),"Rekor",""),"")</f>
        <v/>
      </c>
      <c r="J1913" s="19" t="n">
        <f aca="false">IF(A1913="",0,IF(COUNTIF(A$5:A1913,A1913)=1,1,0))</f>
        <v>0</v>
      </c>
    </row>
    <row r="1914" customFormat="false" ht="15" hidden="false" customHeight="false" outlineLevel="0" collapsed="false">
      <c r="A1914" s="12"/>
      <c r="B1914" s="13"/>
      <c r="C1914" s="14"/>
      <c r="D1914" s="14"/>
      <c r="E1914" s="15"/>
      <c r="F1914" s="16" t="str">
        <f aca="false">IF(OR(C1914="",D1914="",E1914=""),"",C1914*D1914*E1914)</f>
        <v/>
      </c>
      <c r="G1914" s="17" t="str">
        <f aca="false">IF(OR(D1914="",E1914=""),"",E1914*(1+D1914/30))</f>
        <v/>
      </c>
      <c r="H1914" s="19" t="n">
        <f aca="false">IF(G1914="",0,G1914)</f>
        <v>0</v>
      </c>
      <c r="I1914" s="18" t="str">
        <f aca="false">IF(H1914&gt;0,IF(H1914&gt;=SUMPRODUCT(MAX(($B$5:$B$2004=B1914)*$H$5:$H$2004)),"Rekor",""),"")</f>
        <v/>
      </c>
      <c r="J1914" s="19" t="n">
        <f aca="false">IF(A1914="",0,IF(COUNTIF(A$5:A1914,A1914)=1,1,0))</f>
        <v>0</v>
      </c>
    </row>
    <row r="1915" customFormat="false" ht="15" hidden="false" customHeight="false" outlineLevel="0" collapsed="false">
      <c r="A1915" s="12"/>
      <c r="B1915" s="13"/>
      <c r="C1915" s="14"/>
      <c r="D1915" s="14"/>
      <c r="E1915" s="15"/>
      <c r="F1915" s="16" t="str">
        <f aca="false">IF(OR(C1915="",D1915="",E1915=""),"",C1915*D1915*E1915)</f>
        <v/>
      </c>
      <c r="G1915" s="17" t="str">
        <f aca="false">IF(OR(D1915="",E1915=""),"",E1915*(1+D1915/30))</f>
        <v/>
      </c>
      <c r="H1915" s="19" t="n">
        <f aca="false">IF(G1915="",0,G1915)</f>
        <v>0</v>
      </c>
      <c r="I1915" s="18" t="str">
        <f aca="false">IF(H1915&gt;0,IF(H1915&gt;=SUMPRODUCT(MAX(($B$5:$B$2004=B1915)*$H$5:$H$2004)),"Rekor",""),"")</f>
        <v/>
      </c>
      <c r="J1915" s="19" t="n">
        <f aca="false">IF(A1915="",0,IF(COUNTIF(A$5:A1915,A1915)=1,1,0))</f>
        <v>0</v>
      </c>
    </row>
    <row r="1916" customFormat="false" ht="15" hidden="false" customHeight="false" outlineLevel="0" collapsed="false">
      <c r="A1916" s="12"/>
      <c r="B1916" s="13"/>
      <c r="C1916" s="14"/>
      <c r="D1916" s="14"/>
      <c r="E1916" s="15"/>
      <c r="F1916" s="16" t="str">
        <f aca="false">IF(OR(C1916="",D1916="",E1916=""),"",C1916*D1916*E1916)</f>
        <v/>
      </c>
      <c r="G1916" s="17" t="str">
        <f aca="false">IF(OR(D1916="",E1916=""),"",E1916*(1+D1916/30))</f>
        <v/>
      </c>
      <c r="H1916" s="19" t="n">
        <f aca="false">IF(G1916="",0,G1916)</f>
        <v>0</v>
      </c>
      <c r="I1916" s="18" t="str">
        <f aca="false">IF(H1916&gt;0,IF(H1916&gt;=SUMPRODUCT(MAX(($B$5:$B$2004=B1916)*$H$5:$H$2004)),"Rekor",""),"")</f>
        <v/>
      </c>
      <c r="J1916" s="19" t="n">
        <f aca="false">IF(A1916="",0,IF(COUNTIF(A$5:A1916,A1916)=1,1,0))</f>
        <v>0</v>
      </c>
    </row>
    <row r="1917" customFormat="false" ht="15" hidden="false" customHeight="false" outlineLevel="0" collapsed="false">
      <c r="A1917" s="12"/>
      <c r="B1917" s="13"/>
      <c r="C1917" s="14"/>
      <c r="D1917" s="14"/>
      <c r="E1917" s="15"/>
      <c r="F1917" s="16" t="str">
        <f aca="false">IF(OR(C1917="",D1917="",E1917=""),"",C1917*D1917*E1917)</f>
        <v/>
      </c>
      <c r="G1917" s="17" t="str">
        <f aca="false">IF(OR(D1917="",E1917=""),"",E1917*(1+D1917/30))</f>
        <v/>
      </c>
      <c r="H1917" s="19" t="n">
        <f aca="false">IF(G1917="",0,G1917)</f>
        <v>0</v>
      </c>
      <c r="I1917" s="18" t="str">
        <f aca="false">IF(H1917&gt;0,IF(H1917&gt;=SUMPRODUCT(MAX(($B$5:$B$2004=B1917)*$H$5:$H$2004)),"Rekor",""),"")</f>
        <v/>
      </c>
      <c r="J1917" s="19" t="n">
        <f aca="false">IF(A1917="",0,IF(COUNTIF(A$5:A1917,A1917)=1,1,0))</f>
        <v>0</v>
      </c>
    </row>
    <row r="1918" customFormat="false" ht="15" hidden="false" customHeight="false" outlineLevel="0" collapsed="false">
      <c r="A1918" s="12"/>
      <c r="B1918" s="13"/>
      <c r="C1918" s="14"/>
      <c r="D1918" s="14"/>
      <c r="E1918" s="15"/>
      <c r="F1918" s="16" t="str">
        <f aca="false">IF(OR(C1918="",D1918="",E1918=""),"",C1918*D1918*E1918)</f>
        <v/>
      </c>
      <c r="G1918" s="17" t="str">
        <f aca="false">IF(OR(D1918="",E1918=""),"",E1918*(1+D1918/30))</f>
        <v/>
      </c>
      <c r="H1918" s="19" t="n">
        <f aca="false">IF(G1918="",0,G1918)</f>
        <v>0</v>
      </c>
      <c r="I1918" s="18" t="str">
        <f aca="false">IF(H1918&gt;0,IF(H1918&gt;=SUMPRODUCT(MAX(($B$5:$B$2004=B1918)*$H$5:$H$2004)),"Rekor",""),"")</f>
        <v/>
      </c>
      <c r="J1918" s="19" t="n">
        <f aca="false">IF(A1918="",0,IF(COUNTIF(A$5:A1918,A1918)=1,1,0))</f>
        <v>0</v>
      </c>
    </row>
    <row r="1919" customFormat="false" ht="15" hidden="false" customHeight="false" outlineLevel="0" collapsed="false">
      <c r="A1919" s="12"/>
      <c r="B1919" s="13"/>
      <c r="C1919" s="14"/>
      <c r="D1919" s="14"/>
      <c r="E1919" s="15"/>
      <c r="F1919" s="16" t="str">
        <f aca="false">IF(OR(C1919="",D1919="",E1919=""),"",C1919*D1919*E1919)</f>
        <v/>
      </c>
      <c r="G1919" s="17" t="str">
        <f aca="false">IF(OR(D1919="",E1919=""),"",E1919*(1+D1919/30))</f>
        <v/>
      </c>
      <c r="H1919" s="19" t="n">
        <f aca="false">IF(G1919="",0,G1919)</f>
        <v>0</v>
      </c>
      <c r="I1919" s="18" t="str">
        <f aca="false">IF(H1919&gt;0,IF(H1919&gt;=SUMPRODUCT(MAX(($B$5:$B$2004=B1919)*$H$5:$H$2004)),"Rekor",""),"")</f>
        <v/>
      </c>
      <c r="J1919" s="19" t="n">
        <f aca="false">IF(A1919="",0,IF(COUNTIF(A$5:A1919,A1919)=1,1,0))</f>
        <v>0</v>
      </c>
    </row>
    <row r="1920" customFormat="false" ht="15" hidden="false" customHeight="false" outlineLevel="0" collapsed="false">
      <c r="A1920" s="12"/>
      <c r="B1920" s="13"/>
      <c r="C1920" s="14"/>
      <c r="D1920" s="14"/>
      <c r="E1920" s="15"/>
      <c r="F1920" s="16" t="str">
        <f aca="false">IF(OR(C1920="",D1920="",E1920=""),"",C1920*D1920*E1920)</f>
        <v/>
      </c>
      <c r="G1920" s="17" t="str">
        <f aca="false">IF(OR(D1920="",E1920=""),"",E1920*(1+D1920/30))</f>
        <v/>
      </c>
      <c r="H1920" s="19" t="n">
        <f aca="false">IF(G1920="",0,G1920)</f>
        <v>0</v>
      </c>
      <c r="I1920" s="18" t="str">
        <f aca="false">IF(H1920&gt;0,IF(H1920&gt;=SUMPRODUCT(MAX(($B$5:$B$2004=B1920)*$H$5:$H$2004)),"Rekor",""),"")</f>
        <v/>
      </c>
      <c r="J1920" s="19" t="n">
        <f aca="false">IF(A1920="",0,IF(COUNTIF(A$5:A1920,A1920)=1,1,0))</f>
        <v>0</v>
      </c>
    </row>
    <row r="1921" customFormat="false" ht="15" hidden="false" customHeight="false" outlineLevel="0" collapsed="false">
      <c r="A1921" s="12"/>
      <c r="B1921" s="13"/>
      <c r="C1921" s="14"/>
      <c r="D1921" s="14"/>
      <c r="E1921" s="15"/>
      <c r="F1921" s="16" t="str">
        <f aca="false">IF(OR(C1921="",D1921="",E1921=""),"",C1921*D1921*E1921)</f>
        <v/>
      </c>
      <c r="G1921" s="17" t="str">
        <f aca="false">IF(OR(D1921="",E1921=""),"",E1921*(1+D1921/30))</f>
        <v/>
      </c>
      <c r="H1921" s="19" t="n">
        <f aca="false">IF(G1921="",0,G1921)</f>
        <v>0</v>
      </c>
      <c r="I1921" s="18" t="str">
        <f aca="false">IF(H1921&gt;0,IF(H1921&gt;=SUMPRODUCT(MAX(($B$5:$B$2004=B1921)*$H$5:$H$2004)),"Rekor",""),"")</f>
        <v/>
      </c>
      <c r="J1921" s="19" t="n">
        <f aca="false">IF(A1921="",0,IF(COUNTIF(A$5:A1921,A1921)=1,1,0))</f>
        <v>0</v>
      </c>
    </row>
    <row r="1922" customFormat="false" ht="15" hidden="false" customHeight="false" outlineLevel="0" collapsed="false">
      <c r="A1922" s="12"/>
      <c r="B1922" s="13"/>
      <c r="C1922" s="14"/>
      <c r="D1922" s="14"/>
      <c r="E1922" s="15"/>
      <c r="F1922" s="16" t="str">
        <f aca="false">IF(OR(C1922="",D1922="",E1922=""),"",C1922*D1922*E1922)</f>
        <v/>
      </c>
      <c r="G1922" s="17" t="str">
        <f aca="false">IF(OR(D1922="",E1922=""),"",E1922*(1+D1922/30))</f>
        <v/>
      </c>
      <c r="H1922" s="19" t="n">
        <f aca="false">IF(G1922="",0,G1922)</f>
        <v>0</v>
      </c>
      <c r="I1922" s="18" t="str">
        <f aca="false">IF(H1922&gt;0,IF(H1922&gt;=SUMPRODUCT(MAX(($B$5:$B$2004=B1922)*$H$5:$H$2004)),"Rekor",""),"")</f>
        <v/>
      </c>
      <c r="J1922" s="19" t="n">
        <f aca="false">IF(A1922="",0,IF(COUNTIF(A$5:A1922,A1922)=1,1,0))</f>
        <v>0</v>
      </c>
    </row>
    <row r="1923" customFormat="false" ht="15" hidden="false" customHeight="false" outlineLevel="0" collapsed="false">
      <c r="A1923" s="12"/>
      <c r="B1923" s="13"/>
      <c r="C1923" s="14"/>
      <c r="D1923" s="14"/>
      <c r="E1923" s="15"/>
      <c r="F1923" s="16" t="str">
        <f aca="false">IF(OR(C1923="",D1923="",E1923=""),"",C1923*D1923*E1923)</f>
        <v/>
      </c>
      <c r="G1923" s="17" t="str">
        <f aca="false">IF(OR(D1923="",E1923=""),"",E1923*(1+D1923/30))</f>
        <v/>
      </c>
      <c r="H1923" s="19" t="n">
        <f aca="false">IF(G1923="",0,G1923)</f>
        <v>0</v>
      </c>
      <c r="I1923" s="18" t="str">
        <f aca="false">IF(H1923&gt;0,IF(H1923&gt;=SUMPRODUCT(MAX(($B$5:$B$2004=B1923)*$H$5:$H$2004)),"Rekor",""),"")</f>
        <v/>
      </c>
      <c r="J1923" s="19" t="n">
        <f aca="false">IF(A1923="",0,IF(COUNTIF(A$5:A1923,A1923)=1,1,0))</f>
        <v>0</v>
      </c>
    </row>
    <row r="1924" customFormat="false" ht="15" hidden="false" customHeight="false" outlineLevel="0" collapsed="false">
      <c r="A1924" s="12"/>
      <c r="B1924" s="13"/>
      <c r="C1924" s="14"/>
      <c r="D1924" s="14"/>
      <c r="E1924" s="15"/>
      <c r="F1924" s="16" t="str">
        <f aca="false">IF(OR(C1924="",D1924="",E1924=""),"",C1924*D1924*E1924)</f>
        <v/>
      </c>
      <c r="G1924" s="17" t="str">
        <f aca="false">IF(OR(D1924="",E1924=""),"",E1924*(1+D1924/30))</f>
        <v/>
      </c>
      <c r="H1924" s="19" t="n">
        <f aca="false">IF(G1924="",0,G1924)</f>
        <v>0</v>
      </c>
      <c r="I1924" s="18" t="str">
        <f aca="false">IF(H1924&gt;0,IF(H1924&gt;=SUMPRODUCT(MAX(($B$5:$B$2004=B1924)*$H$5:$H$2004)),"Rekor",""),"")</f>
        <v/>
      </c>
      <c r="J1924" s="19" t="n">
        <f aca="false">IF(A1924="",0,IF(COUNTIF(A$5:A1924,A1924)=1,1,0))</f>
        <v>0</v>
      </c>
    </row>
    <row r="1925" customFormat="false" ht="15" hidden="false" customHeight="false" outlineLevel="0" collapsed="false">
      <c r="A1925" s="12"/>
      <c r="B1925" s="13"/>
      <c r="C1925" s="14"/>
      <c r="D1925" s="14"/>
      <c r="E1925" s="15"/>
      <c r="F1925" s="16" t="str">
        <f aca="false">IF(OR(C1925="",D1925="",E1925=""),"",C1925*D1925*E1925)</f>
        <v/>
      </c>
      <c r="G1925" s="17" t="str">
        <f aca="false">IF(OR(D1925="",E1925=""),"",E1925*(1+D1925/30))</f>
        <v/>
      </c>
      <c r="H1925" s="19" t="n">
        <f aca="false">IF(G1925="",0,G1925)</f>
        <v>0</v>
      </c>
      <c r="I1925" s="18" t="str">
        <f aca="false">IF(H1925&gt;0,IF(H1925&gt;=SUMPRODUCT(MAX(($B$5:$B$2004=B1925)*$H$5:$H$2004)),"Rekor",""),"")</f>
        <v/>
      </c>
      <c r="J1925" s="19" t="n">
        <f aca="false">IF(A1925="",0,IF(COUNTIF(A$5:A1925,A1925)=1,1,0))</f>
        <v>0</v>
      </c>
    </row>
    <row r="1926" customFormat="false" ht="15" hidden="false" customHeight="false" outlineLevel="0" collapsed="false">
      <c r="A1926" s="12"/>
      <c r="B1926" s="13"/>
      <c r="C1926" s="14"/>
      <c r="D1926" s="14"/>
      <c r="E1926" s="15"/>
      <c r="F1926" s="16" t="str">
        <f aca="false">IF(OR(C1926="",D1926="",E1926=""),"",C1926*D1926*E1926)</f>
        <v/>
      </c>
      <c r="G1926" s="17" t="str">
        <f aca="false">IF(OR(D1926="",E1926=""),"",E1926*(1+D1926/30))</f>
        <v/>
      </c>
      <c r="H1926" s="19" t="n">
        <f aca="false">IF(G1926="",0,G1926)</f>
        <v>0</v>
      </c>
      <c r="I1926" s="18" t="str">
        <f aca="false">IF(H1926&gt;0,IF(H1926&gt;=SUMPRODUCT(MAX(($B$5:$B$2004=B1926)*$H$5:$H$2004)),"Rekor",""),"")</f>
        <v/>
      </c>
      <c r="J1926" s="19" t="n">
        <f aca="false">IF(A1926="",0,IF(COUNTIF(A$5:A1926,A1926)=1,1,0))</f>
        <v>0</v>
      </c>
    </row>
    <row r="1927" customFormat="false" ht="15" hidden="false" customHeight="false" outlineLevel="0" collapsed="false">
      <c r="A1927" s="12"/>
      <c r="B1927" s="13"/>
      <c r="C1927" s="14"/>
      <c r="D1927" s="14"/>
      <c r="E1927" s="15"/>
      <c r="F1927" s="16" t="str">
        <f aca="false">IF(OR(C1927="",D1927="",E1927=""),"",C1927*D1927*E1927)</f>
        <v/>
      </c>
      <c r="G1927" s="17" t="str">
        <f aca="false">IF(OR(D1927="",E1927=""),"",E1927*(1+D1927/30))</f>
        <v/>
      </c>
      <c r="H1927" s="19" t="n">
        <f aca="false">IF(G1927="",0,G1927)</f>
        <v>0</v>
      </c>
      <c r="I1927" s="18" t="str">
        <f aca="false">IF(H1927&gt;0,IF(H1927&gt;=SUMPRODUCT(MAX(($B$5:$B$2004=B1927)*$H$5:$H$2004)),"Rekor",""),"")</f>
        <v/>
      </c>
      <c r="J1927" s="19" t="n">
        <f aca="false">IF(A1927="",0,IF(COUNTIF(A$5:A1927,A1927)=1,1,0))</f>
        <v>0</v>
      </c>
    </row>
    <row r="1928" customFormat="false" ht="15" hidden="false" customHeight="false" outlineLevel="0" collapsed="false">
      <c r="A1928" s="12"/>
      <c r="B1928" s="13"/>
      <c r="C1928" s="14"/>
      <c r="D1928" s="14"/>
      <c r="E1928" s="15"/>
      <c r="F1928" s="16" t="str">
        <f aca="false">IF(OR(C1928="",D1928="",E1928=""),"",C1928*D1928*E1928)</f>
        <v/>
      </c>
      <c r="G1928" s="17" t="str">
        <f aca="false">IF(OR(D1928="",E1928=""),"",E1928*(1+D1928/30))</f>
        <v/>
      </c>
      <c r="H1928" s="19" t="n">
        <f aca="false">IF(G1928="",0,G1928)</f>
        <v>0</v>
      </c>
      <c r="I1928" s="18" t="str">
        <f aca="false">IF(H1928&gt;0,IF(H1928&gt;=SUMPRODUCT(MAX(($B$5:$B$2004=B1928)*$H$5:$H$2004)),"Rekor",""),"")</f>
        <v/>
      </c>
      <c r="J1928" s="19" t="n">
        <f aca="false">IF(A1928="",0,IF(COUNTIF(A$5:A1928,A1928)=1,1,0))</f>
        <v>0</v>
      </c>
    </row>
    <row r="1929" customFormat="false" ht="15" hidden="false" customHeight="false" outlineLevel="0" collapsed="false">
      <c r="A1929" s="12"/>
      <c r="B1929" s="13"/>
      <c r="C1929" s="14"/>
      <c r="D1929" s="14"/>
      <c r="E1929" s="15"/>
      <c r="F1929" s="16" t="str">
        <f aca="false">IF(OR(C1929="",D1929="",E1929=""),"",C1929*D1929*E1929)</f>
        <v/>
      </c>
      <c r="G1929" s="17" t="str">
        <f aca="false">IF(OR(D1929="",E1929=""),"",E1929*(1+D1929/30))</f>
        <v/>
      </c>
      <c r="H1929" s="19" t="n">
        <f aca="false">IF(G1929="",0,G1929)</f>
        <v>0</v>
      </c>
      <c r="I1929" s="18" t="str">
        <f aca="false">IF(H1929&gt;0,IF(H1929&gt;=SUMPRODUCT(MAX(($B$5:$B$2004=B1929)*$H$5:$H$2004)),"Rekor",""),"")</f>
        <v/>
      </c>
      <c r="J1929" s="19" t="n">
        <f aca="false">IF(A1929="",0,IF(COUNTIF(A$5:A1929,A1929)=1,1,0))</f>
        <v>0</v>
      </c>
    </row>
    <row r="1930" customFormat="false" ht="15" hidden="false" customHeight="false" outlineLevel="0" collapsed="false">
      <c r="A1930" s="12"/>
      <c r="B1930" s="13"/>
      <c r="C1930" s="14"/>
      <c r="D1930" s="14"/>
      <c r="E1930" s="15"/>
      <c r="F1930" s="16" t="str">
        <f aca="false">IF(OR(C1930="",D1930="",E1930=""),"",C1930*D1930*E1930)</f>
        <v/>
      </c>
      <c r="G1930" s="17" t="str">
        <f aca="false">IF(OR(D1930="",E1930=""),"",E1930*(1+D1930/30))</f>
        <v/>
      </c>
      <c r="H1930" s="19" t="n">
        <f aca="false">IF(G1930="",0,G1930)</f>
        <v>0</v>
      </c>
      <c r="I1930" s="18" t="str">
        <f aca="false">IF(H1930&gt;0,IF(H1930&gt;=SUMPRODUCT(MAX(($B$5:$B$2004=B1930)*$H$5:$H$2004)),"Rekor",""),"")</f>
        <v/>
      </c>
      <c r="J1930" s="19" t="n">
        <f aca="false">IF(A1930="",0,IF(COUNTIF(A$5:A1930,A1930)=1,1,0))</f>
        <v>0</v>
      </c>
    </row>
    <row r="1931" customFormat="false" ht="15" hidden="false" customHeight="false" outlineLevel="0" collapsed="false">
      <c r="A1931" s="12"/>
      <c r="B1931" s="13"/>
      <c r="C1931" s="14"/>
      <c r="D1931" s="14"/>
      <c r="E1931" s="15"/>
      <c r="F1931" s="16" t="str">
        <f aca="false">IF(OR(C1931="",D1931="",E1931=""),"",C1931*D1931*E1931)</f>
        <v/>
      </c>
      <c r="G1931" s="17" t="str">
        <f aca="false">IF(OR(D1931="",E1931=""),"",E1931*(1+D1931/30))</f>
        <v/>
      </c>
      <c r="H1931" s="19" t="n">
        <f aca="false">IF(G1931="",0,G1931)</f>
        <v>0</v>
      </c>
      <c r="I1931" s="18" t="str">
        <f aca="false">IF(H1931&gt;0,IF(H1931&gt;=SUMPRODUCT(MAX(($B$5:$B$2004=B1931)*$H$5:$H$2004)),"Rekor",""),"")</f>
        <v/>
      </c>
      <c r="J1931" s="19" t="n">
        <f aca="false">IF(A1931="",0,IF(COUNTIF(A$5:A1931,A1931)=1,1,0))</f>
        <v>0</v>
      </c>
    </row>
    <row r="1932" customFormat="false" ht="15" hidden="false" customHeight="false" outlineLevel="0" collapsed="false">
      <c r="A1932" s="12"/>
      <c r="B1932" s="13"/>
      <c r="C1932" s="14"/>
      <c r="D1932" s="14"/>
      <c r="E1932" s="15"/>
      <c r="F1932" s="16" t="str">
        <f aca="false">IF(OR(C1932="",D1932="",E1932=""),"",C1932*D1932*E1932)</f>
        <v/>
      </c>
      <c r="G1932" s="17" t="str">
        <f aca="false">IF(OR(D1932="",E1932=""),"",E1932*(1+D1932/30))</f>
        <v/>
      </c>
      <c r="H1932" s="19" t="n">
        <f aca="false">IF(G1932="",0,G1932)</f>
        <v>0</v>
      </c>
      <c r="I1932" s="18" t="str">
        <f aca="false">IF(H1932&gt;0,IF(H1932&gt;=SUMPRODUCT(MAX(($B$5:$B$2004=B1932)*$H$5:$H$2004)),"Rekor",""),"")</f>
        <v/>
      </c>
      <c r="J1932" s="19" t="n">
        <f aca="false">IF(A1932="",0,IF(COUNTIF(A$5:A1932,A1932)=1,1,0))</f>
        <v>0</v>
      </c>
    </row>
    <row r="1933" customFormat="false" ht="15" hidden="false" customHeight="false" outlineLevel="0" collapsed="false">
      <c r="A1933" s="12"/>
      <c r="B1933" s="13"/>
      <c r="C1933" s="14"/>
      <c r="D1933" s="14"/>
      <c r="E1933" s="15"/>
      <c r="F1933" s="16" t="str">
        <f aca="false">IF(OR(C1933="",D1933="",E1933=""),"",C1933*D1933*E1933)</f>
        <v/>
      </c>
      <c r="G1933" s="17" t="str">
        <f aca="false">IF(OR(D1933="",E1933=""),"",E1933*(1+D1933/30))</f>
        <v/>
      </c>
      <c r="H1933" s="19" t="n">
        <f aca="false">IF(G1933="",0,G1933)</f>
        <v>0</v>
      </c>
      <c r="I1933" s="18" t="str">
        <f aca="false">IF(H1933&gt;0,IF(H1933&gt;=SUMPRODUCT(MAX(($B$5:$B$2004=B1933)*$H$5:$H$2004)),"Rekor",""),"")</f>
        <v/>
      </c>
      <c r="J1933" s="19" t="n">
        <f aca="false">IF(A1933="",0,IF(COUNTIF(A$5:A1933,A1933)=1,1,0))</f>
        <v>0</v>
      </c>
    </row>
    <row r="1934" customFormat="false" ht="15" hidden="false" customHeight="false" outlineLevel="0" collapsed="false">
      <c r="A1934" s="12"/>
      <c r="B1934" s="13"/>
      <c r="C1934" s="14"/>
      <c r="D1934" s="14"/>
      <c r="E1934" s="15"/>
      <c r="F1934" s="16" t="str">
        <f aca="false">IF(OR(C1934="",D1934="",E1934=""),"",C1934*D1934*E1934)</f>
        <v/>
      </c>
      <c r="G1934" s="17" t="str">
        <f aca="false">IF(OR(D1934="",E1934=""),"",E1934*(1+D1934/30))</f>
        <v/>
      </c>
      <c r="H1934" s="19" t="n">
        <f aca="false">IF(G1934="",0,G1934)</f>
        <v>0</v>
      </c>
      <c r="I1934" s="18" t="str">
        <f aca="false">IF(H1934&gt;0,IF(H1934&gt;=SUMPRODUCT(MAX(($B$5:$B$2004=B1934)*$H$5:$H$2004)),"Rekor",""),"")</f>
        <v/>
      </c>
      <c r="J1934" s="19" t="n">
        <f aca="false">IF(A1934="",0,IF(COUNTIF(A$5:A1934,A1934)=1,1,0))</f>
        <v>0</v>
      </c>
    </row>
    <row r="1935" customFormat="false" ht="15" hidden="false" customHeight="false" outlineLevel="0" collapsed="false">
      <c r="A1935" s="12"/>
      <c r="B1935" s="13"/>
      <c r="C1935" s="14"/>
      <c r="D1935" s="14"/>
      <c r="E1935" s="15"/>
      <c r="F1935" s="16" t="str">
        <f aca="false">IF(OR(C1935="",D1935="",E1935=""),"",C1935*D1935*E1935)</f>
        <v/>
      </c>
      <c r="G1935" s="17" t="str">
        <f aca="false">IF(OR(D1935="",E1935=""),"",E1935*(1+D1935/30))</f>
        <v/>
      </c>
      <c r="H1935" s="19" t="n">
        <f aca="false">IF(G1935="",0,G1935)</f>
        <v>0</v>
      </c>
      <c r="I1935" s="18" t="str">
        <f aca="false">IF(H1935&gt;0,IF(H1935&gt;=SUMPRODUCT(MAX(($B$5:$B$2004=B1935)*$H$5:$H$2004)),"Rekor",""),"")</f>
        <v/>
      </c>
      <c r="J1935" s="19" t="n">
        <f aca="false">IF(A1935="",0,IF(COUNTIF(A$5:A1935,A1935)=1,1,0))</f>
        <v>0</v>
      </c>
    </row>
    <row r="1936" customFormat="false" ht="15" hidden="false" customHeight="false" outlineLevel="0" collapsed="false">
      <c r="A1936" s="12"/>
      <c r="B1936" s="13"/>
      <c r="C1936" s="14"/>
      <c r="D1936" s="14"/>
      <c r="E1936" s="15"/>
      <c r="F1936" s="16" t="str">
        <f aca="false">IF(OR(C1936="",D1936="",E1936=""),"",C1936*D1936*E1936)</f>
        <v/>
      </c>
      <c r="G1936" s="17" t="str">
        <f aca="false">IF(OR(D1936="",E1936=""),"",E1936*(1+D1936/30))</f>
        <v/>
      </c>
      <c r="H1936" s="19" t="n">
        <f aca="false">IF(G1936="",0,G1936)</f>
        <v>0</v>
      </c>
      <c r="I1936" s="18" t="str">
        <f aca="false">IF(H1936&gt;0,IF(H1936&gt;=SUMPRODUCT(MAX(($B$5:$B$2004=B1936)*$H$5:$H$2004)),"Rekor",""),"")</f>
        <v/>
      </c>
      <c r="J1936" s="19" t="n">
        <f aca="false">IF(A1936="",0,IF(COUNTIF(A$5:A1936,A1936)=1,1,0))</f>
        <v>0</v>
      </c>
    </row>
    <row r="1937" customFormat="false" ht="15" hidden="false" customHeight="false" outlineLevel="0" collapsed="false">
      <c r="A1937" s="12"/>
      <c r="B1937" s="13"/>
      <c r="C1937" s="14"/>
      <c r="D1937" s="14"/>
      <c r="E1937" s="15"/>
      <c r="F1937" s="16" t="str">
        <f aca="false">IF(OR(C1937="",D1937="",E1937=""),"",C1937*D1937*E1937)</f>
        <v/>
      </c>
      <c r="G1937" s="17" t="str">
        <f aca="false">IF(OR(D1937="",E1937=""),"",E1937*(1+D1937/30))</f>
        <v/>
      </c>
      <c r="H1937" s="19" t="n">
        <f aca="false">IF(G1937="",0,G1937)</f>
        <v>0</v>
      </c>
      <c r="I1937" s="18" t="str">
        <f aca="false">IF(H1937&gt;0,IF(H1937&gt;=SUMPRODUCT(MAX(($B$5:$B$2004=B1937)*$H$5:$H$2004)),"Rekor",""),"")</f>
        <v/>
      </c>
      <c r="J1937" s="19" t="n">
        <f aca="false">IF(A1937="",0,IF(COUNTIF(A$5:A1937,A1937)=1,1,0))</f>
        <v>0</v>
      </c>
    </row>
    <row r="1938" customFormat="false" ht="15" hidden="false" customHeight="false" outlineLevel="0" collapsed="false">
      <c r="A1938" s="12"/>
      <c r="B1938" s="13"/>
      <c r="C1938" s="14"/>
      <c r="D1938" s="14"/>
      <c r="E1938" s="15"/>
      <c r="F1938" s="16" t="str">
        <f aca="false">IF(OR(C1938="",D1938="",E1938=""),"",C1938*D1938*E1938)</f>
        <v/>
      </c>
      <c r="G1938" s="17" t="str">
        <f aca="false">IF(OR(D1938="",E1938=""),"",E1938*(1+D1938/30))</f>
        <v/>
      </c>
      <c r="H1938" s="19" t="n">
        <f aca="false">IF(G1938="",0,G1938)</f>
        <v>0</v>
      </c>
      <c r="I1938" s="18" t="str">
        <f aca="false">IF(H1938&gt;0,IF(H1938&gt;=SUMPRODUCT(MAX(($B$5:$B$2004=B1938)*$H$5:$H$2004)),"Rekor",""),"")</f>
        <v/>
      </c>
      <c r="J1938" s="19" t="n">
        <f aca="false">IF(A1938="",0,IF(COUNTIF(A$5:A1938,A1938)=1,1,0))</f>
        <v>0</v>
      </c>
    </row>
    <row r="1939" customFormat="false" ht="15" hidden="false" customHeight="false" outlineLevel="0" collapsed="false">
      <c r="A1939" s="12"/>
      <c r="B1939" s="13"/>
      <c r="C1939" s="14"/>
      <c r="D1939" s="14"/>
      <c r="E1939" s="15"/>
      <c r="F1939" s="16" t="str">
        <f aca="false">IF(OR(C1939="",D1939="",E1939=""),"",C1939*D1939*E1939)</f>
        <v/>
      </c>
      <c r="G1939" s="17" t="str">
        <f aca="false">IF(OR(D1939="",E1939=""),"",E1939*(1+D1939/30))</f>
        <v/>
      </c>
      <c r="H1939" s="19" t="n">
        <f aca="false">IF(G1939="",0,G1939)</f>
        <v>0</v>
      </c>
      <c r="I1939" s="18" t="str">
        <f aca="false">IF(H1939&gt;0,IF(H1939&gt;=SUMPRODUCT(MAX(($B$5:$B$2004=B1939)*$H$5:$H$2004)),"Rekor",""),"")</f>
        <v/>
      </c>
      <c r="J1939" s="19" t="n">
        <f aca="false">IF(A1939="",0,IF(COUNTIF(A$5:A1939,A1939)=1,1,0))</f>
        <v>0</v>
      </c>
    </row>
    <row r="1940" customFormat="false" ht="15" hidden="false" customHeight="false" outlineLevel="0" collapsed="false">
      <c r="A1940" s="12"/>
      <c r="B1940" s="13"/>
      <c r="C1940" s="14"/>
      <c r="D1940" s="14"/>
      <c r="E1940" s="15"/>
      <c r="F1940" s="16" t="str">
        <f aca="false">IF(OR(C1940="",D1940="",E1940=""),"",C1940*D1940*E1940)</f>
        <v/>
      </c>
      <c r="G1940" s="17" t="str">
        <f aca="false">IF(OR(D1940="",E1940=""),"",E1940*(1+D1940/30))</f>
        <v/>
      </c>
      <c r="H1940" s="19" t="n">
        <f aca="false">IF(G1940="",0,G1940)</f>
        <v>0</v>
      </c>
      <c r="I1940" s="18" t="str">
        <f aca="false">IF(H1940&gt;0,IF(H1940&gt;=SUMPRODUCT(MAX(($B$5:$B$2004=B1940)*$H$5:$H$2004)),"Rekor",""),"")</f>
        <v/>
      </c>
      <c r="J1940" s="19" t="n">
        <f aca="false">IF(A1940="",0,IF(COUNTIF(A$5:A1940,A1940)=1,1,0))</f>
        <v>0</v>
      </c>
    </row>
    <row r="1941" customFormat="false" ht="15" hidden="false" customHeight="false" outlineLevel="0" collapsed="false">
      <c r="A1941" s="12"/>
      <c r="B1941" s="13"/>
      <c r="C1941" s="14"/>
      <c r="D1941" s="14"/>
      <c r="E1941" s="15"/>
      <c r="F1941" s="16" t="str">
        <f aca="false">IF(OR(C1941="",D1941="",E1941=""),"",C1941*D1941*E1941)</f>
        <v/>
      </c>
      <c r="G1941" s="17" t="str">
        <f aca="false">IF(OR(D1941="",E1941=""),"",E1941*(1+D1941/30))</f>
        <v/>
      </c>
      <c r="H1941" s="19" t="n">
        <f aca="false">IF(G1941="",0,G1941)</f>
        <v>0</v>
      </c>
      <c r="I1941" s="18" t="str">
        <f aca="false">IF(H1941&gt;0,IF(H1941&gt;=SUMPRODUCT(MAX(($B$5:$B$2004=B1941)*$H$5:$H$2004)),"Rekor",""),"")</f>
        <v/>
      </c>
      <c r="J1941" s="19" t="n">
        <f aca="false">IF(A1941="",0,IF(COUNTIF(A$5:A1941,A1941)=1,1,0))</f>
        <v>0</v>
      </c>
    </row>
    <row r="1942" customFormat="false" ht="15" hidden="false" customHeight="false" outlineLevel="0" collapsed="false">
      <c r="A1942" s="12"/>
      <c r="B1942" s="13"/>
      <c r="C1942" s="14"/>
      <c r="D1942" s="14"/>
      <c r="E1942" s="15"/>
      <c r="F1942" s="16" t="str">
        <f aca="false">IF(OR(C1942="",D1942="",E1942=""),"",C1942*D1942*E1942)</f>
        <v/>
      </c>
      <c r="G1942" s="17" t="str">
        <f aca="false">IF(OR(D1942="",E1942=""),"",E1942*(1+D1942/30))</f>
        <v/>
      </c>
      <c r="H1942" s="19" t="n">
        <f aca="false">IF(G1942="",0,G1942)</f>
        <v>0</v>
      </c>
      <c r="I1942" s="18" t="str">
        <f aca="false">IF(H1942&gt;0,IF(H1942&gt;=SUMPRODUCT(MAX(($B$5:$B$2004=B1942)*$H$5:$H$2004)),"Rekor",""),"")</f>
        <v/>
      </c>
      <c r="J1942" s="19" t="n">
        <f aca="false">IF(A1942="",0,IF(COUNTIF(A$5:A1942,A1942)=1,1,0))</f>
        <v>0</v>
      </c>
    </row>
    <row r="1943" customFormat="false" ht="15" hidden="false" customHeight="false" outlineLevel="0" collapsed="false">
      <c r="A1943" s="12"/>
      <c r="B1943" s="13"/>
      <c r="C1943" s="14"/>
      <c r="D1943" s="14"/>
      <c r="E1943" s="15"/>
      <c r="F1943" s="16" t="str">
        <f aca="false">IF(OR(C1943="",D1943="",E1943=""),"",C1943*D1943*E1943)</f>
        <v/>
      </c>
      <c r="G1943" s="17" t="str">
        <f aca="false">IF(OR(D1943="",E1943=""),"",E1943*(1+D1943/30))</f>
        <v/>
      </c>
      <c r="H1943" s="19" t="n">
        <f aca="false">IF(G1943="",0,G1943)</f>
        <v>0</v>
      </c>
      <c r="I1943" s="18" t="str">
        <f aca="false">IF(H1943&gt;0,IF(H1943&gt;=SUMPRODUCT(MAX(($B$5:$B$2004=B1943)*$H$5:$H$2004)),"Rekor",""),"")</f>
        <v/>
      </c>
      <c r="J1943" s="19" t="n">
        <f aca="false">IF(A1943="",0,IF(COUNTIF(A$5:A1943,A1943)=1,1,0))</f>
        <v>0</v>
      </c>
    </row>
    <row r="1944" customFormat="false" ht="15" hidden="false" customHeight="false" outlineLevel="0" collapsed="false">
      <c r="A1944" s="12"/>
      <c r="B1944" s="13"/>
      <c r="C1944" s="14"/>
      <c r="D1944" s="14"/>
      <c r="E1944" s="15"/>
      <c r="F1944" s="16" t="str">
        <f aca="false">IF(OR(C1944="",D1944="",E1944=""),"",C1944*D1944*E1944)</f>
        <v/>
      </c>
      <c r="G1944" s="17" t="str">
        <f aca="false">IF(OR(D1944="",E1944=""),"",E1944*(1+D1944/30))</f>
        <v/>
      </c>
      <c r="H1944" s="19" t="n">
        <f aca="false">IF(G1944="",0,G1944)</f>
        <v>0</v>
      </c>
      <c r="I1944" s="18" t="str">
        <f aca="false">IF(H1944&gt;0,IF(H1944&gt;=SUMPRODUCT(MAX(($B$5:$B$2004=B1944)*$H$5:$H$2004)),"Rekor",""),"")</f>
        <v/>
      </c>
      <c r="J1944" s="19" t="n">
        <f aca="false">IF(A1944="",0,IF(COUNTIF(A$5:A1944,A1944)=1,1,0))</f>
        <v>0</v>
      </c>
    </row>
    <row r="1945" customFormat="false" ht="15" hidden="false" customHeight="false" outlineLevel="0" collapsed="false">
      <c r="A1945" s="12"/>
      <c r="B1945" s="13"/>
      <c r="C1945" s="14"/>
      <c r="D1945" s="14"/>
      <c r="E1945" s="15"/>
      <c r="F1945" s="16" t="str">
        <f aca="false">IF(OR(C1945="",D1945="",E1945=""),"",C1945*D1945*E1945)</f>
        <v/>
      </c>
      <c r="G1945" s="17" t="str">
        <f aca="false">IF(OR(D1945="",E1945=""),"",E1945*(1+D1945/30))</f>
        <v/>
      </c>
      <c r="H1945" s="19" t="n">
        <f aca="false">IF(G1945="",0,G1945)</f>
        <v>0</v>
      </c>
      <c r="I1945" s="18" t="str">
        <f aca="false">IF(H1945&gt;0,IF(H1945&gt;=SUMPRODUCT(MAX(($B$5:$B$2004=B1945)*$H$5:$H$2004)),"Rekor",""),"")</f>
        <v/>
      </c>
      <c r="J1945" s="19" t="n">
        <f aca="false">IF(A1945="",0,IF(COUNTIF(A$5:A1945,A1945)=1,1,0))</f>
        <v>0</v>
      </c>
    </row>
    <row r="1946" customFormat="false" ht="15" hidden="false" customHeight="false" outlineLevel="0" collapsed="false">
      <c r="A1946" s="12"/>
      <c r="B1946" s="13"/>
      <c r="C1946" s="14"/>
      <c r="D1946" s="14"/>
      <c r="E1946" s="15"/>
      <c r="F1946" s="16" t="str">
        <f aca="false">IF(OR(C1946="",D1946="",E1946=""),"",C1946*D1946*E1946)</f>
        <v/>
      </c>
      <c r="G1946" s="17" t="str">
        <f aca="false">IF(OR(D1946="",E1946=""),"",E1946*(1+D1946/30))</f>
        <v/>
      </c>
      <c r="H1946" s="19" t="n">
        <f aca="false">IF(G1946="",0,G1946)</f>
        <v>0</v>
      </c>
      <c r="I1946" s="18" t="str">
        <f aca="false">IF(H1946&gt;0,IF(H1946&gt;=SUMPRODUCT(MAX(($B$5:$B$2004=B1946)*$H$5:$H$2004)),"Rekor",""),"")</f>
        <v/>
      </c>
      <c r="J1946" s="19" t="n">
        <f aca="false">IF(A1946="",0,IF(COUNTIF(A$5:A1946,A1946)=1,1,0))</f>
        <v>0</v>
      </c>
    </row>
    <row r="1947" customFormat="false" ht="15" hidden="false" customHeight="false" outlineLevel="0" collapsed="false">
      <c r="A1947" s="12"/>
      <c r="B1947" s="13"/>
      <c r="C1947" s="14"/>
      <c r="D1947" s="14"/>
      <c r="E1947" s="15"/>
      <c r="F1947" s="16" t="str">
        <f aca="false">IF(OR(C1947="",D1947="",E1947=""),"",C1947*D1947*E1947)</f>
        <v/>
      </c>
      <c r="G1947" s="17" t="str">
        <f aca="false">IF(OR(D1947="",E1947=""),"",E1947*(1+D1947/30))</f>
        <v/>
      </c>
      <c r="H1947" s="19" t="n">
        <f aca="false">IF(G1947="",0,G1947)</f>
        <v>0</v>
      </c>
      <c r="I1947" s="18" t="str">
        <f aca="false">IF(H1947&gt;0,IF(H1947&gt;=SUMPRODUCT(MAX(($B$5:$B$2004=B1947)*$H$5:$H$2004)),"Rekor",""),"")</f>
        <v/>
      </c>
      <c r="J1947" s="19" t="n">
        <f aca="false">IF(A1947="",0,IF(COUNTIF(A$5:A1947,A1947)=1,1,0))</f>
        <v>0</v>
      </c>
    </row>
    <row r="1948" customFormat="false" ht="15" hidden="false" customHeight="false" outlineLevel="0" collapsed="false">
      <c r="A1948" s="12"/>
      <c r="B1948" s="13"/>
      <c r="C1948" s="14"/>
      <c r="D1948" s="14"/>
      <c r="E1948" s="15"/>
      <c r="F1948" s="16" t="str">
        <f aca="false">IF(OR(C1948="",D1948="",E1948=""),"",C1948*D1948*E1948)</f>
        <v/>
      </c>
      <c r="G1948" s="17" t="str">
        <f aca="false">IF(OR(D1948="",E1948=""),"",E1948*(1+D1948/30))</f>
        <v/>
      </c>
      <c r="H1948" s="19" t="n">
        <f aca="false">IF(G1948="",0,G1948)</f>
        <v>0</v>
      </c>
      <c r="I1948" s="18" t="str">
        <f aca="false">IF(H1948&gt;0,IF(H1948&gt;=SUMPRODUCT(MAX(($B$5:$B$2004=B1948)*$H$5:$H$2004)),"Rekor",""),"")</f>
        <v/>
      </c>
      <c r="J1948" s="19" t="n">
        <f aca="false">IF(A1948="",0,IF(COUNTIF(A$5:A1948,A1948)=1,1,0))</f>
        <v>0</v>
      </c>
    </row>
    <row r="1949" customFormat="false" ht="15" hidden="false" customHeight="false" outlineLevel="0" collapsed="false">
      <c r="A1949" s="12"/>
      <c r="B1949" s="13"/>
      <c r="C1949" s="14"/>
      <c r="D1949" s="14"/>
      <c r="E1949" s="15"/>
      <c r="F1949" s="16" t="str">
        <f aca="false">IF(OR(C1949="",D1949="",E1949=""),"",C1949*D1949*E1949)</f>
        <v/>
      </c>
      <c r="G1949" s="17" t="str">
        <f aca="false">IF(OR(D1949="",E1949=""),"",E1949*(1+D1949/30))</f>
        <v/>
      </c>
      <c r="H1949" s="19" t="n">
        <f aca="false">IF(G1949="",0,G1949)</f>
        <v>0</v>
      </c>
      <c r="I1949" s="18" t="str">
        <f aca="false">IF(H1949&gt;0,IF(H1949&gt;=SUMPRODUCT(MAX(($B$5:$B$2004=B1949)*$H$5:$H$2004)),"Rekor",""),"")</f>
        <v/>
      </c>
      <c r="J1949" s="19" t="n">
        <f aca="false">IF(A1949="",0,IF(COUNTIF(A$5:A1949,A1949)=1,1,0))</f>
        <v>0</v>
      </c>
    </row>
    <row r="1950" customFormat="false" ht="15" hidden="false" customHeight="false" outlineLevel="0" collapsed="false">
      <c r="A1950" s="12"/>
      <c r="B1950" s="13"/>
      <c r="C1950" s="14"/>
      <c r="D1950" s="14"/>
      <c r="E1950" s="15"/>
      <c r="F1950" s="16" t="str">
        <f aca="false">IF(OR(C1950="",D1950="",E1950=""),"",C1950*D1950*E1950)</f>
        <v/>
      </c>
      <c r="G1950" s="17" t="str">
        <f aca="false">IF(OR(D1950="",E1950=""),"",E1950*(1+D1950/30))</f>
        <v/>
      </c>
      <c r="H1950" s="19" t="n">
        <f aca="false">IF(G1950="",0,G1950)</f>
        <v>0</v>
      </c>
      <c r="I1950" s="18" t="str">
        <f aca="false">IF(H1950&gt;0,IF(H1950&gt;=SUMPRODUCT(MAX(($B$5:$B$2004=B1950)*$H$5:$H$2004)),"Rekor",""),"")</f>
        <v/>
      </c>
      <c r="J1950" s="19" t="n">
        <f aca="false">IF(A1950="",0,IF(COUNTIF(A$5:A1950,A1950)=1,1,0))</f>
        <v>0</v>
      </c>
    </row>
    <row r="1951" customFormat="false" ht="15" hidden="false" customHeight="false" outlineLevel="0" collapsed="false">
      <c r="A1951" s="12"/>
      <c r="B1951" s="13"/>
      <c r="C1951" s="14"/>
      <c r="D1951" s="14"/>
      <c r="E1951" s="15"/>
      <c r="F1951" s="16" t="str">
        <f aca="false">IF(OR(C1951="",D1951="",E1951=""),"",C1951*D1951*E1951)</f>
        <v/>
      </c>
      <c r="G1951" s="17" t="str">
        <f aca="false">IF(OR(D1951="",E1951=""),"",E1951*(1+D1951/30))</f>
        <v/>
      </c>
      <c r="H1951" s="19" t="n">
        <f aca="false">IF(G1951="",0,G1951)</f>
        <v>0</v>
      </c>
      <c r="I1951" s="18" t="str">
        <f aca="false">IF(H1951&gt;0,IF(H1951&gt;=SUMPRODUCT(MAX(($B$5:$B$2004=B1951)*$H$5:$H$2004)),"Rekor",""),"")</f>
        <v/>
      </c>
      <c r="J1951" s="19" t="n">
        <f aca="false">IF(A1951="",0,IF(COUNTIF(A$5:A1951,A1951)=1,1,0))</f>
        <v>0</v>
      </c>
    </row>
    <row r="1952" customFormat="false" ht="15" hidden="false" customHeight="false" outlineLevel="0" collapsed="false">
      <c r="A1952" s="12"/>
      <c r="B1952" s="13"/>
      <c r="C1952" s="14"/>
      <c r="D1952" s="14"/>
      <c r="E1952" s="15"/>
      <c r="F1952" s="16" t="str">
        <f aca="false">IF(OR(C1952="",D1952="",E1952=""),"",C1952*D1952*E1952)</f>
        <v/>
      </c>
      <c r="G1952" s="17" t="str">
        <f aca="false">IF(OR(D1952="",E1952=""),"",E1952*(1+D1952/30))</f>
        <v/>
      </c>
      <c r="H1952" s="19" t="n">
        <f aca="false">IF(G1952="",0,G1952)</f>
        <v>0</v>
      </c>
      <c r="I1952" s="18" t="str">
        <f aca="false">IF(H1952&gt;0,IF(H1952&gt;=SUMPRODUCT(MAX(($B$5:$B$2004=B1952)*$H$5:$H$2004)),"Rekor",""),"")</f>
        <v/>
      </c>
      <c r="J1952" s="19" t="n">
        <f aca="false">IF(A1952="",0,IF(COUNTIF(A$5:A1952,A1952)=1,1,0))</f>
        <v>0</v>
      </c>
    </row>
    <row r="1953" customFormat="false" ht="15" hidden="false" customHeight="false" outlineLevel="0" collapsed="false">
      <c r="A1953" s="12"/>
      <c r="B1953" s="13"/>
      <c r="C1953" s="14"/>
      <c r="D1953" s="14"/>
      <c r="E1953" s="15"/>
      <c r="F1953" s="16" t="str">
        <f aca="false">IF(OR(C1953="",D1953="",E1953=""),"",C1953*D1953*E1953)</f>
        <v/>
      </c>
      <c r="G1953" s="17" t="str">
        <f aca="false">IF(OR(D1953="",E1953=""),"",E1953*(1+D1953/30))</f>
        <v/>
      </c>
      <c r="H1953" s="19" t="n">
        <f aca="false">IF(G1953="",0,G1953)</f>
        <v>0</v>
      </c>
      <c r="I1953" s="18" t="str">
        <f aca="false">IF(H1953&gt;0,IF(H1953&gt;=SUMPRODUCT(MAX(($B$5:$B$2004=B1953)*$H$5:$H$2004)),"Rekor",""),"")</f>
        <v/>
      </c>
      <c r="J1953" s="19" t="n">
        <f aca="false">IF(A1953="",0,IF(COUNTIF(A$5:A1953,A1953)=1,1,0))</f>
        <v>0</v>
      </c>
    </row>
    <row r="1954" customFormat="false" ht="15" hidden="false" customHeight="false" outlineLevel="0" collapsed="false">
      <c r="A1954" s="12"/>
      <c r="B1954" s="13"/>
      <c r="C1954" s="14"/>
      <c r="D1954" s="14"/>
      <c r="E1954" s="15"/>
      <c r="F1954" s="16" t="str">
        <f aca="false">IF(OR(C1954="",D1954="",E1954=""),"",C1954*D1954*E1954)</f>
        <v/>
      </c>
      <c r="G1954" s="17" t="str">
        <f aca="false">IF(OR(D1954="",E1954=""),"",E1954*(1+D1954/30))</f>
        <v/>
      </c>
      <c r="H1954" s="19" t="n">
        <f aca="false">IF(G1954="",0,G1954)</f>
        <v>0</v>
      </c>
      <c r="I1954" s="18" t="str">
        <f aca="false">IF(H1954&gt;0,IF(H1954&gt;=SUMPRODUCT(MAX(($B$5:$B$2004=B1954)*$H$5:$H$2004)),"Rekor",""),"")</f>
        <v/>
      </c>
      <c r="J1954" s="19" t="n">
        <f aca="false">IF(A1954="",0,IF(COUNTIF(A$5:A1954,A1954)=1,1,0))</f>
        <v>0</v>
      </c>
    </row>
    <row r="1955" customFormat="false" ht="15" hidden="false" customHeight="false" outlineLevel="0" collapsed="false">
      <c r="A1955" s="12"/>
      <c r="B1955" s="13"/>
      <c r="C1955" s="14"/>
      <c r="D1955" s="14"/>
      <c r="E1955" s="15"/>
      <c r="F1955" s="16" t="str">
        <f aca="false">IF(OR(C1955="",D1955="",E1955=""),"",C1955*D1955*E1955)</f>
        <v/>
      </c>
      <c r="G1955" s="17" t="str">
        <f aca="false">IF(OR(D1955="",E1955=""),"",E1955*(1+D1955/30))</f>
        <v/>
      </c>
      <c r="H1955" s="19" t="n">
        <f aca="false">IF(G1955="",0,G1955)</f>
        <v>0</v>
      </c>
      <c r="I1955" s="18" t="str">
        <f aca="false">IF(H1955&gt;0,IF(H1955&gt;=SUMPRODUCT(MAX(($B$5:$B$2004=B1955)*$H$5:$H$2004)),"Rekor",""),"")</f>
        <v/>
      </c>
      <c r="J1955" s="19" t="n">
        <f aca="false">IF(A1955="",0,IF(COUNTIF(A$5:A1955,A1955)=1,1,0))</f>
        <v>0</v>
      </c>
    </row>
    <row r="1956" customFormat="false" ht="15" hidden="false" customHeight="false" outlineLevel="0" collapsed="false">
      <c r="A1956" s="12"/>
      <c r="B1956" s="13"/>
      <c r="C1956" s="14"/>
      <c r="D1956" s="14"/>
      <c r="E1956" s="15"/>
      <c r="F1956" s="16" t="str">
        <f aca="false">IF(OR(C1956="",D1956="",E1956=""),"",C1956*D1956*E1956)</f>
        <v/>
      </c>
      <c r="G1956" s="17" t="str">
        <f aca="false">IF(OR(D1956="",E1956=""),"",E1956*(1+D1956/30))</f>
        <v/>
      </c>
      <c r="H1956" s="19" t="n">
        <f aca="false">IF(G1956="",0,G1956)</f>
        <v>0</v>
      </c>
      <c r="I1956" s="18" t="str">
        <f aca="false">IF(H1956&gt;0,IF(H1956&gt;=SUMPRODUCT(MAX(($B$5:$B$2004=B1956)*$H$5:$H$2004)),"Rekor",""),"")</f>
        <v/>
      </c>
      <c r="J1956" s="19" t="n">
        <f aca="false">IF(A1956="",0,IF(COUNTIF(A$5:A1956,A1956)=1,1,0))</f>
        <v>0</v>
      </c>
    </row>
    <row r="1957" customFormat="false" ht="15" hidden="false" customHeight="false" outlineLevel="0" collapsed="false">
      <c r="A1957" s="12"/>
      <c r="B1957" s="13"/>
      <c r="C1957" s="14"/>
      <c r="D1957" s="14"/>
      <c r="E1957" s="15"/>
      <c r="F1957" s="16" t="str">
        <f aca="false">IF(OR(C1957="",D1957="",E1957=""),"",C1957*D1957*E1957)</f>
        <v/>
      </c>
      <c r="G1957" s="17" t="str">
        <f aca="false">IF(OR(D1957="",E1957=""),"",E1957*(1+D1957/30))</f>
        <v/>
      </c>
      <c r="H1957" s="19" t="n">
        <f aca="false">IF(G1957="",0,G1957)</f>
        <v>0</v>
      </c>
      <c r="I1957" s="18" t="str">
        <f aca="false">IF(H1957&gt;0,IF(H1957&gt;=SUMPRODUCT(MAX(($B$5:$B$2004=B1957)*$H$5:$H$2004)),"Rekor",""),"")</f>
        <v/>
      </c>
      <c r="J1957" s="19" t="n">
        <f aca="false">IF(A1957="",0,IF(COUNTIF(A$5:A1957,A1957)=1,1,0))</f>
        <v>0</v>
      </c>
    </row>
    <row r="1958" customFormat="false" ht="15" hidden="false" customHeight="false" outlineLevel="0" collapsed="false">
      <c r="A1958" s="12"/>
      <c r="B1958" s="13"/>
      <c r="C1958" s="14"/>
      <c r="D1958" s="14"/>
      <c r="E1958" s="15"/>
      <c r="F1958" s="16" t="str">
        <f aca="false">IF(OR(C1958="",D1958="",E1958=""),"",C1958*D1958*E1958)</f>
        <v/>
      </c>
      <c r="G1958" s="17" t="str">
        <f aca="false">IF(OR(D1958="",E1958=""),"",E1958*(1+D1958/30))</f>
        <v/>
      </c>
      <c r="H1958" s="19" t="n">
        <f aca="false">IF(G1958="",0,G1958)</f>
        <v>0</v>
      </c>
      <c r="I1958" s="18" t="str">
        <f aca="false">IF(H1958&gt;0,IF(H1958&gt;=SUMPRODUCT(MAX(($B$5:$B$2004=B1958)*$H$5:$H$2004)),"Rekor",""),"")</f>
        <v/>
      </c>
      <c r="J1958" s="19" t="n">
        <f aca="false">IF(A1958="",0,IF(COUNTIF(A$5:A1958,A1958)=1,1,0))</f>
        <v>0</v>
      </c>
    </row>
    <row r="1959" customFormat="false" ht="15" hidden="false" customHeight="false" outlineLevel="0" collapsed="false">
      <c r="A1959" s="12"/>
      <c r="B1959" s="13"/>
      <c r="C1959" s="14"/>
      <c r="D1959" s="14"/>
      <c r="E1959" s="15"/>
      <c r="F1959" s="16" t="str">
        <f aca="false">IF(OR(C1959="",D1959="",E1959=""),"",C1959*D1959*E1959)</f>
        <v/>
      </c>
      <c r="G1959" s="17" t="str">
        <f aca="false">IF(OR(D1959="",E1959=""),"",E1959*(1+D1959/30))</f>
        <v/>
      </c>
      <c r="H1959" s="19" t="n">
        <f aca="false">IF(G1959="",0,G1959)</f>
        <v>0</v>
      </c>
      <c r="I1959" s="18" t="str">
        <f aca="false">IF(H1959&gt;0,IF(H1959&gt;=SUMPRODUCT(MAX(($B$5:$B$2004=B1959)*$H$5:$H$2004)),"Rekor",""),"")</f>
        <v/>
      </c>
      <c r="J1959" s="19" t="n">
        <f aca="false">IF(A1959="",0,IF(COUNTIF(A$5:A1959,A1959)=1,1,0))</f>
        <v>0</v>
      </c>
    </row>
    <row r="1960" customFormat="false" ht="15" hidden="false" customHeight="false" outlineLevel="0" collapsed="false">
      <c r="A1960" s="12"/>
      <c r="B1960" s="13"/>
      <c r="C1960" s="14"/>
      <c r="D1960" s="14"/>
      <c r="E1960" s="15"/>
      <c r="F1960" s="16" t="str">
        <f aca="false">IF(OR(C1960="",D1960="",E1960=""),"",C1960*D1960*E1960)</f>
        <v/>
      </c>
      <c r="G1960" s="17" t="str">
        <f aca="false">IF(OR(D1960="",E1960=""),"",E1960*(1+D1960/30))</f>
        <v/>
      </c>
      <c r="H1960" s="19" t="n">
        <f aca="false">IF(G1960="",0,G1960)</f>
        <v>0</v>
      </c>
      <c r="I1960" s="18" t="str">
        <f aca="false">IF(H1960&gt;0,IF(H1960&gt;=SUMPRODUCT(MAX(($B$5:$B$2004=B1960)*$H$5:$H$2004)),"Rekor",""),"")</f>
        <v/>
      </c>
      <c r="J1960" s="19" t="n">
        <f aca="false">IF(A1960="",0,IF(COUNTIF(A$5:A1960,A1960)=1,1,0))</f>
        <v>0</v>
      </c>
    </row>
    <row r="1961" customFormat="false" ht="15" hidden="false" customHeight="false" outlineLevel="0" collapsed="false">
      <c r="A1961" s="12"/>
      <c r="B1961" s="13"/>
      <c r="C1961" s="14"/>
      <c r="D1961" s="14"/>
      <c r="E1961" s="15"/>
      <c r="F1961" s="16" t="str">
        <f aca="false">IF(OR(C1961="",D1961="",E1961=""),"",C1961*D1961*E1961)</f>
        <v/>
      </c>
      <c r="G1961" s="17" t="str">
        <f aca="false">IF(OR(D1961="",E1961=""),"",E1961*(1+D1961/30))</f>
        <v/>
      </c>
      <c r="H1961" s="19" t="n">
        <f aca="false">IF(G1961="",0,G1961)</f>
        <v>0</v>
      </c>
      <c r="I1961" s="18" t="str">
        <f aca="false">IF(H1961&gt;0,IF(H1961&gt;=SUMPRODUCT(MAX(($B$5:$B$2004=B1961)*$H$5:$H$2004)),"Rekor",""),"")</f>
        <v/>
      </c>
      <c r="J1961" s="19" t="n">
        <f aca="false">IF(A1961="",0,IF(COUNTIF(A$5:A1961,A1961)=1,1,0))</f>
        <v>0</v>
      </c>
    </row>
    <row r="1962" customFormat="false" ht="15" hidden="false" customHeight="false" outlineLevel="0" collapsed="false">
      <c r="A1962" s="12"/>
      <c r="B1962" s="13"/>
      <c r="C1962" s="14"/>
      <c r="D1962" s="14"/>
      <c r="E1962" s="15"/>
      <c r="F1962" s="16" t="str">
        <f aca="false">IF(OR(C1962="",D1962="",E1962=""),"",C1962*D1962*E1962)</f>
        <v/>
      </c>
      <c r="G1962" s="17" t="str">
        <f aca="false">IF(OR(D1962="",E1962=""),"",E1962*(1+D1962/30))</f>
        <v/>
      </c>
      <c r="H1962" s="19" t="n">
        <f aca="false">IF(G1962="",0,G1962)</f>
        <v>0</v>
      </c>
      <c r="I1962" s="18" t="str">
        <f aca="false">IF(H1962&gt;0,IF(H1962&gt;=SUMPRODUCT(MAX(($B$5:$B$2004=B1962)*$H$5:$H$2004)),"Rekor",""),"")</f>
        <v/>
      </c>
      <c r="J1962" s="19" t="n">
        <f aca="false">IF(A1962="",0,IF(COUNTIF(A$5:A1962,A1962)=1,1,0))</f>
        <v>0</v>
      </c>
    </row>
    <row r="1963" customFormat="false" ht="15" hidden="false" customHeight="false" outlineLevel="0" collapsed="false">
      <c r="A1963" s="12"/>
      <c r="B1963" s="13"/>
      <c r="C1963" s="14"/>
      <c r="D1963" s="14"/>
      <c r="E1963" s="15"/>
      <c r="F1963" s="16" t="str">
        <f aca="false">IF(OR(C1963="",D1963="",E1963=""),"",C1963*D1963*E1963)</f>
        <v/>
      </c>
      <c r="G1963" s="17" t="str">
        <f aca="false">IF(OR(D1963="",E1963=""),"",E1963*(1+D1963/30))</f>
        <v/>
      </c>
      <c r="H1963" s="19" t="n">
        <f aca="false">IF(G1963="",0,G1963)</f>
        <v>0</v>
      </c>
      <c r="I1963" s="18" t="str">
        <f aca="false">IF(H1963&gt;0,IF(H1963&gt;=SUMPRODUCT(MAX(($B$5:$B$2004=B1963)*$H$5:$H$2004)),"Rekor",""),"")</f>
        <v/>
      </c>
      <c r="J1963" s="19" t="n">
        <f aca="false">IF(A1963="",0,IF(COUNTIF(A$5:A1963,A1963)=1,1,0))</f>
        <v>0</v>
      </c>
    </row>
    <row r="1964" customFormat="false" ht="15" hidden="false" customHeight="false" outlineLevel="0" collapsed="false">
      <c r="A1964" s="12"/>
      <c r="B1964" s="13"/>
      <c r="C1964" s="14"/>
      <c r="D1964" s="14"/>
      <c r="E1964" s="15"/>
      <c r="F1964" s="16" t="str">
        <f aca="false">IF(OR(C1964="",D1964="",E1964=""),"",C1964*D1964*E1964)</f>
        <v/>
      </c>
      <c r="G1964" s="17" t="str">
        <f aca="false">IF(OR(D1964="",E1964=""),"",E1964*(1+D1964/30))</f>
        <v/>
      </c>
      <c r="H1964" s="19" t="n">
        <f aca="false">IF(G1964="",0,G1964)</f>
        <v>0</v>
      </c>
      <c r="I1964" s="18" t="str">
        <f aca="false">IF(H1964&gt;0,IF(H1964&gt;=SUMPRODUCT(MAX(($B$5:$B$2004=B1964)*$H$5:$H$2004)),"Rekor",""),"")</f>
        <v/>
      </c>
      <c r="J1964" s="19" t="n">
        <f aca="false">IF(A1964="",0,IF(COUNTIF(A$5:A1964,A1964)=1,1,0))</f>
        <v>0</v>
      </c>
    </row>
    <row r="1965" customFormat="false" ht="15" hidden="false" customHeight="false" outlineLevel="0" collapsed="false">
      <c r="A1965" s="12"/>
      <c r="B1965" s="13"/>
      <c r="C1965" s="14"/>
      <c r="D1965" s="14"/>
      <c r="E1965" s="15"/>
      <c r="F1965" s="16" t="str">
        <f aca="false">IF(OR(C1965="",D1965="",E1965=""),"",C1965*D1965*E1965)</f>
        <v/>
      </c>
      <c r="G1965" s="17" t="str">
        <f aca="false">IF(OR(D1965="",E1965=""),"",E1965*(1+D1965/30))</f>
        <v/>
      </c>
      <c r="H1965" s="19" t="n">
        <f aca="false">IF(G1965="",0,G1965)</f>
        <v>0</v>
      </c>
      <c r="I1965" s="18" t="str">
        <f aca="false">IF(H1965&gt;0,IF(H1965&gt;=SUMPRODUCT(MAX(($B$5:$B$2004=B1965)*$H$5:$H$2004)),"Rekor",""),"")</f>
        <v/>
      </c>
      <c r="J1965" s="19" t="n">
        <f aca="false">IF(A1965="",0,IF(COUNTIF(A$5:A1965,A1965)=1,1,0))</f>
        <v>0</v>
      </c>
    </row>
    <row r="1966" customFormat="false" ht="15" hidden="false" customHeight="false" outlineLevel="0" collapsed="false">
      <c r="A1966" s="12"/>
      <c r="B1966" s="13"/>
      <c r="C1966" s="14"/>
      <c r="D1966" s="14"/>
      <c r="E1966" s="15"/>
      <c r="F1966" s="16" t="str">
        <f aca="false">IF(OR(C1966="",D1966="",E1966=""),"",C1966*D1966*E1966)</f>
        <v/>
      </c>
      <c r="G1966" s="17" t="str">
        <f aca="false">IF(OR(D1966="",E1966=""),"",E1966*(1+D1966/30))</f>
        <v/>
      </c>
      <c r="H1966" s="19" t="n">
        <f aca="false">IF(G1966="",0,G1966)</f>
        <v>0</v>
      </c>
      <c r="I1966" s="18" t="str">
        <f aca="false">IF(H1966&gt;0,IF(H1966&gt;=SUMPRODUCT(MAX(($B$5:$B$2004=B1966)*$H$5:$H$2004)),"Rekor",""),"")</f>
        <v/>
      </c>
      <c r="J1966" s="19" t="n">
        <f aca="false">IF(A1966="",0,IF(COUNTIF(A$5:A1966,A1966)=1,1,0))</f>
        <v>0</v>
      </c>
    </row>
    <row r="1967" customFormat="false" ht="15" hidden="false" customHeight="false" outlineLevel="0" collapsed="false">
      <c r="A1967" s="12"/>
      <c r="B1967" s="13"/>
      <c r="C1967" s="14"/>
      <c r="D1967" s="14"/>
      <c r="E1967" s="15"/>
      <c r="F1967" s="16" t="str">
        <f aca="false">IF(OR(C1967="",D1967="",E1967=""),"",C1967*D1967*E1967)</f>
        <v/>
      </c>
      <c r="G1967" s="17" t="str">
        <f aca="false">IF(OR(D1967="",E1967=""),"",E1967*(1+D1967/30))</f>
        <v/>
      </c>
      <c r="H1967" s="19" t="n">
        <f aca="false">IF(G1967="",0,G1967)</f>
        <v>0</v>
      </c>
      <c r="I1967" s="18" t="str">
        <f aca="false">IF(H1967&gt;0,IF(H1967&gt;=SUMPRODUCT(MAX(($B$5:$B$2004=B1967)*$H$5:$H$2004)),"Rekor",""),"")</f>
        <v/>
      </c>
      <c r="J1967" s="19" t="n">
        <f aca="false">IF(A1967="",0,IF(COUNTIF(A$5:A1967,A1967)=1,1,0))</f>
        <v>0</v>
      </c>
    </row>
    <row r="1968" customFormat="false" ht="15" hidden="false" customHeight="false" outlineLevel="0" collapsed="false">
      <c r="A1968" s="12"/>
      <c r="B1968" s="13"/>
      <c r="C1968" s="14"/>
      <c r="D1968" s="14"/>
      <c r="E1968" s="15"/>
      <c r="F1968" s="16" t="str">
        <f aca="false">IF(OR(C1968="",D1968="",E1968=""),"",C1968*D1968*E1968)</f>
        <v/>
      </c>
      <c r="G1968" s="17" t="str">
        <f aca="false">IF(OR(D1968="",E1968=""),"",E1968*(1+D1968/30))</f>
        <v/>
      </c>
      <c r="H1968" s="19" t="n">
        <f aca="false">IF(G1968="",0,G1968)</f>
        <v>0</v>
      </c>
      <c r="I1968" s="18" t="str">
        <f aca="false">IF(H1968&gt;0,IF(H1968&gt;=SUMPRODUCT(MAX(($B$5:$B$2004=B1968)*$H$5:$H$2004)),"Rekor",""),"")</f>
        <v/>
      </c>
      <c r="J1968" s="19" t="n">
        <f aca="false">IF(A1968="",0,IF(COUNTIF(A$5:A1968,A1968)=1,1,0))</f>
        <v>0</v>
      </c>
    </row>
    <row r="1969" customFormat="false" ht="15" hidden="false" customHeight="false" outlineLevel="0" collapsed="false">
      <c r="A1969" s="12"/>
      <c r="B1969" s="13"/>
      <c r="C1969" s="14"/>
      <c r="D1969" s="14"/>
      <c r="E1969" s="15"/>
      <c r="F1969" s="16" t="str">
        <f aca="false">IF(OR(C1969="",D1969="",E1969=""),"",C1969*D1969*E1969)</f>
        <v/>
      </c>
      <c r="G1969" s="17" t="str">
        <f aca="false">IF(OR(D1969="",E1969=""),"",E1969*(1+D1969/30))</f>
        <v/>
      </c>
      <c r="H1969" s="19" t="n">
        <f aca="false">IF(G1969="",0,G1969)</f>
        <v>0</v>
      </c>
      <c r="I1969" s="18" t="str">
        <f aca="false">IF(H1969&gt;0,IF(H1969&gt;=SUMPRODUCT(MAX(($B$5:$B$2004=B1969)*$H$5:$H$2004)),"Rekor",""),"")</f>
        <v/>
      </c>
      <c r="J1969" s="19" t="n">
        <f aca="false">IF(A1969="",0,IF(COUNTIF(A$5:A1969,A1969)=1,1,0))</f>
        <v>0</v>
      </c>
    </row>
    <row r="1970" customFormat="false" ht="15" hidden="false" customHeight="false" outlineLevel="0" collapsed="false">
      <c r="A1970" s="12"/>
      <c r="B1970" s="13"/>
      <c r="C1970" s="14"/>
      <c r="D1970" s="14"/>
      <c r="E1970" s="15"/>
      <c r="F1970" s="16" t="str">
        <f aca="false">IF(OR(C1970="",D1970="",E1970=""),"",C1970*D1970*E1970)</f>
        <v/>
      </c>
      <c r="G1970" s="17" t="str">
        <f aca="false">IF(OR(D1970="",E1970=""),"",E1970*(1+D1970/30))</f>
        <v/>
      </c>
      <c r="H1970" s="19" t="n">
        <f aca="false">IF(G1970="",0,G1970)</f>
        <v>0</v>
      </c>
      <c r="I1970" s="18" t="str">
        <f aca="false">IF(H1970&gt;0,IF(H1970&gt;=SUMPRODUCT(MAX(($B$5:$B$2004=B1970)*$H$5:$H$2004)),"Rekor",""),"")</f>
        <v/>
      </c>
      <c r="J1970" s="19" t="n">
        <f aca="false">IF(A1970="",0,IF(COUNTIF(A$5:A1970,A1970)=1,1,0))</f>
        <v>0</v>
      </c>
    </row>
    <row r="1971" customFormat="false" ht="15" hidden="false" customHeight="false" outlineLevel="0" collapsed="false">
      <c r="A1971" s="12"/>
      <c r="B1971" s="13"/>
      <c r="C1971" s="14"/>
      <c r="D1971" s="14"/>
      <c r="E1971" s="15"/>
      <c r="F1971" s="16" t="str">
        <f aca="false">IF(OR(C1971="",D1971="",E1971=""),"",C1971*D1971*E1971)</f>
        <v/>
      </c>
      <c r="G1971" s="17" t="str">
        <f aca="false">IF(OR(D1971="",E1971=""),"",E1971*(1+D1971/30))</f>
        <v/>
      </c>
      <c r="H1971" s="19" t="n">
        <f aca="false">IF(G1971="",0,G1971)</f>
        <v>0</v>
      </c>
      <c r="I1971" s="18" t="str">
        <f aca="false">IF(H1971&gt;0,IF(H1971&gt;=SUMPRODUCT(MAX(($B$5:$B$2004=B1971)*$H$5:$H$2004)),"Rekor",""),"")</f>
        <v/>
      </c>
      <c r="J1971" s="19" t="n">
        <f aca="false">IF(A1971="",0,IF(COUNTIF(A$5:A1971,A1971)=1,1,0))</f>
        <v>0</v>
      </c>
    </row>
    <row r="1972" customFormat="false" ht="15" hidden="false" customHeight="false" outlineLevel="0" collapsed="false">
      <c r="A1972" s="12"/>
      <c r="B1972" s="13"/>
      <c r="C1972" s="14"/>
      <c r="D1972" s="14"/>
      <c r="E1972" s="15"/>
      <c r="F1972" s="16" t="str">
        <f aca="false">IF(OR(C1972="",D1972="",E1972=""),"",C1972*D1972*E1972)</f>
        <v/>
      </c>
      <c r="G1972" s="17" t="str">
        <f aca="false">IF(OR(D1972="",E1972=""),"",E1972*(1+D1972/30))</f>
        <v/>
      </c>
      <c r="H1972" s="19" t="n">
        <f aca="false">IF(G1972="",0,G1972)</f>
        <v>0</v>
      </c>
      <c r="I1972" s="18" t="str">
        <f aca="false">IF(H1972&gt;0,IF(H1972&gt;=SUMPRODUCT(MAX(($B$5:$B$2004=B1972)*$H$5:$H$2004)),"Rekor",""),"")</f>
        <v/>
      </c>
      <c r="J1972" s="19" t="n">
        <f aca="false">IF(A1972="",0,IF(COUNTIF(A$5:A1972,A1972)=1,1,0))</f>
        <v>0</v>
      </c>
    </row>
    <row r="1973" customFormat="false" ht="15" hidden="false" customHeight="false" outlineLevel="0" collapsed="false">
      <c r="A1973" s="12"/>
      <c r="B1973" s="13"/>
      <c r="C1973" s="14"/>
      <c r="D1973" s="14"/>
      <c r="E1973" s="15"/>
      <c r="F1973" s="16" t="str">
        <f aca="false">IF(OR(C1973="",D1973="",E1973=""),"",C1973*D1973*E1973)</f>
        <v/>
      </c>
      <c r="G1973" s="17" t="str">
        <f aca="false">IF(OR(D1973="",E1973=""),"",E1973*(1+D1973/30))</f>
        <v/>
      </c>
      <c r="H1973" s="19" t="n">
        <f aca="false">IF(G1973="",0,G1973)</f>
        <v>0</v>
      </c>
      <c r="I1973" s="18" t="str">
        <f aca="false">IF(H1973&gt;0,IF(H1973&gt;=SUMPRODUCT(MAX(($B$5:$B$2004=B1973)*$H$5:$H$2004)),"Rekor",""),"")</f>
        <v/>
      </c>
      <c r="J1973" s="19" t="n">
        <f aca="false">IF(A1973="",0,IF(COUNTIF(A$5:A1973,A1973)=1,1,0))</f>
        <v>0</v>
      </c>
    </row>
    <row r="1974" customFormat="false" ht="15" hidden="false" customHeight="false" outlineLevel="0" collapsed="false">
      <c r="A1974" s="12"/>
      <c r="B1974" s="13"/>
      <c r="C1974" s="14"/>
      <c r="D1974" s="14"/>
      <c r="E1974" s="15"/>
      <c r="F1974" s="16" t="str">
        <f aca="false">IF(OR(C1974="",D1974="",E1974=""),"",C1974*D1974*E1974)</f>
        <v/>
      </c>
      <c r="G1974" s="17" t="str">
        <f aca="false">IF(OR(D1974="",E1974=""),"",E1974*(1+D1974/30))</f>
        <v/>
      </c>
      <c r="H1974" s="19" t="n">
        <f aca="false">IF(G1974="",0,G1974)</f>
        <v>0</v>
      </c>
      <c r="I1974" s="18" t="str">
        <f aca="false">IF(H1974&gt;0,IF(H1974&gt;=SUMPRODUCT(MAX(($B$5:$B$2004=B1974)*$H$5:$H$2004)),"Rekor",""),"")</f>
        <v/>
      </c>
      <c r="J1974" s="19" t="n">
        <f aca="false">IF(A1974="",0,IF(COUNTIF(A$5:A1974,A1974)=1,1,0))</f>
        <v>0</v>
      </c>
    </row>
    <row r="1975" customFormat="false" ht="15" hidden="false" customHeight="false" outlineLevel="0" collapsed="false">
      <c r="A1975" s="12"/>
      <c r="B1975" s="13"/>
      <c r="C1975" s="14"/>
      <c r="D1975" s="14"/>
      <c r="E1975" s="15"/>
      <c r="F1975" s="16" t="str">
        <f aca="false">IF(OR(C1975="",D1975="",E1975=""),"",C1975*D1975*E1975)</f>
        <v/>
      </c>
      <c r="G1975" s="17" t="str">
        <f aca="false">IF(OR(D1975="",E1975=""),"",E1975*(1+D1975/30))</f>
        <v/>
      </c>
      <c r="H1975" s="19" t="n">
        <f aca="false">IF(G1975="",0,G1975)</f>
        <v>0</v>
      </c>
      <c r="I1975" s="18" t="str">
        <f aca="false">IF(H1975&gt;0,IF(H1975&gt;=SUMPRODUCT(MAX(($B$5:$B$2004=B1975)*$H$5:$H$2004)),"Rekor",""),"")</f>
        <v/>
      </c>
      <c r="J1975" s="19" t="n">
        <f aca="false">IF(A1975="",0,IF(COUNTIF(A$5:A1975,A1975)=1,1,0))</f>
        <v>0</v>
      </c>
    </row>
    <row r="1976" customFormat="false" ht="15" hidden="false" customHeight="false" outlineLevel="0" collapsed="false">
      <c r="A1976" s="12"/>
      <c r="B1976" s="13"/>
      <c r="C1976" s="14"/>
      <c r="D1976" s="14"/>
      <c r="E1976" s="15"/>
      <c r="F1976" s="16" t="str">
        <f aca="false">IF(OR(C1976="",D1976="",E1976=""),"",C1976*D1976*E1976)</f>
        <v/>
      </c>
      <c r="G1976" s="17" t="str">
        <f aca="false">IF(OR(D1976="",E1976=""),"",E1976*(1+D1976/30))</f>
        <v/>
      </c>
      <c r="H1976" s="19" t="n">
        <f aca="false">IF(G1976="",0,G1976)</f>
        <v>0</v>
      </c>
      <c r="I1976" s="18" t="str">
        <f aca="false">IF(H1976&gt;0,IF(H1976&gt;=SUMPRODUCT(MAX(($B$5:$B$2004=B1976)*$H$5:$H$2004)),"Rekor",""),"")</f>
        <v/>
      </c>
      <c r="J1976" s="19" t="n">
        <f aca="false">IF(A1976="",0,IF(COUNTIF(A$5:A1976,A1976)=1,1,0))</f>
        <v>0</v>
      </c>
    </row>
    <row r="1977" customFormat="false" ht="15" hidden="false" customHeight="false" outlineLevel="0" collapsed="false">
      <c r="A1977" s="12"/>
      <c r="B1977" s="13"/>
      <c r="C1977" s="14"/>
      <c r="D1977" s="14"/>
      <c r="E1977" s="15"/>
      <c r="F1977" s="16" t="str">
        <f aca="false">IF(OR(C1977="",D1977="",E1977=""),"",C1977*D1977*E1977)</f>
        <v/>
      </c>
      <c r="G1977" s="17" t="str">
        <f aca="false">IF(OR(D1977="",E1977=""),"",E1977*(1+D1977/30))</f>
        <v/>
      </c>
      <c r="H1977" s="19" t="n">
        <f aca="false">IF(G1977="",0,G1977)</f>
        <v>0</v>
      </c>
      <c r="I1977" s="18" t="str">
        <f aca="false">IF(H1977&gt;0,IF(H1977&gt;=SUMPRODUCT(MAX(($B$5:$B$2004=B1977)*$H$5:$H$2004)),"Rekor",""),"")</f>
        <v/>
      </c>
      <c r="J1977" s="19" t="n">
        <f aca="false">IF(A1977="",0,IF(COUNTIF(A$5:A1977,A1977)=1,1,0))</f>
        <v>0</v>
      </c>
    </row>
    <row r="1978" customFormat="false" ht="15" hidden="false" customHeight="false" outlineLevel="0" collapsed="false">
      <c r="A1978" s="12"/>
      <c r="B1978" s="13"/>
      <c r="C1978" s="14"/>
      <c r="D1978" s="14"/>
      <c r="E1978" s="15"/>
      <c r="F1978" s="16" t="str">
        <f aca="false">IF(OR(C1978="",D1978="",E1978=""),"",C1978*D1978*E1978)</f>
        <v/>
      </c>
      <c r="G1978" s="17" t="str">
        <f aca="false">IF(OR(D1978="",E1978=""),"",E1978*(1+D1978/30))</f>
        <v/>
      </c>
      <c r="H1978" s="19" t="n">
        <f aca="false">IF(G1978="",0,G1978)</f>
        <v>0</v>
      </c>
      <c r="I1978" s="18" t="str">
        <f aca="false">IF(H1978&gt;0,IF(H1978&gt;=SUMPRODUCT(MAX(($B$5:$B$2004=B1978)*$H$5:$H$2004)),"Rekor",""),"")</f>
        <v/>
      </c>
      <c r="J1978" s="19" t="n">
        <f aca="false">IF(A1978="",0,IF(COUNTIF(A$5:A1978,A1978)=1,1,0))</f>
        <v>0</v>
      </c>
    </row>
    <row r="1979" customFormat="false" ht="15" hidden="false" customHeight="false" outlineLevel="0" collapsed="false">
      <c r="A1979" s="12"/>
      <c r="B1979" s="13"/>
      <c r="C1979" s="14"/>
      <c r="D1979" s="14"/>
      <c r="E1979" s="15"/>
      <c r="F1979" s="16" t="str">
        <f aca="false">IF(OR(C1979="",D1979="",E1979=""),"",C1979*D1979*E1979)</f>
        <v/>
      </c>
      <c r="G1979" s="17" t="str">
        <f aca="false">IF(OR(D1979="",E1979=""),"",E1979*(1+D1979/30))</f>
        <v/>
      </c>
      <c r="H1979" s="19" t="n">
        <f aca="false">IF(G1979="",0,G1979)</f>
        <v>0</v>
      </c>
      <c r="I1979" s="18" t="str">
        <f aca="false">IF(H1979&gt;0,IF(H1979&gt;=SUMPRODUCT(MAX(($B$5:$B$2004=B1979)*$H$5:$H$2004)),"Rekor",""),"")</f>
        <v/>
      </c>
      <c r="J1979" s="19" t="n">
        <f aca="false">IF(A1979="",0,IF(COUNTIF(A$5:A1979,A1979)=1,1,0))</f>
        <v>0</v>
      </c>
    </row>
    <row r="1980" customFormat="false" ht="15" hidden="false" customHeight="false" outlineLevel="0" collapsed="false">
      <c r="A1980" s="12"/>
      <c r="B1980" s="13"/>
      <c r="C1980" s="14"/>
      <c r="D1980" s="14"/>
      <c r="E1980" s="15"/>
      <c r="F1980" s="16" t="str">
        <f aca="false">IF(OR(C1980="",D1980="",E1980=""),"",C1980*D1980*E1980)</f>
        <v/>
      </c>
      <c r="G1980" s="17" t="str">
        <f aca="false">IF(OR(D1980="",E1980=""),"",E1980*(1+D1980/30))</f>
        <v/>
      </c>
      <c r="H1980" s="19" t="n">
        <f aca="false">IF(G1980="",0,G1980)</f>
        <v>0</v>
      </c>
      <c r="I1980" s="18" t="str">
        <f aca="false">IF(H1980&gt;0,IF(H1980&gt;=SUMPRODUCT(MAX(($B$5:$B$2004=B1980)*$H$5:$H$2004)),"Rekor",""),"")</f>
        <v/>
      </c>
      <c r="J1980" s="19" t="n">
        <f aca="false">IF(A1980="",0,IF(COUNTIF(A$5:A1980,A1980)=1,1,0))</f>
        <v>0</v>
      </c>
    </row>
    <row r="1981" customFormat="false" ht="15" hidden="false" customHeight="false" outlineLevel="0" collapsed="false">
      <c r="A1981" s="12"/>
      <c r="B1981" s="13"/>
      <c r="C1981" s="14"/>
      <c r="D1981" s="14"/>
      <c r="E1981" s="15"/>
      <c r="F1981" s="16" t="str">
        <f aca="false">IF(OR(C1981="",D1981="",E1981=""),"",C1981*D1981*E1981)</f>
        <v/>
      </c>
      <c r="G1981" s="17" t="str">
        <f aca="false">IF(OR(D1981="",E1981=""),"",E1981*(1+D1981/30))</f>
        <v/>
      </c>
      <c r="H1981" s="19" t="n">
        <f aca="false">IF(G1981="",0,G1981)</f>
        <v>0</v>
      </c>
      <c r="I1981" s="18" t="str">
        <f aca="false">IF(H1981&gt;0,IF(H1981&gt;=SUMPRODUCT(MAX(($B$5:$B$2004=B1981)*$H$5:$H$2004)),"Rekor",""),"")</f>
        <v/>
      </c>
      <c r="J1981" s="19" t="n">
        <f aca="false">IF(A1981="",0,IF(COUNTIF(A$5:A1981,A1981)=1,1,0))</f>
        <v>0</v>
      </c>
    </row>
    <row r="1982" customFormat="false" ht="15" hidden="false" customHeight="false" outlineLevel="0" collapsed="false">
      <c r="A1982" s="12"/>
      <c r="B1982" s="13"/>
      <c r="C1982" s="14"/>
      <c r="D1982" s="14"/>
      <c r="E1982" s="15"/>
      <c r="F1982" s="16" t="str">
        <f aca="false">IF(OR(C1982="",D1982="",E1982=""),"",C1982*D1982*E1982)</f>
        <v/>
      </c>
      <c r="G1982" s="17" t="str">
        <f aca="false">IF(OR(D1982="",E1982=""),"",E1982*(1+D1982/30))</f>
        <v/>
      </c>
      <c r="H1982" s="19" t="n">
        <f aca="false">IF(G1982="",0,G1982)</f>
        <v>0</v>
      </c>
      <c r="I1982" s="18" t="str">
        <f aca="false">IF(H1982&gt;0,IF(H1982&gt;=SUMPRODUCT(MAX(($B$5:$B$2004=B1982)*$H$5:$H$2004)),"Rekor",""),"")</f>
        <v/>
      </c>
      <c r="J1982" s="19" t="n">
        <f aca="false">IF(A1982="",0,IF(COUNTIF(A$5:A1982,A1982)=1,1,0))</f>
        <v>0</v>
      </c>
    </row>
    <row r="1983" customFormat="false" ht="15" hidden="false" customHeight="false" outlineLevel="0" collapsed="false">
      <c r="A1983" s="12"/>
      <c r="B1983" s="13"/>
      <c r="C1983" s="14"/>
      <c r="D1983" s="14"/>
      <c r="E1983" s="15"/>
      <c r="F1983" s="16" t="str">
        <f aca="false">IF(OR(C1983="",D1983="",E1983=""),"",C1983*D1983*E1983)</f>
        <v/>
      </c>
      <c r="G1983" s="17" t="str">
        <f aca="false">IF(OR(D1983="",E1983=""),"",E1983*(1+D1983/30))</f>
        <v/>
      </c>
      <c r="H1983" s="19" t="n">
        <f aca="false">IF(G1983="",0,G1983)</f>
        <v>0</v>
      </c>
      <c r="I1983" s="18" t="str">
        <f aca="false">IF(H1983&gt;0,IF(H1983&gt;=SUMPRODUCT(MAX(($B$5:$B$2004=B1983)*$H$5:$H$2004)),"Rekor",""),"")</f>
        <v/>
      </c>
      <c r="J1983" s="19" t="n">
        <f aca="false">IF(A1983="",0,IF(COUNTIF(A$5:A1983,A1983)=1,1,0))</f>
        <v>0</v>
      </c>
    </row>
    <row r="1984" customFormat="false" ht="15" hidden="false" customHeight="false" outlineLevel="0" collapsed="false">
      <c r="A1984" s="12"/>
      <c r="B1984" s="13"/>
      <c r="C1984" s="14"/>
      <c r="D1984" s="14"/>
      <c r="E1984" s="15"/>
      <c r="F1984" s="16" t="str">
        <f aca="false">IF(OR(C1984="",D1984="",E1984=""),"",C1984*D1984*E1984)</f>
        <v/>
      </c>
      <c r="G1984" s="17" t="str">
        <f aca="false">IF(OR(D1984="",E1984=""),"",E1984*(1+D1984/30))</f>
        <v/>
      </c>
      <c r="H1984" s="19" t="n">
        <f aca="false">IF(G1984="",0,G1984)</f>
        <v>0</v>
      </c>
      <c r="I1984" s="18" t="str">
        <f aca="false">IF(H1984&gt;0,IF(H1984&gt;=SUMPRODUCT(MAX(($B$5:$B$2004=B1984)*$H$5:$H$2004)),"Rekor",""),"")</f>
        <v/>
      </c>
      <c r="J1984" s="19" t="n">
        <f aca="false">IF(A1984="",0,IF(COUNTIF(A$5:A1984,A1984)=1,1,0))</f>
        <v>0</v>
      </c>
    </row>
    <row r="1985" customFormat="false" ht="15" hidden="false" customHeight="false" outlineLevel="0" collapsed="false">
      <c r="A1985" s="12"/>
      <c r="B1985" s="13"/>
      <c r="C1985" s="14"/>
      <c r="D1985" s="14"/>
      <c r="E1985" s="15"/>
      <c r="F1985" s="16" t="str">
        <f aca="false">IF(OR(C1985="",D1985="",E1985=""),"",C1985*D1985*E1985)</f>
        <v/>
      </c>
      <c r="G1985" s="17" t="str">
        <f aca="false">IF(OR(D1985="",E1985=""),"",E1985*(1+D1985/30))</f>
        <v/>
      </c>
      <c r="H1985" s="19" t="n">
        <f aca="false">IF(G1985="",0,G1985)</f>
        <v>0</v>
      </c>
      <c r="I1985" s="18" t="str">
        <f aca="false">IF(H1985&gt;0,IF(H1985&gt;=SUMPRODUCT(MAX(($B$5:$B$2004=B1985)*$H$5:$H$2004)),"Rekor",""),"")</f>
        <v/>
      </c>
      <c r="J1985" s="19" t="n">
        <f aca="false">IF(A1985="",0,IF(COUNTIF(A$5:A1985,A1985)=1,1,0))</f>
        <v>0</v>
      </c>
    </row>
    <row r="1986" customFormat="false" ht="15" hidden="false" customHeight="false" outlineLevel="0" collapsed="false">
      <c r="A1986" s="12"/>
      <c r="B1986" s="13"/>
      <c r="C1986" s="14"/>
      <c r="D1986" s="14"/>
      <c r="E1986" s="15"/>
      <c r="F1986" s="16" t="str">
        <f aca="false">IF(OR(C1986="",D1986="",E1986=""),"",C1986*D1986*E1986)</f>
        <v/>
      </c>
      <c r="G1986" s="17" t="str">
        <f aca="false">IF(OR(D1986="",E1986=""),"",E1986*(1+D1986/30))</f>
        <v/>
      </c>
      <c r="H1986" s="19" t="n">
        <f aca="false">IF(G1986="",0,G1986)</f>
        <v>0</v>
      </c>
      <c r="I1986" s="18" t="str">
        <f aca="false">IF(H1986&gt;0,IF(H1986&gt;=SUMPRODUCT(MAX(($B$5:$B$2004=B1986)*$H$5:$H$2004)),"Rekor",""),"")</f>
        <v/>
      </c>
      <c r="J1986" s="19" t="n">
        <f aca="false">IF(A1986="",0,IF(COUNTIF(A$5:A1986,A1986)=1,1,0))</f>
        <v>0</v>
      </c>
    </row>
    <row r="1987" customFormat="false" ht="15" hidden="false" customHeight="false" outlineLevel="0" collapsed="false">
      <c r="A1987" s="12"/>
      <c r="B1987" s="13"/>
      <c r="C1987" s="14"/>
      <c r="D1987" s="14"/>
      <c r="E1987" s="15"/>
      <c r="F1987" s="16" t="str">
        <f aca="false">IF(OR(C1987="",D1987="",E1987=""),"",C1987*D1987*E1987)</f>
        <v/>
      </c>
      <c r="G1987" s="17" t="str">
        <f aca="false">IF(OR(D1987="",E1987=""),"",E1987*(1+D1987/30))</f>
        <v/>
      </c>
      <c r="H1987" s="19" t="n">
        <f aca="false">IF(G1987="",0,G1987)</f>
        <v>0</v>
      </c>
      <c r="I1987" s="18" t="str">
        <f aca="false">IF(H1987&gt;0,IF(H1987&gt;=SUMPRODUCT(MAX(($B$5:$B$2004=B1987)*$H$5:$H$2004)),"Rekor",""),"")</f>
        <v/>
      </c>
      <c r="J1987" s="19" t="n">
        <f aca="false">IF(A1987="",0,IF(COUNTIF(A$5:A1987,A1987)=1,1,0))</f>
        <v>0</v>
      </c>
    </row>
    <row r="1988" customFormat="false" ht="15" hidden="false" customHeight="false" outlineLevel="0" collapsed="false">
      <c r="A1988" s="12"/>
      <c r="B1988" s="13"/>
      <c r="C1988" s="14"/>
      <c r="D1988" s="14"/>
      <c r="E1988" s="15"/>
      <c r="F1988" s="16" t="str">
        <f aca="false">IF(OR(C1988="",D1988="",E1988=""),"",C1988*D1988*E1988)</f>
        <v/>
      </c>
      <c r="G1988" s="17" t="str">
        <f aca="false">IF(OR(D1988="",E1988=""),"",E1988*(1+D1988/30))</f>
        <v/>
      </c>
      <c r="H1988" s="19" t="n">
        <f aca="false">IF(G1988="",0,G1988)</f>
        <v>0</v>
      </c>
      <c r="I1988" s="18" t="str">
        <f aca="false">IF(H1988&gt;0,IF(H1988&gt;=SUMPRODUCT(MAX(($B$5:$B$2004=B1988)*$H$5:$H$2004)),"Rekor",""),"")</f>
        <v/>
      </c>
      <c r="J1988" s="19" t="n">
        <f aca="false">IF(A1988="",0,IF(COUNTIF(A$5:A1988,A1988)=1,1,0))</f>
        <v>0</v>
      </c>
    </row>
    <row r="1989" customFormat="false" ht="15" hidden="false" customHeight="false" outlineLevel="0" collapsed="false">
      <c r="A1989" s="12"/>
      <c r="B1989" s="13"/>
      <c r="C1989" s="14"/>
      <c r="D1989" s="14"/>
      <c r="E1989" s="15"/>
      <c r="F1989" s="16" t="str">
        <f aca="false">IF(OR(C1989="",D1989="",E1989=""),"",C1989*D1989*E1989)</f>
        <v/>
      </c>
      <c r="G1989" s="17" t="str">
        <f aca="false">IF(OR(D1989="",E1989=""),"",E1989*(1+D1989/30))</f>
        <v/>
      </c>
      <c r="H1989" s="19" t="n">
        <f aca="false">IF(G1989="",0,G1989)</f>
        <v>0</v>
      </c>
      <c r="I1989" s="18" t="str">
        <f aca="false">IF(H1989&gt;0,IF(H1989&gt;=SUMPRODUCT(MAX(($B$5:$B$2004=B1989)*$H$5:$H$2004)),"Rekor",""),"")</f>
        <v/>
      </c>
      <c r="J1989" s="19" t="n">
        <f aca="false">IF(A1989="",0,IF(COUNTIF(A$5:A1989,A1989)=1,1,0))</f>
        <v>0</v>
      </c>
    </row>
    <row r="1990" customFormat="false" ht="15" hidden="false" customHeight="false" outlineLevel="0" collapsed="false">
      <c r="A1990" s="12"/>
      <c r="B1990" s="13"/>
      <c r="C1990" s="14"/>
      <c r="D1990" s="14"/>
      <c r="E1990" s="15"/>
      <c r="F1990" s="16" t="str">
        <f aca="false">IF(OR(C1990="",D1990="",E1990=""),"",C1990*D1990*E1990)</f>
        <v/>
      </c>
      <c r="G1990" s="17" t="str">
        <f aca="false">IF(OR(D1990="",E1990=""),"",E1990*(1+D1990/30))</f>
        <v/>
      </c>
      <c r="H1990" s="19" t="n">
        <f aca="false">IF(G1990="",0,G1990)</f>
        <v>0</v>
      </c>
      <c r="I1990" s="18" t="str">
        <f aca="false">IF(H1990&gt;0,IF(H1990&gt;=SUMPRODUCT(MAX(($B$5:$B$2004=B1990)*$H$5:$H$2004)),"Rekor",""),"")</f>
        <v/>
      </c>
      <c r="J1990" s="19" t="n">
        <f aca="false">IF(A1990="",0,IF(COUNTIF(A$5:A1990,A1990)=1,1,0))</f>
        <v>0</v>
      </c>
    </row>
    <row r="1991" customFormat="false" ht="15" hidden="false" customHeight="false" outlineLevel="0" collapsed="false">
      <c r="A1991" s="12"/>
      <c r="B1991" s="13"/>
      <c r="C1991" s="14"/>
      <c r="D1991" s="14"/>
      <c r="E1991" s="15"/>
      <c r="F1991" s="16" t="str">
        <f aca="false">IF(OR(C1991="",D1991="",E1991=""),"",C1991*D1991*E1991)</f>
        <v/>
      </c>
      <c r="G1991" s="17" t="str">
        <f aca="false">IF(OR(D1991="",E1991=""),"",E1991*(1+D1991/30))</f>
        <v/>
      </c>
      <c r="H1991" s="19" t="n">
        <f aca="false">IF(G1991="",0,G1991)</f>
        <v>0</v>
      </c>
      <c r="I1991" s="18" t="str">
        <f aca="false">IF(H1991&gt;0,IF(H1991&gt;=SUMPRODUCT(MAX(($B$5:$B$2004=B1991)*$H$5:$H$2004)),"Rekor",""),"")</f>
        <v/>
      </c>
      <c r="J1991" s="19" t="n">
        <f aca="false">IF(A1991="",0,IF(COUNTIF(A$5:A1991,A1991)=1,1,0))</f>
        <v>0</v>
      </c>
    </row>
    <row r="1992" customFormat="false" ht="15" hidden="false" customHeight="false" outlineLevel="0" collapsed="false">
      <c r="A1992" s="12"/>
      <c r="B1992" s="13"/>
      <c r="C1992" s="14"/>
      <c r="D1992" s="14"/>
      <c r="E1992" s="15"/>
      <c r="F1992" s="16" t="str">
        <f aca="false">IF(OR(C1992="",D1992="",E1992=""),"",C1992*D1992*E1992)</f>
        <v/>
      </c>
      <c r="G1992" s="17" t="str">
        <f aca="false">IF(OR(D1992="",E1992=""),"",E1992*(1+D1992/30))</f>
        <v/>
      </c>
      <c r="H1992" s="19" t="n">
        <f aca="false">IF(G1992="",0,G1992)</f>
        <v>0</v>
      </c>
      <c r="I1992" s="18" t="str">
        <f aca="false">IF(H1992&gt;0,IF(H1992&gt;=SUMPRODUCT(MAX(($B$5:$B$2004=B1992)*$H$5:$H$2004)),"Rekor",""),"")</f>
        <v/>
      </c>
      <c r="J1992" s="19" t="n">
        <f aca="false">IF(A1992="",0,IF(COUNTIF(A$5:A1992,A1992)=1,1,0))</f>
        <v>0</v>
      </c>
    </row>
    <row r="1993" customFormat="false" ht="15" hidden="false" customHeight="false" outlineLevel="0" collapsed="false">
      <c r="A1993" s="12"/>
      <c r="B1993" s="13"/>
      <c r="C1993" s="14"/>
      <c r="D1993" s="14"/>
      <c r="E1993" s="15"/>
      <c r="F1993" s="16" t="str">
        <f aca="false">IF(OR(C1993="",D1993="",E1993=""),"",C1993*D1993*E1993)</f>
        <v/>
      </c>
      <c r="G1993" s="17" t="str">
        <f aca="false">IF(OR(D1993="",E1993=""),"",E1993*(1+D1993/30))</f>
        <v/>
      </c>
      <c r="H1993" s="19" t="n">
        <f aca="false">IF(G1993="",0,G1993)</f>
        <v>0</v>
      </c>
      <c r="I1993" s="18" t="str">
        <f aca="false">IF(H1993&gt;0,IF(H1993&gt;=SUMPRODUCT(MAX(($B$5:$B$2004=B1993)*$H$5:$H$2004)),"Rekor",""),"")</f>
        <v/>
      </c>
      <c r="J1993" s="19" t="n">
        <f aca="false">IF(A1993="",0,IF(COUNTIF(A$5:A1993,A1993)=1,1,0))</f>
        <v>0</v>
      </c>
    </row>
    <row r="1994" customFormat="false" ht="15" hidden="false" customHeight="false" outlineLevel="0" collapsed="false">
      <c r="A1994" s="12"/>
      <c r="B1994" s="13"/>
      <c r="C1994" s="14"/>
      <c r="D1994" s="14"/>
      <c r="E1994" s="15"/>
      <c r="F1994" s="16" t="str">
        <f aca="false">IF(OR(C1994="",D1994="",E1994=""),"",C1994*D1994*E1994)</f>
        <v/>
      </c>
      <c r="G1994" s="17" t="str">
        <f aca="false">IF(OR(D1994="",E1994=""),"",E1994*(1+D1994/30))</f>
        <v/>
      </c>
      <c r="H1994" s="19" t="n">
        <f aca="false">IF(G1994="",0,G1994)</f>
        <v>0</v>
      </c>
      <c r="I1994" s="18" t="str">
        <f aca="false">IF(H1994&gt;0,IF(H1994&gt;=SUMPRODUCT(MAX(($B$5:$B$2004=B1994)*$H$5:$H$2004)),"Rekor",""),"")</f>
        <v/>
      </c>
      <c r="J1994" s="19" t="n">
        <f aca="false">IF(A1994="",0,IF(COUNTIF(A$5:A1994,A1994)=1,1,0))</f>
        <v>0</v>
      </c>
    </row>
    <row r="1995" customFormat="false" ht="15" hidden="false" customHeight="false" outlineLevel="0" collapsed="false">
      <c r="A1995" s="12"/>
      <c r="B1995" s="13"/>
      <c r="C1995" s="14"/>
      <c r="D1995" s="14"/>
      <c r="E1995" s="15"/>
      <c r="F1995" s="16" t="str">
        <f aca="false">IF(OR(C1995="",D1995="",E1995=""),"",C1995*D1995*E1995)</f>
        <v/>
      </c>
      <c r="G1995" s="17" t="str">
        <f aca="false">IF(OR(D1995="",E1995=""),"",E1995*(1+D1995/30))</f>
        <v/>
      </c>
      <c r="H1995" s="19" t="n">
        <f aca="false">IF(G1995="",0,G1995)</f>
        <v>0</v>
      </c>
      <c r="I1995" s="18" t="str">
        <f aca="false">IF(H1995&gt;0,IF(H1995&gt;=SUMPRODUCT(MAX(($B$5:$B$2004=B1995)*$H$5:$H$2004)),"Rekor",""),"")</f>
        <v/>
      </c>
      <c r="J1995" s="19" t="n">
        <f aca="false">IF(A1995="",0,IF(COUNTIF(A$5:A1995,A1995)=1,1,0))</f>
        <v>0</v>
      </c>
    </row>
    <row r="1996" customFormat="false" ht="15" hidden="false" customHeight="false" outlineLevel="0" collapsed="false">
      <c r="A1996" s="12"/>
      <c r="B1996" s="13"/>
      <c r="C1996" s="14"/>
      <c r="D1996" s="14"/>
      <c r="E1996" s="15"/>
      <c r="F1996" s="16" t="str">
        <f aca="false">IF(OR(C1996="",D1996="",E1996=""),"",C1996*D1996*E1996)</f>
        <v/>
      </c>
      <c r="G1996" s="17" t="str">
        <f aca="false">IF(OR(D1996="",E1996=""),"",E1996*(1+D1996/30))</f>
        <v/>
      </c>
      <c r="H1996" s="19" t="n">
        <f aca="false">IF(G1996="",0,G1996)</f>
        <v>0</v>
      </c>
      <c r="I1996" s="18" t="str">
        <f aca="false">IF(H1996&gt;0,IF(H1996&gt;=SUMPRODUCT(MAX(($B$5:$B$2004=B1996)*$H$5:$H$2004)),"Rekor",""),"")</f>
        <v/>
      </c>
      <c r="J1996" s="19" t="n">
        <f aca="false">IF(A1996="",0,IF(COUNTIF(A$5:A1996,A1996)=1,1,0))</f>
        <v>0</v>
      </c>
    </row>
    <row r="1997" customFormat="false" ht="15" hidden="false" customHeight="false" outlineLevel="0" collapsed="false">
      <c r="A1997" s="12"/>
      <c r="B1997" s="13"/>
      <c r="C1997" s="14"/>
      <c r="D1997" s="14"/>
      <c r="E1997" s="15"/>
      <c r="F1997" s="16" t="str">
        <f aca="false">IF(OR(C1997="",D1997="",E1997=""),"",C1997*D1997*E1997)</f>
        <v/>
      </c>
      <c r="G1997" s="17" t="str">
        <f aca="false">IF(OR(D1997="",E1997=""),"",E1997*(1+D1997/30))</f>
        <v/>
      </c>
      <c r="H1997" s="19" t="n">
        <f aca="false">IF(G1997="",0,G1997)</f>
        <v>0</v>
      </c>
      <c r="I1997" s="18" t="str">
        <f aca="false">IF(H1997&gt;0,IF(H1997&gt;=SUMPRODUCT(MAX(($B$5:$B$2004=B1997)*$H$5:$H$2004)),"Rekor",""),"")</f>
        <v/>
      </c>
      <c r="J1997" s="19" t="n">
        <f aca="false">IF(A1997="",0,IF(COUNTIF(A$5:A1997,A1997)=1,1,0))</f>
        <v>0</v>
      </c>
    </row>
    <row r="1998" customFormat="false" ht="15" hidden="false" customHeight="false" outlineLevel="0" collapsed="false">
      <c r="A1998" s="12"/>
      <c r="B1998" s="13"/>
      <c r="C1998" s="14"/>
      <c r="D1998" s="14"/>
      <c r="E1998" s="15"/>
      <c r="F1998" s="16" t="str">
        <f aca="false">IF(OR(C1998="",D1998="",E1998=""),"",C1998*D1998*E1998)</f>
        <v/>
      </c>
      <c r="G1998" s="17" t="str">
        <f aca="false">IF(OR(D1998="",E1998=""),"",E1998*(1+D1998/30))</f>
        <v/>
      </c>
      <c r="H1998" s="19" t="n">
        <f aca="false">IF(G1998="",0,G1998)</f>
        <v>0</v>
      </c>
      <c r="I1998" s="18" t="str">
        <f aca="false">IF(H1998&gt;0,IF(H1998&gt;=SUMPRODUCT(MAX(($B$5:$B$2004=B1998)*$H$5:$H$2004)),"Rekor",""),"")</f>
        <v/>
      </c>
      <c r="J1998" s="19" t="n">
        <f aca="false">IF(A1998="",0,IF(COUNTIF(A$5:A1998,A1998)=1,1,0))</f>
        <v>0</v>
      </c>
    </row>
    <row r="1999" customFormat="false" ht="15" hidden="false" customHeight="false" outlineLevel="0" collapsed="false">
      <c r="A1999" s="12"/>
      <c r="B1999" s="13"/>
      <c r="C1999" s="14"/>
      <c r="D1999" s="14"/>
      <c r="E1999" s="15"/>
      <c r="F1999" s="16" t="str">
        <f aca="false">IF(OR(C1999="",D1999="",E1999=""),"",C1999*D1999*E1999)</f>
        <v/>
      </c>
      <c r="G1999" s="17" t="str">
        <f aca="false">IF(OR(D1999="",E1999=""),"",E1999*(1+D1999/30))</f>
        <v/>
      </c>
      <c r="H1999" s="19" t="n">
        <f aca="false">IF(G1999="",0,G1999)</f>
        <v>0</v>
      </c>
      <c r="I1999" s="18" t="str">
        <f aca="false">IF(H1999&gt;0,IF(H1999&gt;=SUMPRODUCT(MAX(($B$5:$B$2004=B1999)*$H$5:$H$2004)),"Rekor",""),"")</f>
        <v/>
      </c>
      <c r="J1999" s="19" t="n">
        <f aca="false">IF(A1999="",0,IF(COUNTIF(A$5:A1999,A1999)=1,1,0))</f>
        <v>0</v>
      </c>
    </row>
    <row r="2000" customFormat="false" ht="15" hidden="false" customHeight="false" outlineLevel="0" collapsed="false">
      <c r="A2000" s="12"/>
      <c r="B2000" s="13"/>
      <c r="C2000" s="14"/>
      <c r="D2000" s="14"/>
      <c r="E2000" s="15"/>
      <c r="F2000" s="16" t="str">
        <f aca="false">IF(OR(C2000="",D2000="",E2000=""),"",C2000*D2000*E2000)</f>
        <v/>
      </c>
      <c r="G2000" s="17" t="str">
        <f aca="false">IF(OR(D2000="",E2000=""),"",E2000*(1+D2000/30))</f>
        <v/>
      </c>
      <c r="H2000" s="19" t="n">
        <f aca="false">IF(G2000="",0,G2000)</f>
        <v>0</v>
      </c>
      <c r="I2000" s="18" t="str">
        <f aca="false">IF(H2000&gt;0,IF(H2000&gt;=SUMPRODUCT(MAX(($B$5:$B$2004=B2000)*$H$5:$H$2004)),"Rekor",""),"")</f>
        <v/>
      </c>
      <c r="J2000" s="19" t="n">
        <f aca="false">IF(A2000="",0,IF(COUNTIF(A$5:A2000,A2000)=1,1,0))</f>
        <v>0</v>
      </c>
    </row>
    <row r="2001" customFormat="false" ht="15" hidden="false" customHeight="false" outlineLevel="0" collapsed="false">
      <c r="A2001" s="12"/>
      <c r="B2001" s="13"/>
      <c r="C2001" s="14"/>
      <c r="D2001" s="14"/>
      <c r="E2001" s="15"/>
      <c r="F2001" s="16" t="str">
        <f aca="false">IF(OR(C2001="",D2001="",E2001=""),"",C2001*D2001*E2001)</f>
        <v/>
      </c>
      <c r="G2001" s="17" t="str">
        <f aca="false">IF(OR(D2001="",E2001=""),"",E2001*(1+D2001/30))</f>
        <v/>
      </c>
      <c r="H2001" s="19" t="n">
        <f aca="false">IF(G2001="",0,G2001)</f>
        <v>0</v>
      </c>
      <c r="I2001" s="18" t="str">
        <f aca="false">IF(H2001&gt;0,IF(H2001&gt;=SUMPRODUCT(MAX(($B$5:$B$2004=B2001)*$H$5:$H$2004)),"Rekor",""),"")</f>
        <v/>
      </c>
      <c r="J2001" s="19" t="n">
        <f aca="false">IF(A2001="",0,IF(COUNTIF(A$5:A2001,A2001)=1,1,0))</f>
        <v>0</v>
      </c>
    </row>
    <row r="2002" customFormat="false" ht="15" hidden="false" customHeight="false" outlineLevel="0" collapsed="false">
      <c r="A2002" s="12"/>
      <c r="B2002" s="13"/>
      <c r="C2002" s="14"/>
      <c r="D2002" s="14"/>
      <c r="E2002" s="15"/>
      <c r="F2002" s="16" t="str">
        <f aca="false">IF(OR(C2002="",D2002="",E2002=""),"",C2002*D2002*E2002)</f>
        <v/>
      </c>
      <c r="G2002" s="17" t="str">
        <f aca="false">IF(OR(D2002="",E2002=""),"",E2002*(1+D2002/30))</f>
        <v/>
      </c>
      <c r="H2002" s="19" t="n">
        <f aca="false">IF(G2002="",0,G2002)</f>
        <v>0</v>
      </c>
      <c r="I2002" s="18" t="str">
        <f aca="false">IF(H2002&gt;0,IF(H2002&gt;=SUMPRODUCT(MAX(($B$5:$B$2004=B2002)*$H$5:$H$2004)),"Rekor",""),"")</f>
        <v/>
      </c>
      <c r="J2002" s="19" t="n">
        <f aca="false">IF(A2002="",0,IF(COUNTIF(A$5:A2002,A2002)=1,1,0))</f>
        <v>0</v>
      </c>
    </row>
    <row r="2003" customFormat="false" ht="15" hidden="false" customHeight="false" outlineLevel="0" collapsed="false">
      <c r="A2003" s="12"/>
      <c r="B2003" s="13"/>
      <c r="C2003" s="14"/>
      <c r="D2003" s="14"/>
      <c r="E2003" s="15"/>
      <c r="F2003" s="16" t="str">
        <f aca="false">IF(OR(C2003="",D2003="",E2003=""),"",C2003*D2003*E2003)</f>
        <v/>
      </c>
      <c r="G2003" s="17" t="str">
        <f aca="false">IF(OR(D2003="",E2003=""),"",E2003*(1+D2003/30))</f>
        <v/>
      </c>
      <c r="H2003" s="19" t="n">
        <f aca="false">IF(G2003="",0,G2003)</f>
        <v>0</v>
      </c>
      <c r="I2003" s="18" t="str">
        <f aca="false">IF(H2003&gt;0,IF(H2003&gt;=SUMPRODUCT(MAX(($B$5:$B$2004=B2003)*$H$5:$H$2004)),"Rekor",""),"")</f>
        <v/>
      </c>
      <c r="J2003" s="19" t="n">
        <f aca="false">IF(A2003="",0,IF(COUNTIF(A$5:A2003,A2003)=1,1,0))</f>
        <v>0</v>
      </c>
    </row>
    <row r="2004" customFormat="false" ht="15" hidden="false" customHeight="false" outlineLevel="0" collapsed="false">
      <c r="A2004" s="12"/>
      <c r="B2004" s="13"/>
      <c r="C2004" s="14"/>
      <c r="D2004" s="14"/>
      <c r="E2004" s="15"/>
      <c r="F2004" s="16" t="str">
        <f aca="false">IF(OR(C2004="",D2004="",E2004=""),"",C2004*D2004*E2004)</f>
        <v/>
      </c>
      <c r="G2004" s="17" t="str">
        <f aca="false">IF(OR(D2004="",E2004=""),"",E2004*(1+D2004/30))</f>
        <v/>
      </c>
      <c r="H2004" s="19" t="n">
        <f aca="false">IF(G2004="",0,G2004)</f>
        <v>0</v>
      </c>
      <c r="I2004" s="18" t="str">
        <f aca="false">IF(H2004&gt;0,IF(H2004&gt;=SUMPRODUCT(MAX(($B$5:$B$2004=B2004)*$H$5:$H$2004)),"Rekor",""),"")</f>
        <v/>
      </c>
      <c r="J2004" s="19" t="n">
        <f aca="false">IF(A2004="",0,IF(COUNTIF(A$5:A2004,A2004)=1,1,0))</f>
        <v>0</v>
      </c>
    </row>
  </sheetData>
  <conditionalFormatting sqref="I5:I2004">
    <cfRule type="cellIs" priority="2" operator="equal" aboveAverage="0" equalAverage="0" bottom="0" percent="0" rank="0" text="" dxfId="0">
      <formula>"Rekor"</formula>
    </cfRule>
  </conditionalFormatting>
  <dataValidations count="3">
    <dataValidation allowBlank="true" error="Geçerli bir tarih gir (örnek: 05.10.2026)." errorStyle="stop" errorTitle="Kontrol" operator="greaterThan" showDropDown="false" showErrorMessage="true" showInputMessage="false" sqref="A5:A2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20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E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38</v>
      </c>
    </row>
    <row r="2" customFormat="false" ht="15" hidden="false" customHeight="false" outlineLevel="0" collapsed="false">
      <c r="A2" s="9" t="s">
        <v>39</v>
      </c>
    </row>
    <row r="3" customFormat="false" ht="15" hidden="false" customHeight="false" outlineLevel="0" collapsed="false">
      <c r="B3" s="20" t="s">
        <v>40</v>
      </c>
      <c r="C3" s="21" t="n">
        <v>2026</v>
      </c>
    </row>
    <row r="5" customFormat="false" ht="30" hidden="false" customHeight="true" outlineLevel="0" collapsed="false">
      <c r="B5" s="22" t="s">
        <v>41</v>
      </c>
      <c r="C5" s="22" t="s">
        <v>42</v>
      </c>
      <c r="D5" s="22" t="s">
        <v>43</v>
      </c>
    </row>
    <row r="6" customFormat="false" ht="27.75" hidden="false" customHeight="true" outlineLevel="0" collapsed="false">
      <c r="B6" s="23" t="n">
        <f aca="false">C23</f>
        <v>4</v>
      </c>
      <c r="C6" s="23" t="n">
        <f aca="false">D23</f>
        <v>6902.5</v>
      </c>
      <c r="D6" s="23" t="n">
        <f aca="false">COUNTIF(Günlük!$I$5:$I$2004,"Rekor")</f>
        <v>3</v>
      </c>
    </row>
    <row r="9" customFormat="false" ht="15" hidden="false" customHeight="false" outlineLevel="0" collapsed="false">
      <c r="B9" s="24" t="s">
        <v>44</v>
      </c>
      <c r="I9" s="24" t="s">
        <v>45</v>
      </c>
    </row>
    <row r="10" customFormat="false" ht="21.75" hidden="false" customHeight="true" outlineLevel="0" collapsed="false">
      <c r="B10" s="10" t="s">
        <v>46</v>
      </c>
      <c r="C10" s="10" t="s">
        <v>47</v>
      </c>
      <c r="D10" s="10" t="s">
        <v>42</v>
      </c>
      <c r="I10" s="10" t="s">
        <v>27</v>
      </c>
      <c r="J10" s="10" t="s">
        <v>48</v>
      </c>
      <c r="K10" s="10" t="s">
        <v>49</v>
      </c>
      <c r="L10" s="10" t="s">
        <v>42</v>
      </c>
    </row>
    <row r="11" customFormat="false" ht="15" hidden="false" customHeight="false" outlineLevel="0" collapsed="false">
      <c r="B11" s="25" t="s">
        <v>50</v>
      </c>
      <c r="C11" s="26" t="n">
        <f aca="false">SUMIFS(Günlük!$J$5:$J$2004,Günlük!$A$5:$A$2004,"&gt;="&amp;DATE($C$3,1,1),Günlük!$A$5:$A$2004,"&lt;"&amp;DATE($C$3,2,1))</f>
        <v>0</v>
      </c>
      <c r="D11" s="26" t="n">
        <f aca="false">SUMIFS(Günlük!$F$5:$F$2004,Günlük!$A$5:$A$2004,"&gt;="&amp;DATE($C$3,1,1),Günlük!$A$5:$A$2004,"&lt;"&amp;DATE($C$3,2,1))</f>
        <v>0</v>
      </c>
      <c r="I11" s="25" t="str">
        <f aca="false">IF(Listeler!A5="","",Listeler!A5)</f>
        <v>Squat</v>
      </c>
      <c r="J11" s="27" t="n">
        <f aca="false">IF(I11="","",SUMPRODUCT(MAX((Günlük!$B$5:$B$2004=I11)*Günlük!$E$5:$E$2004)))</f>
        <v>87.5</v>
      </c>
      <c r="K11" s="27" t="n">
        <f aca="false">IF(I11="","",SUMPRODUCT(MAX((Günlük!$B$5:$B$2004=I11)*Günlük!$H$5:$H$2004)))</f>
        <v>99.1666666666667</v>
      </c>
      <c r="L11" s="26" t="n">
        <f aca="false">IF(I11="","",SUMIFS(Günlük!$F$5:$F$2004,Günlük!$B$5:$B$2004,I11))</f>
        <v>3787.5</v>
      </c>
    </row>
    <row r="12" customFormat="false" ht="15" hidden="false" customHeight="false" outlineLevel="0" collapsed="false">
      <c r="B12" s="28" t="s">
        <v>51</v>
      </c>
      <c r="C12" s="29" t="n">
        <f aca="false">SUMIFS(Günlük!$J$5:$J$2004,Günlük!$A$5:$A$2004,"&gt;="&amp;DATE($C$3,2,1),Günlük!$A$5:$A$2004,"&lt;"&amp;DATE($C$3,3,1))</f>
        <v>0</v>
      </c>
      <c r="D12" s="29" t="n">
        <f aca="false">SUMIFS(Günlük!$F$5:$F$2004,Günlük!$A$5:$A$2004,"&gt;="&amp;DATE($C$3,2,1),Günlük!$A$5:$A$2004,"&lt;"&amp;DATE($C$3,3,1))</f>
        <v>0</v>
      </c>
      <c r="I12" s="28" t="str">
        <f aca="false">IF(Listeler!A6="","",Listeler!A6)</f>
        <v>Bench press</v>
      </c>
      <c r="J12" s="30" t="n">
        <f aca="false">IF(I12="","",SUMPRODUCT(MAX((Günlük!$B$5:$B$2004=I12)*Günlük!$E$5:$E$2004)))</f>
        <v>62.5</v>
      </c>
      <c r="K12" s="30" t="n">
        <f aca="false">IF(I12="","",SUMPRODUCT(MAX((Günlük!$B$5:$B$2004=I12)*Günlük!$H$5:$H$2004)))</f>
        <v>76</v>
      </c>
      <c r="L12" s="29" t="n">
        <f aca="false">IF(I12="","",SUMIFS(Günlük!$F$5:$F$2004,Günlük!$B$5:$B$2004,I12))</f>
        <v>2565</v>
      </c>
    </row>
    <row r="13" customFormat="false" ht="15" hidden="false" customHeight="false" outlineLevel="0" collapsed="false">
      <c r="B13" s="25" t="s">
        <v>52</v>
      </c>
      <c r="C13" s="26" t="n">
        <f aca="false">SUMIFS(Günlük!$J$5:$J$2004,Günlük!$A$5:$A$2004,"&gt;="&amp;DATE($C$3,3,1),Günlük!$A$5:$A$2004,"&lt;"&amp;DATE($C$3,4,1))</f>
        <v>0</v>
      </c>
      <c r="D13" s="26" t="n">
        <f aca="false">SUMIFS(Günlük!$F$5:$F$2004,Günlük!$A$5:$A$2004,"&gt;="&amp;DATE($C$3,3,1),Günlük!$A$5:$A$2004,"&lt;"&amp;DATE($C$3,4,1))</f>
        <v>0</v>
      </c>
      <c r="I13" s="25" t="str">
        <f aca="false">IF(Listeler!A7="","",Listeler!A7)</f>
        <v>Deadlift</v>
      </c>
      <c r="J13" s="27" t="n">
        <f aca="false">IF(I13="","",SUMPRODUCT(MAX((Günlük!$B$5:$B$2004=I13)*Günlük!$E$5:$E$2004)))</f>
        <v>110</v>
      </c>
      <c r="K13" s="27" t="n">
        <f aca="false">IF(I13="","",SUMPRODUCT(MAX((Günlük!$B$5:$B$2004=I13)*Günlük!$H$5:$H$2004)))</f>
        <v>128.333333333333</v>
      </c>
      <c r="L13" s="26" t="n">
        <f aca="false">IF(I13="","",SUMIFS(Günlük!$F$5:$F$2004,Günlük!$B$5:$B$2004,I13))</f>
        <v>550</v>
      </c>
    </row>
    <row r="14" customFormat="false" ht="15" hidden="false" customHeight="false" outlineLevel="0" collapsed="false">
      <c r="B14" s="28" t="s">
        <v>53</v>
      </c>
      <c r="C14" s="29" t="n">
        <f aca="false">SUMIFS(Günlük!$J$5:$J$2004,Günlük!$A$5:$A$2004,"&gt;="&amp;DATE($C$3,4,1),Günlük!$A$5:$A$2004,"&lt;"&amp;DATE($C$3,5,1))</f>
        <v>0</v>
      </c>
      <c r="D14" s="29" t="n">
        <f aca="false">SUMIFS(Günlük!$F$5:$F$2004,Günlük!$A$5:$A$2004,"&gt;="&amp;DATE($C$3,4,1),Günlük!$A$5:$A$2004,"&lt;"&amp;DATE($C$3,5,1))</f>
        <v>0</v>
      </c>
      <c r="I14" s="28" t="str">
        <f aca="false">IF(Listeler!A8="","",Listeler!A8)</f>
        <v>Barfiks</v>
      </c>
      <c r="J14" s="30" t="n">
        <f aca="false">IF(I14="","",SUMPRODUCT(MAX((Günlük!$B$5:$B$2004=I14)*Günlük!$E$5:$E$2004)))</f>
        <v>0</v>
      </c>
      <c r="K14" s="30" t="n">
        <f aca="false">IF(I14="","",SUMPRODUCT(MAX((Günlük!$B$5:$B$2004=I14)*Günlük!$H$5:$H$2004)))</f>
        <v>0</v>
      </c>
      <c r="L14" s="29" t="n">
        <f aca="false">IF(I14="","",SUMIFS(Günlük!$F$5:$F$2004,Günlük!$B$5:$B$2004,I14))</f>
        <v>0</v>
      </c>
    </row>
    <row r="15" customFormat="false" ht="15" hidden="false" customHeight="false" outlineLevel="0" collapsed="false">
      <c r="B15" s="25" t="s">
        <v>54</v>
      </c>
      <c r="C15" s="26" t="n">
        <f aca="false">SUMIFS(Günlük!$J$5:$J$2004,Günlük!$A$5:$A$2004,"&gt;="&amp;DATE($C$3,5,1),Günlük!$A$5:$A$2004,"&lt;"&amp;DATE($C$3,6,1))</f>
        <v>0</v>
      </c>
      <c r="D15" s="26" t="n">
        <f aca="false">SUMIFS(Günlük!$F$5:$F$2004,Günlük!$A$5:$A$2004,"&gt;="&amp;DATE($C$3,5,1),Günlük!$A$5:$A$2004,"&lt;"&amp;DATE($C$3,6,1))</f>
        <v>0</v>
      </c>
      <c r="I15" s="25" t="str">
        <f aca="false">IF(Listeler!A9="","",Listeler!A9)</f>
        <v>Omuz press</v>
      </c>
      <c r="J15" s="27" t="n">
        <f aca="false">IF(I15="","",SUMPRODUCT(MAX((Günlük!$B$5:$B$2004=I15)*Günlük!$E$5:$E$2004)))</f>
        <v>0</v>
      </c>
      <c r="K15" s="27" t="n">
        <f aca="false">IF(I15="","",SUMPRODUCT(MAX((Günlük!$B$5:$B$2004=I15)*Günlük!$H$5:$H$2004)))</f>
        <v>0</v>
      </c>
      <c r="L15" s="26" t="n">
        <f aca="false">IF(I15="","",SUMIFS(Günlük!$F$5:$F$2004,Günlük!$B$5:$B$2004,I15))</f>
        <v>0</v>
      </c>
    </row>
    <row r="16" customFormat="false" ht="15" hidden="false" customHeight="false" outlineLevel="0" collapsed="false">
      <c r="B16" s="28" t="s">
        <v>55</v>
      </c>
      <c r="C16" s="29" t="n">
        <f aca="false">SUMIFS(Günlük!$J$5:$J$2004,Günlük!$A$5:$A$2004,"&gt;="&amp;DATE($C$3,6,1),Günlük!$A$5:$A$2004,"&lt;"&amp;DATE($C$3,7,1))</f>
        <v>0</v>
      </c>
      <c r="D16" s="29" t="n">
        <f aca="false">SUMIFS(Günlük!$F$5:$F$2004,Günlük!$A$5:$A$2004,"&gt;="&amp;DATE($C$3,6,1),Günlük!$A$5:$A$2004,"&lt;"&amp;DATE($C$3,7,1))</f>
        <v>0</v>
      </c>
      <c r="I16" s="28" t="str">
        <f aca="false">IF(Listeler!A10="","",Listeler!A10)</f>
        <v>Koşu (km)</v>
      </c>
      <c r="J16" s="30" t="n">
        <f aca="false">IF(I16="","",SUMPRODUCT(MAX((Günlük!$B$5:$B$2004=I16)*Günlük!$E$5:$E$2004)))</f>
        <v>0</v>
      </c>
      <c r="K16" s="30" t="n">
        <f aca="false">IF(I16="","",SUMPRODUCT(MAX((Günlük!$B$5:$B$2004=I16)*Günlük!$H$5:$H$2004)))</f>
        <v>0</v>
      </c>
      <c r="L16" s="29" t="n">
        <f aca="false">IF(I16="","",SUMIFS(Günlük!$F$5:$F$2004,Günlük!$B$5:$B$2004,I16))</f>
        <v>0</v>
      </c>
    </row>
    <row r="17" customFormat="false" ht="15" hidden="false" customHeight="false" outlineLevel="0" collapsed="false">
      <c r="B17" s="25" t="s">
        <v>56</v>
      </c>
      <c r="C17" s="26" t="n">
        <f aca="false">SUMIFS(Günlük!$J$5:$J$2004,Günlük!$A$5:$A$2004,"&gt;="&amp;DATE($C$3,7,1),Günlük!$A$5:$A$2004,"&lt;"&amp;DATE($C$3,8,1))</f>
        <v>0</v>
      </c>
      <c r="D17" s="26" t="n">
        <f aca="false">SUMIFS(Günlük!$F$5:$F$2004,Günlük!$A$5:$A$2004,"&gt;="&amp;DATE($C$3,7,1),Günlük!$A$5:$A$2004,"&lt;"&amp;DATE($C$3,8,1))</f>
        <v>0</v>
      </c>
      <c r="I17" s="25" t="str">
        <f aca="false">IF(Listeler!A11="","",Listeler!A11)</f>
        <v/>
      </c>
      <c r="J17" s="27" t="str">
        <f aca="false">IF(I17="","",SUMPRODUCT(MAX((Günlük!$B$5:$B$2004=I17)*Günlük!$E$5:$E$2004)))</f>
        <v/>
      </c>
      <c r="K17" s="27" t="str">
        <f aca="false">IF(I17="","",SUMPRODUCT(MAX((Günlük!$B$5:$B$2004=I17)*Günlük!$H$5:$H$2004)))</f>
        <v/>
      </c>
      <c r="L17" s="26" t="str">
        <f aca="false">IF(I17="","",SUMIFS(Günlük!$F$5:$F$2004,Günlük!$B$5:$B$2004,I17))</f>
        <v/>
      </c>
    </row>
    <row r="18" customFormat="false" ht="15" hidden="false" customHeight="false" outlineLevel="0" collapsed="false">
      <c r="B18" s="28" t="s">
        <v>57</v>
      </c>
      <c r="C18" s="29" t="n">
        <f aca="false">SUMIFS(Günlük!$J$5:$J$2004,Günlük!$A$5:$A$2004,"&gt;="&amp;DATE($C$3,8,1),Günlük!$A$5:$A$2004,"&lt;"&amp;DATE($C$3,9,1))</f>
        <v>0</v>
      </c>
      <c r="D18" s="29" t="n">
        <f aca="false">SUMIFS(Günlük!$F$5:$F$2004,Günlük!$A$5:$A$2004,"&gt;="&amp;DATE($C$3,8,1),Günlük!$A$5:$A$2004,"&lt;"&amp;DATE($C$3,9,1))</f>
        <v>0</v>
      </c>
      <c r="I18" s="28" t="str">
        <f aca="false">IF(Listeler!A12="","",Listeler!A12)</f>
        <v/>
      </c>
      <c r="J18" s="30" t="str">
        <f aca="false">IF(I18="","",SUMPRODUCT(MAX((Günlük!$B$5:$B$2004=I18)*Günlük!$E$5:$E$2004)))</f>
        <v/>
      </c>
      <c r="K18" s="30" t="str">
        <f aca="false">IF(I18="","",SUMPRODUCT(MAX((Günlük!$B$5:$B$2004=I18)*Günlük!$H$5:$H$2004)))</f>
        <v/>
      </c>
      <c r="L18" s="29" t="str">
        <f aca="false">IF(I18="","",SUMIFS(Günlük!$F$5:$F$2004,Günlük!$B$5:$B$2004,I18))</f>
        <v/>
      </c>
    </row>
    <row r="19" customFormat="false" ht="15" hidden="false" customHeight="false" outlineLevel="0" collapsed="false">
      <c r="B19" s="25" t="s">
        <v>58</v>
      </c>
      <c r="C19" s="26" t="n">
        <f aca="false">SUMIFS(Günlük!$J$5:$J$2004,Günlük!$A$5:$A$2004,"&gt;="&amp;DATE($C$3,9,1),Günlük!$A$5:$A$2004,"&lt;"&amp;DATE($C$3,10,1))</f>
        <v>2</v>
      </c>
      <c r="D19" s="26" t="n">
        <f aca="false">SUMIFS(Günlük!$F$5:$F$2004,Günlük!$A$5:$A$2004,"&gt;="&amp;DATE($C$3,9,1),Günlük!$A$5:$A$2004,"&lt;"&amp;DATE($C$3,10,1))</f>
        <v>3190</v>
      </c>
      <c r="I19" s="25" t="str">
        <f aca="false">IF(Listeler!A13="","",Listeler!A13)</f>
        <v/>
      </c>
      <c r="J19" s="27" t="str">
        <f aca="false">IF(I19="","",SUMPRODUCT(MAX((Günlük!$B$5:$B$2004=I19)*Günlük!$E$5:$E$2004)))</f>
        <v/>
      </c>
      <c r="K19" s="27" t="str">
        <f aca="false">IF(I19="","",SUMPRODUCT(MAX((Günlük!$B$5:$B$2004=I19)*Günlük!$H$5:$H$2004)))</f>
        <v/>
      </c>
      <c r="L19" s="26" t="str">
        <f aca="false">IF(I19="","",SUMIFS(Günlük!$F$5:$F$2004,Günlük!$B$5:$B$2004,I19))</f>
        <v/>
      </c>
    </row>
    <row r="20" customFormat="false" ht="15" hidden="false" customHeight="false" outlineLevel="0" collapsed="false">
      <c r="B20" s="28" t="s">
        <v>59</v>
      </c>
      <c r="C20" s="29" t="n">
        <f aca="false">SUMIFS(Günlük!$J$5:$J$2004,Günlük!$A$5:$A$2004,"&gt;="&amp;DATE($C$3,10,1),Günlük!$A$5:$A$2004,"&lt;"&amp;DATE($C$3,11,1))</f>
        <v>2</v>
      </c>
      <c r="D20" s="29" t="n">
        <f aca="false">SUMIFS(Günlük!$F$5:$F$2004,Günlük!$A$5:$A$2004,"&gt;="&amp;DATE($C$3,10,1),Günlük!$A$5:$A$2004,"&lt;"&amp;DATE($C$3,11,1))</f>
        <v>3712.5</v>
      </c>
      <c r="I20" s="28" t="str">
        <f aca="false">IF(Listeler!A14="","",Listeler!A14)</f>
        <v/>
      </c>
      <c r="J20" s="30" t="str">
        <f aca="false">IF(I20="","",SUMPRODUCT(MAX((Günlük!$B$5:$B$2004=I20)*Günlük!$E$5:$E$2004)))</f>
        <v/>
      </c>
      <c r="K20" s="30" t="str">
        <f aca="false">IF(I20="","",SUMPRODUCT(MAX((Günlük!$B$5:$B$2004=I20)*Günlük!$H$5:$H$2004)))</f>
        <v/>
      </c>
      <c r="L20" s="29" t="str">
        <f aca="false">IF(I20="","",SUMIFS(Günlük!$F$5:$F$2004,Günlük!$B$5:$B$2004,I20))</f>
        <v/>
      </c>
    </row>
    <row r="21" customFormat="false" ht="15" hidden="false" customHeight="false" outlineLevel="0" collapsed="false">
      <c r="B21" s="25" t="s">
        <v>60</v>
      </c>
      <c r="C21" s="26" t="n">
        <f aca="false">SUMIFS(Günlük!$J$5:$J$2004,Günlük!$A$5:$A$2004,"&gt;="&amp;DATE($C$3,11,1),Günlük!$A$5:$A$2004,"&lt;"&amp;DATE($C$3,12,1))</f>
        <v>0</v>
      </c>
      <c r="D21" s="26" t="n">
        <f aca="false">SUMIFS(Günlük!$F$5:$F$2004,Günlük!$A$5:$A$2004,"&gt;="&amp;DATE($C$3,11,1),Günlük!$A$5:$A$2004,"&lt;"&amp;DATE($C$3,12,1))</f>
        <v>0</v>
      </c>
      <c r="I21" s="25" t="str">
        <f aca="false">IF(Listeler!A15="","",Listeler!A15)</f>
        <v/>
      </c>
      <c r="J21" s="27" t="str">
        <f aca="false">IF(I21="","",SUMPRODUCT(MAX((Günlük!$B$5:$B$2004=I21)*Günlük!$E$5:$E$2004)))</f>
        <v/>
      </c>
      <c r="K21" s="27" t="str">
        <f aca="false">IF(I21="","",SUMPRODUCT(MAX((Günlük!$B$5:$B$2004=I21)*Günlük!$H$5:$H$2004)))</f>
        <v/>
      </c>
      <c r="L21" s="26" t="str">
        <f aca="false">IF(I21="","",SUMIFS(Günlük!$F$5:$F$2004,Günlük!$B$5:$B$2004,I21))</f>
        <v/>
      </c>
    </row>
    <row r="22" customFormat="false" ht="15" hidden="false" customHeight="false" outlineLevel="0" collapsed="false">
      <c r="B22" s="28" t="s">
        <v>61</v>
      </c>
      <c r="C22" s="29" t="n">
        <f aca="false">SUMIFS(Günlük!$J$5:$J$2004,Günlük!$A$5:$A$2004,"&gt;="&amp;DATE($C$3,12,1),Günlük!$A$5:$A$2004,"&lt;"&amp;DATE($C$3,13,1))</f>
        <v>0</v>
      </c>
      <c r="D22" s="29" t="n">
        <f aca="false">SUMIFS(Günlük!$F$5:$F$2004,Günlük!$A$5:$A$2004,"&gt;="&amp;DATE($C$3,12,1),Günlük!$A$5:$A$2004,"&lt;"&amp;DATE($C$3,13,1))</f>
        <v>0</v>
      </c>
      <c r="I22" s="28" t="str">
        <f aca="false">IF(Listeler!A16="","",Listeler!A16)</f>
        <v/>
      </c>
      <c r="J22" s="30" t="str">
        <f aca="false">IF(I22="","",SUMPRODUCT(MAX((Günlük!$B$5:$B$2004=I22)*Günlük!$E$5:$E$2004)))</f>
        <v/>
      </c>
      <c r="K22" s="30" t="str">
        <f aca="false">IF(I22="","",SUMPRODUCT(MAX((Günlük!$B$5:$B$2004=I22)*Günlük!$H$5:$H$2004)))</f>
        <v/>
      </c>
      <c r="L22" s="29" t="str">
        <f aca="false">IF(I22="","",SUMIFS(Günlük!$F$5:$F$2004,Günlük!$B$5:$B$2004,I22))</f>
        <v/>
      </c>
    </row>
    <row r="23" customFormat="false" ht="15" hidden="false" customHeight="false" outlineLevel="0" collapsed="false">
      <c r="B23" s="31" t="s">
        <v>62</v>
      </c>
      <c r="C23" s="32" t="n">
        <f aca="false">SUM(C11:C22)</f>
        <v>4</v>
      </c>
      <c r="D23" s="32" t="n">
        <f aca="false">SUM(D11:D22)</f>
        <v>6902.5</v>
      </c>
      <c r="I23" s="25" t="str">
        <f aca="false">IF(Listeler!A17="","",Listeler!A17)</f>
        <v/>
      </c>
      <c r="J23" s="27" t="str">
        <f aca="false">IF(I23="","",SUMPRODUCT(MAX((Günlük!$B$5:$B$2004=I23)*Günlük!$E$5:$E$2004)))</f>
        <v/>
      </c>
      <c r="K23" s="27" t="str">
        <f aca="false">IF(I23="","",SUMPRODUCT(MAX((Günlük!$B$5:$B$2004=I23)*Günlük!$H$5:$H$2004)))</f>
        <v/>
      </c>
      <c r="L23" s="26" t="str">
        <f aca="false">IF(I23="","",SUMIFS(Günlük!$F$5:$F$2004,Günlük!$B$5:$B$2004,I23))</f>
        <v/>
      </c>
    </row>
    <row r="24" customFormat="false" ht="15" hidden="false" customHeight="false" outlineLevel="0" collapsed="false">
      <c r="I24" s="28" t="str">
        <f aca="false">IF(Listeler!A18="","",Listeler!A18)</f>
        <v/>
      </c>
      <c r="J24" s="30" t="str">
        <f aca="false">IF(I24="","",SUMPRODUCT(MAX((Günlük!$B$5:$B$2004=I24)*Günlük!$E$5:$E$2004)))</f>
        <v/>
      </c>
      <c r="K24" s="30" t="str">
        <f aca="false">IF(I24="","",SUMPRODUCT(MAX((Günlük!$B$5:$B$2004=I24)*Günlük!$H$5:$H$2004)))</f>
        <v/>
      </c>
      <c r="L24" s="29" t="str">
        <f aca="false">IF(I24="","",SUMIFS(Günlük!$F$5:$F$2004,Günlük!$B$5:$B$2004,I24))</f>
        <v/>
      </c>
    </row>
    <row r="25" customFormat="false" ht="15" hidden="false" customHeight="false" outlineLevel="0" collapsed="false">
      <c r="I25" s="25" t="str">
        <f aca="false">IF(Listeler!A19="","",Listeler!A19)</f>
        <v/>
      </c>
      <c r="J25" s="27" t="str">
        <f aca="false">IF(I25="","",SUMPRODUCT(MAX((Günlük!$B$5:$B$2004=I25)*Günlük!$E$5:$E$2004)))</f>
        <v/>
      </c>
      <c r="K25" s="27" t="str">
        <f aca="false">IF(I25="","",SUMPRODUCT(MAX((Günlük!$B$5:$B$2004=I25)*Günlük!$H$5:$H$2004)))</f>
        <v/>
      </c>
      <c r="L25" s="26" t="str">
        <f aca="false">IF(I25="","",SUMIFS(Günlük!$F$5:$F$2004,Günlük!$B$5:$B$2004,I25))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63</v>
      </c>
    </row>
    <row r="2" customFormat="false" ht="15" hidden="false" customHeight="false" outlineLevel="0" collapsed="false">
      <c r="A2" s="9" t="s">
        <v>64</v>
      </c>
    </row>
    <row r="4" customFormat="false" ht="21.75" hidden="false" customHeight="true" outlineLevel="0" collapsed="false">
      <c r="A4" s="10" t="s">
        <v>27</v>
      </c>
    </row>
    <row r="5" customFormat="false" ht="15" hidden="false" customHeight="false" outlineLevel="0" collapsed="false">
      <c r="A5" s="33" t="s">
        <v>35</v>
      </c>
    </row>
    <row r="6" customFormat="false" ht="15" hidden="false" customHeight="false" outlineLevel="0" collapsed="false">
      <c r="A6" s="33" t="s">
        <v>36</v>
      </c>
    </row>
    <row r="7" customFormat="false" ht="15" hidden="false" customHeight="false" outlineLevel="0" collapsed="false">
      <c r="A7" s="33" t="s">
        <v>37</v>
      </c>
    </row>
    <row r="8" customFormat="false" ht="15" hidden="false" customHeight="false" outlineLevel="0" collapsed="false">
      <c r="A8" s="33" t="s">
        <v>65</v>
      </c>
    </row>
    <row r="9" customFormat="false" ht="15" hidden="false" customHeight="false" outlineLevel="0" collapsed="false">
      <c r="A9" s="33" t="s">
        <v>66</v>
      </c>
    </row>
    <row r="10" customFormat="false" ht="15" hidden="false" customHeight="false" outlineLevel="0" collapsed="false">
      <c r="A10" s="33" t="s">
        <v>67</v>
      </c>
    </row>
    <row r="11" customFormat="false" ht="15" hidden="false" customHeight="false" outlineLevel="0" collapsed="false">
      <c r="A11" s="33"/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/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/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/>
    </row>
    <row r="18" customFormat="false" ht="15" hidden="false" customHeight="false" outlineLevel="0" collapsed="false">
      <c r="A18" s="33"/>
    </row>
    <row r="19" customFormat="false" ht="15" hidden="false" customHeight="false" outlineLevel="0" collapsed="false">
      <c r="A19" s="33"/>
    </row>
    <row r="20" customFormat="false" ht="15" hidden="false" customHeight="false" outlineLevel="0" collapsed="false">
      <c r="A20" s="33"/>
    </row>
    <row r="21" customFormat="false" ht="15" hidden="false" customHeight="false" outlineLevel="0" collapsed="false">
      <c r="A21" s="33"/>
    </row>
    <row r="22" customFormat="false" ht="15" hidden="false" customHeight="false" outlineLevel="0" collapsed="false">
      <c r="A22" s="33"/>
    </row>
    <row r="23" customFormat="false" ht="15" hidden="false" customHeight="false" outlineLevel="0" collapsed="false">
      <c r="A23" s="33"/>
    </row>
    <row r="24" customFormat="false" ht="15" hidden="false" customHeight="false" outlineLevel="0" collapsed="false">
      <c r="A24" s="33"/>
    </row>
    <row r="25" customFormat="false" ht="15" hidden="false" customHeight="false" outlineLevel="0" collapsed="false">
      <c r="A25" s="33"/>
    </row>
    <row r="26" customFormat="false" ht="15" hidden="false" customHeight="false" outlineLevel="0" collapsed="false">
      <c r="A26" s="33"/>
    </row>
    <row r="27" customFormat="false" ht="15" hidden="false" customHeight="false" outlineLevel="0" collapsed="false">
      <c r="A27" s="33"/>
    </row>
    <row r="28" customFormat="false" ht="15" hidden="false" customHeight="false" outlineLevel="0" collapsed="false">
      <c r="A28" s="33"/>
    </row>
    <row r="29" customFormat="false" ht="15" hidden="false" customHeight="false" outlineLevel="0" collapsed="false">
      <c r="A29" s="33"/>
    </row>
    <row r="30" customFormat="false" ht="15" hidden="false" customHeight="false" outlineLevel="0" collapsed="false">
      <c r="A30" s="33"/>
    </row>
    <row r="31" customFormat="false" ht="15" hidden="false" customHeight="false" outlineLevel="0" collapsed="false">
      <c r="A31" s="33"/>
    </row>
    <row r="32" customFormat="false" ht="15" hidden="false" customHeight="false" outlineLevel="0" collapsed="false">
      <c r="A32" s="33"/>
    </row>
    <row r="33" customFormat="false" ht="15" hidden="false" customHeight="false" outlineLevel="0" collapsed="false">
      <c r="A33" s="33"/>
    </row>
    <row r="34" customFormat="false" ht="15" hidden="false" customHeight="false" outlineLevel="0" collapsed="false">
      <c r="A3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68</v>
      </c>
    </row>
    <row r="2" customFormat="false" ht="30" hidden="false" customHeight="true" outlineLevel="0" collapsed="false">
      <c r="B2" s="34" t="s">
        <v>69</v>
      </c>
      <c r="C2" s="34"/>
    </row>
    <row r="3" customFormat="false" ht="31.5" hidden="false" customHeight="true" outlineLevel="0" collapsed="false">
      <c r="B3" s="35" t="s">
        <v>70</v>
      </c>
      <c r="C3" s="35"/>
    </row>
    <row r="5" customFormat="false" ht="15" hidden="false" customHeight="false" outlineLevel="0" collapsed="false">
      <c r="B5" s="36" t="s">
        <v>71</v>
      </c>
      <c r="C5" s="36" t="s">
        <v>72</v>
      </c>
    </row>
    <row r="6" customFormat="false" ht="31.5" hidden="false" customHeight="true" outlineLevel="0" collapsed="false">
      <c r="B6" s="37" t="s">
        <v>73</v>
      </c>
      <c r="C6" s="38" t="s">
        <v>74</v>
      </c>
    </row>
    <row r="7" customFormat="false" ht="31.5" hidden="false" customHeight="true" outlineLevel="0" collapsed="false">
      <c r="B7" s="39" t="s">
        <v>75</v>
      </c>
      <c r="C7" s="40" t="s">
        <v>76</v>
      </c>
    </row>
    <row r="8" customFormat="false" ht="31.5" hidden="false" customHeight="true" outlineLevel="0" collapsed="false">
      <c r="B8" s="37" t="s">
        <v>77</v>
      </c>
      <c r="C8" s="38" t="s">
        <v>78</v>
      </c>
    </row>
    <row r="9" customFormat="false" ht="31.5" hidden="false" customHeight="true" outlineLevel="0" collapsed="false">
      <c r="B9" s="39" t="s">
        <v>79</v>
      </c>
      <c r="C9" s="40" t="s">
        <v>80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2026-10-04T22:00:09Z</dcterms:created>
  <dc:creator>openpyxl</dc:creator>
  <dc:description/>
  <dc:language>en-US</dc:language>
  <cp:lastModifiedBy/>
  <dcterms:modified xsi:type="dcterms:W3CDTF">2026-10-04T22:00:11Z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