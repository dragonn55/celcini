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şla" sheetId="1" state="visible" r:id="rId3"/>
    <sheet name="Demirbaşlar" sheetId="2" state="visible" r:id="rId4"/>
    <sheet name="Özet" sheetId="3" state="visible" r:id="rId5"/>
    <sheet name="Listeler" sheetId="4" state="visible" r:id="rId6"/>
    <sheet name="AI Komutları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<sst xmlns="http://schemas.openxmlformats.org/spreadsheetml/2006/main" count="90" uniqueCount="74">
  <si>
    <t xml:space="preserve">EXCEL KLİNİĞİ</t>
  </si>
  <si>
    <t xml:space="preserve">DEMİRBAŞ  |  Demirbaş ve zimmet takibi</t>
  </si>
  <si>
    <t xml:space="preserve">İş yerindeki makine, bilgisayar, mobilya: kimde, kaça alındı, bugün defterde kaç lira ediyor.</t>
  </si>
  <si>
    <t xml:space="preserve">NASIL KULLANILIR</t>
  </si>
  <si>
    <t xml:space="preserve">1. Listeler</t>
  </si>
  <si>
    <t xml:space="preserve">Kategorileri ve zimmet verilebilecek kişileri yaz.</t>
  </si>
  <si>
    <t xml:space="preserve">2. Demirbaşlar</t>
  </si>
  <si>
    <t xml:space="preserve">Her demirbaşı alış tarihi, bedeli, faydalı ömrü ve zimmetlisiyle gir.</t>
  </si>
  <si>
    <t xml:space="preserve">3. Özet</t>
  </si>
  <si>
    <t xml:space="preserve">Toplam bedel, net değer, kategori ve kişi bazında dağılım.</t>
  </si>
  <si>
    <t xml:space="preserve">BİLMEN GEREKENLER</t>
  </si>
  <si>
    <t xml:space="preserve">Amortisman</t>
  </si>
  <si>
    <t xml:space="preserve">Bedel faydalı ömre eşit bölünür ve alış tarihinden bugüne geçen süreyle çarpılır. Bu basit bir yöntemdir.</t>
  </si>
  <si>
    <t xml:space="preserve">Vergi hesabı değildir</t>
  </si>
  <si>
    <t xml:space="preserve">Vergi mevzuatındaki oran ve yöntemler farklı olabilir; resmî amortisman için mali müşavirine danış.</t>
  </si>
  <si>
    <t xml:space="preserve">Kapasite</t>
  </si>
  <si>
    <t xml:space="preserve">Demirbaşlar: 500 satır.</t>
  </si>
  <si>
    <t xml:space="preserve">RENKLER</t>
  </si>
  <si>
    <t xml:space="preserve">Sarı hücre</t>
  </si>
  <si>
    <t xml:space="preserve">Senin dolduracağın hücre. İçindeki örnekleri silip kendi bilgini yaz.</t>
  </si>
  <si>
    <t xml:space="preserve">Beyaz hücre, açık başlık</t>
  </si>
  <si>
    <t xml:space="preserve">Formül. Değiştirme, kendiliğinden hesaplanır.</t>
  </si>
  <si>
    <t xml:space="preserve">Demirbaşlar</t>
  </si>
  <si>
    <t xml:space="preserve">Her demirbaş bir satır. Faydalı ömrü yıl olarak yaz.</t>
  </si>
  <si>
    <t xml:space="preserve">Demirbaş</t>
  </si>
  <si>
    <t xml:space="preserve">Kategori</t>
  </si>
  <si>
    <t xml:space="preserve">Alış tarihi</t>
  </si>
  <si>
    <t xml:space="preserve">Bedel (₺)</t>
  </si>
  <si>
    <t xml:space="preserve">Faydalı ömür (yıl)</t>
  </si>
  <si>
    <t xml:space="preserve">Zimmetli</t>
  </si>
  <si>
    <t xml:space="preserve">Yer</t>
  </si>
  <si>
    <t xml:space="preserve">Yıllık amortisman (₺)</t>
  </si>
  <si>
    <t xml:space="preserve">Geçen yıl</t>
  </si>
  <si>
    <t xml:space="preserve">Birikmiş amortisman (₺)</t>
  </si>
  <si>
    <t xml:space="preserve">Net değer (₺)</t>
  </si>
  <si>
    <t xml:space="preserve">Durum</t>
  </si>
  <si>
    <t xml:space="preserve">Dizüstü bilgisayar</t>
  </si>
  <si>
    <t xml:space="preserve">Bilgisayar</t>
  </si>
  <si>
    <t xml:space="preserve">Kişi Alfa</t>
  </si>
  <si>
    <t xml:space="preserve">Ofis</t>
  </si>
  <si>
    <t xml:space="preserve">Kesim makinesi</t>
  </si>
  <si>
    <t xml:space="preserve">Makine</t>
  </si>
  <si>
    <t xml:space="preserve">Ortak kullanım</t>
  </si>
  <si>
    <t xml:space="preserve">Atölye</t>
  </si>
  <si>
    <t xml:space="preserve">Ofis masası</t>
  </si>
  <si>
    <t xml:space="preserve">Mobilya</t>
  </si>
  <si>
    <t xml:space="preserve">Kişi Beta</t>
  </si>
  <si>
    <t xml:space="preserve">Özet</t>
  </si>
  <si>
    <t xml:space="preserve">Bu sayfaya yazma.</t>
  </si>
  <si>
    <t xml:space="preserve">Toplam bedel</t>
  </si>
  <si>
    <t xml:space="preserve">Net değer</t>
  </si>
  <si>
    <t xml:space="preserve">Bu yılın amortismanı</t>
  </si>
  <si>
    <t xml:space="preserve">Ömrünü dolduran</t>
  </si>
  <si>
    <t xml:space="preserve">Kategoriye göre</t>
  </si>
  <si>
    <t xml:space="preserve">Adet</t>
  </si>
  <si>
    <t xml:space="preserve">Zimmetliye göre</t>
  </si>
  <si>
    <t xml:space="preserve">Listeler</t>
  </si>
  <si>
    <t xml:space="preserve">Açılır listelerde çıkan seçenekler. Sarı hücrelere kendi seçeneklerini yaz.</t>
  </si>
  <si>
    <t xml:space="preserve">Araç</t>
  </si>
  <si>
    <t xml:space="preserve">Telefon</t>
  </si>
  <si>
    <t xml:space="preserve">Diğer</t>
  </si>
  <si>
    <t xml:space="preserve">Yapay Zeka Komutları</t>
  </si>
  <si>
    <t xml:space="preserve">İlgili sayfada başlık satırıyla birlikte kayıtlarını seç, kopyala, kullandığın yapay zeka asistanına yapıştır ve altına komutu ekle.</t>
  </si>
  <si>
    <t xml:space="preserve">Dikkat: Kişi adlarını takma adla değiştir; seri numarası paylaşma. Yapay zekanın verdiği rakamları dosyadaki özet sayfasıyla karşılaştır.</t>
  </si>
  <si>
    <t xml:space="preserve">Ne için</t>
  </si>
  <si>
    <t xml:space="preserve">Komut (kopyala, yapıştır)</t>
  </si>
  <si>
    <t xml:space="preserve">Yenileme planı</t>
  </si>
  <si>
    <t xml:space="preserve">[Demirbaşlar sayfası] Ömrünü dolduran ya da bir yıl içinde dolduracak demirbaşları listele ve yenileme bütçesi için sıra öner.</t>
  </si>
  <si>
    <t xml:space="preserve">Zimmet tutanağı</t>
  </si>
  <si>
    <t xml:space="preserve">[kişi] için zimmet tutanağı taslağı hazırla; demirbaş listesini ben vereceğim.</t>
  </si>
  <si>
    <t xml:space="preserve">Sayım</t>
  </si>
  <si>
    <t xml:space="preserve">[Demirbaşlar sayfası] Yer bazında sayım kontrol listesi oluştur.</t>
  </si>
  <si>
    <t xml:space="preserve">Sigorta</t>
  </si>
  <si>
    <t xml:space="preserve">Kategori bazında toplam bedeli sigorta teklifinde kullanmak üzere özetle.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</si>
</sst>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d\.mm\.yyyy"/>
    <numFmt numFmtId="166" formatCode="#,##0.00&quot; ₺&quot;"/>
    <numFmt numFmtId="167" formatCode="#,##0;[RED]\-#,##0;\-"/>
    <numFmt numFmtId="168" formatCode="#,##0.00&quot; ₺&quot;;[RED]\-#,##0.00&quot; ₺&quot;;\-"/>
    <numFmt numFmtId="169" formatCode="0.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20"/>
      <color rgb="FF1F6F43"/>
      <name val="Arial"/>
      <family val="0"/>
      <charset val="1"/>
    </font>
    <font>
      <sz val="10"/>
      <color rgb="FF475467"/>
      <name val="Arial"/>
      <family val="0"/>
      <charset val="1"/>
    </font>
    <font>
      <b val="true"/>
      <sz val="10"/>
      <color rgb="FF1F6F43"/>
      <name val="Arial"/>
      <family val="0"/>
      <charset val="1"/>
    </font>
    <font>
      <b val="true"/>
      <sz val="10"/>
      <color rgb="FF1B1F23"/>
      <name val="Arial"/>
      <family val="0"/>
      <charset val="1"/>
    </font>
    <font>
      <sz val="10"/>
      <color rgb="FF1B1F23"/>
      <name val="Arial"/>
      <family val="0"/>
      <charset val="1"/>
    </font>
    <font>
      <b val="true"/>
      <sz val="16"/>
      <color rgb="FF1F6F43"/>
      <name val="Arial"/>
      <family val="0"/>
      <charset val="1"/>
    </font>
    <font>
      <i val="true"/>
      <sz val="9"/>
      <color rgb="FF475467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2"/>
      <color rgb="FF1B1F23"/>
      <name val="Arial"/>
      <family val="0"/>
      <charset val="1"/>
    </font>
    <font>
      <b val="true"/>
      <sz val="11"/>
      <color rgb="FF1F6F43"/>
      <name val="Arial"/>
      <family val="0"/>
      <charset val="1"/>
    </font>
    <font>
      <b val="true"/>
      <sz val="10"/>
      <color rgb="FFB42318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6F43"/>
        <bgColor rgb="FF3B8A5E"/>
      </patternFill>
    </fill>
    <fill>
      <patternFill patternType="solid">
        <fgColor rgb="FFE8F5EE"/>
        <bgColor rgb="FFF3F4F6"/>
      </patternFill>
    </fill>
    <fill>
      <patternFill patternType="solid">
        <fgColor rgb="FFFFF9DB"/>
        <bgColor rgb="FFF3F4F6"/>
      </patternFill>
    </fill>
    <fill>
      <patternFill patternType="solid">
        <fgColor rgb="FF3B8A5E"/>
        <bgColor rgb="FF1F6F43"/>
      </patternFill>
    </fill>
    <fill>
      <patternFill patternType="solid">
        <fgColor rgb="FFFFFFFF"/>
        <bgColor rgb="FFF3F4F6"/>
      </patternFill>
    </fill>
    <fill>
      <patternFill patternType="solid">
        <fgColor rgb="FFF3F4F6"/>
        <bgColor rgb="FFE8F5E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1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0" xfId="0" applyFont="true" applyBorder="false" applyAlignment="true" applyProtection="false">
      <alignment horizontal="general" vertical="top" textRotation="0" wrapText="true" indent="1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2" borderId="1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8" fillId="7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9" fillId="7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name val="Arial"/>
        <charset val="1"/>
        <family val="0"/>
        <b val="1"/>
        <color rgb="FF667085"/>
      </font>
      <fill>
        <patternFill>
          <bgColor rgb="FFF3F4F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6F43"/>
      <rgbColor rgb="FFC0C0C0"/>
      <rgbColor rgb="FF808080"/>
      <rgbColor rgb="FF9999FF"/>
      <rgbColor rgb="FF993366"/>
      <rgbColor rgb="FFFFF9DB"/>
      <rgbColor rgb="FFE8F5EE"/>
      <rgbColor rgb="FF660066"/>
      <rgbColor rgb="FFFF8080"/>
      <rgbColor rgb="FF0066CC"/>
      <rgbColor rgb="FFD0D5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F4F6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7085"/>
      <rgbColor rgb="FF969696"/>
      <rgbColor rgb="FF003366"/>
      <rgbColor rgb="FF3B8A5E"/>
      <rgbColor rgb="FF003300"/>
      <rgbColor rgb="FF333300"/>
      <rgbColor rgb="FFB42318"/>
      <rgbColor rgb="FF993366"/>
      <rgbColor rgb="FF475467"/>
      <rgbColor rgb="FF1B1F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43"/>
    <pageSetUpPr fitToPage="true"/>
  </sheetPr>
  <dimension ref="B2:C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4"/>
    <col collapsed="false" customWidth="true" hidden="false" outlineLevel="0" max="3" min="3" style="0" width="88"/>
  </cols>
  <sheetData>
    <row r="2" customFormat="false" ht="24" hidden="false" customHeight="true" outlineLevel="0" collapsed="false">
      <c r="B2" s="1" t="s">
        <v>0</v>
      </c>
      <c r="C2" s="1"/>
    </row>
    <row r="3" customFormat="false" ht="36" hidden="false" customHeight="true" outlineLevel="0" collapsed="false">
      <c r="B3" s="2" t="s">
        <v>1</v>
      </c>
      <c r="C3" s="2"/>
    </row>
    <row r="4" customFormat="false" ht="15" hidden="false" customHeight="false" outlineLevel="0" collapsed="false">
      <c r="B4" s="3" t="s">
        <v>2</v>
      </c>
      <c r="C4" s="3"/>
    </row>
    <row r="6" customFormat="false" ht="19.5" hidden="false" customHeight="true" outlineLevel="0" collapsed="false">
      <c r="B6" s="4" t="s">
        <v>3</v>
      </c>
      <c r="C6" s="4"/>
    </row>
    <row r="7" customFormat="false" ht="18" hidden="false" customHeight="true" outlineLevel="0" collapsed="false">
      <c r="B7" s="5" t="s">
        <v>4</v>
      </c>
      <c r="C7" s="6" t="s">
        <v>5</v>
      </c>
    </row>
    <row r="8" customFormat="false" ht="18" hidden="false" customHeight="true" outlineLevel="0" collapsed="false">
      <c r="B8" s="5" t="s">
        <v>6</v>
      </c>
      <c r="C8" s="6" t="s">
        <v>7</v>
      </c>
    </row>
    <row r="9" customFormat="false" ht="18" hidden="false" customHeight="true" outlineLevel="0" collapsed="false">
      <c r="B9" s="5" t="s">
        <v>8</v>
      </c>
      <c r="C9" s="6" t="s">
        <v>9</v>
      </c>
    </row>
    <row r="11" customFormat="false" ht="19.5" hidden="false" customHeight="true" outlineLevel="0" collapsed="false">
      <c r="B11" s="4" t="s">
        <v>10</v>
      </c>
      <c r="C11" s="4"/>
    </row>
    <row r="12" customFormat="false" ht="30" hidden="false" customHeight="true" outlineLevel="0" collapsed="false">
      <c r="B12" s="5" t="s">
        <v>11</v>
      </c>
      <c r="C12" s="6" t="s">
        <v>12</v>
      </c>
    </row>
    <row r="13" customFormat="false" ht="30" hidden="false" customHeight="true" outlineLevel="0" collapsed="false">
      <c r="B13" s="5" t="s">
        <v>13</v>
      </c>
      <c r="C13" s="6" t="s">
        <v>14</v>
      </c>
    </row>
    <row r="14" customFormat="false" ht="18" hidden="false" customHeight="true" outlineLevel="0" collapsed="false">
      <c r="B14" s="5" t="s">
        <v>15</v>
      </c>
      <c r="C14" s="6" t="s">
        <v>16</v>
      </c>
    </row>
    <row r="16" customFormat="false" ht="19.5" hidden="false" customHeight="true" outlineLevel="0" collapsed="false">
      <c r="B16" s="4" t="s">
        <v>17</v>
      </c>
      <c r="C16" s="4"/>
    </row>
    <row r="17" customFormat="false" ht="18" hidden="false" customHeight="true" outlineLevel="0" collapsed="false">
      <c r="B17" s="7" t="s">
        <v>18</v>
      </c>
      <c r="C17" s="6" t="s">
        <v>19</v>
      </c>
    </row>
    <row r="18" customFormat="false" ht="18" hidden="false" customHeight="true" outlineLevel="0" collapsed="false">
      <c r="B18" s="5" t="s">
        <v>20</v>
      </c>
      <c r="C18" s="6" t="s">
        <v>21</v>
      </c>
    </row>
  </sheetData>
  <mergeCells count="6">
    <mergeCell ref="B2:C2"/>
    <mergeCell ref="B3:C3"/>
    <mergeCell ref="B4:C4"/>
    <mergeCell ref="B6:C6"/>
    <mergeCell ref="B11:C11"/>
    <mergeCell ref="B16:C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43"/>
    <pageSetUpPr fitToPage="true"/>
  </sheetPr>
  <dimension ref="A1:L5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5" min="2" style="0" width="14"/>
    <col collapsed="false" customWidth="true" hidden="false" outlineLevel="0" max="8" min="6" style="0" width="16"/>
    <col collapsed="false" customWidth="true" hidden="false" outlineLevel="0" max="9" min="9" style="0" width="14"/>
    <col collapsed="false" customWidth="true" hidden="false" outlineLevel="0" max="10" min="10" style="0" width="17"/>
    <col collapsed="false" customWidth="true" hidden="false" outlineLevel="0" max="11" min="11" style="0" width="14"/>
    <col collapsed="false" customWidth="true" hidden="false" outlineLevel="0" max="12" min="12" style="0" width="16"/>
  </cols>
  <sheetData>
    <row r="1" customFormat="false" ht="19.7" hidden="false" customHeight="false" outlineLevel="0" collapsed="false">
      <c r="A1" s="8" t="s">
        <v>22</v>
      </c>
    </row>
    <row r="2" customFormat="false" ht="15" hidden="false" customHeight="false" outlineLevel="0" collapsed="false">
      <c r="A2" s="9" t="s">
        <v>23</v>
      </c>
    </row>
    <row r="4" customFormat="false" ht="27.75" hidden="false" customHeight="true" outlineLevel="0" collapsed="false">
      <c r="A4" s="10" t="s">
        <v>24</v>
      </c>
      <c r="B4" s="10" t="s">
        <v>25</v>
      </c>
      <c r="C4" s="10" t="s">
        <v>26</v>
      </c>
      <c r="D4" s="10" t="s">
        <v>27</v>
      </c>
      <c r="E4" s="10" t="s">
        <v>28</v>
      </c>
      <c r="F4" s="10" t="s">
        <v>29</v>
      </c>
      <c r="G4" s="10" t="s">
        <v>30</v>
      </c>
      <c r="H4" s="11" t="s">
        <v>31</v>
      </c>
      <c r="I4" s="11" t="s">
        <v>32</v>
      </c>
      <c r="J4" s="11" t="s">
        <v>33</v>
      </c>
      <c r="K4" s="11" t="s">
        <v>34</v>
      </c>
      <c r="L4" s="11" t="s">
        <v>35</v>
      </c>
    </row>
    <row r="5" customFormat="false" ht="15" hidden="false" customHeight="false" outlineLevel="0" collapsed="false">
      <c r="A5" s="12" t="s">
        <v>36</v>
      </c>
      <c r="B5" s="13" t="s">
        <v>37</v>
      </c>
      <c r="C5" s="14" t="n">
        <v>45569</v>
      </c>
      <c r="D5" s="15" t="n">
        <v>60000</v>
      </c>
      <c r="E5" s="16" t="n">
        <v>4</v>
      </c>
      <c r="F5" s="13" t="s">
        <v>38</v>
      </c>
      <c r="G5" s="12" t="s">
        <v>39</v>
      </c>
      <c r="H5" s="17" t="n">
        <f aca="false">IF(OR(A5="",E5="",E5=0),"",D5/E5)</f>
        <v>15000</v>
      </c>
      <c r="I5" s="18" t="n">
        <f aca="true">IF(OR(A5="",C5=""),"",MAX(0,(TODAY()-C5)/365.25))</f>
        <v>1.99863107460643</v>
      </c>
      <c r="J5" s="17" t="n">
        <f aca="false">IF(OR(H5="",I5=""),"",MIN(D5,H5*I5))</f>
        <v>29979.4661190965</v>
      </c>
      <c r="K5" s="17" t="n">
        <f aca="false">IF(J5="","",D5-J5)</f>
        <v>30020.5338809035</v>
      </c>
      <c r="L5" s="19" t="str">
        <f aca="false">IF(K5="","",IF(K5&lt;=0,"Ömrünü doldurdu","Kullanımda"))</f>
        <v>Kullanımda</v>
      </c>
    </row>
    <row r="6" customFormat="false" ht="15" hidden="false" customHeight="false" outlineLevel="0" collapsed="false">
      <c r="A6" s="12" t="s">
        <v>40</v>
      </c>
      <c r="B6" s="13" t="s">
        <v>41</v>
      </c>
      <c r="C6" s="14" t="n">
        <v>44838</v>
      </c>
      <c r="D6" s="15" t="n">
        <v>200000</v>
      </c>
      <c r="E6" s="16" t="n">
        <v>10</v>
      </c>
      <c r="F6" s="13" t="s">
        <v>42</v>
      </c>
      <c r="G6" s="12" t="s">
        <v>43</v>
      </c>
      <c r="H6" s="17" t="n">
        <f aca="false">IF(OR(A6="",E6="",E6=0),"",D6/E6)</f>
        <v>20000</v>
      </c>
      <c r="I6" s="18" t="n">
        <f aca="true">IF(OR(A6="",C6=""),"",MAX(0,(TODAY()-C6)/365.25))</f>
        <v>4</v>
      </c>
      <c r="J6" s="17" t="n">
        <f aca="false">IF(OR(H6="",I6=""),"",MIN(D6,H6*I6))</f>
        <v>80000</v>
      </c>
      <c r="K6" s="17" t="n">
        <f aca="false">IF(J6="","",D6-J6)</f>
        <v>120000</v>
      </c>
      <c r="L6" s="19" t="str">
        <f aca="false">IF(K6="","",IF(K6&lt;=0,"Ömrünü doldurdu","Kullanımda"))</f>
        <v>Kullanımda</v>
      </c>
    </row>
    <row r="7" customFormat="false" ht="15" hidden="false" customHeight="false" outlineLevel="0" collapsed="false">
      <c r="A7" s="12" t="s">
        <v>44</v>
      </c>
      <c r="B7" s="13" t="s">
        <v>45</v>
      </c>
      <c r="C7" s="14" t="n">
        <v>42299</v>
      </c>
      <c r="D7" s="15" t="n">
        <v>8000</v>
      </c>
      <c r="E7" s="16" t="n">
        <v>5</v>
      </c>
      <c r="F7" s="13" t="s">
        <v>46</v>
      </c>
      <c r="G7" s="12" t="s">
        <v>39</v>
      </c>
      <c r="H7" s="17" t="n">
        <f aca="false">IF(OR(A7="",E7="",E7=0),"",D7/E7)</f>
        <v>1600</v>
      </c>
      <c r="I7" s="18" t="n">
        <f aca="true">IF(OR(A7="",C7=""),"",MAX(0,(TODAY()-C7)/365.25))</f>
        <v>10.9514031485284</v>
      </c>
      <c r="J7" s="17" t="n">
        <f aca="false">IF(OR(H7="",I7=""),"",MIN(D7,H7*I7))</f>
        <v>8000</v>
      </c>
      <c r="K7" s="17" t="n">
        <f aca="false">IF(J7="","",D7-J7)</f>
        <v>0</v>
      </c>
      <c r="L7" s="19" t="str">
        <f aca="false">IF(K7="","",IF(K7&lt;=0,"Ömrünü doldurdu","Kullanımda"))</f>
        <v>Ömrünü doldurdu</v>
      </c>
    </row>
    <row r="8" customFormat="false" ht="15" hidden="false" customHeight="false" outlineLevel="0" collapsed="false">
      <c r="A8" s="12"/>
      <c r="B8" s="13"/>
      <c r="C8" s="14"/>
      <c r="D8" s="15"/>
      <c r="E8" s="16"/>
      <c r="F8" s="13"/>
      <c r="G8" s="12"/>
      <c r="H8" s="17" t="str">
        <f aca="false">IF(OR(A8="",E8="",E8=0),"",D8/E8)</f>
        <v/>
      </c>
      <c r="I8" s="18" t="str">
        <f aca="true">IF(OR(A8="",C8=""),"",MAX(0,(TODAY()-C8)/365.25))</f>
        <v/>
      </c>
      <c r="J8" s="17" t="str">
        <f aca="false">IF(OR(H8="",I8=""),"",MIN(D8,H8*I8))</f>
        <v/>
      </c>
      <c r="K8" s="17" t="str">
        <f aca="false">IF(J8="","",D8-J8)</f>
        <v/>
      </c>
      <c r="L8" s="19" t="str">
        <f aca="false">IF(K8="","",IF(K8&lt;=0,"Ömrünü doldurdu","Kullanımda"))</f>
        <v/>
      </c>
    </row>
    <row r="9" customFormat="false" ht="15" hidden="false" customHeight="false" outlineLevel="0" collapsed="false">
      <c r="A9" s="12"/>
      <c r="B9" s="13"/>
      <c r="C9" s="14"/>
      <c r="D9" s="15"/>
      <c r="E9" s="16"/>
      <c r="F9" s="13"/>
      <c r="G9" s="12"/>
      <c r="H9" s="17" t="str">
        <f aca="false">IF(OR(A9="",E9="",E9=0),"",D9/E9)</f>
        <v/>
      </c>
      <c r="I9" s="18" t="str">
        <f aca="true">IF(OR(A9="",C9=""),"",MAX(0,(TODAY()-C9)/365.25))</f>
        <v/>
      </c>
      <c r="J9" s="17" t="str">
        <f aca="false">IF(OR(H9="",I9=""),"",MIN(D9,H9*I9))</f>
        <v/>
      </c>
      <c r="K9" s="17" t="str">
        <f aca="false">IF(J9="","",D9-J9)</f>
        <v/>
      </c>
      <c r="L9" s="19" t="str">
        <f aca="false">IF(K9="","",IF(K9&lt;=0,"Ömrünü doldurdu","Kullanımda"))</f>
        <v/>
      </c>
    </row>
    <row r="10" customFormat="false" ht="15" hidden="false" customHeight="false" outlineLevel="0" collapsed="false">
      <c r="A10" s="12"/>
      <c r="B10" s="13"/>
      <c r="C10" s="14"/>
      <c r="D10" s="15"/>
      <c r="E10" s="16"/>
      <c r="F10" s="13"/>
      <c r="G10" s="12"/>
      <c r="H10" s="17" t="str">
        <f aca="false">IF(OR(A10="",E10="",E10=0),"",D10/E10)</f>
        <v/>
      </c>
      <c r="I10" s="18" t="str">
        <f aca="true">IF(OR(A10="",C10=""),"",MAX(0,(TODAY()-C10)/365.25))</f>
        <v/>
      </c>
      <c r="J10" s="17" t="str">
        <f aca="false">IF(OR(H10="",I10=""),"",MIN(D10,H10*I10))</f>
        <v/>
      </c>
      <c r="K10" s="17" t="str">
        <f aca="false">IF(J10="","",D10-J10)</f>
        <v/>
      </c>
      <c r="L10" s="19" t="str">
        <f aca="false">IF(K10="","",IF(K10&lt;=0,"Ömrünü doldurdu","Kullanımda"))</f>
        <v/>
      </c>
    </row>
    <row r="11" customFormat="false" ht="15" hidden="false" customHeight="false" outlineLevel="0" collapsed="false">
      <c r="A11" s="12"/>
      <c r="B11" s="13"/>
      <c r="C11" s="14"/>
      <c r="D11" s="15"/>
      <c r="E11" s="16"/>
      <c r="F11" s="13"/>
      <c r="G11" s="12"/>
      <c r="H11" s="17" t="str">
        <f aca="false">IF(OR(A11="",E11="",E11=0),"",D11/E11)</f>
        <v/>
      </c>
      <c r="I11" s="18" t="str">
        <f aca="true">IF(OR(A11="",C11=""),"",MAX(0,(TODAY()-C11)/365.25))</f>
        <v/>
      </c>
      <c r="J11" s="17" t="str">
        <f aca="false">IF(OR(H11="",I11=""),"",MIN(D11,H11*I11))</f>
        <v/>
      </c>
      <c r="K11" s="17" t="str">
        <f aca="false">IF(J11="","",D11-J11)</f>
        <v/>
      </c>
      <c r="L11" s="19" t="str">
        <f aca="false">IF(K11="","",IF(K11&lt;=0,"Ömrünü doldurdu","Kullanımda"))</f>
        <v/>
      </c>
    </row>
    <row r="12" customFormat="false" ht="15" hidden="false" customHeight="false" outlineLevel="0" collapsed="false">
      <c r="A12" s="12"/>
      <c r="B12" s="13"/>
      <c r="C12" s="14"/>
      <c r="D12" s="15"/>
      <c r="E12" s="16"/>
      <c r="F12" s="13"/>
      <c r="G12" s="12"/>
      <c r="H12" s="17" t="str">
        <f aca="false">IF(OR(A12="",E12="",E12=0),"",D12/E12)</f>
        <v/>
      </c>
      <c r="I12" s="18" t="str">
        <f aca="true">IF(OR(A12="",C12=""),"",MAX(0,(TODAY()-C12)/365.25))</f>
        <v/>
      </c>
      <c r="J12" s="17" t="str">
        <f aca="false">IF(OR(H12="",I12=""),"",MIN(D12,H12*I12))</f>
        <v/>
      </c>
      <c r="K12" s="17" t="str">
        <f aca="false">IF(J12="","",D12-J12)</f>
        <v/>
      </c>
      <c r="L12" s="19" t="str">
        <f aca="false">IF(K12="","",IF(K12&lt;=0,"Ömrünü doldurdu","Kullanımda"))</f>
        <v/>
      </c>
    </row>
    <row r="13" customFormat="false" ht="15" hidden="false" customHeight="false" outlineLevel="0" collapsed="false">
      <c r="A13" s="12"/>
      <c r="B13" s="13"/>
      <c r="C13" s="14"/>
      <c r="D13" s="15"/>
      <c r="E13" s="16"/>
      <c r="F13" s="13"/>
      <c r="G13" s="12"/>
      <c r="H13" s="17" t="str">
        <f aca="false">IF(OR(A13="",E13="",E13=0),"",D13/E13)</f>
        <v/>
      </c>
      <c r="I13" s="18" t="str">
        <f aca="true">IF(OR(A13="",C13=""),"",MAX(0,(TODAY()-C13)/365.25))</f>
        <v/>
      </c>
      <c r="J13" s="17" t="str">
        <f aca="false">IF(OR(H13="",I13=""),"",MIN(D13,H13*I13))</f>
        <v/>
      </c>
      <c r="K13" s="17" t="str">
        <f aca="false">IF(J13="","",D13-J13)</f>
        <v/>
      </c>
      <c r="L13" s="19" t="str">
        <f aca="false">IF(K13="","",IF(K13&lt;=0,"Ömrünü doldurdu","Kullanımda"))</f>
        <v/>
      </c>
    </row>
    <row r="14" customFormat="false" ht="15" hidden="false" customHeight="false" outlineLevel="0" collapsed="false">
      <c r="A14" s="12"/>
      <c r="B14" s="13"/>
      <c r="C14" s="14"/>
      <c r="D14" s="15"/>
      <c r="E14" s="16"/>
      <c r="F14" s="13"/>
      <c r="G14" s="12"/>
      <c r="H14" s="17" t="str">
        <f aca="false">IF(OR(A14="",E14="",E14=0),"",D14/E14)</f>
        <v/>
      </c>
      <c r="I14" s="18" t="str">
        <f aca="true">IF(OR(A14="",C14=""),"",MAX(0,(TODAY()-C14)/365.25))</f>
        <v/>
      </c>
      <c r="J14" s="17" t="str">
        <f aca="false">IF(OR(H14="",I14=""),"",MIN(D14,H14*I14))</f>
        <v/>
      </c>
      <c r="K14" s="17" t="str">
        <f aca="false">IF(J14="","",D14-J14)</f>
        <v/>
      </c>
      <c r="L14" s="19" t="str">
        <f aca="false">IF(K14="","",IF(K14&lt;=0,"Ömrünü doldurdu","Kullanımda"))</f>
        <v/>
      </c>
    </row>
    <row r="15" customFormat="false" ht="15" hidden="false" customHeight="false" outlineLevel="0" collapsed="false">
      <c r="A15" s="12"/>
      <c r="B15" s="13"/>
      <c r="C15" s="14"/>
      <c r="D15" s="15"/>
      <c r="E15" s="16"/>
      <c r="F15" s="13"/>
      <c r="G15" s="12"/>
      <c r="H15" s="17" t="str">
        <f aca="false">IF(OR(A15="",E15="",E15=0),"",D15/E15)</f>
        <v/>
      </c>
      <c r="I15" s="18" t="str">
        <f aca="true">IF(OR(A15="",C15=""),"",MAX(0,(TODAY()-C15)/365.25))</f>
        <v/>
      </c>
      <c r="J15" s="17" t="str">
        <f aca="false">IF(OR(H15="",I15=""),"",MIN(D15,H15*I15))</f>
        <v/>
      </c>
      <c r="K15" s="17" t="str">
        <f aca="false">IF(J15="","",D15-J15)</f>
        <v/>
      </c>
      <c r="L15" s="19" t="str">
        <f aca="false">IF(K15="","",IF(K15&lt;=0,"Ömrünü doldurdu","Kullanımda"))</f>
        <v/>
      </c>
    </row>
    <row r="16" customFormat="false" ht="15" hidden="false" customHeight="false" outlineLevel="0" collapsed="false">
      <c r="A16" s="12"/>
      <c r="B16" s="13"/>
      <c r="C16" s="14"/>
      <c r="D16" s="15"/>
      <c r="E16" s="16"/>
      <c r="F16" s="13"/>
      <c r="G16" s="12"/>
      <c r="H16" s="17" t="str">
        <f aca="false">IF(OR(A16="",E16="",E16=0),"",D16/E16)</f>
        <v/>
      </c>
      <c r="I16" s="18" t="str">
        <f aca="true">IF(OR(A16="",C16=""),"",MAX(0,(TODAY()-C16)/365.25))</f>
        <v/>
      </c>
      <c r="J16" s="17" t="str">
        <f aca="false">IF(OR(H16="",I16=""),"",MIN(D16,H16*I16))</f>
        <v/>
      </c>
      <c r="K16" s="17" t="str">
        <f aca="false">IF(J16="","",D16-J16)</f>
        <v/>
      </c>
      <c r="L16" s="19" t="str">
        <f aca="false">IF(K16="","",IF(K16&lt;=0,"Ömrünü doldurdu","Kullanımda"))</f>
        <v/>
      </c>
    </row>
    <row r="17" customFormat="false" ht="15" hidden="false" customHeight="false" outlineLevel="0" collapsed="false">
      <c r="A17" s="12"/>
      <c r="B17" s="13"/>
      <c r="C17" s="14"/>
      <c r="D17" s="15"/>
      <c r="E17" s="16"/>
      <c r="F17" s="13"/>
      <c r="G17" s="12"/>
      <c r="H17" s="17" t="str">
        <f aca="false">IF(OR(A17="",E17="",E17=0),"",D17/E17)</f>
        <v/>
      </c>
      <c r="I17" s="18" t="str">
        <f aca="true">IF(OR(A17="",C17=""),"",MAX(0,(TODAY()-C17)/365.25))</f>
        <v/>
      </c>
      <c r="J17" s="17" t="str">
        <f aca="false">IF(OR(H17="",I17=""),"",MIN(D17,H17*I17))</f>
        <v/>
      </c>
      <c r="K17" s="17" t="str">
        <f aca="false">IF(J17="","",D17-J17)</f>
        <v/>
      </c>
      <c r="L17" s="19" t="str">
        <f aca="false">IF(K17="","",IF(K17&lt;=0,"Ömrünü doldurdu","Kullanımda"))</f>
        <v/>
      </c>
    </row>
    <row r="18" customFormat="false" ht="15" hidden="false" customHeight="false" outlineLevel="0" collapsed="false">
      <c r="A18" s="12"/>
      <c r="B18" s="13"/>
      <c r="C18" s="14"/>
      <c r="D18" s="15"/>
      <c r="E18" s="16"/>
      <c r="F18" s="13"/>
      <c r="G18" s="12"/>
      <c r="H18" s="17" t="str">
        <f aca="false">IF(OR(A18="",E18="",E18=0),"",D18/E18)</f>
        <v/>
      </c>
      <c r="I18" s="18" t="str">
        <f aca="true">IF(OR(A18="",C18=""),"",MAX(0,(TODAY()-C18)/365.25))</f>
        <v/>
      </c>
      <c r="J18" s="17" t="str">
        <f aca="false">IF(OR(H18="",I18=""),"",MIN(D18,H18*I18))</f>
        <v/>
      </c>
      <c r="K18" s="17" t="str">
        <f aca="false">IF(J18="","",D18-J18)</f>
        <v/>
      </c>
      <c r="L18" s="19" t="str">
        <f aca="false">IF(K18="","",IF(K18&lt;=0,"Ömrünü doldurdu","Kullanımda"))</f>
        <v/>
      </c>
    </row>
    <row r="19" customFormat="false" ht="15" hidden="false" customHeight="false" outlineLevel="0" collapsed="false">
      <c r="A19" s="12"/>
      <c r="B19" s="13"/>
      <c r="C19" s="14"/>
      <c r="D19" s="15"/>
      <c r="E19" s="16"/>
      <c r="F19" s="13"/>
      <c r="G19" s="12"/>
      <c r="H19" s="17" t="str">
        <f aca="false">IF(OR(A19="",E19="",E19=0),"",D19/E19)</f>
        <v/>
      </c>
      <c r="I19" s="18" t="str">
        <f aca="true">IF(OR(A19="",C19=""),"",MAX(0,(TODAY()-C19)/365.25))</f>
        <v/>
      </c>
      <c r="J19" s="17" t="str">
        <f aca="false">IF(OR(H19="",I19=""),"",MIN(D19,H19*I19))</f>
        <v/>
      </c>
      <c r="K19" s="17" t="str">
        <f aca="false">IF(J19="","",D19-J19)</f>
        <v/>
      </c>
      <c r="L19" s="19" t="str">
        <f aca="false">IF(K19="","",IF(K19&lt;=0,"Ömrünü doldurdu","Kullanımda"))</f>
        <v/>
      </c>
    </row>
    <row r="20" customFormat="false" ht="15" hidden="false" customHeight="false" outlineLevel="0" collapsed="false">
      <c r="A20" s="12"/>
      <c r="B20" s="13"/>
      <c r="C20" s="14"/>
      <c r="D20" s="15"/>
      <c r="E20" s="16"/>
      <c r="F20" s="13"/>
      <c r="G20" s="12"/>
      <c r="H20" s="17" t="str">
        <f aca="false">IF(OR(A20="",E20="",E20=0),"",D20/E20)</f>
        <v/>
      </c>
      <c r="I20" s="18" t="str">
        <f aca="true">IF(OR(A20="",C20=""),"",MAX(0,(TODAY()-C20)/365.25))</f>
        <v/>
      </c>
      <c r="J20" s="17" t="str">
        <f aca="false">IF(OR(H20="",I20=""),"",MIN(D20,H20*I20))</f>
        <v/>
      </c>
      <c r="K20" s="17" t="str">
        <f aca="false">IF(J20="","",D20-J20)</f>
        <v/>
      </c>
      <c r="L20" s="19" t="str">
        <f aca="false">IF(K20="","",IF(K20&lt;=0,"Ömrünü doldurdu","Kullanımda"))</f>
        <v/>
      </c>
    </row>
    <row r="21" customFormat="false" ht="15" hidden="false" customHeight="false" outlineLevel="0" collapsed="false">
      <c r="A21" s="12"/>
      <c r="B21" s="13"/>
      <c r="C21" s="14"/>
      <c r="D21" s="15"/>
      <c r="E21" s="16"/>
      <c r="F21" s="13"/>
      <c r="G21" s="12"/>
      <c r="H21" s="17" t="str">
        <f aca="false">IF(OR(A21="",E21="",E21=0),"",D21/E21)</f>
        <v/>
      </c>
      <c r="I21" s="18" t="str">
        <f aca="true">IF(OR(A21="",C21=""),"",MAX(0,(TODAY()-C21)/365.25))</f>
        <v/>
      </c>
      <c r="J21" s="17" t="str">
        <f aca="false">IF(OR(H21="",I21=""),"",MIN(D21,H21*I21))</f>
        <v/>
      </c>
      <c r="K21" s="17" t="str">
        <f aca="false">IF(J21="","",D21-J21)</f>
        <v/>
      </c>
      <c r="L21" s="19" t="str">
        <f aca="false">IF(K21="","",IF(K21&lt;=0,"Ömrünü doldurdu","Kullanımda"))</f>
        <v/>
      </c>
    </row>
    <row r="22" customFormat="false" ht="15" hidden="false" customHeight="false" outlineLevel="0" collapsed="false">
      <c r="A22" s="12"/>
      <c r="B22" s="13"/>
      <c r="C22" s="14"/>
      <c r="D22" s="15"/>
      <c r="E22" s="16"/>
      <c r="F22" s="13"/>
      <c r="G22" s="12"/>
      <c r="H22" s="17" t="str">
        <f aca="false">IF(OR(A22="",E22="",E22=0),"",D22/E22)</f>
        <v/>
      </c>
      <c r="I22" s="18" t="str">
        <f aca="true">IF(OR(A22="",C22=""),"",MAX(0,(TODAY()-C22)/365.25))</f>
        <v/>
      </c>
      <c r="J22" s="17" t="str">
        <f aca="false">IF(OR(H22="",I22=""),"",MIN(D22,H22*I22))</f>
        <v/>
      </c>
      <c r="K22" s="17" t="str">
        <f aca="false">IF(J22="","",D22-J22)</f>
        <v/>
      </c>
      <c r="L22" s="19" t="str">
        <f aca="false">IF(K22="","",IF(K22&lt;=0,"Ömrünü doldurdu","Kullanımda"))</f>
        <v/>
      </c>
    </row>
    <row r="23" customFormat="false" ht="15" hidden="false" customHeight="false" outlineLevel="0" collapsed="false">
      <c r="A23" s="12"/>
      <c r="B23" s="13"/>
      <c r="C23" s="14"/>
      <c r="D23" s="15"/>
      <c r="E23" s="16"/>
      <c r="F23" s="13"/>
      <c r="G23" s="12"/>
      <c r="H23" s="17" t="str">
        <f aca="false">IF(OR(A23="",E23="",E23=0),"",D23/E23)</f>
        <v/>
      </c>
      <c r="I23" s="18" t="str">
        <f aca="true">IF(OR(A23="",C23=""),"",MAX(0,(TODAY()-C23)/365.25))</f>
        <v/>
      </c>
      <c r="J23" s="17" t="str">
        <f aca="false">IF(OR(H23="",I23=""),"",MIN(D23,H23*I23))</f>
        <v/>
      </c>
      <c r="K23" s="17" t="str">
        <f aca="false">IF(J23="","",D23-J23)</f>
        <v/>
      </c>
      <c r="L23" s="19" t="str">
        <f aca="false">IF(K23="","",IF(K23&lt;=0,"Ömrünü doldurdu","Kullanımda"))</f>
        <v/>
      </c>
    </row>
    <row r="24" customFormat="false" ht="15" hidden="false" customHeight="false" outlineLevel="0" collapsed="false">
      <c r="A24" s="12"/>
      <c r="B24" s="13"/>
      <c r="C24" s="14"/>
      <c r="D24" s="15"/>
      <c r="E24" s="16"/>
      <c r="F24" s="13"/>
      <c r="G24" s="12"/>
      <c r="H24" s="17" t="str">
        <f aca="false">IF(OR(A24="",E24="",E24=0),"",D24/E24)</f>
        <v/>
      </c>
      <c r="I24" s="18" t="str">
        <f aca="true">IF(OR(A24="",C24=""),"",MAX(0,(TODAY()-C24)/365.25))</f>
        <v/>
      </c>
      <c r="J24" s="17" t="str">
        <f aca="false">IF(OR(H24="",I24=""),"",MIN(D24,H24*I24))</f>
        <v/>
      </c>
      <c r="K24" s="17" t="str">
        <f aca="false">IF(J24="","",D24-J24)</f>
        <v/>
      </c>
      <c r="L24" s="19" t="str">
        <f aca="false">IF(K24="","",IF(K24&lt;=0,"Ömrünü doldurdu","Kullanımda"))</f>
        <v/>
      </c>
    </row>
    <row r="25" customFormat="false" ht="15" hidden="false" customHeight="false" outlineLevel="0" collapsed="false">
      <c r="A25" s="12"/>
      <c r="B25" s="13"/>
      <c r="C25" s="14"/>
      <c r="D25" s="15"/>
      <c r="E25" s="16"/>
      <c r="F25" s="13"/>
      <c r="G25" s="12"/>
      <c r="H25" s="17" t="str">
        <f aca="false">IF(OR(A25="",E25="",E25=0),"",D25/E25)</f>
        <v/>
      </c>
      <c r="I25" s="18" t="str">
        <f aca="true">IF(OR(A25="",C25=""),"",MAX(0,(TODAY()-C25)/365.25))</f>
        <v/>
      </c>
      <c r="J25" s="17" t="str">
        <f aca="false">IF(OR(H25="",I25=""),"",MIN(D25,H25*I25))</f>
        <v/>
      </c>
      <c r="K25" s="17" t="str">
        <f aca="false">IF(J25="","",D25-J25)</f>
        <v/>
      </c>
      <c r="L25" s="19" t="str">
        <f aca="false">IF(K25="","",IF(K25&lt;=0,"Ömrünü doldurdu","Kullanımda"))</f>
        <v/>
      </c>
    </row>
    <row r="26" customFormat="false" ht="15" hidden="false" customHeight="false" outlineLevel="0" collapsed="false">
      <c r="A26" s="12"/>
      <c r="B26" s="13"/>
      <c r="C26" s="14"/>
      <c r="D26" s="15"/>
      <c r="E26" s="16"/>
      <c r="F26" s="13"/>
      <c r="G26" s="12"/>
      <c r="H26" s="17" t="str">
        <f aca="false">IF(OR(A26="",E26="",E26=0),"",D26/E26)</f>
        <v/>
      </c>
      <c r="I26" s="18" t="str">
        <f aca="true">IF(OR(A26="",C26=""),"",MAX(0,(TODAY()-C26)/365.25))</f>
        <v/>
      </c>
      <c r="J26" s="17" t="str">
        <f aca="false">IF(OR(H26="",I26=""),"",MIN(D26,H26*I26))</f>
        <v/>
      </c>
      <c r="K26" s="17" t="str">
        <f aca="false">IF(J26="","",D26-J26)</f>
        <v/>
      </c>
      <c r="L26" s="19" t="str">
        <f aca="false">IF(K26="","",IF(K26&lt;=0,"Ömrünü doldurdu","Kullanımda"))</f>
        <v/>
      </c>
    </row>
    <row r="27" customFormat="false" ht="15" hidden="false" customHeight="false" outlineLevel="0" collapsed="false">
      <c r="A27" s="12"/>
      <c r="B27" s="13"/>
      <c r="C27" s="14"/>
      <c r="D27" s="15"/>
      <c r="E27" s="16"/>
      <c r="F27" s="13"/>
      <c r="G27" s="12"/>
      <c r="H27" s="17" t="str">
        <f aca="false">IF(OR(A27="",E27="",E27=0),"",D27/E27)</f>
        <v/>
      </c>
      <c r="I27" s="18" t="str">
        <f aca="true">IF(OR(A27="",C27=""),"",MAX(0,(TODAY()-C27)/365.25))</f>
        <v/>
      </c>
      <c r="J27" s="17" t="str">
        <f aca="false">IF(OR(H27="",I27=""),"",MIN(D27,H27*I27))</f>
        <v/>
      </c>
      <c r="K27" s="17" t="str">
        <f aca="false">IF(J27="","",D27-J27)</f>
        <v/>
      </c>
      <c r="L27" s="19" t="str">
        <f aca="false">IF(K27="","",IF(K27&lt;=0,"Ömrünü doldurdu","Kullanımda"))</f>
        <v/>
      </c>
    </row>
    <row r="28" customFormat="false" ht="15" hidden="false" customHeight="false" outlineLevel="0" collapsed="false">
      <c r="A28" s="12"/>
      <c r="B28" s="13"/>
      <c r="C28" s="14"/>
      <c r="D28" s="15"/>
      <c r="E28" s="16"/>
      <c r="F28" s="13"/>
      <c r="G28" s="12"/>
      <c r="H28" s="17" t="str">
        <f aca="false">IF(OR(A28="",E28="",E28=0),"",D28/E28)</f>
        <v/>
      </c>
      <c r="I28" s="18" t="str">
        <f aca="true">IF(OR(A28="",C28=""),"",MAX(0,(TODAY()-C28)/365.25))</f>
        <v/>
      </c>
      <c r="J28" s="17" t="str">
        <f aca="false">IF(OR(H28="",I28=""),"",MIN(D28,H28*I28))</f>
        <v/>
      </c>
      <c r="K28" s="17" t="str">
        <f aca="false">IF(J28="","",D28-J28)</f>
        <v/>
      </c>
      <c r="L28" s="19" t="str">
        <f aca="false">IF(K28="","",IF(K28&lt;=0,"Ömrünü doldurdu","Kullanımda"))</f>
        <v/>
      </c>
    </row>
    <row r="29" customFormat="false" ht="15" hidden="false" customHeight="false" outlineLevel="0" collapsed="false">
      <c r="A29" s="12"/>
      <c r="B29" s="13"/>
      <c r="C29" s="14"/>
      <c r="D29" s="15"/>
      <c r="E29" s="16"/>
      <c r="F29" s="13"/>
      <c r="G29" s="12"/>
      <c r="H29" s="17" t="str">
        <f aca="false">IF(OR(A29="",E29="",E29=0),"",D29/E29)</f>
        <v/>
      </c>
      <c r="I29" s="18" t="str">
        <f aca="true">IF(OR(A29="",C29=""),"",MAX(0,(TODAY()-C29)/365.25))</f>
        <v/>
      </c>
      <c r="J29" s="17" t="str">
        <f aca="false">IF(OR(H29="",I29=""),"",MIN(D29,H29*I29))</f>
        <v/>
      </c>
      <c r="K29" s="17" t="str">
        <f aca="false">IF(J29="","",D29-J29)</f>
        <v/>
      </c>
      <c r="L29" s="19" t="str">
        <f aca="false">IF(K29="","",IF(K29&lt;=0,"Ömrünü doldurdu","Kullanımda"))</f>
        <v/>
      </c>
    </row>
    <row r="30" customFormat="false" ht="15" hidden="false" customHeight="false" outlineLevel="0" collapsed="false">
      <c r="A30" s="12"/>
      <c r="B30" s="13"/>
      <c r="C30" s="14"/>
      <c r="D30" s="15"/>
      <c r="E30" s="16"/>
      <c r="F30" s="13"/>
      <c r="G30" s="12"/>
      <c r="H30" s="17" t="str">
        <f aca="false">IF(OR(A30="",E30="",E30=0),"",D30/E30)</f>
        <v/>
      </c>
      <c r="I30" s="18" t="str">
        <f aca="true">IF(OR(A30="",C30=""),"",MAX(0,(TODAY()-C30)/365.25))</f>
        <v/>
      </c>
      <c r="J30" s="17" t="str">
        <f aca="false">IF(OR(H30="",I30=""),"",MIN(D30,H30*I30))</f>
        <v/>
      </c>
      <c r="K30" s="17" t="str">
        <f aca="false">IF(J30="","",D30-J30)</f>
        <v/>
      </c>
      <c r="L30" s="19" t="str">
        <f aca="false">IF(K30="","",IF(K30&lt;=0,"Ömrünü doldurdu","Kullanımda"))</f>
        <v/>
      </c>
    </row>
    <row r="31" customFormat="false" ht="15" hidden="false" customHeight="false" outlineLevel="0" collapsed="false">
      <c r="A31" s="12"/>
      <c r="B31" s="13"/>
      <c r="C31" s="14"/>
      <c r="D31" s="15"/>
      <c r="E31" s="16"/>
      <c r="F31" s="13"/>
      <c r="G31" s="12"/>
      <c r="H31" s="17" t="str">
        <f aca="false">IF(OR(A31="",E31="",E31=0),"",D31/E31)</f>
        <v/>
      </c>
      <c r="I31" s="18" t="str">
        <f aca="true">IF(OR(A31="",C31=""),"",MAX(0,(TODAY()-C31)/365.25))</f>
        <v/>
      </c>
      <c r="J31" s="17" t="str">
        <f aca="false">IF(OR(H31="",I31=""),"",MIN(D31,H31*I31))</f>
        <v/>
      </c>
      <c r="K31" s="17" t="str">
        <f aca="false">IF(J31="","",D31-J31)</f>
        <v/>
      </c>
      <c r="L31" s="19" t="str">
        <f aca="false">IF(K31="","",IF(K31&lt;=0,"Ömrünü doldurdu","Kullanımda"))</f>
        <v/>
      </c>
    </row>
    <row r="32" customFormat="false" ht="15" hidden="false" customHeight="false" outlineLevel="0" collapsed="false">
      <c r="A32" s="12"/>
      <c r="B32" s="13"/>
      <c r="C32" s="14"/>
      <c r="D32" s="15"/>
      <c r="E32" s="16"/>
      <c r="F32" s="13"/>
      <c r="G32" s="12"/>
      <c r="H32" s="17" t="str">
        <f aca="false">IF(OR(A32="",E32="",E32=0),"",D32/E32)</f>
        <v/>
      </c>
      <c r="I32" s="18" t="str">
        <f aca="true">IF(OR(A32="",C32=""),"",MAX(0,(TODAY()-C32)/365.25))</f>
        <v/>
      </c>
      <c r="J32" s="17" t="str">
        <f aca="false">IF(OR(H32="",I32=""),"",MIN(D32,H32*I32))</f>
        <v/>
      </c>
      <c r="K32" s="17" t="str">
        <f aca="false">IF(J32="","",D32-J32)</f>
        <v/>
      </c>
      <c r="L32" s="19" t="str">
        <f aca="false">IF(K32="","",IF(K32&lt;=0,"Ömrünü doldurdu","Kullanımda"))</f>
        <v/>
      </c>
    </row>
    <row r="33" customFormat="false" ht="15" hidden="false" customHeight="false" outlineLevel="0" collapsed="false">
      <c r="A33" s="12"/>
      <c r="B33" s="13"/>
      <c r="C33" s="14"/>
      <c r="D33" s="15"/>
      <c r="E33" s="16"/>
      <c r="F33" s="13"/>
      <c r="G33" s="12"/>
      <c r="H33" s="17" t="str">
        <f aca="false">IF(OR(A33="",E33="",E33=0),"",D33/E33)</f>
        <v/>
      </c>
      <c r="I33" s="18" t="str">
        <f aca="true">IF(OR(A33="",C33=""),"",MAX(0,(TODAY()-C33)/365.25))</f>
        <v/>
      </c>
      <c r="J33" s="17" t="str">
        <f aca="false">IF(OR(H33="",I33=""),"",MIN(D33,H33*I33))</f>
        <v/>
      </c>
      <c r="K33" s="17" t="str">
        <f aca="false">IF(J33="","",D33-J33)</f>
        <v/>
      </c>
      <c r="L33" s="19" t="str">
        <f aca="false">IF(K33="","",IF(K33&lt;=0,"Ömrünü doldurdu","Kullanımda"))</f>
        <v/>
      </c>
    </row>
    <row r="34" customFormat="false" ht="15" hidden="false" customHeight="false" outlineLevel="0" collapsed="false">
      <c r="A34" s="12"/>
      <c r="B34" s="13"/>
      <c r="C34" s="14"/>
      <c r="D34" s="15"/>
      <c r="E34" s="16"/>
      <c r="F34" s="13"/>
      <c r="G34" s="12"/>
      <c r="H34" s="17" t="str">
        <f aca="false">IF(OR(A34="",E34="",E34=0),"",D34/E34)</f>
        <v/>
      </c>
      <c r="I34" s="18" t="str">
        <f aca="true">IF(OR(A34="",C34=""),"",MAX(0,(TODAY()-C34)/365.25))</f>
        <v/>
      </c>
      <c r="J34" s="17" t="str">
        <f aca="false">IF(OR(H34="",I34=""),"",MIN(D34,H34*I34))</f>
        <v/>
      </c>
      <c r="K34" s="17" t="str">
        <f aca="false">IF(J34="","",D34-J34)</f>
        <v/>
      </c>
      <c r="L34" s="19" t="str">
        <f aca="false">IF(K34="","",IF(K34&lt;=0,"Ömrünü doldurdu","Kullanımda"))</f>
        <v/>
      </c>
    </row>
    <row r="35" customFormat="false" ht="15" hidden="false" customHeight="false" outlineLevel="0" collapsed="false">
      <c r="A35" s="12"/>
      <c r="B35" s="13"/>
      <c r="C35" s="14"/>
      <c r="D35" s="15"/>
      <c r="E35" s="16"/>
      <c r="F35" s="13"/>
      <c r="G35" s="12"/>
      <c r="H35" s="17" t="str">
        <f aca="false">IF(OR(A35="",E35="",E35=0),"",D35/E35)</f>
        <v/>
      </c>
      <c r="I35" s="18" t="str">
        <f aca="true">IF(OR(A35="",C35=""),"",MAX(0,(TODAY()-C35)/365.25))</f>
        <v/>
      </c>
      <c r="J35" s="17" t="str">
        <f aca="false">IF(OR(H35="",I35=""),"",MIN(D35,H35*I35))</f>
        <v/>
      </c>
      <c r="K35" s="17" t="str">
        <f aca="false">IF(J35="","",D35-J35)</f>
        <v/>
      </c>
      <c r="L35" s="19" t="str">
        <f aca="false">IF(K35="","",IF(K35&lt;=0,"Ömrünü doldurdu","Kullanımda"))</f>
        <v/>
      </c>
    </row>
    <row r="36" customFormat="false" ht="15" hidden="false" customHeight="false" outlineLevel="0" collapsed="false">
      <c r="A36" s="12"/>
      <c r="B36" s="13"/>
      <c r="C36" s="14"/>
      <c r="D36" s="15"/>
      <c r="E36" s="16"/>
      <c r="F36" s="13"/>
      <c r="G36" s="12"/>
      <c r="H36" s="17" t="str">
        <f aca="false">IF(OR(A36="",E36="",E36=0),"",D36/E36)</f>
        <v/>
      </c>
      <c r="I36" s="18" t="str">
        <f aca="true">IF(OR(A36="",C36=""),"",MAX(0,(TODAY()-C36)/365.25))</f>
        <v/>
      </c>
      <c r="J36" s="17" t="str">
        <f aca="false">IF(OR(H36="",I36=""),"",MIN(D36,H36*I36))</f>
        <v/>
      </c>
      <c r="K36" s="17" t="str">
        <f aca="false">IF(J36="","",D36-J36)</f>
        <v/>
      </c>
      <c r="L36" s="19" t="str">
        <f aca="false">IF(K36="","",IF(K36&lt;=0,"Ömrünü doldurdu","Kullanımda"))</f>
        <v/>
      </c>
    </row>
    <row r="37" customFormat="false" ht="15" hidden="false" customHeight="false" outlineLevel="0" collapsed="false">
      <c r="A37" s="12"/>
      <c r="B37" s="13"/>
      <c r="C37" s="14"/>
      <c r="D37" s="15"/>
      <c r="E37" s="16"/>
      <c r="F37" s="13"/>
      <c r="G37" s="12"/>
      <c r="H37" s="17" t="str">
        <f aca="false">IF(OR(A37="",E37="",E37=0),"",D37/E37)</f>
        <v/>
      </c>
      <c r="I37" s="18" t="str">
        <f aca="true">IF(OR(A37="",C37=""),"",MAX(0,(TODAY()-C37)/365.25))</f>
        <v/>
      </c>
      <c r="J37" s="17" t="str">
        <f aca="false">IF(OR(H37="",I37=""),"",MIN(D37,H37*I37))</f>
        <v/>
      </c>
      <c r="K37" s="17" t="str">
        <f aca="false">IF(J37="","",D37-J37)</f>
        <v/>
      </c>
      <c r="L37" s="19" t="str">
        <f aca="false">IF(K37="","",IF(K37&lt;=0,"Ömrünü doldurdu","Kullanımda"))</f>
        <v/>
      </c>
    </row>
    <row r="38" customFormat="false" ht="15" hidden="false" customHeight="false" outlineLevel="0" collapsed="false">
      <c r="A38" s="12"/>
      <c r="B38" s="13"/>
      <c r="C38" s="14"/>
      <c r="D38" s="15"/>
      <c r="E38" s="16"/>
      <c r="F38" s="13"/>
      <c r="G38" s="12"/>
      <c r="H38" s="17" t="str">
        <f aca="false">IF(OR(A38="",E38="",E38=0),"",D38/E38)</f>
        <v/>
      </c>
      <c r="I38" s="18" t="str">
        <f aca="true">IF(OR(A38="",C38=""),"",MAX(0,(TODAY()-C38)/365.25))</f>
        <v/>
      </c>
      <c r="J38" s="17" t="str">
        <f aca="false">IF(OR(H38="",I38=""),"",MIN(D38,H38*I38))</f>
        <v/>
      </c>
      <c r="K38" s="17" t="str">
        <f aca="false">IF(J38="","",D38-J38)</f>
        <v/>
      </c>
      <c r="L38" s="19" t="str">
        <f aca="false">IF(K38="","",IF(K38&lt;=0,"Ömrünü doldurdu","Kullanımda"))</f>
        <v/>
      </c>
    </row>
    <row r="39" customFormat="false" ht="15" hidden="false" customHeight="false" outlineLevel="0" collapsed="false">
      <c r="A39" s="12"/>
      <c r="B39" s="13"/>
      <c r="C39" s="14"/>
      <c r="D39" s="15"/>
      <c r="E39" s="16"/>
      <c r="F39" s="13"/>
      <c r="G39" s="12"/>
      <c r="H39" s="17" t="str">
        <f aca="false">IF(OR(A39="",E39="",E39=0),"",D39/E39)</f>
        <v/>
      </c>
      <c r="I39" s="18" t="str">
        <f aca="true">IF(OR(A39="",C39=""),"",MAX(0,(TODAY()-C39)/365.25))</f>
        <v/>
      </c>
      <c r="J39" s="17" t="str">
        <f aca="false">IF(OR(H39="",I39=""),"",MIN(D39,H39*I39))</f>
        <v/>
      </c>
      <c r="K39" s="17" t="str">
        <f aca="false">IF(J39="","",D39-J39)</f>
        <v/>
      </c>
      <c r="L39" s="19" t="str">
        <f aca="false">IF(K39="","",IF(K39&lt;=0,"Ömrünü doldurdu","Kullanımda"))</f>
        <v/>
      </c>
    </row>
    <row r="40" customFormat="false" ht="15" hidden="false" customHeight="false" outlineLevel="0" collapsed="false">
      <c r="A40" s="12"/>
      <c r="B40" s="13"/>
      <c r="C40" s="14"/>
      <c r="D40" s="15"/>
      <c r="E40" s="16"/>
      <c r="F40" s="13"/>
      <c r="G40" s="12"/>
      <c r="H40" s="17" t="str">
        <f aca="false">IF(OR(A40="",E40="",E40=0),"",D40/E40)</f>
        <v/>
      </c>
      <c r="I40" s="18" t="str">
        <f aca="true">IF(OR(A40="",C40=""),"",MAX(0,(TODAY()-C40)/365.25))</f>
        <v/>
      </c>
      <c r="J40" s="17" t="str">
        <f aca="false">IF(OR(H40="",I40=""),"",MIN(D40,H40*I40))</f>
        <v/>
      </c>
      <c r="K40" s="17" t="str">
        <f aca="false">IF(J40="","",D40-J40)</f>
        <v/>
      </c>
      <c r="L40" s="19" t="str">
        <f aca="false">IF(K40="","",IF(K40&lt;=0,"Ömrünü doldurdu","Kullanımda"))</f>
        <v/>
      </c>
    </row>
    <row r="41" customFormat="false" ht="15" hidden="false" customHeight="false" outlineLevel="0" collapsed="false">
      <c r="A41" s="12"/>
      <c r="B41" s="13"/>
      <c r="C41" s="14"/>
      <c r="D41" s="15"/>
      <c r="E41" s="16"/>
      <c r="F41" s="13"/>
      <c r="G41" s="12"/>
      <c r="H41" s="17" t="str">
        <f aca="false">IF(OR(A41="",E41="",E41=0),"",D41/E41)</f>
        <v/>
      </c>
      <c r="I41" s="18" t="str">
        <f aca="true">IF(OR(A41="",C41=""),"",MAX(0,(TODAY()-C41)/365.25))</f>
        <v/>
      </c>
      <c r="J41" s="17" t="str">
        <f aca="false">IF(OR(H41="",I41=""),"",MIN(D41,H41*I41))</f>
        <v/>
      </c>
      <c r="K41" s="17" t="str">
        <f aca="false">IF(J41="","",D41-J41)</f>
        <v/>
      </c>
      <c r="L41" s="19" t="str">
        <f aca="false">IF(K41="","",IF(K41&lt;=0,"Ömrünü doldurdu","Kullanımda"))</f>
        <v/>
      </c>
    </row>
    <row r="42" customFormat="false" ht="15" hidden="false" customHeight="false" outlineLevel="0" collapsed="false">
      <c r="A42" s="12"/>
      <c r="B42" s="13"/>
      <c r="C42" s="14"/>
      <c r="D42" s="15"/>
      <c r="E42" s="16"/>
      <c r="F42" s="13"/>
      <c r="G42" s="12"/>
      <c r="H42" s="17" t="str">
        <f aca="false">IF(OR(A42="",E42="",E42=0),"",D42/E42)</f>
        <v/>
      </c>
      <c r="I42" s="18" t="str">
        <f aca="true">IF(OR(A42="",C42=""),"",MAX(0,(TODAY()-C42)/365.25))</f>
        <v/>
      </c>
      <c r="J42" s="17" t="str">
        <f aca="false">IF(OR(H42="",I42=""),"",MIN(D42,H42*I42))</f>
        <v/>
      </c>
      <c r="K42" s="17" t="str">
        <f aca="false">IF(J42="","",D42-J42)</f>
        <v/>
      </c>
      <c r="L42" s="19" t="str">
        <f aca="false">IF(K42="","",IF(K42&lt;=0,"Ömrünü doldurdu","Kullanımda"))</f>
        <v/>
      </c>
    </row>
    <row r="43" customFormat="false" ht="15" hidden="false" customHeight="false" outlineLevel="0" collapsed="false">
      <c r="A43" s="12"/>
      <c r="B43" s="13"/>
      <c r="C43" s="14"/>
      <c r="D43" s="15"/>
      <c r="E43" s="16"/>
      <c r="F43" s="13"/>
      <c r="G43" s="12"/>
      <c r="H43" s="17" t="str">
        <f aca="false">IF(OR(A43="",E43="",E43=0),"",D43/E43)</f>
        <v/>
      </c>
      <c r="I43" s="18" t="str">
        <f aca="true">IF(OR(A43="",C43=""),"",MAX(0,(TODAY()-C43)/365.25))</f>
        <v/>
      </c>
      <c r="J43" s="17" t="str">
        <f aca="false">IF(OR(H43="",I43=""),"",MIN(D43,H43*I43))</f>
        <v/>
      </c>
      <c r="K43" s="17" t="str">
        <f aca="false">IF(J43="","",D43-J43)</f>
        <v/>
      </c>
      <c r="L43" s="19" t="str">
        <f aca="false">IF(K43="","",IF(K43&lt;=0,"Ömrünü doldurdu","Kullanımda"))</f>
        <v/>
      </c>
    </row>
    <row r="44" customFormat="false" ht="15" hidden="false" customHeight="false" outlineLevel="0" collapsed="false">
      <c r="A44" s="12"/>
      <c r="B44" s="13"/>
      <c r="C44" s="14"/>
      <c r="D44" s="15"/>
      <c r="E44" s="16"/>
      <c r="F44" s="13"/>
      <c r="G44" s="12"/>
      <c r="H44" s="17" t="str">
        <f aca="false">IF(OR(A44="",E44="",E44=0),"",D44/E44)</f>
        <v/>
      </c>
      <c r="I44" s="18" t="str">
        <f aca="true">IF(OR(A44="",C44=""),"",MAX(0,(TODAY()-C44)/365.25))</f>
        <v/>
      </c>
      <c r="J44" s="17" t="str">
        <f aca="false">IF(OR(H44="",I44=""),"",MIN(D44,H44*I44))</f>
        <v/>
      </c>
      <c r="K44" s="17" t="str">
        <f aca="false">IF(J44="","",D44-J44)</f>
        <v/>
      </c>
      <c r="L44" s="19" t="str">
        <f aca="false">IF(K44="","",IF(K44&lt;=0,"Ömrünü doldurdu","Kullanımda"))</f>
        <v/>
      </c>
    </row>
    <row r="45" customFormat="false" ht="15" hidden="false" customHeight="false" outlineLevel="0" collapsed="false">
      <c r="A45" s="12"/>
      <c r="B45" s="13"/>
      <c r="C45" s="14"/>
      <c r="D45" s="15"/>
      <c r="E45" s="16"/>
      <c r="F45" s="13"/>
      <c r="G45" s="12"/>
      <c r="H45" s="17" t="str">
        <f aca="false">IF(OR(A45="",E45="",E45=0),"",D45/E45)</f>
        <v/>
      </c>
      <c r="I45" s="18" t="str">
        <f aca="true">IF(OR(A45="",C45=""),"",MAX(0,(TODAY()-C45)/365.25))</f>
        <v/>
      </c>
      <c r="J45" s="17" t="str">
        <f aca="false">IF(OR(H45="",I45=""),"",MIN(D45,H45*I45))</f>
        <v/>
      </c>
      <c r="K45" s="17" t="str">
        <f aca="false">IF(J45="","",D45-J45)</f>
        <v/>
      </c>
      <c r="L45" s="19" t="str">
        <f aca="false">IF(K45="","",IF(K45&lt;=0,"Ömrünü doldurdu","Kullanımda"))</f>
        <v/>
      </c>
    </row>
    <row r="46" customFormat="false" ht="15" hidden="false" customHeight="false" outlineLevel="0" collapsed="false">
      <c r="A46" s="12"/>
      <c r="B46" s="13"/>
      <c r="C46" s="14"/>
      <c r="D46" s="15"/>
      <c r="E46" s="16"/>
      <c r="F46" s="13"/>
      <c r="G46" s="12"/>
      <c r="H46" s="17" t="str">
        <f aca="false">IF(OR(A46="",E46="",E46=0),"",D46/E46)</f>
        <v/>
      </c>
      <c r="I46" s="18" t="str">
        <f aca="true">IF(OR(A46="",C46=""),"",MAX(0,(TODAY()-C46)/365.25))</f>
        <v/>
      </c>
      <c r="J46" s="17" t="str">
        <f aca="false">IF(OR(H46="",I46=""),"",MIN(D46,H46*I46))</f>
        <v/>
      </c>
      <c r="K46" s="17" t="str">
        <f aca="false">IF(J46="","",D46-J46)</f>
        <v/>
      </c>
      <c r="L46" s="19" t="str">
        <f aca="false">IF(K46="","",IF(K46&lt;=0,"Ömrünü doldurdu","Kullanımda"))</f>
        <v/>
      </c>
    </row>
    <row r="47" customFormat="false" ht="15" hidden="false" customHeight="false" outlineLevel="0" collapsed="false">
      <c r="A47" s="12"/>
      <c r="B47" s="13"/>
      <c r="C47" s="14"/>
      <c r="D47" s="15"/>
      <c r="E47" s="16"/>
      <c r="F47" s="13"/>
      <c r="G47" s="12"/>
      <c r="H47" s="17" t="str">
        <f aca="false">IF(OR(A47="",E47="",E47=0),"",D47/E47)</f>
        <v/>
      </c>
      <c r="I47" s="18" t="str">
        <f aca="true">IF(OR(A47="",C47=""),"",MAX(0,(TODAY()-C47)/365.25))</f>
        <v/>
      </c>
      <c r="J47" s="17" t="str">
        <f aca="false">IF(OR(H47="",I47=""),"",MIN(D47,H47*I47))</f>
        <v/>
      </c>
      <c r="K47" s="17" t="str">
        <f aca="false">IF(J47="","",D47-J47)</f>
        <v/>
      </c>
      <c r="L47" s="19" t="str">
        <f aca="false">IF(K47="","",IF(K47&lt;=0,"Ömrünü doldurdu","Kullanımda"))</f>
        <v/>
      </c>
    </row>
    <row r="48" customFormat="false" ht="15" hidden="false" customHeight="false" outlineLevel="0" collapsed="false">
      <c r="A48" s="12"/>
      <c r="B48" s="13"/>
      <c r="C48" s="14"/>
      <c r="D48" s="15"/>
      <c r="E48" s="16"/>
      <c r="F48" s="13"/>
      <c r="G48" s="12"/>
      <c r="H48" s="17" t="str">
        <f aca="false">IF(OR(A48="",E48="",E48=0),"",D48/E48)</f>
        <v/>
      </c>
      <c r="I48" s="18" t="str">
        <f aca="true">IF(OR(A48="",C48=""),"",MAX(0,(TODAY()-C48)/365.25))</f>
        <v/>
      </c>
      <c r="J48" s="17" t="str">
        <f aca="false">IF(OR(H48="",I48=""),"",MIN(D48,H48*I48))</f>
        <v/>
      </c>
      <c r="K48" s="17" t="str">
        <f aca="false">IF(J48="","",D48-J48)</f>
        <v/>
      </c>
      <c r="L48" s="19" t="str">
        <f aca="false">IF(K48="","",IF(K48&lt;=0,"Ömrünü doldurdu","Kullanımda"))</f>
        <v/>
      </c>
    </row>
    <row r="49" customFormat="false" ht="15" hidden="false" customHeight="false" outlineLevel="0" collapsed="false">
      <c r="A49" s="12"/>
      <c r="B49" s="13"/>
      <c r="C49" s="14"/>
      <c r="D49" s="15"/>
      <c r="E49" s="16"/>
      <c r="F49" s="13"/>
      <c r="G49" s="12"/>
      <c r="H49" s="17" t="str">
        <f aca="false">IF(OR(A49="",E49="",E49=0),"",D49/E49)</f>
        <v/>
      </c>
      <c r="I49" s="18" t="str">
        <f aca="true">IF(OR(A49="",C49=""),"",MAX(0,(TODAY()-C49)/365.25))</f>
        <v/>
      </c>
      <c r="J49" s="17" t="str">
        <f aca="false">IF(OR(H49="",I49=""),"",MIN(D49,H49*I49))</f>
        <v/>
      </c>
      <c r="K49" s="17" t="str">
        <f aca="false">IF(J49="","",D49-J49)</f>
        <v/>
      </c>
      <c r="L49" s="19" t="str">
        <f aca="false">IF(K49="","",IF(K49&lt;=0,"Ömrünü doldurdu","Kullanımda"))</f>
        <v/>
      </c>
    </row>
    <row r="50" customFormat="false" ht="15" hidden="false" customHeight="false" outlineLevel="0" collapsed="false">
      <c r="A50" s="12"/>
      <c r="B50" s="13"/>
      <c r="C50" s="14"/>
      <c r="D50" s="15"/>
      <c r="E50" s="16"/>
      <c r="F50" s="13"/>
      <c r="G50" s="12"/>
      <c r="H50" s="17" t="str">
        <f aca="false">IF(OR(A50="",E50="",E50=0),"",D50/E50)</f>
        <v/>
      </c>
      <c r="I50" s="18" t="str">
        <f aca="true">IF(OR(A50="",C50=""),"",MAX(0,(TODAY()-C50)/365.25))</f>
        <v/>
      </c>
      <c r="J50" s="17" t="str">
        <f aca="false">IF(OR(H50="",I50=""),"",MIN(D50,H50*I50))</f>
        <v/>
      </c>
      <c r="K50" s="17" t="str">
        <f aca="false">IF(J50="","",D50-J50)</f>
        <v/>
      </c>
      <c r="L50" s="19" t="str">
        <f aca="false">IF(K50="","",IF(K50&lt;=0,"Ömrünü doldurdu","Kullanımda"))</f>
        <v/>
      </c>
    </row>
    <row r="51" customFormat="false" ht="15" hidden="false" customHeight="false" outlineLevel="0" collapsed="false">
      <c r="A51" s="12"/>
      <c r="B51" s="13"/>
      <c r="C51" s="14"/>
      <c r="D51" s="15"/>
      <c r="E51" s="16"/>
      <c r="F51" s="13"/>
      <c r="G51" s="12"/>
      <c r="H51" s="17" t="str">
        <f aca="false">IF(OR(A51="",E51="",E51=0),"",D51/E51)</f>
        <v/>
      </c>
      <c r="I51" s="18" t="str">
        <f aca="true">IF(OR(A51="",C51=""),"",MAX(0,(TODAY()-C51)/365.25))</f>
        <v/>
      </c>
      <c r="J51" s="17" t="str">
        <f aca="false">IF(OR(H51="",I51=""),"",MIN(D51,H51*I51))</f>
        <v/>
      </c>
      <c r="K51" s="17" t="str">
        <f aca="false">IF(J51="","",D51-J51)</f>
        <v/>
      </c>
      <c r="L51" s="19" t="str">
        <f aca="false">IF(K51="","",IF(K51&lt;=0,"Ömrünü doldurdu","Kullanımda"))</f>
        <v/>
      </c>
    </row>
    <row r="52" customFormat="false" ht="15" hidden="false" customHeight="false" outlineLevel="0" collapsed="false">
      <c r="A52" s="12"/>
      <c r="B52" s="13"/>
      <c r="C52" s="14"/>
      <c r="D52" s="15"/>
      <c r="E52" s="16"/>
      <c r="F52" s="13"/>
      <c r="G52" s="12"/>
      <c r="H52" s="17" t="str">
        <f aca="false">IF(OR(A52="",E52="",E52=0),"",D52/E52)</f>
        <v/>
      </c>
      <c r="I52" s="18" t="str">
        <f aca="true">IF(OR(A52="",C52=""),"",MAX(0,(TODAY()-C52)/365.25))</f>
        <v/>
      </c>
      <c r="J52" s="17" t="str">
        <f aca="false">IF(OR(H52="",I52=""),"",MIN(D52,H52*I52))</f>
        <v/>
      </c>
      <c r="K52" s="17" t="str">
        <f aca="false">IF(J52="","",D52-J52)</f>
        <v/>
      </c>
      <c r="L52" s="19" t="str">
        <f aca="false">IF(K52="","",IF(K52&lt;=0,"Ömrünü doldurdu","Kullanımda"))</f>
        <v/>
      </c>
    </row>
    <row r="53" customFormat="false" ht="15" hidden="false" customHeight="false" outlineLevel="0" collapsed="false">
      <c r="A53" s="12"/>
      <c r="B53" s="13"/>
      <c r="C53" s="14"/>
      <c r="D53" s="15"/>
      <c r="E53" s="16"/>
      <c r="F53" s="13"/>
      <c r="G53" s="12"/>
      <c r="H53" s="17" t="str">
        <f aca="false">IF(OR(A53="",E53="",E53=0),"",D53/E53)</f>
        <v/>
      </c>
      <c r="I53" s="18" t="str">
        <f aca="true">IF(OR(A53="",C53=""),"",MAX(0,(TODAY()-C53)/365.25))</f>
        <v/>
      </c>
      <c r="J53" s="17" t="str">
        <f aca="false">IF(OR(H53="",I53=""),"",MIN(D53,H53*I53))</f>
        <v/>
      </c>
      <c r="K53" s="17" t="str">
        <f aca="false">IF(J53="","",D53-J53)</f>
        <v/>
      </c>
      <c r="L53" s="19" t="str">
        <f aca="false">IF(K53="","",IF(K53&lt;=0,"Ömrünü doldurdu","Kullanımda"))</f>
        <v/>
      </c>
    </row>
    <row r="54" customFormat="false" ht="15" hidden="false" customHeight="false" outlineLevel="0" collapsed="false">
      <c r="A54" s="12"/>
      <c r="B54" s="13"/>
      <c r="C54" s="14"/>
      <c r="D54" s="15"/>
      <c r="E54" s="16"/>
      <c r="F54" s="13"/>
      <c r="G54" s="12"/>
      <c r="H54" s="17" t="str">
        <f aca="false">IF(OR(A54="",E54="",E54=0),"",D54/E54)</f>
        <v/>
      </c>
      <c r="I54" s="18" t="str">
        <f aca="true">IF(OR(A54="",C54=""),"",MAX(0,(TODAY()-C54)/365.25))</f>
        <v/>
      </c>
      <c r="J54" s="17" t="str">
        <f aca="false">IF(OR(H54="",I54=""),"",MIN(D54,H54*I54))</f>
        <v/>
      </c>
      <c r="K54" s="17" t="str">
        <f aca="false">IF(J54="","",D54-J54)</f>
        <v/>
      </c>
      <c r="L54" s="19" t="str">
        <f aca="false">IF(K54="","",IF(K54&lt;=0,"Ömrünü doldurdu","Kullanımda"))</f>
        <v/>
      </c>
    </row>
    <row r="55" customFormat="false" ht="15" hidden="false" customHeight="false" outlineLevel="0" collapsed="false">
      <c r="A55" s="12"/>
      <c r="B55" s="13"/>
      <c r="C55" s="14"/>
      <c r="D55" s="15"/>
      <c r="E55" s="16"/>
      <c r="F55" s="13"/>
      <c r="G55" s="12"/>
      <c r="H55" s="17" t="str">
        <f aca="false">IF(OR(A55="",E55="",E55=0),"",D55/E55)</f>
        <v/>
      </c>
      <c r="I55" s="18" t="str">
        <f aca="true">IF(OR(A55="",C55=""),"",MAX(0,(TODAY()-C55)/365.25))</f>
        <v/>
      </c>
      <c r="J55" s="17" t="str">
        <f aca="false">IF(OR(H55="",I55=""),"",MIN(D55,H55*I55))</f>
        <v/>
      </c>
      <c r="K55" s="17" t="str">
        <f aca="false">IF(J55="","",D55-J55)</f>
        <v/>
      </c>
      <c r="L55" s="19" t="str">
        <f aca="false">IF(K55="","",IF(K55&lt;=0,"Ömrünü doldurdu","Kullanımda"))</f>
        <v/>
      </c>
    </row>
    <row r="56" customFormat="false" ht="15" hidden="false" customHeight="false" outlineLevel="0" collapsed="false">
      <c r="A56" s="12"/>
      <c r="B56" s="13"/>
      <c r="C56" s="14"/>
      <c r="D56" s="15"/>
      <c r="E56" s="16"/>
      <c r="F56" s="13"/>
      <c r="G56" s="12"/>
      <c r="H56" s="17" t="str">
        <f aca="false">IF(OR(A56="",E56="",E56=0),"",D56/E56)</f>
        <v/>
      </c>
      <c r="I56" s="18" t="str">
        <f aca="true">IF(OR(A56="",C56=""),"",MAX(0,(TODAY()-C56)/365.25))</f>
        <v/>
      </c>
      <c r="J56" s="17" t="str">
        <f aca="false">IF(OR(H56="",I56=""),"",MIN(D56,H56*I56))</f>
        <v/>
      </c>
      <c r="K56" s="17" t="str">
        <f aca="false">IF(J56="","",D56-J56)</f>
        <v/>
      </c>
      <c r="L56" s="19" t="str">
        <f aca="false">IF(K56="","",IF(K56&lt;=0,"Ömrünü doldurdu","Kullanımda"))</f>
        <v/>
      </c>
    </row>
    <row r="57" customFormat="false" ht="15" hidden="false" customHeight="false" outlineLevel="0" collapsed="false">
      <c r="A57" s="12"/>
      <c r="B57" s="13"/>
      <c r="C57" s="14"/>
      <c r="D57" s="15"/>
      <c r="E57" s="16"/>
      <c r="F57" s="13"/>
      <c r="G57" s="12"/>
      <c r="H57" s="17" t="str">
        <f aca="false">IF(OR(A57="",E57="",E57=0),"",D57/E57)</f>
        <v/>
      </c>
      <c r="I57" s="18" t="str">
        <f aca="true">IF(OR(A57="",C57=""),"",MAX(0,(TODAY()-C57)/365.25))</f>
        <v/>
      </c>
      <c r="J57" s="17" t="str">
        <f aca="false">IF(OR(H57="",I57=""),"",MIN(D57,H57*I57))</f>
        <v/>
      </c>
      <c r="K57" s="17" t="str">
        <f aca="false">IF(J57="","",D57-J57)</f>
        <v/>
      </c>
      <c r="L57" s="19" t="str">
        <f aca="false">IF(K57="","",IF(K57&lt;=0,"Ömrünü doldurdu","Kullanımda"))</f>
        <v/>
      </c>
    </row>
    <row r="58" customFormat="false" ht="15" hidden="false" customHeight="false" outlineLevel="0" collapsed="false">
      <c r="A58" s="12"/>
      <c r="B58" s="13"/>
      <c r="C58" s="14"/>
      <c r="D58" s="15"/>
      <c r="E58" s="16"/>
      <c r="F58" s="13"/>
      <c r="G58" s="12"/>
      <c r="H58" s="17" t="str">
        <f aca="false">IF(OR(A58="",E58="",E58=0),"",D58/E58)</f>
        <v/>
      </c>
      <c r="I58" s="18" t="str">
        <f aca="true">IF(OR(A58="",C58=""),"",MAX(0,(TODAY()-C58)/365.25))</f>
        <v/>
      </c>
      <c r="J58" s="17" t="str">
        <f aca="false">IF(OR(H58="",I58=""),"",MIN(D58,H58*I58))</f>
        <v/>
      </c>
      <c r="K58" s="17" t="str">
        <f aca="false">IF(J58="","",D58-J58)</f>
        <v/>
      </c>
      <c r="L58" s="19" t="str">
        <f aca="false">IF(K58="","",IF(K58&lt;=0,"Ömrünü doldurdu","Kullanımda"))</f>
        <v/>
      </c>
    </row>
    <row r="59" customFormat="false" ht="15" hidden="false" customHeight="false" outlineLevel="0" collapsed="false">
      <c r="A59" s="12"/>
      <c r="B59" s="13"/>
      <c r="C59" s="14"/>
      <c r="D59" s="15"/>
      <c r="E59" s="16"/>
      <c r="F59" s="13"/>
      <c r="G59" s="12"/>
      <c r="H59" s="17" t="str">
        <f aca="false">IF(OR(A59="",E59="",E59=0),"",D59/E59)</f>
        <v/>
      </c>
      <c r="I59" s="18" t="str">
        <f aca="true">IF(OR(A59="",C59=""),"",MAX(0,(TODAY()-C59)/365.25))</f>
        <v/>
      </c>
      <c r="J59" s="17" t="str">
        <f aca="false">IF(OR(H59="",I59=""),"",MIN(D59,H59*I59))</f>
        <v/>
      </c>
      <c r="K59" s="17" t="str">
        <f aca="false">IF(J59="","",D59-J59)</f>
        <v/>
      </c>
      <c r="L59" s="19" t="str">
        <f aca="false">IF(K59="","",IF(K59&lt;=0,"Ömrünü doldurdu","Kullanımda"))</f>
        <v/>
      </c>
    </row>
    <row r="60" customFormat="false" ht="15" hidden="false" customHeight="false" outlineLevel="0" collapsed="false">
      <c r="A60" s="12"/>
      <c r="B60" s="13"/>
      <c r="C60" s="14"/>
      <c r="D60" s="15"/>
      <c r="E60" s="16"/>
      <c r="F60" s="13"/>
      <c r="G60" s="12"/>
      <c r="H60" s="17" t="str">
        <f aca="false">IF(OR(A60="",E60="",E60=0),"",D60/E60)</f>
        <v/>
      </c>
      <c r="I60" s="18" t="str">
        <f aca="true">IF(OR(A60="",C60=""),"",MAX(0,(TODAY()-C60)/365.25))</f>
        <v/>
      </c>
      <c r="J60" s="17" t="str">
        <f aca="false">IF(OR(H60="",I60=""),"",MIN(D60,H60*I60))</f>
        <v/>
      </c>
      <c r="K60" s="17" t="str">
        <f aca="false">IF(J60="","",D60-J60)</f>
        <v/>
      </c>
      <c r="L60" s="19" t="str">
        <f aca="false">IF(K60="","",IF(K60&lt;=0,"Ömrünü doldurdu","Kullanımda"))</f>
        <v/>
      </c>
    </row>
    <row r="61" customFormat="false" ht="15" hidden="false" customHeight="false" outlineLevel="0" collapsed="false">
      <c r="A61" s="12"/>
      <c r="B61" s="13"/>
      <c r="C61" s="14"/>
      <c r="D61" s="15"/>
      <c r="E61" s="16"/>
      <c r="F61" s="13"/>
      <c r="G61" s="12"/>
      <c r="H61" s="17" t="str">
        <f aca="false">IF(OR(A61="",E61="",E61=0),"",D61/E61)</f>
        <v/>
      </c>
      <c r="I61" s="18" t="str">
        <f aca="true">IF(OR(A61="",C61=""),"",MAX(0,(TODAY()-C61)/365.25))</f>
        <v/>
      </c>
      <c r="J61" s="17" t="str">
        <f aca="false">IF(OR(H61="",I61=""),"",MIN(D61,H61*I61))</f>
        <v/>
      </c>
      <c r="K61" s="17" t="str">
        <f aca="false">IF(J61="","",D61-J61)</f>
        <v/>
      </c>
      <c r="L61" s="19" t="str">
        <f aca="false">IF(K61="","",IF(K61&lt;=0,"Ömrünü doldurdu","Kullanımda"))</f>
        <v/>
      </c>
    </row>
    <row r="62" customFormat="false" ht="15" hidden="false" customHeight="false" outlineLevel="0" collapsed="false">
      <c r="A62" s="12"/>
      <c r="B62" s="13"/>
      <c r="C62" s="14"/>
      <c r="D62" s="15"/>
      <c r="E62" s="16"/>
      <c r="F62" s="13"/>
      <c r="G62" s="12"/>
      <c r="H62" s="17" t="str">
        <f aca="false">IF(OR(A62="",E62="",E62=0),"",D62/E62)</f>
        <v/>
      </c>
      <c r="I62" s="18" t="str">
        <f aca="true">IF(OR(A62="",C62=""),"",MAX(0,(TODAY()-C62)/365.25))</f>
        <v/>
      </c>
      <c r="J62" s="17" t="str">
        <f aca="false">IF(OR(H62="",I62=""),"",MIN(D62,H62*I62))</f>
        <v/>
      </c>
      <c r="K62" s="17" t="str">
        <f aca="false">IF(J62="","",D62-J62)</f>
        <v/>
      </c>
      <c r="L62" s="19" t="str">
        <f aca="false">IF(K62="","",IF(K62&lt;=0,"Ömrünü doldurdu","Kullanımda"))</f>
        <v/>
      </c>
    </row>
    <row r="63" customFormat="false" ht="15" hidden="false" customHeight="false" outlineLevel="0" collapsed="false">
      <c r="A63" s="12"/>
      <c r="B63" s="13"/>
      <c r="C63" s="14"/>
      <c r="D63" s="15"/>
      <c r="E63" s="16"/>
      <c r="F63" s="13"/>
      <c r="G63" s="12"/>
      <c r="H63" s="17" t="str">
        <f aca="false">IF(OR(A63="",E63="",E63=0),"",D63/E63)</f>
        <v/>
      </c>
      <c r="I63" s="18" t="str">
        <f aca="true">IF(OR(A63="",C63=""),"",MAX(0,(TODAY()-C63)/365.25))</f>
        <v/>
      </c>
      <c r="J63" s="17" t="str">
        <f aca="false">IF(OR(H63="",I63=""),"",MIN(D63,H63*I63))</f>
        <v/>
      </c>
      <c r="K63" s="17" t="str">
        <f aca="false">IF(J63="","",D63-J63)</f>
        <v/>
      </c>
      <c r="L63" s="19" t="str">
        <f aca="false">IF(K63="","",IF(K63&lt;=0,"Ömrünü doldurdu","Kullanımda"))</f>
        <v/>
      </c>
    </row>
    <row r="64" customFormat="false" ht="15" hidden="false" customHeight="false" outlineLevel="0" collapsed="false">
      <c r="A64" s="12"/>
      <c r="B64" s="13"/>
      <c r="C64" s="14"/>
      <c r="D64" s="15"/>
      <c r="E64" s="16"/>
      <c r="F64" s="13"/>
      <c r="G64" s="12"/>
      <c r="H64" s="17" t="str">
        <f aca="false">IF(OR(A64="",E64="",E64=0),"",D64/E64)</f>
        <v/>
      </c>
      <c r="I64" s="18" t="str">
        <f aca="true">IF(OR(A64="",C64=""),"",MAX(0,(TODAY()-C64)/365.25))</f>
        <v/>
      </c>
      <c r="J64" s="17" t="str">
        <f aca="false">IF(OR(H64="",I64=""),"",MIN(D64,H64*I64))</f>
        <v/>
      </c>
      <c r="K64" s="17" t="str">
        <f aca="false">IF(J64="","",D64-J64)</f>
        <v/>
      </c>
      <c r="L64" s="19" t="str">
        <f aca="false">IF(K64="","",IF(K64&lt;=0,"Ömrünü doldurdu","Kullanımda"))</f>
        <v/>
      </c>
    </row>
    <row r="65" customFormat="false" ht="15" hidden="false" customHeight="false" outlineLevel="0" collapsed="false">
      <c r="A65" s="12"/>
      <c r="B65" s="13"/>
      <c r="C65" s="14"/>
      <c r="D65" s="15"/>
      <c r="E65" s="16"/>
      <c r="F65" s="13"/>
      <c r="G65" s="12"/>
      <c r="H65" s="17" t="str">
        <f aca="false">IF(OR(A65="",E65="",E65=0),"",D65/E65)</f>
        <v/>
      </c>
      <c r="I65" s="18" t="str">
        <f aca="true">IF(OR(A65="",C65=""),"",MAX(0,(TODAY()-C65)/365.25))</f>
        <v/>
      </c>
      <c r="J65" s="17" t="str">
        <f aca="false">IF(OR(H65="",I65=""),"",MIN(D65,H65*I65))</f>
        <v/>
      </c>
      <c r="K65" s="17" t="str">
        <f aca="false">IF(J65="","",D65-J65)</f>
        <v/>
      </c>
      <c r="L65" s="19" t="str">
        <f aca="false">IF(K65="","",IF(K65&lt;=0,"Ömrünü doldurdu","Kullanımda"))</f>
        <v/>
      </c>
    </row>
    <row r="66" customFormat="false" ht="15" hidden="false" customHeight="false" outlineLevel="0" collapsed="false">
      <c r="A66" s="12"/>
      <c r="B66" s="13"/>
      <c r="C66" s="14"/>
      <c r="D66" s="15"/>
      <c r="E66" s="16"/>
      <c r="F66" s="13"/>
      <c r="G66" s="12"/>
      <c r="H66" s="17" t="str">
        <f aca="false">IF(OR(A66="",E66="",E66=0),"",D66/E66)</f>
        <v/>
      </c>
      <c r="I66" s="18" t="str">
        <f aca="true">IF(OR(A66="",C66=""),"",MAX(0,(TODAY()-C66)/365.25))</f>
        <v/>
      </c>
      <c r="J66" s="17" t="str">
        <f aca="false">IF(OR(H66="",I66=""),"",MIN(D66,H66*I66))</f>
        <v/>
      </c>
      <c r="K66" s="17" t="str">
        <f aca="false">IF(J66="","",D66-J66)</f>
        <v/>
      </c>
      <c r="L66" s="19" t="str">
        <f aca="false">IF(K66="","",IF(K66&lt;=0,"Ömrünü doldurdu","Kullanımda"))</f>
        <v/>
      </c>
    </row>
    <row r="67" customFormat="false" ht="15" hidden="false" customHeight="false" outlineLevel="0" collapsed="false">
      <c r="A67" s="12"/>
      <c r="B67" s="13"/>
      <c r="C67" s="14"/>
      <c r="D67" s="15"/>
      <c r="E67" s="16"/>
      <c r="F67" s="13"/>
      <c r="G67" s="12"/>
      <c r="H67" s="17" t="str">
        <f aca="false">IF(OR(A67="",E67="",E67=0),"",D67/E67)</f>
        <v/>
      </c>
      <c r="I67" s="18" t="str">
        <f aca="true">IF(OR(A67="",C67=""),"",MAX(0,(TODAY()-C67)/365.25))</f>
        <v/>
      </c>
      <c r="J67" s="17" t="str">
        <f aca="false">IF(OR(H67="",I67=""),"",MIN(D67,H67*I67))</f>
        <v/>
      </c>
      <c r="K67" s="17" t="str">
        <f aca="false">IF(J67="","",D67-J67)</f>
        <v/>
      </c>
      <c r="L67" s="19" t="str">
        <f aca="false">IF(K67="","",IF(K67&lt;=0,"Ömrünü doldurdu","Kullanımda"))</f>
        <v/>
      </c>
    </row>
    <row r="68" customFormat="false" ht="15" hidden="false" customHeight="false" outlineLevel="0" collapsed="false">
      <c r="A68" s="12"/>
      <c r="B68" s="13"/>
      <c r="C68" s="14"/>
      <c r="D68" s="15"/>
      <c r="E68" s="16"/>
      <c r="F68" s="13"/>
      <c r="G68" s="12"/>
      <c r="H68" s="17" t="str">
        <f aca="false">IF(OR(A68="",E68="",E68=0),"",D68/E68)</f>
        <v/>
      </c>
      <c r="I68" s="18" t="str">
        <f aca="true">IF(OR(A68="",C68=""),"",MAX(0,(TODAY()-C68)/365.25))</f>
        <v/>
      </c>
      <c r="J68" s="17" t="str">
        <f aca="false">IF(OR(H68="",I68=""),"",MIN(D68,H68*I68))</f>
        <v/>
      </c>
      <c r="K68" s="17" t="str">
        <f aca="false">IF(J68="","",D68-J68)</f>
        <v/>
      </c>
      <c r="L68" s="19" t="str">
        <f aca="false">IF(K68="","",IF(K68&lt;=0,"Ömrünü doldurdu","Kullanımda"))</f>
        <v/>
      </c>
    </row>
    <row r="69" customFormat="false" ht="15" hidden="false" customHeight="false" outlineLevel="0" collapsed="false">
      <c r="A69" s="12"/>
      <c r="B69" s="13"/>
      <c r="C69" s="14"/>
      <c r="D69" s="15"/>
      <c r="E69" s="16"/>
      <c r="F69" s="13"/>
      <c r="G69" s="12"/>
      <c r="H69" s="17" t="str">
        <f aca="false">IF(OR(A69="",E69="",E69=0),"",D69/E69)</f>
        <v/>
      </c>
      <c r="I69" s="18" t="str">
        <f aca="true">IF(OR(A69="",C69=""),"",MAX(0,(TODAY()-C69)/365.25))</f>
        <v/>
      </c>
      <c r="J69" s="17" t="str">
        <f aca="false">IF(OR(H69="",I69=""),"",MIN(D69,H69*I69))</f>
        <v/>
      </c>
      <c r="K69" s="17" t="str">
        <f aca="false">IF(J69="","",D69-J69)</f>
        <v/>
      </c>
      <c r="L69" s="19" t="str">
        <f aca="false">IF(K69="","",IF(K69&lt;=0,"Ömrünü doldurdu","Kullanımda"))</f>
        <v/>
      </c>
    </row>
    <row r="70" customFormat="false" ht="15" hidden="false" customHeight="false" outlineLevel="0" collapsed="false">
      <c r="A70" s="12"/>
      <c r="B70" s="13"/>
      <c r="C70" s="14"/>
      <c r="D70" s="15"/>
      <c r="E70" s="16"/>
      <c r="F70" s="13"/>
      <c r="G70" s="12"/>
      <c r="H70" s="17" t="str">
        <f aca="false">IF(OR(A70="",E70="",E70=0),"",D70/E70)</f>
        <v/>
      </c>
      <c r="I70" s="18" t="str">
        <f aca="true">IF(OR(A70="",C70=""),"",MAX(0,(TODAY()-C70)/365.25))</f>
        <v/>
      </c>
      <c r="J70" s="17" t="str">
        <f aca="false">IF(OR(H70="",I70=""),"",MIN(D70,H70*I70))</f>
        <v/>
      </c>
      <c r="K70" s="17" t="str">
        <f aca="false">IF(J70="","",D70-J70)</f>
        <v/>
      </c>
      <c r="L70" s="19" t="str">
        <f aca="false">IF(K70="","",IF(K70&lt;=0,"Ömrünü doldurdu","Kullanımda"))</f>
        <v/>
      </c>
    </row>
    <row r="71" customFormat="false" ht="15" hidden="false" customHeight="false" outlineLevel="0" collapsed="false">
      <c r="A71" s="12"/>
      <c r="B71" s="13"/>
      <c r="C71" s="14"/>
      <c r="D71" s="15"/>
      <c r="E71" s="16"/>
      <c r="F71" s="13"/>
      <c r="G71" s="12"/>
      <c r="H71" s="17" t="str">
        <f aca="false">IF(OR(A71="",E71="",E71=0),"",D71/E71)</f>
        <v/>
      </c>
      <c r="I71" s="18" t="str">
        <f aca="true">IF(OR(A71="",C71=""),"",MAX(0,(TODAY()-C71)/365.25))</f>
        <v/>
      </c>
      <c r="J71" s="17" t="str">
        <f aca="false">IF(OR(H71="",I71=""),"",MIN(D71,H71*I71))</f>
        <v/>
      </c>
      <c r="K71" s="17" t="str">
        <f aca="false">IF(J71="","",D71-J71)</f>
        <v/>
      </c>
      <c r="L71" s="19" t="str">
        <f aca="false">IF(K71="","",IF(K71&lt;=0,"Ömrünü doldurdu","Kullanımda"))</f>
        <v/>
      </c>
    </row>
    <row r="72" customFormat="false" ht="15" hidden="false" customHeight="false" outlineLevel="0" collapsed="false">
      <c r="A72" s="12"/>
      <c r="B72" s="13"/>
      <c r="C72" s="14"/>
      <c r="D72" s="15"/>
      <c r="E72" s="16"/>
      <c r="F72" s="13"/>
      <c r="G72" s="12"/>
      <c r="H72" s="17" t="str">
        <f aca="false">IF(OR(A72="",E72="",E72=0),"",D72/E72)</f>
        <v/>
      </c>
      <c r="I72" s="18" t="str">
        <f aca="true">IF(OR(A72="",C72=""),"",MAX(0,(TODAY()-C72)/365.25))</f>
        <v/>
      </c>
      <c r="J72" s="17" t="str">
        <f aca="false">IF(OR(H72="",I72=""),"",MIN(D72,H72*I72))</f>
        <v/>
      </c>
      <c r="K72" s="17" t="str">
        <f aca="false">IF(J72="","",D72-J72)</f>
        <v/>
      </c>
      <c r="L72" s="19" t="str">
        <f aca="false">IF(K72="","",IF(K72&lt;=0,"Ömrünü doldurdu","Kullanımda"))</f>
        <v/>
      </c>
    </row>
    <row r="73" customFormat="false" ht="15" hidden="false" customHeight="false" outlineLevel="0" collapsed="false">
      <c r="A73" s="12"/>
      <c r="B73" s="13"/>
      <c r="C73" s="14"/>
      <c r="D73" s="15"/>
      <c r="E73" s="16"/>
      <c r="F73" s="13"/>
      <c r="G73" s="12"/>
      <c r="H73" s="17" t="str">
        <f aca="false">IF(OR(A73="",E73="",E73=0),"",D73/E73)</f>
        <v/>
      </c>
      <c r="I73" s="18" t="str">
        <f aca="true">IF(OR(A73="",C73=""),"",MAX(0,(TODAY()-C73)/365.25))</f>
        <v/>
      </c>
      <c r="J73" s="17" t="str">
        <f aca="false">IF(OR(H73="",I73=""),"",MIN(D73,H73*I73))</f>
        <v/>
      </c>
      <c r="K73" s="17" t="str">
        <f aca="false">IF(J73="","",D73-J73)</f>
        <v/>
      </c>
      <c r="L73" s="19" t="str">
        <f aca="false">IF(K73="","",IF(K73&lt;=0,"Ömrünü doldurdu","Kullanımda"))</f>
        <v/>
      </c>
    </row>
    <row r="74" customFormat="false" ht="15" hidden="false" customHeight="false" outlineLevel="0" collapsed="false">
      <c r="A74" s="12"/>
      <c r="B74" s="13"/>
      <c r="C74" s="14"/>
      <c r="D74" s="15"/>
      <c r="E74" s="16"/>
      <c r="F74" s="13"/>
      <c r="G74" s="12"/>
      <c r="H74" s="17" t="str">
        <f aca="false">IF(OR(A74="",E74="",E74=0),"",D74/E74)</f>
        <v/>
      </c>
      <c r="I74" s="18" t="str">
        <f aca="true">IF(OR(A74="",C74=""),"",MAX(0,(TODAY()-C74)/365.25))</f>
        <v/>
      </c>
      <c r="J74" s="17" t="str">
        <f aca="false">IF(OR(H74="",I74=""),"",MIN(D74,H74*I74))</f>
        <v/>
      </c>
      <c r="K74" s="17" t="str">
        <f aca="false">IF(J74="","",D74-J74)</f>
        <v/>
      </c>
      <c r="L74" s="19" t="str">
        <f aca="false">IF(K74="","",IF(K74&lt;=0,"Ömrünü doldurdu","Kullanımda"))</f>
        <v/>
      </c>
    </row>
    <row r="75" customFormat="false" ht="15" hidden="false" customHeight="false" outlineLevel="0" collapsed="false">
      <c r="A75" s="12"/>
      <c r="B75" s="13"/>
      <c r="C75" s="14"/>
      <c r="D75" s="15"/>
      <c r="E75" s="16"/>
      <c r="F75" s="13"/>
      <c r="G75" s="12"/>
      <c r="H75" s="17" t="str">
        <f aca="false">IF(OR(A75="",E75="",E75=0),"",D75/E75)</f>
        <v/>
      </c>
      <c r="I75" s="18" t="str">
        <f aca="true">IF(OR(A75="",C75=""),"",MAX(0,(TODAY()-C75)/365.25))</f>
        <v/>
      </c>
      <c r="J75" s="17" t="str">
        <f aca="false">IF(OR(H75="",I75=""),"",MIN(D75,H75*I75))</f>
        <v/>
      </c>
      <c r="K75" s="17" t="str">
        <f aca="false">IF(J75="","",D75-J75)</f>
        <v/>
      </c>
      <c r="L75" s="19" t="str">
        <f aca="false">IF(K75="","",IF(K75&lt;=0,"Ömrünü doldurdu","Kullanımda"))</f>
        <v/>
      </c>
    </row>
    <row r="76" customFormat="false" ht="15" hidden="false" customHeight="false" outlineLevel="0" collapsed="false">
      <c r="A76" s="12"/>
      <c r="B76" s="13"/>
      <c r="C76" s="14"/>
      <c r="D76" s="15"/>
      <c r="E76" s="16"/>
      <c r="F76" s="13"/>
      <c r="G76" s="12"/>
      <c r="H76" s="17" t="str">
        <f aca="false">IF(OR(A76="",E76="",E76=0),"",D76/E76)</f>
        <v/>
      </c>
      <c r="I76" s="18" t="str">
        <f aca="true">IF(OR(A76="",C76=""),"",MAX(0,(TODAY()-C76)/365.25))</f>
        <v/>
      </c>
      <c r="J76" s="17" t="str">
        <f aca="false">IF(OR(H76="",I76=""),"",MIN(D76,H76*I76))</f>
        <v/>
      </c>
      <c r="K76" s="17" t="str">
        <f aca="false">IF(J76="","",D76-J76)</f>
        <v/>
      </c>
      <c r="L76" s="19" t="str">
        <f aca="false">IF(K76="","",IF(K76&lt;=0,"Ömrünü doldurdu","Kullanımda"))</f>
        <v/>
      </c>
    </row>
    <row r="77" customFormat="false" ht="15" hidden="false" customHeight="false" outlineLevel="0" collapsed="false">
      <c r="A77" s="12"/>
      <c r="B77" s="13"/>
      <c r="C77" s="14"/>
      <c r="D77" s="15"/>
      <c r="E77" s="16"/>
      <c r="F77" s="13"/>
      <c r="G77" s="12"/>
      <c r="H77" s="17" t="str">
        <f aca="false">IF(OR(A77="",E77="",E77=0),"",D77/E77)</f>
        <v/>
      </c>
      <c r="I77" s="18" t="str">
        <f aca="true">IF(OR(A77="",C77=""),"",MAX(0,(TODAY()-C77)/365.25))</f>
        <v/>
      </c>
      <c r="J77" s="17" t="str">
        <f aca="false">IF(OR(H77="",I77=""),"",MIN(D77,H77*I77))</f>
        <v/>
      </c>
      <c r="K77" s="17" t="str">
        <f aca="false">IF(J77="","",D77-J77)</f>
        <v/>
      </c>
      <c r="L77" s="19" t="str">
        <f aca="false">IF(K77="","",IF(K77&lt;=0,"Ömrünü doldurdu","Kullanımda"))</f>
        <v/>
      </c>
    </row>
    <row r="78" customFormat="false" ht="15" hidden="false" customHeight="false" outlineLevel="0" collapsed="false">
      <c r="A78" s="12"/>
      <c r="B78" s="13"/>
      <c r="C78" s="14"/>
      <c r="D78" s="15"/>
      <c r="E78" s="16"/>
      <c r="F78" s="13"/>
      <c r="G78" s="12"/>
      <c r="H78" s="17" t="str">
        <f aca="false">IF(OR(A78="",E78="",E78=0),"",D78/E78)</f>
        <v/>
      </c>
      <c r="I78" s="18" t="str">
        <f aca="true">IF(OR(A78="",C78=""),"",MAX(0,(TODAY()-C78)/365.25))</f>
        <v/>
      </c>
      <c r="J78" s="17" t="str">
        <f aca="false">IF(OR(H78="",I78=""),"",MIN(D78,H78*I78))</f>
        <v/>
      </c>
      <c r="K78" s="17" t="str">
        <f aca="false">IF(J78="","",D78-J78)</f>
        <v/>
      </c>
      <c r="L78" s="19" t="str">
        <f aca="false">IF(K78="","",IF(K78&lt;=0,"Ömrünü doldurdu","Kullanımda"))</f>
        <v/>
      </c>
    </row>
    <row r="79" customFormat="false" ht="15" hidden="false" customHeight="false" outlineLevel="0" collapsed="false">
      <c r="A79" s="12"/>
      <c r="B79" s="13"/>
      <c r="C79" s="14"/>
      <c r="D79" s="15"/>
      <c r="E79" s="16"/>
      <c r="F79" s="13"/>
      <c r="G79" s="12"/>
      <c r="H79" s="17" t="str">
        <f aca="false">IF(OR(A79="",E79="",E79=0),"",D79/E79)</f>
        <v/>
      </c>
      <c r="I79" s="18" t="str">
        <f aca="true">IF(OR(A79="",C79=""),"",MAX(0,(TODAY()-C79)/365.25))</f>
        <v/>
      </c>
      <c r="J79" s="17" t="str">
        <f aca="false">IF(OR(H79="",I79=""),"",MIN(D79,H79*I79))</f>
        <v/>
      </c>
      <c r="K79" s="17" t="str">
        <f aca="false">IF(J79="","",D79-J79)</f>
        <v/>
      </c>
      <c r="L79" s="19" t="str">
        <f aca="false">IF(K79="","",IF(K79&lt;=0,"Ömrünü doldurdu","Kullanımda"))</f>
        <v/>
      </c>
    </row>
    <row r="80" customFormat="false" ht="15" hidden="false" customHeight="false" outlineLevel="0" collapsed="false">
      <c r="A80" s="12"/>
      <c r="B80" s="13"/>
      <c r="C80" s="14"/>
      <c r="D80" s="15"/>
      <c r="E80" s="16"/>
      <c r="F80" s="13"/>
      <c r="G80" s="12"/>
      <c r="H80" s="17" t="str">
        <f aca="false">IF(OR(A80="",E80="",E80=0),"",D80/E80)</f>
        <v/>
      </c>
      <c r="I80" s="18" t="str">
        <f aca="true">IF(OR(A80="",C80=""),"",MAX(0,(TODAY()-C80)/365.25))</f>
        <v/>
      </c>
      <c r="J80" s="17" t="str">
        <f aca="false">IF(OR(H80="",I80=""),"",MIN(D80,H80*I80))</f>
        <v/>
      </c>
      <c r="K80" s="17" t="str">
        <f aca="false">IF(J80="","",D80-J80)</f>
        <v/>
      </c>
      <c r="L80" s="19" t="str">
        <f aca="false">IF(K80="","",IF(K80&lt;=0,"Ömrünü doldurdu","Kullanımda"))</f>
        <v/>
      </c>
    </row>
    <row r="81" customFormat="false" ht="15" hidden="false" customHeight="false" outlineLevel="0" collapsed="false">
      <c r="A81" s="12"/>
      <c r="B81" s="13"/>
      <c r="C81" s="14"/>
      <c r="D81" s="15"/>
      <c r="E81" s="16"/>
      <c r="F81" s="13"/>
      <c r="G81" s="12"/>
      <c r="H81" s="17" t="str">
        <f aca="false">IF(OR(A81="",E81="",E81=0),"",D81/E81)</f>
        <v/>
      </c>
      <c r="I81" s="18" t="str">
        <f aca="true">IF(OR(A81="",C81=""),"",MAX(0,(TODAY()-C81)/365.25))</f>
        <v/>
      </c>
      <c r="J81" s="17" t="str">
        <f aca="false">IF(OR(H81="",I81=""),"",MIN(D81,H81*I81))</f>
        <v/>
      </c>
      <c r="K81" s="17" t="str">
        <f aca="false">IF(J81="","",D81-J81)</f>
        <v/>
      </c>
      <c r="L81" s="19" t="str">
        <f aca="false">IF(K81="","",IF(K81&lt;=0,"Ömrünü doldurdu","Kullanımda"))</f>
        <v/>
      </c>
    </row>
    <row r="82" customFormat="false" ht="15" hidden="false" customHeight="false" outlineLevel="0" collapsed="false">
      <c r="A82" s="12"/>
      <c r="B82" s="13"/>
      <c r="C82" s="14"/>
      <c r="D82" s="15"/>
      <c r="E82" s="16"/>
      <c r="F82" s="13"/>
      <c r="G82" s="12"/>
      <c r="H82" s="17" t="str">
        <f aca="false">IF(OR(A82="",E82="",E82=0),"",D82/E82)</f>
        <v/>
      </c>
      <c r="I82" s="18" t="str">
        <f aca="true">IF(OR(A82="",C82=""),"",MAX(0,(TODAY()-C82)/365.25))</f>
        <v/>
      </c>
      <c r="J82" s="17" t="str">
        <f aca="false">IF(OR(H82="",I82=""),"",MIN(D82,H82*I82))</f>
        <v/>
      </c>
      <c r="K82" s="17" t="str">
        <f aca="false">IF(J82="","",D82-J82)</f>
        <v/>
      </c>
      <c r="L82" s="19" t="str">
        <f aca="false">IF(K82="","",IF(K82&lt;=0,"Ömrünü doldurdu","Kullanımda"))</f>
        <v/>
      </c>
    </row>
    <row r="83" customFormat="false" ht="15" hidden="false" customHeight="false" outlineLevel="0" collapsed="false">
      <c r="A83" s="12"/>
      <c r="B83" s="13"/>
      <c r="C83" s="14"/>
      <c r="D83" s="15"/>
      <c r="E83" s="16"/>
      <c r="F83" s="13"/>
      <c r="G83" s="12"/>
      <c r="H83" s="17" t="str">
        <f aca="false">IF(OR(A83="",E83="",E83=0),"",D83/E83)</f>
        <v/>
      </c>
      <c r="I83" s="18" t="str">
        <f aca="true">IF(OR(A83="",C83=""),"",MAX(0,(TODAY()-C83)/365.25))</f>
        <v/>
      </c>
      <c r="J83" s="17" t="str">
        <f aca="false">IF(OR(H83="",I83=""),"",MIN(D83,H83*I83))</f>
        <v/>
      </c>
      <c r="K83" s="17" t="str">
        <f aca="false">IF(J83="","",D83-J83)</f>
        <v/>
      </c>
      <c r="L83" s="19" t="str">
        <f aca="false">IF(K83="","",IF(K83&lt;=0,"Ömrünü doldurdu","Kullanımda"))</f>
        <v/>
      </c>
    </row>
    <row r="84" customFormat="false" ht="15" hidden="false" customHeight="false" outlineLevel="0" collapsed="false">
      <c r="A84" s="12"/>
      <c r="B84" s="13"/>
      <c r="C84" s="14"/>
      <c r="D84" s="15"/>
      <c r="E84" s="16"/>
      <c r="F84" s="13"/>
      <c r="G84" s="12"/>
      <c r="H84" s="17" t="str">
        <f aca="false">IF(OR(A84="",E84="",E84=0),"",D84/E84)</f>
        <v/>
      </c>
      <c r="I84" s="18" t="str">
        <f aca="true">IF(OR(A84="",C84=""),"",MAX(0,(TODAY()-C84)/365.25))</f>
        <v/>
      </c>
      <c r="J84" s="17" t="str">
        <f aca="false">IF(OR(H84="",I84=""),"",MIN(D84,H84*I84))</f>
        <v/>
      </c>
      <c r="K84" s="17" t="str">
        <f aca="false">IF(J84="","",D84-J84)</f>
        <v/>
      </c>
      <c r="L84" s="19" t="str">
        <f aca="false">IF(K84="","",IF(K84&lt;=0,"Ömrünü doldurdu","Kullanımda"))</f>
        <v/>
      </c>
    </row>
    <row r="85" customFormat="false" ht="15" hidden="false" customHeight="false" outlineLevel="0" collapsed="false">
      <c r="A85" s="12"/>
      <c r="B85" s="13"/>
      <c r="C85" s="14"/>
      <c r="D85" s="15"/>
      <c r="E85" s="16"/>
      <c r="F85" s="13"/>
      <c r="G85" s="12"/>
      <c r="H85" s="17" t="str">
        <f aca="false">IF(OR(A85="",E85="",E85=0),"",D85/E85)</f>
        <v/>
      </c>
      <c r="I85" s="18" t="str">
        <f aca="true">IF(OR(A85="",C85=""),"",MAX(0,(TODAY()-C85)/365.25))</f>
        <v/>
      </c>
      <c r="J85" s="17" t="str">
        <f aca="false">IF(OR(H85="",I85=""),"",MIN(D85,H85*I85))</f>
        <v/>
      </c>
      <c r="K85" s="17" t="str">
        <f aca="false">IF(J85="","",D85-J85)</f>
        <v/>
      </c>
      <c r="L85" s="19" t="str">
        <f aca="false">IF(K85="","",IF(K85&lt;=0,"Ömrünü doldurdu","Kullanımda"))</f>
        <v/>
      </c>
    </row>
    <row r="86" customFormat="false" ht="15" hidden="false" customHeight="false" outlineLevel="0" collapsed="false">
      <c r="A86" s="12"/>
      <c r="B86" s="13"/>
      <c r="C86" s="14"/>
      <c r="D86" s="15"/>
      <c r="E86" s="16"/>
      <c r="F86" s="13"/>
      <c r="G86" s="12"/>
      <c r="H86" s="17" t="str">
        <f aca="false">IF(OR(A86="",E86="",E86=0),"",D86/E86)</f>
        <v/>
      </c>
      <c r="I86" s="18" t="str">
        <f aca="true">IF(OR(A86="",C86=""),"",MAX(0,(TODAY()-C86)/365.25))</f>
        <v/>
      </c>
      <c r="J86" s="17" t="str">
        <f aca="false">IF(OR(H86="",I86=""),"",MIN(D86,H86*I86))</f>
        <v/>
      </c>
      <c r="K86" s="17" t="str">
        <f aca="false">IF(J86="","",D86-J86)</f>
        <v/>
      </c>
      <c r="L86" s="19" t="str">
        <f aca="false">IF(K86="","",IF(K86&lt;=0,"Ömrünü doldurdu","Kullanımda"))</f>
        <v/>
      </c>
    </row>
    <row r="87" customFormat="false" ht="15" hidden="false" customHeight="false" outlineLevel="0" collapsed="false">
      <c r="A87" s="12"/>
      <c r="B87" s="13"/>
      <c r="C87" s="14"/>
      <c r="D87" s="15"/>
      <c r="E87" s="16"/>
      <c r="F87" s="13"/>
      <c r="G87" s="12"/>
      <c r="H87" s="17" t="str">
        <f aca="false">IF(OR(A87="",E87="",E87=0),"",D87/E87)</f>
        <v/>
      </c>
      <c r="I87" s="18" t="str">
        <f aca="true">IF(OR(A87="",C87=""),"",MAX(0,(TODAY()-C87)/365.25))</f>
        <v/>
      </c>
      <c r="J87" s="17" t="str">
        <f aca="false">IF(OR(H87="",I87=""),"",MIN(D87,H87*I87))</f>
        <v/>
      </c>
      <c r="K87" s="17" t="str">
        <f aca="false">IF(J87="","",D87-J87)</f>
        <v/>
      </c>
      <c r="L87" s="19" t="str">
        <f aca="false">IF(K87="","",IF(K87&lt;=0,"Ömrünü doldurdu","Kullanımda"))</f>
        <v/>
      </c>
    </row>
    <row r="88" customFormat="false" ht="15" hidden="false" customHeight="false" outlineLevel="0" collapsed="false">
      <c r="A88" s="12"/>
      <c r="B88" s="13"/>
      <c r="C88" s="14"/>
      <c r="D88" s="15"/>
      <c r="E88" s="16"/>
      <c r="F88" s="13"/>
      <c r="G88" s="12"/>
      <c r="H88" s="17" t="str">
        <f aca="false">IF(OR(A88="",E88="",E88=0),"",D88/E88)</f>
        <v/>
      </c>
      <c r="I88" s="18" t="str">
        <f aca="true">IF(OR(A88="",C88=""),"",MAX(0,(TODAY()-C88)/365.25))</f>
        <v/>
      </c>
      <c r="J88" s="17" t="str">
        <f aca="false">IF(OR(H88="",I88=""),"",MIN(D88,H88*I88))</f>
        <v/>
      </c>
      <c r="K88" s="17" t="str">
        <f aca="false">IF(J88="","",D88-J88)</f>
        <v/>
      </c>
      <c r="L88" s="19" t="str">
        <f aca="false">IF(K88="","",IF(K88&lt;=0,"Ömrünü doldurdu","Kullanımda"))</f>
        <v/>
      </c>
    </row>
    <row r="89" customFormat="false" ht="15" hidden="false" customHeight="false" outlineLevel="0" collapsed="false">
      <c r="A89" s="12"/>
      <c r="B89" s="13"/>
      <c r="C89" s="14"/>
      <c r="D89" s="15"/>
      <c r="E89" s="16"/>
      <c r="F89" s="13"/>
      <c r="G89" s="12"/>
      <c r="H89" s="17" t="str">
        <f aca="false">IF(OR(A89="",E89="",E89=0),"",D89/E89)</f>
        <v/>
      </c>
      <c r="I89" s="18" t="str">
        <f aca="true">IF(OR(A89="",C89=""),"",MAX(0,(TODAY()-C89)/365.25))</f>
        <v/>
      </c>
      <c r="J89" s="17" t="str">
        <f aca="false">IF(OR(H89="",I89=""),"",MIN(D89,H89*I89))</f>
        <v/>
      </c>
      <c r="K89" s="17" t="str">
        <f aca="false">IF(J89="","",D89-J89)</f>
        <v/>
      </c>
      <c r="L89" s="19" t="str">
        <f aca="false">IF(K89="","",IF(K89&lt;=0,"Ömrünü doldurdu","Kullanımda"))</f>
        <v/>
      </c>
    </row>
    <row r="90" customFormat="false" ht="15" hidden="false" customHeight="false" outlineLevel="0" collapsed="false">
      <c r="A90" s="12"/>
      <c r="B90" s="13"/>
      <c r="C90" s="14"/>
      <c r="D90" s="15"/>
      <c r="E90" s="16"/>
      <c r="F90" s="13"/>
      <c r="G90" s="12"/>
      <c r="H90" s="17" t="str">
        <f aca="false">IF(OR(A90="",E90="",E90=0),"",D90/E90)</f>
        <v/>
      </c>
      <c r="I90" s="18" t="str">
        <f aca="true">IF(OR(A90="",C90=""),"",MAX(0,(TODAY()-C90)/365.25))</f>
        <v/>
      </c>
      <c r="J90" s="17" t="str">
        <f aca="false">IF(OR(H90="",I90=""),"",MIN(D90,H90*I90))</f>
        <v/>
      </c>
      <c r="K90" s="17" t="str">
        <f aca="false">IF(J90="","",D90-J90)</f>
        <v/>
      </c>
      <c r="L90" s="19" t="str">
        <f aca="false">IF(K90="","",IF(K90&lt;=0,"Ömrünü doldurdu","Kullanımda"))</f>
        <v/>
      </c>
    </row>
    <row r="91" customFormat="false" ht="15" hidden="false" customHeight="false" outlineLevel="0" collapsed="false">
      <c r="A91" s="12"/>
      <c r="B91" s="13"/>
      <c r="C91" s="14"/>
      <c r="D91" s="15"/>
      <c r="E91" s="16"/>
      <c r="F91" s="13"/>
      <c r="G91" s="12"/>
      <c r="H91" s="17" t="str">
        <f aca="false">IF(OR(A91="",E91="",E91=0),"",D91/E91)</f>
        <v/>
      </c>
      <c r="I91" s="18" t="str">
        <f aca="true">IF(OR(A91="",C91=""),"",MAX(0,(TODAY()-C91)/365.25))</f>
        <v/>
      </c>
      <c r="J91" s="17" t="str">
        <f aca="false">IF(OR(H91="",I91=""),"",MIN(D91,H91*I91))</f>
        <v/>
      </c>
      <c r="K91" s="17" t="str">
        <f aca="false">IF(J91="","",D91-J91)</f>
        <v/>
      </c>
      <c r="L91" s="19" t="str">
        <f aca="false">IF(K91="","",IF(K91&lt;=0,"Ömrünü doldurdu","Kullanımda"))</f>
        <v/>
      </c>
    </row>
    <row r="92" customFormat="false" ht="15" hidden="false" customHeight="false" outlineLevel="0" collapsed="false">
      <c r="A92" s="12"/>
      <c r="B92" s="13"/>
      <c r="C92" s="14"/>
      <c r="D92" s="15"/>
      <c r="E92" s="16"/>
      <c r="F92" s="13"/>
      <c r="G92" s="12"/>
      <c r="H92" s="17" t="str">
        <f aca="false">IF(OR(A92="",E92="",E92=0),"",D92/E92)</f>
        <v/>
      </c>
      <c r="I92" s="18" t="str">
        <f aca="true">IF(OR(A92="",C92=""),"",MAX(0,(TODAY()-C92)/365.25))</f>
        <v/>
      </c>
      <c r="J92" s="17" t="str">
        <f aca="false">IF(OR(H92="",I92=""),"",MIN(D92,H92*I92))</f>
        <v/>
      </c>
      <c r="K92" s="17" t="str">
        <f aca="false">IF(J92="","",D92-J92)</f>
        <v/>
      </c>
      <c r="L92" s="19" t="str">
        <f aca="false">IF(K92="","",IF(K92&lt;=0,"Ömrünü doldurdu","Kullanımda"))</f>
        <v/>
      </c>
    </row>
    <row r="93" customFormat="false" ht="15" hidden="false" customHeight="false" outlineLevel="0" collapsed="false">
      <c r="A93" s="12"/>
      <c r="B93" s="13"/>
      <c r="C93" s="14"/>
      <c r="D93" s="15"/>
      <c r="E93" s="16"/>
      <c r="F93" s="13"/>
      <c r="G93" s="12"/>
      <c r="H93" s="17" t="str">
        <f aca="false">IF(OR(A93="",E93="",E93=0),"",D93/E93)</f>
        <v/>
      </c>
      <c r="I93" s="18" t="str">
        <f aca="true">IF(OR(A93="",C93=""),"",MAX(0,(TODAY()-C93)/365.25))</f>
        <v/>
      </c>
      <c r="J93" s="17" t="str">
        <f aca="false">IF(OR(H93="",I93=""),"",MIN(D93,H93*I93))</f>
        <v/>
      </c>
      <c r="K93" s="17" t="str">
        <f aca="false">IF(J93="","",D93-J93)</f>
        <v/>
      </c>
      <c r="L93" s="19" t="str">
        <f aca="false">IF(K93="","",IF(K93&lt;=0,"Ömrünü doldurdu","Kullanımda"))</f>
        <v/>
      </c>
    </row>
    <row r="94" customFormat="false" ht="15" hidden="false" customHeight="false" outlineLevel="0" collapsed="false">
      <c r="A94" s="12"/>
      <c r="B94" s="13"/>
      <c r="C94" s="14"/>
      <c r="D94" s="15"/>
      <c r="E94" s="16"/>
      <c r="F94" s="13"/>
      <c r="G94" s="12"/>
      <c r="H94" s="17" t="str">
        <f aca="false">IF(OR(A94="",E94="",E94=0),"",D94/E94)</f>
        <v/>
      </c>
      <c r="I94" s="18" t="str">
        <f aca="true">IF(OR(A94="",C94=""),"",MAX(0,(TODAY()-C94)/365.25))</f>
        <v/>
      </c>
      <c r="J94" s="17" t="str">
        <f aca="false">IF(OR(H94="",I94=""),"",MIN(D94,H94*I94))</f>
        <v/>
      </c>
      <c r="K94" s="17" t="str">
        <f aca="false">IF(J94="","",D94-J94)</f>
        <v/>
      </c>
      <c r="L94" s="19" t="str">
        <f aca="false">IF(K94="","",IF(K94&lt;=0,"Ömrünü doldurdu","Kullanımda"))</f>
        <v/>
      </c>
    </row>
    <row r="95" customFormat="false" ht="15" hidden="false" customHeight="false" outlineLevel="0" collapsed="false">
      <c r="A95" s="12"/>
      <c r="B95" s="13"/>
      <c r="C95" s="14"/>
      <c r="D95" s="15"/>
      <c r="E95" s="16"/>
      <c r="F95" s="13"/>
      <c r="G95" s="12"/>
      <c r="H95" s="17" t="str">
        <f aca="false">IF(OR(A95="",E95="",E95=0),"",D95/E95)</f>
        <v/>
      </c>
      <c r="I95" s="18" t="str">
        <f aca="true">IF(OR(A95="",C95=""),"",MAX(0,(TODAY()-C95)/365.25))</f>
        <v/>
      </c>
      <c r="J95" s="17" t="str">
        <f aca="false">IF(OR(H95="",I95=""),"",MIN(D95,H95*I95))</f>
        <v/>
      </c>
      <c r="K95" s="17" t="str">
        <f aca="false">IF(J95="","",D95-J95)</f>
        <v/>
      </c>
      <c r="L95" s="19" t="str">
        <f aca="false">IF(K95="","",IF(K95&lt;=0,"Ömrünü doldurdu","Kullanımda"))</f>
        <v/>
      </c>
    </row>
    <row r="96" customFormat="false" ht="15" hidden="false" customHeight="false" outlineLevel="0" collapsed="false">
      <c r="A96" s="12"/>
      <c r="B96" s="13"/>
      <c r="C96" s="14"/>
      <c r="D96" s="15"/>
      <c r="E96" s="16"/>
      <c r="F96" s="13"/>
      <c r="G96" s="12"/>
      <c r="H96" s="17" t="str">
        <f aca="false">IF(OR(A96="",E96="",E96=0),"",D96/E96)</f>
        <v/>
      </c>
      <c r="I96" s="18" t="str">
        <f aca="true">IF(OR(A96="",C96=""),"",MAX(0,(TODAY()-C96)/365.25))</f>
        <v/>
      </c>
      <c r="J96" s="17" t="str">
        <f aca="false">IF(OR(H96="",I96=""),"",MIN(D96,H96*I96))</f>
        <v/>
      </c>
      <c r="K96" s="17" t="str">
        <f aca="false">IF(J96="","",D96-J96)</f>
        <v/>
      </c>
      <c r="L96" s="19" t="str">
        <f aca="false">IF(K96="","",IF(K96&lt;=0,"Ömrünü doldurdu","Kullanımda"))</f>
        <v/>
      </c>
    </row>
    <row r="97" customFormat="false" ht="15" hidden="false" customHeight="false" outlineLevel="0" collapsed="false">
      <c r="A97" s="12"/>
      <c r="B97" s="13"/>
      <c r="C97" s="14"/>
      <c r="D97" s="15"/>
      <c r="E97" s="16"/>
      <c r="F97" s="13"/>
      <c r="G97" s="12"/>
      <c r="H97" s="17" t="str">
        <f aca="false">IF(OR(A97="",E97="",E97=0),"",D97/E97)</f>
        <v/>
      </c>
      <c r="I97" s="18" t="str">
        <f aca="true">IF(OR(A97="",C97=""),"",MAX(0,(TODAY()-C97)/365.25))</f>
        <v/>
      </c>
      <c r="J97" s="17" t="str">
        <f aca="false">IF(OR(H97="",I97=""),"",MIN(D97,H97*I97))</f>
        <v/>
      </c>
      <c r="K97" s="17" t="str">
        <f aca="false">IF(J97="","",D97-J97)</f>
        <v/>
      </c>
      <c r="L97" s="19" t="str">
        <f aca="false">IF(K97="","",IF(K97&lt;=0,"Ömrünü doldurdu","Kullanımda"))</f>
        <v/>
      </c>
    </row>
    <row r="98" customFormat="false" ht="15" hidden="false" customHeight="false" outlineLevel="0" collapsed="false">
      <c r="A98" s="12"/>
      <c r="B98" s="13"/>
      <c r="C98" s="14"/>
      <c r="D98" s="15"/>
      <c r="E98" s="16"/>
      <c r="F98" s="13"/>
      <c r="G98" s="12"/>
      <c r="H98" s="17" t="str">
        <f aca="false">IF(OR(A98="",E98="",E98=0),"",D98/E98)</f>
        <v/>
      </c>
      <c r="I98" s="18" t="str">
        <f aca="true">IF(OR(A98="",C98=""),"",MAX(0,(TODAY()-C98)/365.25))</f>
        <v/>
      </c>
      <c r="J98" s="17" t="str">
        <f aca="false">IF(OR(H98="",I98=""),"",MIN(D98,H98*I98))</f>
        <v/>
      </c>
      <c r="K98" s="17" t="str">
        <f aca="false">IF(J98="","",D98-J98)</f>
        <v/>
      </c>
      <c r="L98" s="19" t="str">
        <f aca="false">IF(K98="","",IF(K98&lt;=0,"Ömrünü doldurdu","Kullanımda"))</f>
        <v/>
      </c>
    </row>
    <row r="99" customFormat="false" ht="15" hidden="false" customHeight="false" outlineLevel="0" collapsed="false">
      <c r="A99" s="12"/>
      <c r="B99" s="13"/>
      <c r="C99" s="14"/>
      <c r="D99" s="15"/>
      <c r="E99" s="16"/>
      <c r="F99" s="13"/>
      <c r="G99" s="12"/>
      <c r="H99" s="17" t="str">
        <f aca="false">IF(OR(A99="",E99="",E99=0),"",D99/E99)</f>
        <v/>
      </c>
      <c r="I99" s="18" t="str">
        <f aca="true">IF(OR(A99="",C99=""),"",MAX(0,(TODAY()-C99)/365.25))</f>
        <v/>
      </c>
      <c r="J99" s="17" t="str">
        <f aca="false">IF(OR(H99="",I99=""),"",MIN(D99,H99*I99))</f>
        <v/>
      </c>
      <c r="K99" s="17" t="str">
        <f aca="false">IF(J99="","",D99-J99)</f>
        <v/>
      </c>
      <c r="L99" s="19" t="str">
        <f aca="false">IF(K99="","",IF(K99&lt;=0,"Ömrünü doldurdu","Kullanımda"))</f>
        <v/>
      </c>
    </row>
    <row r="100" customFormat="false" ht="15" hidden="false" customHeight="false" outlineLevel="0" collapsed="false">
      <c r="A100" s="12"/>
      <c r="B100" s="13"/>
      <c r="C100" s="14"/>
      <c r="D100" s="15"/>
      <c r="E100" s="16"/>
      <c r="F100" s="13"/>
      <c r="G100" s="12"/>
      <c r="H100" s="17" t="str">
        <f aca="false">IF(OR(A100="",E100="",E100=0),"",D100/E100)</f>
        <v/>
      </c>
      <c r="I100" s="18" t="str">
        <f aca="true">IF(OR(A100="",C100=""),"",MAX(0,(TODAY()-C100)/365.25))</f>
        <v/>
      </c>
      <c r="J100" s="17" t="str">
        <f aca="false">IF(OR(H100="",I100=""),"",MIN(D100,H100*I100))</f>
        <v/>
      </c>
      <c r="K100" s="17" t="str">
        <f aca="false">IF(J100="","",D100-J100)</f>
        <v/>
      </c>
      <c r="L100" s="19" t="str">
        <f aca="false">IF(K100="","",IF(K100&lt;=0,"Ömrünü doldurdu","Kullanımda"))</f>
        <v/>
      </c>
    </row>
    <row r="101" customFormat="false" ht="15" hidden="false" customHeight="false" outlineLevel="0" collapsed="false">
      <c r="A101" s="12"/>
      <c r="B101" s="13"/>
      <c r="C101" s="14"/>
      <c r="D101" s="15"/>
      <c r="E101" s="16"/>
      <c r="F101" s="13"/>
      <c r="G101" s="12"/>
      <c r="H101" s="17" t="str">
        <f aca="false">IF(OR(A101="",E101="",E101=0),"",D101/E101)</f>
        <v/>
      </c>
      <c r="I101" s="18" t="str">
        <f aca="true">IF(OR(A101="",C101=""),"",MAX(0,(TODAY()-C101)/365.25))</f>
        <v/>
      </c>
      <c r="J101" s="17" t="str">
        <f aca="false">IF(OR(H101="",I101=""),"",MIN(D101,H101*I101))</f>
        <v/>
      </c>
      <c r="K101" s="17" t="str">
        <f aca="false">IF(J101="","",D101-J101)</f>
        <v/>
      </c>
      <c r="L101" s="19" t="str">
        <f aca="false">IF(K101="","",IF(K101&lt;=0,"Ömrünü doldurdu","Kullanımda"))</f>
        <v/>
      </c>
    </row>
    <row r="102" customFormat="false" ht="15" hidden="false" customHeight="false" outlineLevel="0" collapsed="false">
      <c r="A102" s="12"/>
      <c r="B102" s="13"/>
      <c r="C102" s="14"/>
      <c r="D102" s="15"/>
      <c r="E102" s="16"/>
      <c r="F102" s="13"/>
      <c r="G102" s="12"/>
      <c r="H102" s="17" t="str">
        <f aca="false">IF(OR(A102="",E102="",E102=0),"",D102/E102)</f>
        <v/>
      </c>
      <c r="I102" s="18" t="str">
        <f aca="true">IF(OR(A102="",C102=""),"",MAX(0,(TODAY()-C102)/365.25))</f>
        <v/>
      </c>
      <c r="J102" s="17" t="str">
        <f aca="false">IF(OR(H102="",I102=""),"",MIN(D102,H102*I102))</f>
        <v/>
      </c>
      <c r="K102" s="17" t="str">
        <f aca="false">IF(J102="","",D102-J102)</f>
        <v/>
      </c>
      <c r="L102" s="19" t="str">
        <f aca="false">IF(K102="","",IF(K102&lt;=0,"Ömrünü doldurdu","Kullanımda"))</f>
        <v/>
      </c>
    </row>
    <row r="103" customFormat="false" ht="15" hidden="false" customHeight="false" outlineLevel="0" collapsed="false">
      <c r="A103" s="12"/>
      <c r="B103" s="13"/>
      <c r="C103" s="14"/>
      <c r="D103" s="15"/>
      <c r="E103" s="16"/>
      <c r="F103" s="13"/>
      <c r="G103" s="12"/>
      <c r="H103" s="17" t="str">
        <f aca="false">IF(OR(A103="",E103="",E103=0),"",D103/E103)</f>
        <v/>
      </c>
      <c r="I103" s="18" t="str">
        <f aca="true">IF(OR(A103="",C103=""),"",MAX(0,(TODAY()-C103)/365.25))</f>
        <v/>
      </c>
      <c r="J103" s="17" t="str">
        <f aca="false">IF(OR(H103="",I103=""),"",MIN(D103,H103*I103))</f>
        <v/>
      </c>
      <c r="K103" s="17" t="str">
        <f aca="false">IF(J103="","",D103-J103)</f>
        <v/>
      </c>
      <c r="L103" s="19" t="str">
        <f aca="false">IF(K103="","",IF(K103&lt;=0,"Ömrünü doldurdu","Kullanımda"))</f>
        <v/>
      </c>
    </row>
    <row r="104" customFormat="false" ht="15" hidden="false" customHeight="false" outlineLevel="0" collapsed="false">
      <c r="A104" s="12"/>
      <c r="B104" s="13"/>
      <c r="C104" s="14"/>
      <c r="D104" s="15"/>
      <c r="E104" s="16"/>
      <c r="F104" s="13"/>
      <c r="G104" s="12"/>
      <c r="H104" s="17" t="str">
        <f aca="false">IF(OR(A104="",E104="",E104=0),"",D104/E104)</f>
        <v/>
      </c>
      <c r="I104" s="18" t="str">
        <f aca="true">IF(OR(A104="",C104=""),"",MAX(0,(TODAY()-C104)/365.25))</f>
        <v/>
      </c>
      <c r="J104" s="17" t="str">
        <f aca="false">IF(OR(H104="",I104=""),"",MIN(D104,H104*I104))</f>
        <v/>
      </c>
      <c r="K104" s="17" t="str">
        <f aca="false">IF(J104="","",D104-J104)</f>
        <v/>
      </c>
      <c r="L104" s="19" t="str">
        <f aca="false">IF(K104="","",IF(K104&lt;=0,"Ömrünü doldurdu","Kullanımda"))</f>
        <v/>
      </c>
    </row>
    <row r="105" customFormat="false" ht="15" hidden="false" customHeight="false" outlineLevel="0" collapsed="false">
      <c r="A105" s="12"/>
      <c r="B105" s="13"/>
      <c r="C105" s="14"/>
      <c r="D105" s="15"/>
      <c r="E105" s="16"/>
      <c r="F105" s="13"/>
      <c r="G105" s="12"/>
      <c r="H105" s="17" t="str">
        <f aca="false">IF(OR(A105="",E105="",E105=0),"",D105/E105)</f>
        <v/>
      </c>
      <c r="I105" s="18" t="str">
        <f aca="true">IF(OR(A105="",C105=""),"",MAX(0,(TODAY()-C105)/365.25))</f>
        <v/>
      </c>
      <c r="J105" s="17" t="str">
        <f aca="false">IF(OR(H105="",I105=""),"",MIN(D105,H105*I105))</f>
        <v/>
      </c>
      <c r="K105" s="17" t="str">
        <f aca="false">IF(J105="","",D105-J105)</f>
        <v/>
      </c>
      <c r="L105" s="19" t="str">
        <f aca="false">IF(K105="","",IF(K105&lt;=0,"Ömrünü doldurdu","Kullanımda"))</f>
        <v/>
      </c>
    </row>
    <row r="106" customFormat="false" ht="15" hidden="false" customHeight="false" outlineLevel="0" collapsed="false">
      <c r="A106" s="12"/>
      <c r="B106" s="13"/>
      <c r="C106" s="14"/>
      <c r="D106" s="15"/>
      <c r="E106" s="16"/>
      <c r="F106" s="13"/>
      <c r="G106" s="12"/>
      <c r="H106" s="17" t="str">
        <f aca="false">IF(OR(A106="",E106="",E106=0),"",D106/E106)</f>
        <v/>
      </c>
      <c r="I106" s="18" t="str">
        <f aca="true">IF(OR(A106="",C106=""),"",MAX(0,(TODAY()-C106)/365.25))</f>
        <v/>
      </c>
      <c r="J106" s="17" t="str">
        <f aca="false">IF(OR(H106="",I106=""),"",MIN(D106,H106*I106))</f>
        <v/>
      </c>
      <c r="K106" s="17" t="str">
        <f aca="false">IF(J106="","",D106-J106)</f>
        <v/>
      </c>
      <c r="L106" s="19" t="str">
        <f aca="false">IF(K106="","",IF(K106&lt;=0,"Ömrünü doldurdu","Kullanımda"))</f>
        <v/>
      </c>
    </row>
    <row r="107" customFormat="false" ht="15" hidden="false" customHeight="false" outlineLevel="0" collapsed="false">
      <c r="A107" s="12"/>
      <c r="B107" s="13"/>
      <c r="C107" s="14"/>
      <c r="D107" s="15"/>
      <c r="E107" s="16"/>
      <c r="F107" s="13"/>
      <c r="G107" s="12"/>
      <c r="H107" s="17" t="str">
        <f aca="false">IF(OR(A107="",E107="",E107=0),"",D107/E107)</f>
        <v/>
      </c>
      <c r="I107" s="18" t="str">
        <f aca="true">IF(OR(A107="",C107=""),"",MAX(0,(TODAY()-C107)/365.25))</f>
        <v/>
      </c>
      <c r="J107" s="17" t="str">
        <f aca="false">IF(OR(H107="",I107=""),"",MIN(D107,H107*I107))</f>
        <v/>
      </c>
      <c r="K107" s="17" t="str">
        <f aca="false">IF(J107="","",D107-J107)</f>
        <v/>
      </c>
      <c r="L107" s="19" t="str">
        <f aca="false">IF(K107="","",IF(K107&lt;=0,"Ömrünü doldurdu","Kullanımda"))</f>
        <v/>
      </c>
    </row>
    <row r="108" customFormat="false" ht="15" hidden="false" customHeight="false" outlineLevel="0" collapsed="false">
      <c r="A108" s="12"/>
      <c r="B108" s="13"/>
      <c r="C108" s="14"/>
      <c r="D108" s="15"/>
      <c r="E108" s="16"/>
      <c r="F108" s="13"/>
      <c r="G108" s="12"/>
      <c r="H108" s="17" t="str">
        <f aca="false">IF(OR(A108="",E108="",E108=0),"",D108/E108)</f>
        <v/>
      </c>
      <c r="I108" s="18" t="str">
        <f aca="true">IF(OR(A108="",C108=""),"",MAX(0,(TODAY()-C108)/365.25))</f>
        <v/>
      </c>
      <c r="J108" s="17" t="str">
        <f aca="false">IF(OR(H108="",I108=""),"",MIN(D108,H108*I108))</f>
        <v/>
      </c>
      <c r="K108" s="17" t="str">
        <f aca="false">IF(J108="","",D108-J108)</f>
        <v/>
      </c>
      <c r="L108" s="19" t="str">
        <f aca="false">IF(K108="","",IF(K108&lt;=0,"Ömrünü doldurdu","Kullanımda"))</f>
        <v/>
      </c>
    </row>
    <row r="109" customFormat="false" ht="15" hidden="false" customHeight="false" outlineLevel="0" collapsed="false">
      <c r="A109" s="12"/>
      <c r="B109" s="13"/>
      <c r="C109" s="14"/>
      <c r="D109" s="15"/>
      <c r="E109" s="16"/>
      <c r="F109" s="13"/>
      <c r="G109" s="12"/>
      <c r="H109" s="17" t="str">
        <f aca="false">IF(OR(A109="",E109="",E109=0),"",D109/E109)</f>
        <v/>
      </c>
      <c r="I109" s="18" t="str">
        <f aca="true">IF(OR(A109="",C109=""),"",MAX(0,(TODAY()-C109)/365.25))</f>
        <v/>
      </c>
      <c r="J109" s="17" t="str">
        <f aca="false">IF(OR(H109="",I109=""),"",MIN(D109,H109*I109))</f>
        <v/>
      </c>
      <c r="K109" s="17" t="str">
        <f aca="false">IF(J109="","",D109-J109)</f>
        <v/>
      </c>
      <c r="L109" s="19" t="str">
        <f aca="false">IF(K109="","",IF(K109&lt;=0,"Ömrünü doldurdu","Kullanımda"))</f>
        <v/>
      </c>
    </row>
    <row r="110" customFormat="false" ht="15" hidden="false" customHeight="false" outlineLevel="0" collapsed="false">
      <c r="A110" s="12"/>
      <c r="B110" s="13"/>
      <c r="C110" s="14"/>
      <c r="D110" s="15"/>
      <c r="E110" s="16"/>
      <c r="F110" s="13"/>
      <c r="G110" s="12"/>
      <c r="H110" s="17" t="str">
        <f aca="false">IF(OR(A110="",E110="",E110=0),"",D110/E110)</f>
        <v/>
      </c>
      <c r="I110" s="18" t="str">
        <f aca="true">IF(OR(A110="",C110=""),"",MAX(0,(TODAY()-C110)/365.25))</f>
        <v/>
      </c>
      <c r="J110" s="17" t="str">
        <f aca="false">IF(OR(H110="",I110=""),"",MIN(D110,H110*I110))</f>
        <v/>
      </c>
      <c r="K110" s="17" t="str">
        <f aca="false">IF(J110="","",D110-J110)</f>
        <v/>
      </c>
      <c r="L110" s="19" t="str">
        <f aca="false">IF(K110="","",IF(K110&lt;=0,"Ömrünü doldurdu","Kullanımda"))</f>
        <v/>
      </c>
    </row>
    <row r="111" customFormat="false" ht="15" hidden="false" customHeight="false" outlineLevel="0" collapsed="false">
      <c r="A111" s="12"/>
      <c r="B111" s="13"/>
      <c r="C111" s="14"/>
      <c r="D111" s="15"/>
      <c r="E111" s="16"/>
      <c r="F111" s="13"/>
      <c r="G111" s="12"/>
      <c r="H111" s="17" t="str">
        <f aca="false">IF(OR(A111="",E111="",E111=0),"",D111/E111)</f>
        <v/>
      </c>
      <c r="I111" s="18" t="str">
        <f aca="true">IF(OR(A111="",C111=""),"",MAX(0,(TODAY()-C111)/365.25))</f>
        <v/>
      </c>
      <c r="J111" s="17" t="str">
        <f aca="false">IF(OR(H111="",I111=""),"",MIN(D111,H111*I111))</f>
        <v/>
      </c>
      <c r="K111" s="17" t="str">
        <f aca="false">IF(J111="","",D111-J111)</f>
        <v/>
      </c>
      <c r="L111" s="19" t="str">
        <f aca="false">IF(K111="","",IF(K111&lt;=0,"Ömrünü doldurdu","Kullanımda"))</f>
        <v/>
      </c>
    </row>
    <row r="112" customFormat="false" ht="15" hidden="false" customHeight="false" outlineLevel="0" collapsed="false">
      <c r="A112" s="12"/>
      <c r="B112" s="13"/>
      <c r="C112" s="14"/>
      <c r="D112" s="15"/>
      <c r="E112" s="16"/>
      <c r="F112" s="13"/>
      <c r="G112" s="12"/>
      <c r="H112" s="17" t="str">
        <f aca="false">IF(OR(A112="",E112="",E112=0),"",D112/E112)</f>
        <v/>
      </c>
      <c r="I112" s="18" t="str">
        <f aca="true">IF(OR(A112="",C112=""),"",MAX(0,(TODAY()-C112)/365.25))</f>
        <v/>
      </c>
      <c r="J112" s="17" t="str">
        <f aca="false">IF(OR(H112="",I112=""),"",MIN(D112,H112*I112))</f>
        <v/>
      </c>
      <c r="K112" s="17" t="str">
        <f aca="false">IF(J112="","",D112-J112)</f>
        <v/>
      </c>
      <c r="L112" s="19" t="str">
        <f aca="false">IF(K112="","",IF(K112&lt;=0,"Ömrünü doldurdu","Kullanımda"))</f>
        <v/>
      </c>
    </row>
    <row r="113" customFormat="false" ht="15" hidden="false" customHeight="false" outlineLevel="0" collapsed="false">
      <c r="A113" s="12"/>
      <c r="B113" s="13"/>
      <c r="C113" s="14"/>
      <c r="D113" s="15"/>
      <c r="E113" s="16"/>
      <c r="F113" s="13"/>
      <c r="G113" s="12"/>
      <c r="H113" s="17" t="str">
        <f aca="false">IF(OR(A113="",E113="",E113=0),"",D113/E113)</f>
        <v/>
      </c>
      <c r="I113" s="18" t="str">
        <f aca="true">IF(OR(A113="",C113=""),"",MAX(0,(TODAY()-C113)/365.25))</f>
        <v/>
      </c>
      <c r="J113" s="17" t="str">
        <f aca="false">IF(OR(H113="",I113=""),"",MIN(D113,H113*I113))</f>
        <v/>
      </c>
      <c r="K113" s="17" t="str">
        <f aca="false">IF(J113="","",D113-J113)</f>
        <v/>
      </c>
      <c r="L113" s="19" t="str">
        <f aca="false">IF(K113="","",IF(K113&lt;=0,"Ömrünü doldurdu","Kullanımda"))</f>
        <v/>
      </c>
    </row>
    <row r="114" customFormat="false" ht="15" hidden="false" customHeight="false" outlineLevel="0" collapsed="false">
      <c r="A114" s="12"/>
      <c r="B114" s="13"/>
      <c r="C114" s="14"/>
      <c r="D114" s="15"/>
      <c r="E114" s="16"/>
      <c r="F114" s="13"/>
      <c r="G114" s="12"/>
      <c r="H114" s="17" t="str">
        <f aca="false">IF(OR(A114="",E114="",E114=0),"",D114/E114)</f>
        <v/>
      </c>
      <c r="I114" s="18" t="str">
        <f aca="true">IF(OR(A114="",C114=""),"",MAX(0,(TODAY()-C114)/365.25))</f>
        <v/>
      </c>
      <c r="J114" s="17" t="str">
        <f aca="false">IF(OR(H114="",I114=""),"",MIN(D114,H114*I114))</f>
        <v/>
      </c>
      <c r="K114" s="17" t="str">
        <f aca="false">IF(J114="","",D114-J114)</f>
        <v/>
      </c>
      <c r="L114" s="19" t="str">
        <f aca="false">IF(K114="","",IF(K114&lt;=0,"Ömrünü doldurdu","Kullanımda"))</f>
        <v/>
      </c>
    </row>
    <row r="115" customFormat="false" ht="15" hidden="false" customHeight="false" outlineLevel="0" collapsed="false">
      <c r="A115" s="12"/>
      <c r="B115" s="13"/>
      <c r="C115" s="14"/>
      <c r="D115" s="15"/>
      <c r="E115" s="16"/>
      <c r="F115" s="13"/>
      <c r="G115" s="12"/>
      <c r="H115" s="17" t="str">
        <f aca="false">IF(OR(A115="",E115="",E115=0),"",D115/E115)</f>
        <v/>
      </c>
      <c r="I115" s="18" t="str">
        <f aca="true">IF(OR(A115="",C115=""),"",MAX(0,(TODAY()-C115)/365.25))</f>
        <v/>
      </c>
      <c r="J115" s="17" t="str">
        <f aca="false">IF(OR(H115="",I115=""),"",MIN(D115,H115*I115))</f>
        <v/>
      </c>
      <c r="K115" s="17" t="str">
        <f aca="false">IF(J115="","",D115-J115)</f>
        <v/>
      </c>
      <c r="L115" s="19" t="str">
        <f aca="false">IF(K115="","",IF(K115&lt;=0,"Ömrünü doldurdu","Kullanımda"))</f>
        <v/>
      </c>
    </row>
    <row r="116" customFormat="false" ht="15" hidden="false" customHeight="false" outlineLevel="0" collapsed="false">
      <c r="A116" s="12"/>
      <c r="B116" s="13"/>
      <c r="C116" s="14"/>
      <c r="D116" s="15"/>
      <c r="E116" s="16"/>
      <c r="F116" s="13"/>
      <c r="G116" s="12"/>
      <c r="H116" s="17" t="str">
        <f aca="false">IF(OR(A116="",E116="",E116=0),"",D116/E116)</f>
        <v/>
      </c>
      <c r="I116" s="18" t="str">
        <f aca="true">IF(OR(A116="",C116=""),"",MAX(0,(TODAY()-C116)/365.25))</f>
        <v/>
      </c>
      <c r="J116" s="17" t="str">
        <f aca="false">IF(OR(H116="",I116=""),"",MIN(D116,H116*I116))</f>
        <v/>
      </c>
      <c r="K116" s="17" t="str">
        <f aca="false">IF(J116="","",D116-J116)</f>
        <v/>
      </c>
      <c r="L116" s="19" t="str">
        <f aca="false">IF(K116="","",IF(K116&lt;=0,"Ömrünü doldurdu","Kullanımda"))</f>
        <v/>
      </c>
    </row>
    <row r="117" customFormat="false" ht="15" hidden="false" customHeight="false" outlineLevel="0" collapsed="false">
      <c r="A117" s="12"/>
      <c r="B117" s="13"/>
      <c r="C117" s="14"/>
      <c r="D117" s="15"/>
      <c r="E117" s="16"/>
      <c r="F117" s="13"/>
      <c r="G117" s="12"/>
      <c r="H117" s="17" t="str">
        <f aca="false">IF(OR(A117="",E117="",E117=0),"",D117/E117)</f>
        <v/>
      </c>
      <c r="I117" s="18" t="str">
        <f aca="true">IF(OR(A117="",C117=""),"",MAX(0,(TODAY()-C117)/365.25))</f>
        <v/>
      </c>
      <c r="J117" s="17" t="str">
        <f aca="false">IF(OR(H117="",I117=""),"",MIN(D117,H117*I117))</f>
        <v/>
      </c>
      <c r="K117" s="17" t="str">
        <f aca="false">IF(J117="","",D117-J117)</f>
        <v/>
      </c>
      <c r="L117" s="19" t="str">
        <f aca="false">IF(K117="","",IF(K117&lt;=0,"Ömrünü doldurdu","Kullanımda"))</f>
        <v/>
      </c>
    </row>
    <row r="118" customFormat="false" ht="15" hidden="false" customHeight="false" outlineLevel="0" collapsed="false">
      <c r="A118" s="12"/>
      <c r="B118" s="13"/>
      <c r="C118" s="14"/>
      <c r="D118" s="15"/>
      <c r="E118" s="16"/>
      <c r="F118" s="13"/>
      <c r="G118" s="12"/>
      <c r="H118" s="17" t="str">
        <f aca="false">IF(OR(A118="",E118="",E118=0),"",D118/E118)</f>
        <v/>
      </c>
      <c r="I118" s="18" t="str">
        <f aca="true">IF(OR(A118="",C118=""),"",MAX(0,(TODAY()-C118)/365.25))</f>
        <v/>
      </c>
      <c r="J118" s="17" t="str">
        <f aca="false">IF(OR(H118="",I118=""),"",MIN(D118,H118*I118))</f>
        <v/>
      </c>
      <c r="K118" s="17" t="str">
        <f aca="false">IF(J118="","",D118-J118)</f>
        <v/>
      </c>
      <c r="L118" s="19" t="str">
        <f aca="false">IF(K118="","",IF(K118&lt;=0,"Ömrünü doldurdu","Kullanımda"))</f>
        <v/>
      </c>
    </row>
    <row r="119" customFormat="false" ht="15" hidden="false" customHeight="false" outlineLevel="0" collapsed="false">
      <c r="A119" s="12"/>
      <c r="B119" s="13"/>
      <c r="C119" s="14"/>
      <c r="D119" s="15"/>
      <c r="E119" s="16"/>
      <c r="F119" s="13"/>
      <c r="G119" s="12"/>
      <c r="H119" s="17" t="str">
        <f aca="false">IF(OR(A119="",E119="",E119=0),"",D119/E119)</f>
        <v/>
      </c>
      <c r="I119" s="18" t="str">
        <f aca="true">IF(OR(A119="",C119=""),"",MAX(0,(TODAY()-C119)/365.25))</f>
        <v/>
      </c>
      <c r="J119" s="17" t="str">
        <f aca="false">IF(OR(H119="",I119=""),"",MIN(D119,H119*I119))</f>
        <v/>
      </c>
      <c r="K119" s="17" t="str">
        <f aca="false">IF(J119="","",D119-J119)</f>
        <v/>
      </c>
      <c r="L119" s="19" t="str">
        <f aca="false">IF(K119="","",IF(K119&lt;=0,"Ömrünü doldurdu","Kullanımda"))</f>
        <v/>
      </c>
    </row>
    <row r="120" customFormat="false" ht="15" hidden="false" customHeight="false" outlineLevel="0" collapsed="false">
      <c r="A120" s="12"/>
      <c r="B120" s="13"/>
      <c r="C120" s="14"/>
      <c r="D120" s="15"/>
      <c r="E120" s="16"/>
      <c r="F120" s="13"/>
      <c r="G120" s="12"/>
      <c r="H120" s="17" t="str">
        <f aca="false">IF(OR(A120="",E120="",E120=0),"",D120/E120)</f>
        <v/>
      </c>
      <c r="I120" s="18" t="str">
        <f aca="true">IF(OR(A120="",C120=""),"",MAX(0,(TODAY()-C120)/365.25))</f>
        <v/>
      </c>
      <c r="J120" s="17" t="str">
        <f aca="false">IF(OR(H120="",I120=""),"",MIN(D120,H120*I120))</f>
        <v/>
      </c>
      <c r="K120" s="17" t="str">
        <f aca="false">IF(J120="","",D120-J120)</f>
        <v/>
      </c>
      <c r="L120" s="19" t="str">
        <f aca="false">IF(K120="","",IF(K120&lt;=0,"Ömrünü doldurdu","Kullanımda"))</f>
        <v/>
      </c>
    </row>
    <row r="121" customFormat="false" ht="15" hidden="false" customHeight="false" outlineLevel="0" collapsed="false">
      <c r="A121" s="12"/>
      <c r="B121" s="13"/>
      <c r="C121" s="14"/>
      <c r="D121" s="15"/>
      <c r="E121" s="16"/>
      <c r="F121" s="13"/>
      <c r="G121" s="12"/>
      <c r="H121" s="17" t="str">
        <f aca="false">IF(OR(A121="",E121="",E121=0),"",D121/E121)</f>
        <v/>
      </c>
      <c r="I121" s="18" t="str">
        <f aca="true">IF(OR(A121="",C121=""),"",MAX(0,(TODAY()-C121)/365.25))</f>
        <v/>
      </c>
      <c r="J121" s="17" t="str">
        <f aca="false">IF(OR(H121="",I121=""),"",MIN(D121,H121*I121))</f>
        <v/>
      </c>
      <c r="K121" s="17" t="str">
        <f aca="false">IF(J121="","",D121-J121)</f>
        <v/>
      </c>
      <c r="L121" s="19" t="str">
        <f aca="false">IF(K121="","",IF(K121&lt;=0,"Ömrünü doldurdu","Kullanımda"))</f>
        <v/>
      </c>
    </row>
    <row r="122" customFormat="false" ht="15" hidden="false" customHeight="false" outlineLevel="0" collapsed="false">
      <c r="A122" s="12"/>
      <c r="B122" s="13"/>
      <c r="C122" s="14"/>
      <c r="D122" s="15"/>
      <c r="E122" s="16"/>
      <c r="F122" s="13"/>
      <c r="G122" s="12"/>
      <c r="H122" s="17" t="str">
        <f aca="false">IF(OR(A122="",E122="",E122=0),"",D122/E122)</f>
        <v/>
      </c>
      <c r="I122" s="18" t="str">
        <f aca="true">IF(OR(A122="",C122=""),"",MAX(0,(TODAY()-C122)/365.25))</f>
        <v/>
      </c>
      <c r="J122" s="17" t="str">
        <f aca="false">IF(OR(H122="",I122=""),"",MIN(D122,H122*I122))</f>
        <v/>
      </c>
      <c r="K122" s="17" t="str">
        <f aca="false">IF(J122="","",D122-J122)</f>
        <v/>
      </c>
      <c r="L122" s="19" t="str">
        <f aca="false">IF(K122="","",IF(K122&lt;=0,"Ömrünü doldurdu","Kullanımda"))</f>
        <v/>
      </c>
    </row>
    <row r="123" customFormat="false" ht="15" hidden="false" customHeight="false" outlineLevel="0" collapsed="false">
      <c r="A123" s="12"/>
      <c r="B123" s="13"/>
      <c r="C123" s="14"/>
      <c r="D123" s="15"/>
      <c r="E123" s="16"/>
      <c r="F123" s="13"/>
      <c r="G123" s="12"/>
      <c r="H123" s="17" t="str">
        <f aca="false">IF(OR(A123="",E123="",E123=0),"",D123/E123)</f>
        <v/>
      </c>
      <c r="I123" s="18" t="str">
        <f aca="true">IF(OR(A123="",C123=""),"",MAX(0,(TODAY()-C123)/365.25))</f>
        <v/>
      </c>
      <c r="J123" s="17" t="str">
        <f aca="false">IF(OR(H123="",I123=""),"",MIN(D123,H123*I123))</f>
        <v/>
      </c>
      <c r="K123" s="17" t="str">
        <f aca="false">IF(J123="","",D123-J123)</f>
        <v/>
      </c>
      <c r="L123" s="19" t="str">
        <f aca="false">IF(K123="","",IF(K123&lt;=0,"Ömrünü doldurdu","Kullanımda"))</f>
        <v/>
      </c>
    </row>
    <row r="124" customFormat="false" ht="15" hidden="false" customHeight="false" outlineLevel="0" collapsed="false">
      <c r="A124" s="12"/>
      <c r="B124" s="13"/>
      <c r="C124" s="14"/>
      <c r="D124" s="15"/>
      <c r="E124" s="16"/>
      <c r="F124" s="13"/>
      <c r="G124" s="12"/>
      <c r="H124" s="17" t="str">
        <f aca="false">IF(OR(A124="",E124="",E124=0),"",D124/E124)</f>
        <v/>
      </c>
      <c r="I124" s="18" t="str">
        <f aca="true">IF(OR(A124="",C124=""),"",MAX(0,(TODAY()-C124)/365.25))</f>
        <v/>
      </c>
      <c r="J124" s="17" t="str">
        <f aca="false">IF(OR(H124="",I124=""),"",MIN(D124,H124*I124))</f>
        <v/>
      </c>
      <c r="K124" s="17" t="str">
        <f aca="false">IF(J124="","",D124-J124)</f>
        <v/>
      </c>
      <c r="L124" s="19" t="str">
        <f aca="false">IF(K124="","",IF(K124&lt;=0,"Ömrünü doldurdu","Kullanımda"))</f>
        <v/>
      </c>
    </row>
    <row r="125" customFormat="false" ht="15" hidden="false" customHeight="false" outlineLevel="0" collapsed="false">
      <c r="A125" s="12"/>
      <c r="B125" s="13"/>
      <c r="C125" s="14"/>
      <c r="D125" s="15"/>
      <c r="E125" s="16"/>
      <c r="F125" s="13"/>
      <c r="G125" s="12"/>
      <c r="H125" s="17" t="str">
        <f aca="false">IF(OR(A125="",E125="",E125=0),"",D125/E125)</f>
        <v/>
      </c>
      <c r="I125" s="18" t="str">
        <f aca="true">IF(OR(A125="",C125=""),"",MAX(0,(TODAY()-C125)/365.25))</f>
        <v/>
      </c>
      <c r="J125" s="17" t="str">
        <f aca="false">IF(OR(H125="",I125=""),"",MIN(D125,H125*I125))</f>
        <v/>
      </c>
      <c r="K125" s="17" t="str">
        <f aca="false">IF(J125="","",D125-J125)</f>
        <v/>
      </c>
      <c r="L125" s="19" t="str">
        <f aca="false">IF(K125="","",IF(K125&lt;=0,"Ömrünü doldurdu","Kullanımda"))</f>
        <v/>
      </c>
    </row>
    <row r="126" customFormat="false" ht="15" hidden="false" customHeight="false" outlineLevel="0" collapsed="false">
      <c r="A126" s="12"/>
      <c r="B126" s="13"/>
      <c r="C126" s="14"/>
      <c r="D126" s="15"/>
      <c r="E126" s="16"/>
      <c r="F126" s="13"/>
      <c r="G126" s="12"/>
      <c r="H126" s="17" t="str">
        <f aca="false">IF(OR(A126="",E126="",E126=0),"",D126/E126)</f>
        <v/>
      </c>
      <c r="I126" s="18" t="str">
        <f aca="true">IF(OR(A126="",C126=""),"",MAX(0,(TODAY()-C126)/365.25))</f>
        <v/>
      </c>
      <c r="J126" s="17" t="str">
        <f aca="false">IF(OR(H126="",I126=""),"",MIN(D126,H126*I126))</f>
        <v/>
      </c>
      <c r="K126" s="17" t="str">
        <f aca="false">IF(J126="","",D126-J126)</f>
        <v/>
      </c>
      <c r="L126" s="19" t="str">
        <f aca="false">IF(K126="","",IF(K126&lt;=0,"Ömrünü doldurdu","Kullanımda"))</f>
        <v/>
      </c>
    </row>
    <row r="127" customFormat="false" ht="15" hidden="false" customHeight="false" outlineLevel="0" collapsed="false">
      <c r="A127" s="12"/>
      <c r="B127" s="13"/>
      <c r="C127" s="14"/>
      <c r="D127" s="15"/>
      <c r="E127" s="16"/>
      <c r="F127" s="13"/>
      <c r="G127" s="12"/>
      <c r="H127" s="17" t="str">
        <f aca="false">IF(OR(A127="",E127="",E127=0),"",D127/E127)</f>
        <v/>
      </c>
      <c r="I127" s="18" t="str">
        <f aca="true">IF(OR(A127="",C127=""),"",MAX(0,(TODAY()-C127)/365.25))</f>
        <v/>
      </c>
      <c r="J127" s="17" t="str">
        <f aca="false">IF(OR(H127="",I127=""),"",MIN(D127,H127*I127))</f>
        <v/>
      </c>
      <c r="K127" s="17" t="str">
        <f aca="false">IF(J127="","",D127-J127)</f>
        <v/>
      </c>
      <c r="L127" s="19" t="str">
        <f aca="false">IF(K127="","",IF(K127&lt;=0,"Ömrünü doldurdu","Kullanımda"))</f>
        <v/>
      </c>
    </row>
    <row r="128" customFormat="false" ht="15" hidden="false" customHeight="false" outlineLevel="0" collapsed="false">
      <c r="A128" s="12"/>
      <c r="B128" s="13"/>
      <c r="C128" s="14"/>
      <c r="D128" s="15"/>
      <c r="E128" s="16"/>
      <c r="F128" s="13"/>
      <c r="G128" s="12"/>
      <c r="H128" s="17" t="str">
        <f aca="false">IF(OR(A128="",E128="",E128=0),"",D128/E128)</f>
        <v/>
      </c>
      <c r="I128" s="18" t="str">
        <f aca="true">IF(OR(A128="",C128=""),"",MAX(0,(TODAY()-C128)/365.25))</f>
        <v/>
      </c>
      <c r="J128" s="17" t="str">
        <f aca="false">IF(OR(H128="",I128=""),"",MIN(D128,H128*I128))</f>
        <v/>
      </c>
      <c r="K128" s="17" t="str">
        <f aca="false">IF(J128="","",D128-J128)</f>
        <v/>
      </c>
      <c r="L128" s="19" t="str">
        <f aca="false">IF(K128="","",IF(K128&lt;=0,"Ömrünü doldurdu","Kullanımda"))</f>
        <v/>
      </c>
    </row>
    <row r="129" customFormat="false" ht="15" hidden="false" customHeight="false" outlineLevel="0" collapsed="false">
      <c r="A129" s="12"/>
      <c r="B129" s="13"/>
      <c r="C129" s="14"/>
      <c r="D129" s="15"/>
      <c r="E129" s="16"/>
      <c r="F129" s="13"/>
      <c r="G129" s="12"/>
      <c r="H129" s="17" t="str">
        <f aca="false">IF(OR(A129="",E129="",E129=0),"",D129/E129)</f>
        <v/>
      </c>
      <c r="I129" s="18" t="str">
        <f aca="true">IF(OR(A129="",C129=""),"",MAX(0,(TODAY()-C129)/365.25))</f>
        <v/>
      </c>
      <c r="J129" s="17" t="str">
        <f aca="false">IF(OR(H129="",I129=""),"",MIN(D129,H129*I129))</f>
        <v/>
      </c>
      <c r="K129" s="17" t="str">
        <f aca="false">IF(J129="","",D129-J129)</f>
        <v/>
      </c>
      <c r="L129" s="19" t="str">
        <f aca="false">IF(K129="","",IF(K129&lt;=0,"Ömrünü doldurdu","Kullanımda"))</f>
        <v/>
      </c>
    </row>
    <row r="130" customFormat="false" ht="15" hidden="false" customHeight="false" outlineLevel="0" collapsed="false">
      <c r="A130" s="12"/>
      <c r="B130" s="13"/>
      <c r="C130" s="14"/>
      <c r="D130" s="15"/>
      <c r="E130" s="16"/>
      <c r="F130" s="13"/>
      <c r="G130" s="12"/>
      <c r="H130" s="17" t="str">
        <f aca="false">IF(OR(A130="",E130="",E130=0),"",D130/E130)</f>
        <v/>
      </c>
      <c r="I130" s="18" t="str">
        <f aca="true">IF(OR(A130="",C130=""),"",MAX(0,(TODAY()-C130)/365.25))</f>
        <v/>
      </c>
      <c r="J130" s="17" t="str">
        <f aca="false">IF(OR(H130="",I130=""),"",MIN(D130,H130*I130))</f>
        <v/>
      </c>
      <c r="K130" s="17" t="str">
        <f aca="false">IF(J130="","",D130-J130)</f>
        <v/>
      </c>
      <c r="L130" s="19" t="str">
        <f aca="false">IF(K130="","",IF(K130&lt;=0,"Ömrünü doldurdu","Kullanımda"))</f>
        <v/>
      </c>
    </row>
    <row r="131" customFormat="false" ht="15" hidden="false" customHeight="false" outlineLevel="0" collapsed="false">
      <c r="A131" s="12"/>
      <c r="B131" s="13"/>
      <c r="C131" s="14"/>
      <c r="D131" s="15"/>
      <c r="E131" s="16"/>
      <c r="F131" s="13"/>
      <c r="G131" s="12"/>
      <c r="H131" s="17" t="str">
        <f aca="false">IF(OR(A131="",E131="",E131=0),"",D131/E131)</f>
        <v/>
      </c>
      <c r="I131" s="18" t="str">
        <f aca="true">IF(OR(A131="",C131=""),"",MAX(0,(TODAY()-C131)/365.25))</f>
        <v/>
      </c>
      <c r="J131" s="17" t="str">
        <f aca="false">IF(OR(H131="",I131=""),"",MIN(D131,H131*I131))</f>
        <v/>
      </c>
      <c r="K131" s="17" t="str">
        <f aca="false">IF(J131="","",D131-J131)</f>
        <v/>
      </c>
      <c r="L131" s="19" t="str">
        <f aca="false">IF(K131="","",IF(K131&lt;=0,"Ömrünü doldurdu","Kullanımda"))</f>
        <v/>
      </c>
    </row>
    <row r="132" customFormat="false" ht="15" hidden="false" customHeight="false" outlineLevel="0" collapsed="false">
      <c r="A132" s="12"/>
      <c r="B132" s="13"/>
      <c r="C132" s="14"/>
      <c r="D132" s="15"/>
      <c r="E132" s="16"/>
      <c r="F132" s="13"/>
      <c r="G132" s="12"/>
      <c r="H132" s="17" t="str">
        <f aca="false">IF(OR(A132="",E132="",E132=0),"",D132/E132)</f>
        <v/>
      </c>
      <c r="I132" s="18" t="str">
        <f aca="true">IF(OR(A132="",C132=""),"",MAX(0,(TODAY()-C132)/365.25))</f>
        <v/>
      </c>
      <c r="J132" s="17" t="str">
        <f aca="false">IF(OR(H132="",I132=""),"",MIN(D132,H132*I132))</f>
        <v/>
      </c>
      <c r="K132" s="17" t="str">
        <f aca="false">IF(J132="","",D132-J132)</f>
        <v/>
      </c>
      <c r="L132" s="19" t="str">
        <f aca="false">IF(K132="","",IF(K132&lt;=0,"Ömrünü doldurdu","Kullanımda"))</f>
        <v/>
      </c>
    </row>
    <row r="133" customFormat="false" ht="15" hidden="false" customHeight="false" outlineLevel="0" collapsed="false">
      <c r="A133" s="12"/>
      <c r="B133" s="13"/>
      <c r="C133" s="14"/>
      <c r="D133" s="15"/>
      <c r="E133" s="16"/>
      <c r="F133" s="13"/>
      <c r="G133" s="12"/>
      <c r="H133" s="17" t="str">
        <f aca="false">IF(OR(A133="",E133="",E133=0),"",D133/E133)</f>
        <v/>
      </c>
      <c r="I133" s="18" t="str">
        <f aca="true">IF(OR(A133="",C133=""),"",MAX(0,(TODAY()-C133)/365.25))</f>
        <v/>
      </c>
      <c r="J133" s="17" t="str">
        <f aca="false">IF(OR(H133="",I133=""),"",MIN(D133,H133*I133))</f>
        <v/>
      </c>
      <c r="K133" s="17" t="str">
        <f aca="false">IF(J133="","",D133-J133)</f>
        <v/>
      </c>
      <c r="L133" s="19" t="str">
        <f aca="false">IF(K133="","",IF(K133&lt;=0,"Ömrünü doldurdu","Kullanımda"))</f>
        <v/>
      </c>
    </row>
    <row r="134" customFormat="false" ht="15" hidden="false" customHeight="false" outlineLevel="0" collapsed="false">
      <c r="A134" s="12"/>
      <c r="B134" s="13"/>
      <c r="C134" s="14"/>
      <c r="D134" s="15"/>
      <c r="E134" s="16"/>
      <c r="F134" s="13"/>
      <c r="G134" s="12"/>
      <c r="H134" s="17" t="str">
        <f aca="false">IF(OR(A134="",E134="",E134=0),"",D134/E134)</f>
        <v/>
      </c>
      <c r="I134" s="18" t="str">
        <f aca="true">IF(OR(A134="",C134=""),"",MAX(0,(TODAY()-C134)/365.25))</f>
        <v/>
      </c>
      <c r="J134" s="17" t="str">
        <f aca="false">IF(OR(H134="",I134=""),"",MIN(D134,H134*I134))</f>
        <v/>
      </c>
      <c r="K134" s="17" t="str">
        <f aca="false">IF(J134="","",D134-J134)</f>
        <v/>
      </c>
      <c r="L134" s="19" t="str">
        <f aca="false">IF(K134="","",IF(K134&lt;=0,"Ömrünü doldurdu","Kullanımda"))</f>
        <v/>
      </c>
    </row>
    <row r="135" customFormat="false" ht="15" hidden="false" customHeight="false" outlineLevel="0" collapsed="false">
      <c r="A135" s="12"/>
      <c r="B135" s="13"/>
      <c r="C135" s="14"/>
      <c r="D135" s="15"/>
      <c r="E135" s="16"/>
      <c r="F135" s="13"/>
      <c r="G135" s="12"/>
      <c r="H135" s="17" t="str">
        <f aca="false">IF(OR(A135="",E135="",E135=0),"",D135/E135)</f>
        <v/>
      </c>
      <c r="I135" s="18" t="str">
        <f aca="true">IF(OR(A135="",C135=""),"",MAX(0,(TODAY()-C135)/365.25))</f>
        <v/>
      </c>
      <c r="J135" s="17" t="str">
        <f aca="false">IF(OR(H135="",I135=""),"",MIN(D135,H135*I135))</f>
        <v/>
      </c>
      <c r="K135" s="17" t="str">
        <f aca="false">IF(J135="","",D135-J135)</f>
        <v/>
      </c>
      <c r="L135" s="19" t="str">
        <f aca="false">IF(K135="","",IF(K135&lt;=0,"Ömrünü doldurdu","Kullanımda"))</f>
        <v/>
      </c>
    </row>
    <row r="136" customFormat="false" ht="15" hidden="false" customHeight="false" outlineLevel="0" collapsed="false">
      <c r="A136" s="12"/>
      <c r="B136" s="13"/>
      <c r="C136" s="14"/>
      <c r="D136" s="15"/>
      <c r="E136" s="16"/>
      <c r="F136" s="13"/>
      <c r="G136" s="12"/>
      <c r="H136" s="17" t="str">
        <f aca="false">IF(OR(A136="",E136="",E136=0),"",D136/E136)</f>
        <v/>
      </c>
      <c r="I136" s="18" t="str">
        <f aca="true">IF(OR(A136="",C136=""),"",MAX(0,(TODAY()-C136)/365.25))</f>
        <v/>
      </c>
      <c r="J136" s="17" t="str">
        <f aca="false">IF(OR(H136="",I136=""),"",MIN(D136,H136*I136))</f>
        <v/>
      </c>
      <c r="K136" s="17" t="str">
        <f aca="false">IF(J136="","",D136-J136)</f>
        <v/>
      </c>
      <c r="L136" s="19" t="str">
        <f aca="false">IF(K136="","",IF(K136&lt;=0,"Ömrünü doldurdu","Kullanımda"))</f>
        <v/>
      </c>
    </row>
    <row r="137" customFormat="false" ht="15" hidden="false" customHeight="false" outlineLevel="0" collapsed="false">
      <c r="A137" s="12"/>
      <c r="B137" s="13"/>
      <c r="C137" s="14"/>
      <c r="D137" s="15"/>
      <c r="E137" s="16"/>
      <c r="F137" s="13"/>
      <c r="G137" s="12"/>
      <c r="H137" s="17" t="str">
        <f aca="false">IF(OR(A137="",E137="",E137=0),"",D137/E137)</f>
        <v/>
      </c>
      <c r="I137" s="18" t="str">
        <f aca="true">IF(OR(A137="",C137=""),"",MAX(0,(TODAY()-C137)/365.25))</f>
        <v/>
      </c>
      <c r="J137" s="17" t="str">
        <f aca="false">IF(OR(H137="",I137=""),"",MIN(D137,H137*I137))</f>
        <v/>
      </c>
      <c r="K137" s="17" t="str">
        <f aca="false">IF(J137="","",D137-J137)</f>
        <v/>
      </c>
      <c r="L137" s="19" t="str">
        <f aca="false">IF(K137="","",IF(K137&lt;=0,"Ömrünü doldurdu","Kullanımda"))</f>
        <v/>
      </c>
    </row>
    <row r="138" customFormat="false" ht="15" hidden="false" customHeight="false" outlineLevel="0" collapsed="false">
      <c r="A138" s="12"/>
      <c r="B138" s="13"/>
      <c r="C138" s="14"/>
      <c r="D138" s="15"/>
      <c r="E138" s="16"/>
      <c r="F138" s="13"/>
      <c r="G138" s="12"/>
      <c r="H138" s="17" t="str">
        <f aca="false">IF(OR(A138="",E138="",E138=0),"",D138/E138)</f>
        <v/>
      </c>
      <c r="I138" s="18" t="str">
        <f aca="true">IF(OR(A138="",C138=""),"",MAX(0,(TODAY()-C138)/365.25))</f>
        <v/>
      </c>
      <c r="J138" s="17" t="str">
        <f aca="false">IF(OR(H138="",I138=""),"",MIN(D138,H138*I138))</f>
        <v/>
      </c>
      <c r="K138" s="17" t="str">
        <f aca="false">IF(J138="","",D138-J138)</f>
        <v/>
      </c>
      <c r="L138" s="19" t="str">
        <f aca="false">IF(K138="","",IF(K138&lt;=0,"Ömrünü doldurdu","Kullanımda"))</f>
        <v/>
      </c>
    </row>
    <row r="139" customFormat="false" ht="15" hidden="false" customHeight="false" outlineLevel="0" collapsed="false">
      <c r="A139" s="12"/>
      <c r="B139" s="13"/>
      <c r="C139" s="14"/>
      <c r="D139" s="15"/>
      <c r="E139" s="16"/>
      <c r="F139" s="13"/>
      <c r="G139" s="12"/>
      <c r="H139" s="17" t="str">
        <f aca="false">IF(OR(A139="",E139="",E139=0),"",D139/E139)</f>
        <v/>
      </c>
      <c r="I139" s="18" t="str">
        <f aca="true">IF(OR(A139="",C139=""),"",MAX(0,(TODAY()-C139)/365.25))</f>
        <v/>
      </c>
      <c r="J139" s="17" t="str">
        <f aca="false">IF(OR(H139="",I139=""),"",MIN(D139,H139*I139))</f>
        <v/>
      </c>
      <c r="K139" s="17" t="str">
        <f aca="false">IF(J139="","",D139-J139)</f>
        <v/>
      </c>
      <c r="L139" s="19" t="str">
        <f aca="false">IF(K139="","",IF(K139&lt;=0,"Ömrünü doldurdu","Kullanımda"))</f>
        <v/>
      </c>
    </row>
    <row r="140" customFormat="false" ht="15" hidden="false" customHeight="false" outlineLevel="0" collapsed="false">
      <c r="A140" s="12"/>
      <c r="B140" s="13"/>
      <c r="C140" s="14"/>
      <c r="D140" s="15"/>
      <c r="E140" s="16"/>
      <c r="F140" s="13"/>
      <c r="G140" s="12"/>
      <c r="H140" s="17" t="str">
        <f aca="false">IF(OR(A140="",E140="",E140=0),"",D140/E140)</f>
        <v/>
      </c>
      <c r="I140" s="18" t="str">
        <f aca="true">IF(OR(A140="",C140=""),"",MAX(0,(TODAY()-C140)/365.25))</f>
        <v/>
      </c>
      <c r="J140" s="17" t="str">
        <f aca="false">IF(OR(H140="",I140=""),"",MIN(D140,H140*I140))</f>
        <v/>
      </c>
      <c r="K140" s="17" t="str">
        <f aca="false">IF(J140="","",D140-J140)</f>
        <v/>
      </c>
      <c r="L140" s="19" t="str">
        <f aca="false">IF(K140="","",IF(K140&lt;=0,"Ömrünü doldurdu","Kullanımda"))</f>
        <v/>
      </c>
    </row>
    <row r="141" customFormat="false" ht="15" hidden="false" customHeight="false" outlineLevel="0" collapsed="false">
      <c r="A141" s="12"/>
      <c r="B141" s="13"/>
      <c r="C141" s="14"/>
      <c r="D141" s="15"/>
      <c r="E141" s="16"/>
      <c r="F141" s="13"/>
      <c r="G141" s="12"/>
      <c r="H141" s="17" t="str">
        <f aca="false">IF(OR(A141="",E141="",E141=0),"",D141/E141)</f>
        <v/>
      </c>
      <c r="I141" s="18" t="str">
        <f aca="true">IF(OR(A141="",C141=""),"",MAX(0,(TODAY()-C141)/365.25))</f>
        <v/>
      </c>
      <c r="J141" s="17" t="str">
        <f aca="false">IF(OR(H141="",I141=""),"",MIN(D141,H141*I141))</f>
        <v/>
      </c>
      <c r="K141" s="17" t="str">
        <f aca="false">IF(J141="","",D141-J141)</f>
        <v/>
      </c>
      <c r="L141" s="19" t="str">
        <f aca="false">IF(K141="","",IF(K141&lt;=0,"Ömrünü doldurdu","Kullanımda"))</f>
        <v/>
      </c>
    </row>
    <row r="142" customFormat="false" ht="15" hidden="false" customHeight="false" outlineLevel="0" collapsed="false">
      <c r="A142" s="12"/>
      <c r="B142" s="13"/>
      <c r="C142" s="14"/>
      <c r="D142" s="15"/>
      <c r="E142" s="16"/>
      <c r="F142" s="13"/>
      <c r="G142" s="12"/>
      <c r="H142" s="17" t="str">
        <f aca="false">IF(OR(A142="",E142="",E142=0),"",D142/E142)</f>
        <v/>
      </c>
      <c r="I142" s="18" t="str">
        <f aca="true">IF(OR(A142="",C142=""),"",MAX(0,(TODAY()-C142)/365.25))</f>
        <v/>
      </c>
      <c r="J142" s="17" t="str">
        <f aca="false">IF(OR(H142="",I142=""),"",MIN(D142,H142*I142))</f>
        <v/>
      </c>
      <c r="K142" s="17" t="str">
        <f aca="false">IF(J142="","",D142-J142)</f>
        <v/>
      </c>
      <c r="L142" s="19" t="str">
        <f aca="false">IF(K142="","",IF(K142&lt;=0,"Ömrünü doldurdu","Kullanımda"))</f>
        <v/>
      </c>
    </row>
    <row r="143" customFormat="false" ht="15" hidden="false" customHeight="false" outlineLevel="0" collapsed="false">
      <c r="A143" s="12"/>
      <c r="B143" s="13"/>
      <c r="C143" s="14"/>
      <c r="D143" s="15"/>
      <c r="E143" s="16"/>
      <c r="F143" s="13"/>
      <c r="G143" s="12"/>
      <c r="H143" s="17" t="str">
        <f aca="false">IF(OR(A143="",E143="",E143=0),"",D143/E143)</f>
        <v/>
      </c>
      <c r="I143" s="18" t="str">
        <f aca="true">IF(OR(A143="",C143=""),"",MAX(0,(TODAY()-C143)/365.25))</f>
        <v/>
      </c>
      <c r="J143" s="17" t="str">
        <f aca="false">IF(OR(H143="",I143=""),"",MIN(D143,H143*I143))</f>
        <v/>
      </c>
      <c r="K143" s="17" t="str">
        <f aca="false">IF(J143="","",D143-J143)</f>
        <v/>
      </c>
      <c r="L143" s="19" t="str">
        <f aca="false">IF(K143="","",IF(K143&lt;=0,"Ömrünü doldurdu","Kullanımda"))</f>
        <v/>
      </c>
    </row>
    <row r="144" customFormat="false" ht="15" hidden="false" customHeight="false" outlineLevel="0" collapsed="false">
      <c r="A144" s="12"/>
      <c r="B144" s="13"/>
      <c r="C144" s="14"/>
      <c r="D144" s="15"/>
      <c r="E144" s="16"/>
      <c r="F144" s="13"/>
      <c r="G144" s="12"/>
      <c r="H144" s="17" t="str">
        <f aca="false">IF(OR(A144="",E144="",E144=0),"",D144/E144)</f>
        <v/>
      </c>
      <c r="I144" s="18" t="str">
        <f aca="true">IF(OR(A144="",C144=""),"",MAX(0,(TODAY()-C144)/365.25))</f>
        <v/>
      </c>
      <c r="J144" s="17" t="str">
        <f aca="false">IF(OR(H144="",I144=""),"",MIN(D144,H144*I144))</f>
        <v/>
      </c>
      <c r="K144" s="17" t="str">
        <f aca="false">IF(J144="","",D144-J144)</f>
        <v/>
      </c>
      <c r="L144" s="19" t="str">
        <f aca="false">IF(K144="","",IF(K144&lt;=0,"Ömrünü doldurdu","Kullanımda"))</f>
        <v/>
      </c>
    </row>
    <row r="145" customFormat="false" ht="15" hidden="false" customHeight="false" outlineLevel="0" collapsed="false">
      <c r="A145" s="12"/>
      <c r="B145" s="13"/>
      <c r="C145" s="14"/>
      <c r="D145" s="15"/>
      <c r="E145" s="16"/>
      <c r="F145" s="13"/>
      <c r="G145" s="12"/>
      <c r="H145" s="17" t="str">
        <f aca="false">IF(OR(A145="",E145="",E145=0),"",D145/E145)</f>
        <v/>
      </c>
      <c r="I145" s="18" t="str">
        <f aca="true">IF(OR(A145="",C145=""),"",MAX(0,(TODAY()-C145)/365.25))</f>
        <v/>
      </c>
      <c r="J145" s="17" t="str">
        <f aca="false">IF(OR(H145="",I145=""),"",MIN(D145,H145*I145))</f>
        <v/>
      </c>
      <c r="K145" s="17" t="str">
        <f aca="false">IF(J145="","",D145-J145)</f>
        <v/>
      </c>
      <c r="L145" s="19" t="str">
        <f aca="false">IF(K145="","",IF(K145&lt;=0,"Ömrünü doldurdu","Kullanımda"))</f>
        <v/>
      </c>
    </row>
    <row r="146" customFormat="false" ht="15" hidden="false" customHeight="false" outlineLevel="0" collapsed="false">
      <c r="A146" s="12"/>
      <c r="B146" s="13"/>
      <c r="C146" s="14"/>
      <c r="D146" s="15"/>
      <c r="E146" s="16"/>
      <c r="F146" s="13"/>
      <c r="G146" s="12"/>
      <c r="H146" s="17" t="str">
        <f aca="false">IF(OR(A146="",E146="",E146=0),"",D146/E146)</f>
        <v/>
      </c>
      <c r="I146" s="18" t="str">
        <f aca="true">IF(OR(A146="",C146=""),"",MAX(0,(TODAY()-C146)/365.25))</f>
        <v/>
      </c>
      <c r="J146" s="17" t="str">
        <f aca="false">IF(OR(H146="",I146=""),"",MIN(D146,H146*I146))</f>
        <v/>
      </c>
      <c r="K146" s="17" t="str">
        <f aca="false">IF(J146="","",D146-J146)</f>
        <v/>
      </c>
      <c r="L146" s="19" t="str">
        <f aca="false">IF(K146="","",IF(K146&lt;=0,"Ömrünü doldurdu","Kullanımda"))</f>
        <v/>
      </c>
    </row>
    <row r="147" customFormat="false" ht="15" hidden="false" customHeight="false" outlineLevel="0" collapsed="false">
      <c r="A147" s="12"/>
      <c r="B147" s="13"/>
      <c r="C147" s="14"/>
      <c r="D147" s="15"/>
      <c r="E147" s="16"/>
      <c r="F147" s="13"/>
      <c r="G147" s="12"/>
      <c r="H147" s="17" t="str">
        <f aca="false">IF(OR(A147="",E147="",E147=0),"",D147/E147)</f>
        <v/>
      </c>
      <c r="I147" s="18" t="str">
        <f aca="true">IF(OR(A147="",C147=""),"",MAX(0,(TODAY()-C147)/365.25))</f>
        <v/>
      </c>
      <c r="J147" s="17" t="str">
        <f aca="false">IF(OR(H147="",I147=""),"",MIN(D147,H147*I147))</f>
        <v/>
      </c>
      <c r="K147" s="17" t="str">
        <f aca="false">IF(J147="","",D147-J147)</f>
        <v/>
      </c>
      <c r="L147" s="19" t="str">
        <f aca="false">IF(K147="","",IF(K147&lt;=0,"Ömrünü doldurdu","Kullanımda"))</f>
        <v/>
      </c>
    </row>
    <row r="148" customFormat="false" ht="15" hidden="false" customHeight="false" outlineLevel="0" collapsed="false">
      <c r="A148" s="12"/>
      <c r="B148" s="13"/>
      <c r="C148" s="14"/>
      <c r="D148" s="15"/>
      <c r="E148" s="16"/>
      <c r="F148" s="13"/>
      <c r="G148" s="12"/>
      <c r="H148" s="17" t="str">
        <f aca="false">IF(OR(A148="",E148="",E148=0),"",D148/E148)</f>
        <v/>
      </c>
      <c r="I148" s="18" t="str">
        <f aca="true">IF(OR(A148="",C148=""),"",MAX(0,(TODAY()-C148)/365.25))</f>
        <v/>
      </c>
      <c r="J148" s="17" t="str">
        <f aca="false">IF(OR(H148="",I148=""),"",MIN(D148,H148*I148))</f>
        <v/>
      </c>
      <c r="K148" s="17" t="str">
        <f aca="false">IF(J148="","",D148-J148)</f>
        <v/>
      </c>
      <c r="L148" s="19" t="str">
        <f aca="false">IF(K148="","",IF(K148&lt;=0,"Ömrünü doldurdu","Kullanımda"))</f>
        <v/>
      </c>
    </row>
    <row r="149" customFormat="false" ht="15" hidden="false" customHeight="false" outlineLevel="0" collapsed="false">
      <c r="A149" s="12"/>
      <c r="B149" s="13"/>
      <c r="C149" s="14"/>
      <c r="D149" s="15"/>
      <c r="E149" s="16"/>
      <c r="F149" s="13"/>
      <c r="G149" s="12"/>
      <c r="H149" s="17" t="str">
        <f aca="false">IF(OR(A149="",E149="",E149=0),"",D149/E149)</f>
        <v/>
      </c>
      <c r="I149" s="18" t="str">
        <f aca="true">IF(OR(A149="",C149=""),"",MAX(0,(TODAY()-C149)/365.25))</f>
        <v/>
      </c>
      <c r="J149" s="17" t="str">
        <f aca="false">IF(OR(H149="",I149=""),"",MIN(D149,H149*I149))</f>
        <v/>
      </c>
      <c r="K149" s="17" t="str">
        <f aca="false">IF(J149="","",D149-J149)</f>
        <v/>
      </c>
      <c r="L149" s="19" t="str">
        <f aca="false">IF(K149="","",IF(K149&lt;=0,"Ömrünü doldurdu","Kullanımda"))</f>
        <v/>
      </c>
    </row>
    <row r="150" customFormat="false" ht="15" hidden="false" customHeight="false" outlineLevel="0" collapsed="false">
      <c r="A150" s="12"/>
      <c r="B150" s="13"/>
      <c r="C150" s="14"/>
      <c r="D150" s="15"/>
      <c r="E150" s="16"/>
      <c r="F150" s="13"/>
      <c r="G150" s="12"/>
      <c r="H150" s="17" t="str">
        <f aca="false">IF(OR(A150="",E150="",E150=0),"",D150/E150)</f>
        <v/>
      </c>
      <c r="I150" s="18" t="str">
        <f aca="true">IF(OR(A150="",C150=""),"",MAX(0,(TODAY()-C150)/365.25))</f>
        <v/>
      </c>
      <c r="J150" s="17" t="str">
        <f aca="false">IF(OR(H150="",I150=""),"",MIN(D150,H150*I150))</f>
        <v/>
      </c>
      <c r="K150" s="17" t="str">
        <f aca="false">IF(J150="","",D150-J150)</f>
        <v/>
      </c>
      <c r="L150" s="19" t="str">
        <f aca="false">IF(K150="","",IF(K150&lt;=0,"Ömrünü doldurdu","Kullanımda"))</f>
        <v/>
      </c>
    </row>
    <row r="151" customFormat="false" ht="15" hidden="false" customHeight="false" outlineLevel="0" collapsed="false">
      <c r="A151" s="12"/>
      <c r="B151" s="13"/>
      <c r="C151" s="14"/>
      <c r="D151" s="15"/>
      <c r="E151" s="16"/>
      <c r="F151" s="13"/>
      <c r="G151" s="12"/>
      <c r="H151" s="17" t="str">
        <f aca="false">IF(OR(A151="",E151="",E151=0),"",D151/E151)</f>
        <v/>
      </c>
      <c r="I151" s="18" t="str">
        <f aca="true">IF(OR(A151="",C151=""),"",MAX(0,(TODAY()-C151)/365.25))</f>
        <v/>
      </c>
      <c r="J151" s="17" t="str">
        <f aca="false">IF(OR(H151="",I151=""),"",MIN(D151,H151*I151))</f>
        <v/>
      </c>
      <c r="K151" s="17" t="str">
        <f aca="false">IF(J151="","",D151-J151)</f>
        <v/>
      </c>
      <c r="L151" s="19" t="str">
        <f aca="false">IF(K151="","",IF(K151&lt;=0,"Ömrünü doldurdu","Kullanımda"))</f>
        <v/>
      </c>
    </row>
    <row r="152" customFormat="false" ht="15" hidden="false" customHeight="false" outlineLevel="0" collapsed="false">
      <c r="A152" s="12"/>
      <c r="B152" s="13"/>
      <c r="C152" s="14"/>
      <c r="D152" s="15"/>
      <c r="E152" s="16"/>
      <c r="F152" s="13"/>
      <c r="G152" s="12"/>
      <c r="H152" s="17" t="str">
        <f aca="false">IF(OR(A152="",E152="",E152=0),"",D152/E152)</f>
        <v/>
      </c>
      <c r="I152" s="18" t="str">
        <f aca="true">IF(OR(A152="",C152=""),"",MAX(0,(TODAY()-C152)/365.25))</f>
        <v/>
      </c>
      <c r="J152" s="17" t="str">
        <f aca="false">IF(OR(H152="",I152=""),"",MIN(D152,H152*I152))</f>
        <v/>
      </c>
      <c r="K152" s="17" t="str">
        <f aca="false">IF(J152="","",D152-J152)</f>
        <v/>
      </c>
      <c r="L152" s="19" t="str">
        <f aca="false">IF(K152="","",IF(K152&lt;=0,"Ömrünü doldurdu","Kullanımda"))</f>
        <v/>
      </c>
    </row>
    <row r="153" customFormat="false" ht="15" hidden="false" customHeight="false" outlineLevel="0" collapsed="false">
      <c r="A153" s="12"/>
      <c r="B153" s="13"/>
      <c r="C153" s="14"/>
      <c r="D153" s="15"/>
      <c r="E153" s="16"/>
      <c r="F153" s="13"/>
      <c r="G153" s="12"/>
      <c r="H153" s="17" t="str">
        <f aca="false">IF(OR(A153="",E153="",E153=0),"",D153/E153)</f>
        <v/>
      </c>
      <c r="I153" s="18" t="str">
        <f aca="true">IF(OR(A153="",C153=""),"",MAX(0,(TODAY()-C153)/365.25))</f>
        <v/>
      </c>
      <c r="J153" s="17" t="str">
        <f aca="false">IF(OR(H153="",I153=""),"",MIN(D153,H153*I153))</f>
        <v/>
      </c>
      <c r="K153" s="17" t="str">
        <f aca="false">IF(J153="","",D153-J153)</f>
        <v/>
      </c>
      <c r="L153" s="19" t="str">
        <f aca="false">IF(K153="","",IF(K153&lt;=0,"Ömrünü doldurdu","Kullanımda"))</f>
        <v/>
      </c>
    </row>
    <row r="154" customFormat="false" ht="15" hidden="false" customHeight="false" outlineLevel="0" collapsed="false">
      <c r="A154" s="12"/>
      <c r="B154" s="13"/>
      <c r="C154" s="14"/>
      <c r="D154" s="15"/>
      <c r="E154" s="16"/>
      <c r="F154" s="13"/>
      <c r="G154" s="12"/>
      <c r="H154" s="17" t="str">
        <f aca="false">IF(OR(A154="",E154="",E154=0),"",D154/E154)</f>
        <v/>
      </c>
      <c r="I154" s="18" t="str">
        <f aca="true">IF(OR(A154="",C154=""),"",MAX(0,(TODAY()-C154)/365.25))</f>
        <v/>
      </c>
      <c r="J154" s="17" t="str">
        <f aca="false">IF(OR(H154="",I154=""),"",MIN(D154,H154*I154))</f>
        <v/>
      </c>
      <c r="K154" s="17" t="str">
        <f aca="false">IF(J154="","",D154-J154)</f>
        <v/>
      </c>
      <c r="L154" s="19" t="str">
        <f aca="false">IF(K154="","",IF(K154&lt;=0,"Ömrünü doldurdu","Kullanımda"))</f>
        <v/>
      </c>
    </row>
    <row r="155" customFormat="false" ht="15" hidden="false" customHeight="false" outlineLevel="0" collapsed="false">
      <c r="A155" s="12"/>
      <c r="B155" s="13"/>
      <c r="C155" s="14"/>
      <c r="D155" s="15"/>
      <c r="E155" s="16"/>
      <c r="F155" s="13"/>
      <c r="G155" s="12"/>
      <c r="H155" s="17" t="str">
        <f aca="false">IF(OR(A155="",E155="",E155=0),"",D155/E155)</f>
        <v/>
      </c>
      <c r="I155" s="18" t="str">
        <f aca="true">IF(OR(A155="",C155=""),"",MAX(0,(TODAY()-C155)/365.25))</f>
        <v/>
      </c>
      <c r="J155" s="17" t="str">
        <f aca="false">IF(OR(H155="",I155=""),"",MIN(D155,H155*I155))</f>
        <v/>
      </c>
      <c r="K155" s="17" t="str">
        <f aca="false">IF(J155="","",D155-J155)</f>
        <v/>
      </c>
      <c r="L155" s="19" t="str">
        <f aca="false">IF(K155="","",IF(K155&lt;=0,"Ömrünü doldurdu","Kullanımda"))</f>
        <v/>
      </c>
    </row>
    <row r="156" customFormat="false" ht="15" hidden="false" customHeight="false" outlineLevel="0" collapsed="false">
      <c r="A156" s="12"/>
      <c r="B156" s="13"/>
      <c r="C156" s="14"/>
      <c r="D156" s="15"/>
      <c r="E156" s="16"/>
      <c r="F156" s="13"/>
      <c r="G156" s="12"/>
      <c r="H156" s="17" t="str">
        <f aca="false">IF(OR(A156="",E156="",E156=0),"",D156/E156)</f>
        <v/>
      </c>
      <c r="I156" s="18" t="str">
        <f aca="true">IF(OR(A156="",C156=""),"",MAX(0,(TODAY()-C156)/365.25))</f>
        <v/>
      </c>
      <c r="J156" s="17" t="str">
        <f aca="false">IF(OR(H156="",I156=""),"",MIN(D156,H156*I156))</f>
        <v/>
      </c>
      <c r="K156" s="17" t="str">
        <f aca="false">IF(J156="","",D156-J156)</f>
        <v/>
      </c>
      <c r="L156" s="19" t="str">
        <f aca="false">IF(K156="","",IF(K156&lt;=0,"Ömrünü doldurdu","Kullanımda"))</f>
        <v/>
      </c>
    </row>
    <row r="157" customFormat="false" ht="15" hidden="false" customHeight="false" outlineLevel="0" collapsed="false">
      <c r="A157" s="12"/>
      <c r="B157" s="13"/>
      <c r="C157" s="14"/>
      <c r="D157" s="15"/>
      <c r="E157" s="16"/>
      <c r="F157" s="13"/>
      <c r="G157" s="12"/>
      <c r="H157" s="17" t="str">
        <f aca="false">IF(OR(A157="",E157="",E157=0),"",D157/E157)</f>
        <v/>
      </c>
      <c r="I157" s="18" t="str">
        <f aca="true">IF(OR(A157="",C157=""),"",MAX(0,(TODAY()-C157)/365.25))</f>
        <v/>
      </c>
      <c r="J157" s="17" t="str">
        <f aca="false">IF(OR(H157="",I157=""),"",MIN(D157,H157*I157))</f>
        <v/>
      </c>
      <c r="K157" s="17" t="str">
        <f aca="false">IF(J157="","",D157-J157)</f>
        <v/>
      </c>
      <c r="L157" s="19" t="str">
        <f aca="false">IF(K157="","",IF(K157&lt;=0,"Ömrünü doldurdu","Kullanımda"))</f>
        <v/>
      </c>
    </row>
    <row r="158" customFormat="false" ht="15" hidden="false" customHeight="false" outlineLevel="0" collapsed="false">
      <c r="A158" s="12"/>
      <c r="B158" s="13"/>
      <c r="C158" s="14"/>
      <c r="D158" s="15"/>
      <c r="E158" s="16"/>
      <c r="F158" s="13"/>
      <c r="G158" s="12"/>
      <c r="H158" s="17" t="str">
        <f aca="false">IF(OR(A158="",E158="",E158=0),"",D158/E158)</f>
        <v/>
      </c>
      <c r="I158" s="18" t="str">
        <f aca="true">IF(OR(A158="",C158=""),"",MAX(0,(TODAY()-C158)/365.25))</f>
        <v/>
      </c>
      <c r="J158" s="17" t="str">
        <f aca="false">IF(OR(H158="",I158=""),"",MIN(D158,H158*I158))</f>
        <v/>
      </c>
      <c r="K158" s="17" t="str">
        <f aca="false">IF(J158="","",D158-J158)</f>
        <v/>
      </c>
      <c r="L158" s="19" t="str">
        <f aca="false">IF(K158="","",IF(K158&lt;=0,"Ömrünü doldurdu","Kullanımda"))</f>
        <v/>
      </c>
    </row>
    <row r="159" customFormat="false" ht="15" hidden="false" customHeight="false" outlineLevel="0" collapsed="false">
      <c r="A159" s="12"/>
      <c r="B159" s="13"/>
      <c r="C159" s="14"/>
      <c r="D159" s="15"/>
      <c r="E159" s="16"/>
      <c r="F159" s="13"/>
      <c r="G159" s="12"/>
      <c r="H159" s="17" t="str">
        <f aca="false">IF(OR(A159="",E159="",E159=0),"",D159/E159)</f>
        <v/>
      </c>
      <c r="I159" s="18" t="str">
        <f aca="true">IF(OR(A159="",C159=""),"",MAX(0,(TODAY()-C159)/365.25))</f>
        <v/>
      </c>
      <c r="J159" s="17" t="str">
        <f aca="false">IF(OR(H159="",I159=""),"",MIN(D159,H159*I159))</f>
        <v/>
      </c>
      <c r="K159" s="17" t="str">
        <f aca="false">IF(J159="","",D159-J159)</f>
        <v/>
      </c>
      <c r="L159" s="19" t="str">
        <f aca="false">IF(K159="","",IF(K159&lt;=0,"Ömrünü doldurdu","Kullanımda"))</f>
        <v/>
      </c>
    </row>
    <row r="160" customFormat="false" ht="15" hidden="false" customHeight="false" outlineLevel="0" collapsed="false">
      <c r="A160" s="12"/>
      <c r="B160" s="13"/>
      <c r="C160" s="14"/>
      <c r="D160" s="15"/>
      <c r="E160" s="16"/>
      <c r="F160" s="13"/>
      <c r="G160" s="12"/>
      <c r="H160" s="17" t="str">
        <f aca="false">IF(OR(A160="",E160="",E160=0),"",D160/E160)</f>
        <v/>
      </c>
      <c r="I160" s="18" t="str">
        <f aca="true">IF(OR(A160="",C160=""),"",MAX(0,(TODAY()-C160)/365.25))</f>
        <v/>
      </c>
      <c r="J160" s="17" t="str">
        <f aca="false">IF(OR(H160="",I160=""),"",MIN(D160,H160*I160))</f>
        <v/>
      </c>
      <c r="K160" s="17" t="str">
        <f aca="false">IF(J160="","",D160-J160)</f>
        <v/>
      </c>
      <c r="L160" s="19" t="str">
        <f aca="false">IF(K160="","",IF(K160&lt;=0,"Ömrünü doldurdu","Kullanımda"))</f>
        <v/>
      </c>
    </row>
    <row r="161" customFormat="false" ht="15" hidden="false" customHeight="false" outlineLevel="0" collapsed="false">
      <c r="A161" s="12"/>
      <c r="B161" s="13"/>
      <c r="C161" s="14"/>
      <c r="D161" s="15"/>
      <c r="E161" s="16"/>
      <c r="F161" s="13"/>
      <c r="G161" s="12"/>
      <c r="H161" s="17" t="str">
        <f aca="false">IF(OR(A161="",E161="",E161=0),"",D161/E161)</f>
        <v/>
      </c>
      <c r="I161" s="18" t="str">
        <f aca="true">IF(OR(A161="",C161=""),"",MAX(0,(TODAY()-C161)/365.25))</f>
        <v/>
      </c>
      <c r="J161" s="17" t="str">
        <f aca="false">IF(OR(H161="",I161=""),"",MIN(D161,H161*I161))</f>
        <v/>
      </c>
      <c r="K161" s="17" t="str">
        <f aca="false">IF(J161="","",D161-J161)</f>
        <v/>
      </c>
      <c r="L161" s="19" t="str">
        <f aca="false">IF(K161="","",IF(K161&lt;=0,"Ömrünü doldurdu","Kullanımda"))</f>
        <v/>
      </c>
    </row>
    <row r="162" customFormat="false" ht="15" hidden="false" customHeight="false" outlineLevel="0" collapsed="false">
      <c r="A162" s="12"/>
      <c r="B162" s="13"/>
      <c r="C162" s="14"/>
      <c r="D162" s="15"/>
      <c r="E162" s="16"/>
      <c r="F162" s="13"/>
      <c r="G162" s="12"/>
      <c r="H162" s="17" t="str">
        <f aca="false">IF(OR(A162="",E162="",E162=0),"",D162/E162)</f>
        <v/>
      </c>
      <c r="I162" s="18" t="str">
        <f aca="true">IF(OR(A162="",C162=""),"",MAX(0,(TODAY()-C162)/365.25))</f>
        <v/>
      </c>
      <c r="J162" s="17" t="str">
        <f aca="false">IF(OR(H162="",I162=""),"",MIN(D162,H162*I162))</f>
        <v/>
      </c>
      <c r="K162" s="17" t="str">
        <f aca="false">IF(J162="","",D162-J162)</f>
        <v/>
      </c>
      <c r="L162" s="19" t="str">
        <f aca="false">IF(K162="","",IF(K162&lt;=0,"Ömrünü doldurdu","Kullanımda"))</f>
        <v/>
      </c>
    </row>
    <row r="163" customFormat="false" ht="15" hidden="false" customHeight="false" outlineLevel="0" collapsed="false">
      <c r="A163" s="12"/>
      <c r="B163" s="13"/>
      <c r="C163" s="14"/>
      <c r="D163" s="15"/>
      <c r="E163" s="16"/>
      <c r="F163" s="13"/>
      <c r="G163" s="12"/>
      <c r="H163" s="17" t="str">
        <f aca="false">IF(OR(A163="",E163="",E163=0),"",D163/E163)</f>
        <v/>
      </c>
      <c r="I163" s="18" t="str">
        <f aca="true">IF(OR(A163="",C163=""),"",MAX(0,(TODAY()-C163)/365.25))</f>
        <v/>
      </c>
      <c r="J163" s="17" t="str">
        <f aca="false">IF(OR(H163="",I163=""),"",MIN(D163,H163*I163))</f>
        <v/>
      </c>
      <c r="K163" s="17" t="str">
        <f aca="false">IF(J163="","",D163-J163)</f>
        <v/>
      </c>
      <c r="L163" s="19" t="str">
        <f aca="false">IF(K163="","",IF(K163&lt;=0,"Ömrünü doldurdu","Kullanımda"))</f>
        <v/>
      </c>
    </row>
    <row r="164" customFormat="false" ht="15" hidden="false" customHeight="false" outlineLevel="0" collapsed="false">
      <c r="A164" s="12"/>
      <c r="B164" s="13"/>
      <c r="C164" s="14"/>
      <c r="D164" s="15"/>
      <c r="E164" s="16"/>
      <c r="F164" s="13"/>
      <c r="G164" s="12"/>
      <c r="H164" s="17" t="str">
        <f aca="false">IF(OR(A164="",E164="",E164=0),"",D164/E164)</f>
        <v/>
      </c>
      <c r="I164" s="18" t="str">
        <f aca="true">IF(OR(A164="",C164=""),"",MAX(0,(TODAY()-C164)/365.25))</f>
        <v/>
      </c>
      <c r="J164" s="17" t="str">
        <f aca="false">IF(OR(H164="",I164=""),"",MIN(D164,H164*I164))</f>
        <v/>
      </c>
      <c r="K164" s="17" t="str">
        <f aca="false">IF(J164="","",D164-J164)</f>
        <v/>
      </c>
      <c r="L164" s="19" t="str">
        <f aca="false">IF(K164="","",IF(K164&lt;=0,"Ömrünü doldurdu","Kullanımda"))</f>
        <v/>
      </c>
    </row>
    <row r="165" customFormat="false" ht="15" hidden="false" customHeight="false" outlineLevel="0" collapsed="false">
      <c r="A165" s="12"/>
      <c r="B165" s="13"/>
      <c r="C165" s="14"/>
      <c r="D165" s="15"/>
      <c r="E165" s="16"/>
      <c r="F165" s="13"/>
      <c r="G165" s="12"/>
      <c r="H165" s="17" t="str">
        <f aca="false">IF(OR(A165="",E165="",E165=0),"",D165/E165)</f>
        <v/>
      </c>
      <c r="I165" s="18" t="str">
        <f aca="true">IF(OR(A165="",C165=""),"",MAX(0,(TODAY()-C165)/365.25))</f>
        <v/>
      </c>
      <c r="J165" s="17" t="str">
        <f aca="false">IF(OR(H165="",I165=""),"",MIN(D165,H165*I165))</f>
        <v/>
      </c>
      <c r="K165" s="17" t="str">
        <f aca="false">IF(J165="","",D165-J165)</f>
        <v/>
      </c>
      <c r="L165" s="19" t="str">
        <f aca="false">IF(K165="","",IF(K165&lt;=0,"Ömrünü doldurdu","Kullanımda"))</f>
        <v/>
      </c>
    </row>
    <row r="166" customFormat="false" ht="15" hidden="false" customHeight="false" outlineLevel="0" collapsed="false">
      <c r="A166" s="12"/>
      <c r="B166" s="13"/>
      <c r="C166" s="14"/>
      <c r="D166" s="15"/>
      <c r="E166" s="16"/>
      <c r="F166" s="13"/>
      <c r="G166" s="12"/>
      <c r="H166" s="17" t="str">
        <f aca="false">IF(OR(A166="",E166="",E166=0),"",D166/E166)</f>
        <v/>
      </c>
      <c r="I166" s="18" t="str">
        <f aca="true">IF(OR(A166="",C166=""),"",MAX(0,(TODAY()-C166)/365.25))</f>
        <v/>
      </c>
      <c r="J166" s="17" t="str">
        <f aca="false">IF(OR(H166="",I166=""),"",MIN(D166,H166*I166))</f>
        <v/>
      </c>
      <c r="K166" s="17" t="str">
        <f aca="false">IF(J166="","",D166-J166)</f>
        <v/>
      </c>
      <c r="L166" s="19" t="str">
        <f aca="false">IF(K166="","",IF(K166&lt;=0,"Ömrünü doldurdu","Kullanımda"))</f>
        <v/>
      </c>
    </row>
    <row r="167" customFormat="false" ht="15" hidden="false" customHeight="false" outlineLevel="0" collapsed="false">
      <c r="A167" s="12"/>
      <c r="B167" s="13"/>
      <c r="C167" s="14"/>
      <c r="D167" s="15"/>
      <c r="E167" s="16"/>
      <c r="F167" s="13"/>
      <c r="G167" s="12"/>
      <c r="H167" s="17" t="str">
        <f aca="false">IF(OR(A167="",E167="",E167=0),"",D167/E167)</f>
        <v/>
      </c>
      <c r="I167" s="18" t="str">
        <f aca="true">IF(OR(A167="",C167=""),"",MAX(0,(TODAY()-C167)/365.25))</f>
        <v/>
      </c>
      <c r="J167" s="17" t="str">
        <f aca="false">IF(OR(H167="",I167=""),"",MIN(D167,H167*I167))</f>
        <v/>
      </c>
      <c r="K167" s="17" t="str">
        <f aca="false">IF(J167="","",D167-J167)</f>
        <v/>
      </c>
      <c r="L167" s="19" t="str">
        <f aca="false">IF(K167="","",IF(K167&lt;=0,"Ömrünü doldurdu","Kullanımda"))</f>
        <v/>
      </c>
    </row>
    <row r="168" customFormat="false" ht="15" hidden="false" customHeight="false" outlineLevel="0" collapsed="false">
      <c r="A168" s="12"/>
      <c r="B168" s="13"/>
      <c r="C168" s="14"/>
      <c r="D168" s="15"/>
      <c r="E168" s="16"/>
      <c r="F168" s="13"/>
      <c r="G168" s="12"/>
      <c r="H168" s="17" t="str">
        <f aca="false">IF(OR(A168="",E168="",E168=0),"",D168/E168)</f>
        <v/>
      </c>
      <c r="I168" s="18" t="str">
        <f aca="true">IF(OR(A168="",C168=""),"",MAX(0,(TODAY()-C168)/365.25))</f>
        <v/>
      </c>
      <c r="J168" s="17" t="str">
        <f aca="false">IF(OR(H168="",I168=""),"",MIN(D168,H168*I168))</f>
        <v/>
      </c>
      <c r="K168" s="17" t="str">
        <f aca="false">IF(J168="","",D168-J168)</f>
        <v/>
      </c>
      <c r="L168" s="19" t="str">
        <f aca="false">IF(K168="","",IF(K168&lt;=0,"Ömrünü doldurdu","Kullanımda"))</f>
        <v/>
      </c>
    </row>
    <row r="169" customFormat="false" ht="15" hidden="false" customHeight="false" outlineLevel="0" collapsed="false">
      <c r="A169" s="12"/>
      <c r="B169" s="13"/>
      <c r="C169" s="14"/>
      <c r="D169" s="15"/>
      <c r="E169" s="16"/>
      <c r="F169" s="13"/>
      <c r="G169" s="12"/>
      <c r="H169" s="17" t="str">
        <f aca="false">IF(OR(A169="",E169="",E169=0),"",D169/E169)</f>
        <v/>
      </c>
      <c r="I169" s="18" t="str">
        <f aca="true">IF(OR(A169="",C169=""),"",MAX(0,(TODAY()-C169)/365.25))</f>
        <v/>
      </c>
      <c r="J169" s="17" t="str">
        <f aca="false">IF(OR(H169="",I169=""),"",MIN(D169,H169*I169))</f>
        <v/>
      </c>
      <c r="K169" s="17" t="str">
        <f aca="false">IF(J169="","",D169-J169)</f>
        <v/>
      </c>
      <c r="L169" s="19" t="str">
        <f aca="false">IF(K169="","",IF(K169&lt;=0,"Ömrünü doldurdu","Kullanımda"))</f>
        <v/>
      </c>
    </row>
    <row r="170" customFormat="false" ht="15" hidden="false" customHeight="false" outlineLevel="0" collapsed="false">
      <c r="A170" s="12"/>
      <c r="B170" s="13"/>
      <c r="C170" s="14"/>
      <c r="D170" s="15"/>
      <c r="E170" s="16"/>
      <c r="F170" s="13"/>
      <c r="G170" s="12"/>
      <c r="H170" s="17" t="str">
        <f aca="false">IF(OR(A170="",E170="",E170=0),"",D170/E170)</f>
        <v/>
      </c>
      <c r="I170" s="18" t="str">
        <f aca="true">IF(OR(A170="",C170=""),"",MAX(0,(TODAY()-C170)/365.25))</f>
        <v/>
      </c>
      <c r="J170" s="17" t="str">
        <f aca="false">IF(OR(H170="",I170=""),"",MIN(D170,H170*I170))</f>
        <v/>
      </c>
      <c r="K170" s="17" t="str">
        <f aca="false">IF(J170="","",D170-J170)</f>
        <v/>
      </c>
      <c r="L170" s="19" t="str">
        <f aca="false">IF(K170="","",IF(K170&lt;=0,"Ömrünü doldurdu","Kullanımda"))</f>
        <v/>
      </c>
    </row>
    <row r="171" customFormat="false" ht="15" hidden="false" customHeight="false" outlineLevel="0" collapsed="false">
      <c r="A171" s="12"/>
      <c r="B171" s="13"/>
      <c r="C171" s="14"/>
      <c r="D171" s="15"/>
      <c r="E171" s="16"/>
      <c r="F171" s="13"/>
      <c r="G171" s="12"/>
      <c r="H171" s="17" t="str">
        <f aca="false">IF(OR(A171="",E171="",E171=0),"",D171/E171)</f>
        <v/>
      </c>
      <c r="I171" s="18" t="str">
        <f aca="true">IF(OR(A171="",C171=""),"",MAX(0,(TODAY()-C171)/365.25))</f>
        <v/>
      </c>
      <c r="J171" s="17" t="str">
        <f aca="false">IF(OR(H171="",I171=""),"",MIN(D171,H171*I171))</f>
        <v/>
      </c>
      <c r="K171" s="17" t="str">
        <f aca="false">IF(J171="","",D171-J171)</f>
        <v/>
      </c>
      <c r="L171" s="19" t="str">
        <f aca="false">IF(K171="","",IF(K171&lt;=0,"Ömrünü doldurdu","Kullanımda"))</f>
        <v/>
      </c>
    </row>
    <row r="172" customFormat="false" ht="15" hidden="false" customHeight="false" outlineLevel="0" collapsed="false">
      <c r="A172" s="12"/>
      <c r="B172" s="13"/>
      <c r="C172" s="14"/>
      <c r="D172" s="15"/>
      <c r="E172" s="16"/>
      <c r="F172" s="13"/>
      <c r="G172" s="12"/>
      <c r="H172" s="17" t="str">
        <f aca="false">IF(OR(A172="",E172="",E172=0),"",D172/E172)</f>
        <v/>
      </c>
      <c r="I172" s="18" t="str">
        <f aca="true">IF(OR(A172="",C172=""),"",MAX(0,(TODAY()-C172)/365.25))</f>
        <v/>
      </c>
      <c r="J172" s="17" t="str">
        <f aca="false">IF(OR(H172="",I172=""),"",MIN(D172,H172*I172))</f>
        <v/>
      </c>
      <c r="K172" s="17" t="str">
        <f aca="false">IF(J172="","",D172-J172)</f>
        <v/>
      </c>
      <c r="L172" s="19" t="str">
        <f aca="false">IF(K172="","",IF(K172&lt;=0,"Ömrünü doldurdu","Kullanımda"))</f>
        <v/>
      </c>
    </row>
    <row r="173" customFormat="false" ht="15" hidden="false" customHeight="false" outlineLevel="0" collapsed="false">
      <c r="A173" s="12"/>
      <c r="B173" s="13"/>
      <c r="C173" s="14"/>
      <c r="D173" s="15"/>
      <c r="E173" s="16"/>
      <c r="F173" s="13"/>
      <c r="G173" s="12"/>
      <c r="H173" s="17" t="str">
        <f aca="false">IF(OR(A173="",E173="",E173=0),"",D173/E173)</f>
        <v/>
      </c>
      <c r="I173" s="18" t="str">
        <f aca="true">IF(OR(A173="",C173=""),"",MAX(0,(TODAY()-C173)/365.25))</f>
        <v/>
      </c>
      <c r="J173" s="17" t="str">
        <f aca="false">IF(OR(H173="",I173=""),"",MIN(D173,H173*I173))</f>
        <v/>
      </c>
      <c r="K173" s="17" t="str">
        <f aca="false">IF(J173="","",D173-J173)</f>
        <v/>
      </c>
      <c r="L173" s="19" t="str">
        <f aca="false">IF(K173="","",IF(K173&lt;=0,"Ömrünü doldurdu","Kullanımda"))</f>
        <v/>
      </c>
    </row>
    <row r="174" customFormat="false" ht="15" hidden="false" customHeight="false" outlineLevel="0" collapsed="false">
      <c r="A174" s="12"/>
      <c r="B174" s="13"/>
      <c r="C174" s="14"/>
      <c r="D174" s="15"/>
      <c r="E174" s="16"/>
      <c r="F174" s="13"/>
      <c r="G174" s="12"/>
      <c r="H174" s="17" t="str">
        <f aca="false">IF(OR(A174="",E174="",E174=0),"",D174/E174)</f>
        <v/>
      </c>
      <c r="I174" s="18" t="str">
        <f aca="true">IF(OR(A174="",C174=""),"",MAX(0,(TODAY()-C174)/365.25))</f>
        <v/>
      </c>
      <c r="J174" s="17" t="str">
        <f aca="false">IF(OR(H174="",I174=""),"",MIN(D174,H174*I174))</f>
        <v/>
      </c>
      <c r="K174" s="17" t="str">
        <f aca="false">IF(J174="","",D174-J174)</f>
        <v/>
      </c>
      <c r="L174" s="19" t="str">
        <f aca="false">IF(K174="","",IF(K174&lt;=0,"Ömrünü doldurdu","Kullanımda"))</f>
        <v/>
      </c>
    </row>
    <row r="175" customFormat="false" ht="15" hidden="false" customHeight="false" outlineLevel="0" collapsed="false">
      <c r="A175" s="12"/>
      <c r="B175" s="13"/>
      <c r="C175" s="14"/>
      <c r="D175" s="15"/>
      <c r="E175" s="16"/>
      <c r="F175" s="13"/>
      <c r="G175" s="12"/>
      <c r="H175" s="17" t="str">
        <f aca="false">IF(OR(A175="",E175="",E175=0),"",D175/E175)</f>
        <v/>
      </c>
      <c r="I175" s="18" t="str">
        <f aca="true">IF(OR(A175="",C175=""),"",MAX(0,(TODAY()-C175)/365.25))</f>
        <v/>
      </c>
      <c r="J175" s="17" t="str">
        <f aca="false">IF(OR(H175="",I175=""),"",MIN(D175,H175*I175))</f>
        <v/>
      </c>
      <c r="K175" s="17" t="str">
        <f aca="false">IF(J175="","",D175-J175)</f>
        <v/>
      </c>
      <c r="L175" s="19" t="str">
        <f aca="false">IF(K175="","",IF(K175&lt;=0,"Ömrünü doldurdu","Kullanımda"))</f>
        <v/>
      </c>
    </row>
    <row r="176" customFormat="false" ht="15" hidden="false" customHeight="false" outlineLevel="0" collapsed="false">
      <c r="A176" s="12"/>
      <c r="B176" s="13"/>
      <c r="C176" s="14"/>
      <c r="D176" s="15"/>
      <c r="E176" s="16"/>
      <c r="F176" s="13"/>
      <c r="G176" s="12"/>
      <c r="H176" s="17" t="str">
        <f aca="false">IF(OR(A176="",E176="",E176=0),"",D176/E176)</f>
        <v/>
      </c>
      <c r="I176" s="18" t="str">
        <f aca="true">IF(OR(A176="",C176=""),"",MAX(0,(TODAY()-C176)/365.25))</f>
        <v/>
      </c>
      <c r="J176" s="17" t="str">
        <f aca="false">IF(OR(H176="",I176=""),"",MIN(D176,H176*I176))</f>
        <v/>
      </c>
      <c r="K176" s="17" t="str">
        <f aca="false">IF(J176="","",D176-J176)</f>
        <v/>
      </c>
      <c r="L176" s="19" t="str">
        <f aca="false">IF(K176="","",IF(K176&lt;=0,"Ömrünü doldurdu","Kullanımda"))</f>
        <v/>
      </c>
    </row>
    <row r="177" customFormat="false" ht="15" hidden="false" customHeight="false" outlineLevel="0" collapsed="false">
      <c r="A177" s="12"/>
      <c r="B177" s="13"/>
      <c r="C177" s="14"/>
      <c r="D177" s="15"/>
      <c r="E177" s="16"/>
      <c r="F177" s="13"/>
      <c r="G177" s="12"/>
      <c r="H177" s="17" t="str">
        <f aca="false">IF(OR(A177="",E177="",E177=0),"",D177/E177)</f>
        <v/>
      </c>
      <c r="I177" s="18" t="str">
        <f aca="true">IF(OR(A177="",C177=""),"",MAX(0,(TODAY()-C177)/365.25))</f>
        <v/>
      </c>
      <c r="J177" s="17" t="str">
        <f aca="false">IF(OR(H177="",I177=""),"",MIN(D177,H177*I177))</f>
        <v/>
      </c>
      <c r="K177" s="17" t="str">
        <f aca="false">IF(J177="","",D177-J177)</f>
        <v/>
      </c>
      <c r="L177" s="19" t="str">
        <f aca="false">IF(K177="","",IF(K177&lt;=0,"Ömrünü doldurdu","Kullanımda"))</f>
        <v/>
      </c>
    </row>
    <row r="178" customFormat="false" ht="15" hidden="false" customHeight="false" outlineLevel="0" collapsed="false">
      <c r="A178" s="12"/>
      <c r="B178" s="13"/>
      <c r="C178" s="14"/>
      <c r="D178" s="15"/>
      <c r="E178" s="16"/>
      <c r="F178" s="13"/>
      <c r="G178" s="12"/>
      <c r="H178" s="17" t="str">
        <f aca="false">IF(OR(A178="",E178="",E178=0),"",D178/E178)</f>
        <v/>
      </c>
      <c r="I178" s="18" t="str">
        <f aca="true">IF(OR(A178="",C178=""),"",MAX(0,(TODAY()-C178)/365.25))</f>
        <v/>
      </c>
      <c r="J178" s="17" t="str">
        <f aca="false">IF(OR(H178="",I178=""),"",MIN(D178,H178*I178))</f>
        <v/>
      </c>
      <c r="K178" s="17" t="str">
        <f aca="false">IF(J178="","",D178-J178)</f>
        <v/>
      </c>
      <c r="L178" s="19" t="str">
        <f aca="false">IF(K178="","",IF(K178&lt;=0,"Ömrünü doldurdu","Kullanımda"))</f>
        <v/>
      </c>
    </row>
    <row r="179" customFormat="false" ht="15" hidden="false" customHeight="false" outlineLevel="0" collapsed="false">
      <c r="A179" s="12"/>
      <c r="B179" s="13"/>
      <c r="C179" s="14"/>
      <c r="D179" s="15"/>
      <c r="E179" s="16"/>
      <c r="F179" s="13"/>
      <c r="G179" s="12"/>
      <c r="H179" s="17" t="str">
        <f aca="false">IF(OR(A179="",E179="",E179=0),"",D179/E179)</f>
        <v/>
      </c>
      <c r="I179" s="18" t="str">
        <f aca="true">IF(OR(A179="",C179=""),"",MAX(0,(TODAY()-C179)/365.25))</f>
        <v/>
      </c>
      <c r="J179" s="17" t="str">
        <f aca="false">IF(OR(H179="",I179=""),"",MIN(D179,H179*I179))</f>
        <v/>
      </c>
      <c r="K179" s="17" t="str">
        <f aca="false">IF(J179="","",D179-J179)</f>
        <v/>
      </c>
      <c r="L179" s="19" t="str">
        <f aca="false">IF(K179="","",IF(K179&lt;=0,"Ömrünü doldurdu","Kullanımda"))</f>
        <v/>
      </c>
    </row>
    <row r="180" customFormat="false" ht="15" hidden="false" customHeight="false" outlineLevel="0" collapsed="false">
      <c r="A180" s="12"/>
      <c r="B180" s="13"/>
      <c r="C180" s="14"/>
      <c r="D180" s="15"/>
      <c r="E180" s="16"/>
      <c r="F180" s="13"/>
      <c r="G180" s="12"/>
      <c r="H180" s="17" t="str">
        <f aca="false">IF(OR(A180="",E180="",E180=0),"",D180/E180)</f>
        <v/>
      </c>
      <c r="I180" s="18" t="str">
        <f aca="true">IF(OR(A180="",C180=""),"",MAX(0,(TODAY()-C180)/365.25))</f>
        <v/>
      </c>
      <c r="J180" s="17" t="str">
        <f aca="false">IF(OR(H180="",I180=""),"",MIN(D180,H180*I180))</f>
        <v/>
      </c>
      <c r="K180" s="17" t="str">
        <f aca="false">IF(J180="","",D180-J180)</f>
        <v/>
      </c>
      <c r="L180" s="19" t="str">
        <f aca="false">IF(K180="","",IF(K180&lt;=0,"Ömrünü doldurdu","Kullanımda"))</f>
        <v/>
      </c>
    </row>
    <row r="181" customFormat="false" ht="15" hidden="false" customHeight="false" outlineLevel="0" collapsed="false">
      <c r="A181" s="12"/>
      <c r="B181" s="13"/>
      <c r="C181" s="14"/>
      <c r="D181" s="15"/>
      <c r="E181" s="16"/>
      <c r="F181" s="13"/>
      <c r="G181" s="12"/>
      <c r="H181" s="17" t="str">
        <f aca="false">IF(OR(A181="",E181="",E181=0),"",D181/E181)</f>
        <v/>
      </c>
      <c r="I181" s="18" t="str">
        <f aca="true">IF(OR(A181="",C181=""),"",MAX(0,(TODAY()-C181)/365.25))</f>
        <v/>
      </c>
      <c r="J181" s="17" t="str">
        <f aca="false">IF(OR(H181="",I181=""),"",MIN(D181,H181*I181))</f>
        <v/>
      </c>
      <c r="K181" s="17" t="str">
        <f aca="false">IF(J181="","",D181-J181)</f>
        <v/>
      </c>
      <c r="L181" s="19" t="str">
        <f aca="false">IF(K181="","",IF(K181&lt;=0,"Ömrünü doldurdu","Kullanımda"))</f>
        <v/>
      </c>
    </row>
    <row r="182" customFormat="false" ht="15" hidden="false" customHeight="false" outlineLevel="0" collapsed="false">
      <c r="A182" s="12"/>
      <c r="B182" s="13"/>
      <c r="C182" s="14"/>
      <c r="D182" s="15"/>
      <c r="E182" s="16"/>
      <c r="F182" s="13"/>
      <c r="G182" s="12"/>
      <c r="H182" s="17" t="str">
        <f aca="false">IF(OR(A182="",E182="",E182=0),"",D182/E182)</f>
        <v/>
      </c>
      <c r="I182" s="18" t="str">
        <f aca="true">IF(OR(A182="",C182=""),"",MAX(0,(TODAY()-C182)/365.25))</f>
        <v/>
      </c>
      <c r="J182" s="17" t="str">
        <f aca="false">IF(OR(H182="",I182=""),"",MIN(D182,H182*I182))</f>
        <v/>
      </c>
      <c r="K182" s="17" t="str">
        <f aca="false">IF(J182="","",D182-J182)</f>
        <v/>
      </c>
      <c r="L182" s="19" t="str">
        <f aca="false">IF(K182="","",IF(K182&lt;=0,"Ömrünü doldurdu","Kullanımda"))</f>
        <v/>
      </c>
    </row>
    <row r="183" customFormat="false" ht="15" hidden="false" customHeight="false" outlineLevel="0" collapsed="false">
      <c r="A183" s="12"/>
      <c r="B183" s="13"/>
      <c r="C183" s="14"/>
      <c r="D183" s="15"/>
      <c r="E183" s="16"/>
      <c r="F183" s="13"/>
      <c r="G183" s="12"/>
      <c r="H183" s="17" t="str">
        <f aca="false">IF(OR(A183="",E183="",E183=0),"",D183/E183)</f>
        <v/>
      </c>
      <c r="I183" s="18" t="str">
        <f aca="true">IF(OR(A183="",C183=""),"",MAX(0,(TODAY()-C183)/365.25))</f>
        <v/>
      </c>
      <c r="J183" s="17" t="str">
        <f aca="false">IF(OR(H183="",I183=""),"",MIN(D183,H183*I183))</f>
        <v/>
      </c>
      <c r="K183" s="17" t="str">
        <f aca="false">IF(J183="","",D183-J183)</f>
        <v/>
      </c>
      <c r="L183" s="19" t="str">
        <f aca="false">IF(K183="","",IF(K183&lt;=0,"Ömrünü doldurdu","Kullanımda"))</f>
        <v/>
      </c>
    </row>
    <row r="184" customFormat="false" ht="15" hidden="false" customHeight="false" outlineLevel="0" collapsed="false">
      <c r="A184" s="12"/>
      <c r="B184" s="13"/>
      <c r="C184" s="14"/>
      <c r="D184" s="15"/>
      <c r="E184" s="16"/>
      <c r="F184" s="13"/>
      <c r="G184" s="12"/>
      <c r="H184" s="17" t="str">
        <f aca="false">IF(OR(A184="",E184="",E184=0),"",D184/E184)</f>
        <v/>
      </c>
      <c r="I184" s="18" t="str">
        <f aca="true">IF(OR(A184="",C184=""),"",MAX(0,(TODAY()-C184)/365.25))</f>
        <v/>
      </c>
      <c r="J184" s="17" t="str">
        <f aca="false">IF(OR(H184="",I184=""),"",MIN(D184,H184*I184))</f>
        <v/>
      </c>
      <c r="K184" s="17" t="str">
        <f aca="false">IF(J184="","",D184-J184)</f>
        <v/>
      </c>
      <c r="L184" s="19" t="str">
        <f aca="false">IF(K184="","",IF(K184&lt;=0,"Ömrünü doldurdu","Kullanımda"))</f>
        <v/>
      </c>
    </row>
    <row r="185" customFormat="false" ht="15" hidden="false" customHeight="false" outlineLevel="0" collapsed="false">
      <c r="A185" s="12"/>
      <c r="B185" s="13"/>
      <c r="C185" s="14"/>
      <c r="D185" s="15"/>
      <c r="E185" s="16"/>
      <c r="F185" s="13"/>
      <c r="G185" s="12"/>
      <c r="H185" s="17" t="str">
        <f aca="false">IF(OR(A185="",E185="",E185=0),"",D185/E185)</f>
        <v/>
      </c>
      <c r="I185" s="18" t="str">
        <f aca="true">IF(OR(A185="",C185=""),"",MAX(0,(TODAY()-C185)/365.25))</f>
        <v/>
      </c>
      <c r="J185" s="17" t="str">
        <f aca="false">IF(OR(H185="",I185=""),"",MIN(D185,H185*I185))</f>
        <v/>
      </c>
      <c r="K185" s="17" t="str">
        <f aca="false">IF(J185="","",D185-J185)</f>
        <v/>
      </c>
      <c r="L185" s="19" t="str">
        <f aca="false">IF(K185="","",IF(K185&lt;=0,"Ömrünü doldurdu","Kullanımda"))</f>
        <v/>
      </c>
    </row>
    <row r="186" customFormat="false" ht="15" hidden="false" customHeight="false" outlineLevel="0" collapsed="false">
      <c r="A186" s="12"/>
      <c r="B186" s="13"/>
      <c r="C186" s="14"/>
      <c r="D186" s="15"/>
      <c r="E186" s="16"/>
      <c r="F186" s="13"/>
      <c r="G186" s="12"/>
      <c r="H186" s="17" t="str">
        <f aca="false">IF(OR(A186="",E186="",E186=0),"",D186/E186)</f>
        <v/>
      </c>
      <c r="I186" s="18" t="str">
        <f aca="true">IF(OR(A186="",C186=""),"",MAX(0,(TODAY()-C186)/365.25))</f>
        <v/>
      </c>
      <c r="J186" s="17" t="str">
        <f aca="false">IF(OR(H186="",I186=""),"",MIN(D186,H186*I186))</f>
        <v/>
      </c>
      <c r="K186" s="17" t="str">
        <f aca="false">IF(J186="","",D186-J186)</f>
        <v/>
      </c>
      <c r="L186" s="19" t="str">
        <f aca="false">IF(K186="","",IF(K186&lt;=0,"Ömrünü doldurdu","Kullanımda"))</f>
        <v/>
      </c>
    </row>
    <row r="187" customFormat="false" ht="15" hidden="false" customHeight="false" outlineLevel="0" collapsed="false">
      <c r="A187" s="12"/>
      <c r="B187" s="13"/>
      <c r="C187" s="14"/>
      <c r="D187" s="15"/>
      <c r="E187" s="16"/>
      <c r="F187" s="13"/>
      <c r="G187" s="12"/>
      <c r="H187" s="17" t="str">
        <f aca="false">IF(OR(A187="",E187="",E187=0),"",D187/E187)</f>
        <v/>
      </c>
      <c r="I187" s="18" t="str">
        <f aca="true">IF(OR(A187="",C187=""),"",MAX(0,(TODAY()-C187)/365.25))</f>
        <v/>
      </c>
      <c r="J187" s="17" t="str">
        <f aca="false">IF(OR(H187="",I187=""),"",MIN(D187,H187*I187))</f>
        <v/>
      </c>
      <c r="K187" s="17" t="str">
        <f aca="false">IF(J187="","",D187-J187)</f>
        <v/>
      </c>
      <c r="L187" s="19" t="str">
        <f aca="false">IF(K187="","",IF(K187&lt;=0,"Ömrünü doldurdu","Kullanımda"))</f>
        <v/>
      </c>
    </row>
    <row r="188" customFormat="false" ht="15" hidden="false" customHeight="false" outlineLevel="0" collapsed="false">
      <c r="A188" s="12"/>
      <c r="B188" s="13"/>
      <c r="C188" s="14"/>
      <c r="D188" s="15"/>
      <c r="E188" s="16"/>
      <c r="F188" s="13"/>
      <c r="G188" s="12"/>
      <c r="H188" s="17" t="str">
        <f aca="false">IF(OR(A188="",E188="",E188=0),"",D188/E188)</f>
        <v/>
      </c>
      <c r="I188" s="18" t="str">
        <f aca="true">IF(OR(A188="",C188=""),"",MAX(0,(TODAY()-C188)/365.25))</f>
        <v/>
      </c>
      <c r="J188" s="17" t="str">
        <f aca="false">IF(OR(H188="",I188=""),"",MIN(D188,H188*I188))</f>
        <v/>
      </c>
      <c r="K188" s="17" t="str">
        <f aca="false">IF(J188="","",D188-J188)</f>
        <v/>
      </c>
      <c r="L188" s="19" t="str">
        <f aca="false">IF(K188="","",IF(K188&lt;=0,"Ömrünü doldurdu","Kullanımda"))</f>
        <v/>
      </c>
    </row>
    <row r="189" customFormat="false" ht="15" hidden="false" customHeight="false" outlineLevel="0" collapsed="false">
      <c r="A189" s="12"/>
      <c r="B189" s="13"/>
      <c r="C189" s="14"/>
      <c r="D189" s="15"/>
      <c r="E189" s="16"/>
      <c r="F189" s="13"/>
      <c r="G189" s="12"/>
      <c r="H189" s="17" t="str">
        <f aca="false">IF(OR(A189="",E189="",E189=0),"",D189/E189)</f>
        <v/>
      </c>
      <c r="I189" s="18" t="str">
        <f aca="true">IF(OR(A189="",C189=""),"",MAX(0,(TODAY()-C189)/365.25))</f>
        <v/>
      </c>
      <c r="J189" s="17" t="str">
        <f aca="false">IF(OR(H189="",I189=""),"",MIN(D189,H189*I189))</f>
        <v/>
      </c>
      <c r="K189" s="17" t="str">
        <f aca="false">IF(J189="","",D189-J189)</f>
        <v/>
      </c>
      <c r="L189" s="19" t="str">
        <f aca="false">IF(K189="","",IF(K189&lt;=0,"Ömrünü doldurdu","Kullanımda"))</f>
        <v/>
      </c>
    </row>
    <row r="190" customFormat="false" ht="15" hidden="false" customHeight="false" outlineLevel="0" collapsed="false">
      <c r="A190" s="12"/>
      <c r="B190" s="13"/>
      <c r="C190" s="14"/>
      <c r="D190" s="15"/>
      <c r="E190" s="16"/>
      <c r="F190" s="13"/>
      <c r="G190" s="12"/>
      <c r="H190" s="17" t="str">
        <f aca="false">IF(OR(A190="",E190="",E190=0),"",D190/E190)</f>
        <v/>
      </c>
      <c r="I190" s="18" t="str">
        <f aca="true">IF(OR(A190="",C190=""),"",MAX(0,(TODAY()-C190)/365.25))</f>
        <v/>
      </c>
      <c r="J190" s="17" t="str">
        <f aca="false">IF(OR(H190="",I190=""),"",MIN(D190,H190*I190))</f>
        <v/>
      </c>
      <c r="K190" s="17" t="str">
        <f aca="false">IF(J190="","",D190-J190)</f>
        <v/>
      </c>
      <c r="L190" s="19" t="str">
        <f aca="false">IF(K190="","",IF(K190&lt;=0,"Ömrünü doldurdu","Kullanımda"))</f>
        <v/>
      </c>
    </row>
    <row r="191" customFormat="false" ht="15" hidden="false" customHeight="false" outlineLevel="0" collapsed="false">
      <c r="A191" s="12"/>
      <c r="B191" s="13"/>
      <c r="C191" s="14"/>
      <c r="D191" s="15"/>
      <c r="E191" s="16"/>
      <c r="F191" s="13"/>
      <c r="G191" s="12"/>
      <c r="H191" s="17" t="str">
        <f aca="false">IF(OR(A191="",E191="",E191=0),"",D191/E191)</f>
        <v/>
      </c>
      <c r="I191" s="18" t="str">
        <f aca="true">IF(OR(A191="",C191=""),"",MAX(0,(TODAY()-C191)/365.25))</f>
        <v/>
      </c>
      <c r="J191" s="17" t="str">
        <f aca="false">IF(OR(H191="",I191=""),"",MIN(D191,H191*I191))</f>
        <v/>
      </c>
      <c r="K191" s="17" t="str">
        <f aca="false">IF(J191="","",D191-J191)</f>
        <v/>
      </c>
      <c r="L191" s="19" t="str">
        <f aca="false">IF(K191="","",IF(K191&lt;=0,"Ömrünü doldurdu","Kullanımda"))</f>
        <v/>
      </c>
    </row>
    <row r="192" customFormat="false" ht="15" hidden="false" customHeight="false" outlineLevel="0" collapsed="false">
      <c r="A192" s="12"/>
      <c r="B192" s="13"/>
      <c r="C192" s="14"/>
      <c r="D192" s="15"/>
      <c r="E192" s="16"/>
      <c r="F192" s="13"/>
      <c r="G192" s="12"/>
      <c r="H192" s="17" t="str">
        <f aca="false">IF(OR(A192="",E192="",E192=0),"",D192/E192)</f>
        <v/>
      </c>
      <c r="I192" s="18" t="str">
        <f aca="true">IF(OR(A192="",C192=""),"",MAX(0,(TODAY()-C192)/365.25))</f>
        <v/>
      </c>
      <c r="J192" s="17" t="str">
        <f aca="false">IF(OR(H192="",I192=""),"",MIN(D192,H192*I192))</f>
        <v/>
      </c>
      <c r="K192" s="17" t="str">
        <f aca="false">IF(J192="","",D192-J192)</f>
        <v/>
      </c>
      <c r="L192" s="19" t="str">
        <f aca="false">IF(K192="","",IF(K192&lt;=0,"Ömrünü doldurdu","Kullanımda"))</f>
        <v/>
      </c>
    </row>
    <row r="193" customFormat="false" ht="15" hidden="false" customHeight="false" outlineLevel="0" collapsed="false">
      <c r="A193" s="12"/>
      <c r="B193" s="13"/>
      <c r="C193" s="14"/>
      <c r="D193" s="15"/>
      <c r="E193" s="16"/>
      <c r="F193" s="13"/>
      <c r="G193" s="12"/>
      <c r="H193" s="17" t="str">
        <f aca="false">IF(OR(A193="",E193="",E193=0),"",D193/E193)</f>
        <v/>
      </c>
      <c r="I193" s="18" t="str">
        <f aca="true">IF(OR(A193="",C193=""),"",MAX(0,(TODAY()-C193)/365.25))</f>
        <v/>
      </c>
      <c r="J193" s="17" t="str">
        <f aca="false">IF(OR(H193="",I193=""),"",MIN(D193,H193*I193))</f>
        <v/>
      </c>
      <c r="K193" s="17" t="str">
        <f aca="false">IF(J193="","",D193-J193)</f>
        <v/>
      </c>
      <c r="L193" s="19" t="str">
        <f aca="false">IF(K193="","",IF(K193&lt;=0,"Ömrünü doldurdu","Kullanımda"))</f>
        <v/>
      </c>
    </row>
    <row r="194" customFormat="false" ht="15" hidden="false" customHeight="false" outlineLevel="0" collapsed="false">
      <c r="A194" s="12"/>
      <c r="B194" s="13"/>
      <c r="C194" s="14"/>
      <c r="D194" s="15"/>
      <c r="E194" s="16"/>
      <c r="F194" s="13"/>
      <c r="G194" s="12"/>
      <c r="H194" s="17" t="str">
        <f aca="false">IF(OR(A194="",E194="",E194=0),"",D194/E194)</f>
        <v/>
      </c>
      <c r="I194" s="18" t="str">
        <f aca="true">IF(OR(A194="",C194=""),"",MAX(0,(TODAY()-C194)/365.25))</f>
        <v/>
      </c>
      <c r="J194" s="17" t="str">
        <f aca="false">IF(OR(H194="",I194=""),"",MIN(D194,H194*I194))</f>
        <v/>
      </c>
      <c r="K194" s="17" t="str">
        <f aca="false">IF(J194="","",D194-J194)</f>
        <v/>
      </c>
      <c r="L194" s="19" t="str">
        <f aca="false">IF(K194="","",IF(K194&lt;=0,"Ömrünü doldurdu","Kullanımda"))</f>
        <v/>
      </c>
    </row>
    <row r="195" customFormat="false" ht="15" hidden="false" customHeight="false" outlineLevel="0" collapsed="false">
      <c r="A195" s="12"/>
      <c r="B195" s="13"/>
      <c r="C195" s="14"/>
      <c r="D195" s="15"/>
      <c r="E195" s="16"/>
      <c r="F195" s="13"/>
      <c r="G195" s="12"/>
      <c r="H195" s="17" t="str">
        <f aca="false">IF(OR(A195="",E195="",E195=0),"",D195/E195)</f>
        <v/>
      </c>
      <c r="I195" s="18" t="str">
        <f aca="true">IF(OR(A195="",C195=""),"",MAX(0,(TODAY()-C195)/365.25))</f>
        <v/>
      </c>
      <c r="J195" s="17" t="str">
        <f aca="false">IF(OR(H195="",I195=""),"",MIN(D195,H195*I195))</f>
        <v/>
      </c>
      <c r="K195" s="17" t="str">
        <f aca="false">IF(J195="","",D195-J195)</f>
        <v/>
      </c>
      <c r="L195" s="19" t="str">
        <f aca="false">IF(K195="","",IF(K195&lt;=0,"Ömrünü doldurdu","Kullanımda"))</f>
        <v/>
      </c>
    </row>
    <row r="196" customFormat="false" ht="15" hidden="false" customHeight="false" outlineLevel="0" collapsed="false">
      <c r="A196" s="12"/>
      <c r="B196" s="13"/>
      <c r="C196" s="14"/>
      <c r="D196" s="15"/>
      <c r="E196" s="16"/>
      <c r="F196" s="13"/>
      <c r="G196" s="12"/>
      <c r="H196" s="17" t="str">
        <f aca="false">IF(OR(A196="",E196="",E196=0),"",D196/E196)</f>
        <v/>
      </c>
      <c r="I196" s="18" t="str">
        <f aca="true">IF(OR(A196="",C196=""),"",MAX(0,(TODAY()-C196)/365.25))</f>
        <v/>
      </c>
      <c r="J196" s="17" t="str">
        <f aca="false">IF(OR(H196="",I196=""),"",MIN(D196,H196*I196))</f>
        <v/>
      </c>
      <c r="K196" s="17" t="str">
        <f aca="false">IF(J196="","",D196-J196)</f>
        <v/>
      </c>
      <c r="L196" s="19" t="str">
        <f aca="false">IF(K196="","",IF(K196&lt;=0,"Ömrünü doldurdu","Kullanımda"))</f>
        <v/>
      </c>
    </row>
    <row r="197" customFormat="false" ht="15" hidden="false" customHeight="false" outlineLevel="0" collapsed="false">
      <c r="A197" s="12"/>
      <c r="B197" s="13"/>
      <c r="C197" s="14"/>
      <c r="D197" s="15"/>
      <c r="E197" s="16"/>
      <c r="F197" s="13"/>
      <c r="G197" s="12"/>
      <c r="H197" s="17" t="str">
        <f aca="false">IF(OR(A197="",E197="",E197=0),"",D197/E197)</f>
        <v/>
      </c>
      <c r="I197" s="18" t="str">
        <f aca="true">IF(OR(A197="",C197=""),"",MAX(0,(TODAY()-C197)/365.25))</f>
        <v/>
      </c>
      <c r="J197" s="17" t="str">
        <f aca="false">IF(OR(H197="",I197=""),"",MIN(D197,H197*I197))</f>
        <v/>
      </c>
      <c r="K197" s="17" t="str">
        <f aca="false">IF(J197="","",D197-J197)</f>
        <v/>
      </c>
      <c r="L197" s="19" t="str">
        <f aca="false">IF(K197="","",IF(K197&lt;=0,"Ömrünü doldurdu","Kullanımda"))</f>
        <v/>
      </c>
    </row>
    <row r="198" customFormat="false" ht="15" hidden="false" customHeight="false" outlineLevel="0" collapsed="false">
      <c r="A198" s="12"/>
      <c r="B198" s="13"/>
      <c r="C198" s="14"/>
      <c r="D198" s="15"/>
      <c r="E198" s="16"/>
      <c r="F198" s="13"/>
      <c r="G198" s="12"/>
      <c r="H198" s="17" t="str">
        <f aca="false">IF(OR(A198="",E198="",E198=0),"",D198/E198)</f>
        <v/>
      </c>
      <c r="I198" s="18" t="str">
        <f aca="true">IF(OR(A198="",C198=""),"",MAX(0,(TODAY()-C198)/365.25))</f>
        <v/>
      </c>
      <c r="J198" s="17" t="str">
        <f aca="false">IF(OR(H198="",I198=""),"",MIN(D198,H198*I198))</f>
        <v/>
      </c>
      <c r="K198" s="17" t="str">
        <f aca="false">IF(J198="","",D198-J198)</f>
        <v/>
      </c>
      <c r="L198" s="19" t="str">
        <f aca="false">IF(K198="","",IF(K198&lt;=0,"Ömrünü doldurdu","Kullanımda"))</f>
        <v/>
      </c>
    </row>
    <row r="199" customFormat="false" ht="15" hidden="false" customHeight="false" outlineLevel="0" collapsed="false">
      <c r="A199" s="12"/>
      <c r="B199" s="13"/>
      <c r="C199" s="14"/>
      <c r="D199" s="15"/>
      <c r="E199" s="16"/>
      <c r="F199" s="13"/>
      <c r="G199" s="12"/>
      <c r="H199" s="17" t="str">
        <f aca="false">IF(OR(A199="",E199="",E199=0),"",D199/E199)</f>
        <v/>
      </c>
      <c r="I199" s="18" t="str">
        <f aca="true">IF(OR(A199="",C199=""),"",MAX(0,(TODAY()-C199)/365.25))</f>
        <v/>
      </c>
      <c r="J199" s="17" t="str">
        <f aca="false">IF(OR(H199="",I199=""),"",MIN(D199,H199*I199))</f>
        <v/>
      </c>
      <c r="K199" s="17" t="str">
        <f aca="false">IF(J199="","",D199-J199)</f>
        <v/>
      </c>
      <c r="L199" s="19" t="str">
        <f aca="false">IF(K199="","",IF(K199&lt;=0,"Ömrünü doldurdu","Kullanımda"))</f>
        <v/>
      </c>
    </row>
    <row r="200" customFormat="false" ht="15" hidden="false" customHeight="false" outlineLevel="0" collapsed="false">
      <c r="A200" s="12"/>
      <c r="B200" s="13"/>
      <c r="C200" s="14"/>
      <c r="D200" s="15"/>
      <c r="E200" s="16"/>
      <c r="F200" s="13"/>
      <c r="G200" s="12"/>
      <c r="H200" s="17" t="str">
        <f aca="false">IF(OR(A200="",E200="",E200=0),"",D200/E200)</f>
        <v/>
      </c>
      <c r="I200" s="18" t="str">
        <f aca="true">IF(OR(A200="",C200=""),"",MAX(0,(TODAY()-C200)/365.25))</f>
        <v/>
      </c>
      <c r="J200" s="17" t="str">
        <f aca="false">IF(OR(H200="",I200=""),"",MIN(D200,H200*I200))</f>
        <v/>
      </c>
      <c r="K200" s="17" t="str">
        <f aca="false">IF(J200="","",D200-J200)</f>
        <v/>
      </c>
      <c r="L200" s="19" t="str">
        <f aca="false">IF(K200="","",IF(K200&lt;=0,"Ömrünü doldurdu","Kullanımda"))</f>
        <v/>
      </c>
    </row>
    <row r="201" customFormat="false" ht="15" hidden="false" customHeight="false" outlineLevel="0" collapsed="false">
      <c r="A201" s="12"/>
      <c r="B201" s="13"/>
      <c r="C201" s="14"/>
      <c r="D201" s="15"/>
      <c r="E201" s="16"/>
      <c r="F201" s="13"/>
      <c r="G201" s="12"/>
      <c r="H201" s="17" t="str">
        <f aca="false">IF(OR(A201="",E201="",E201=0),"",D201/E201)</f>
        <v/>
      </c>
      <c r="I201" s="18" t="str">
        <f aca="true">IF(OR(A201="",C201=""),"",MAX(0,(TODAY()-C201)/365.25))</f>
        <v/>
      </c>
      <c r="J201" s="17" t="str">
        <f aca="false">IF(OR(H201="",I201=""),"",MIN(D201,H201*I201))</f>
        <v/>
      </c>
      <c r="K201" s="17" t="str">
        <f aca="false">IF(J201="","",D201-J201)</f>
        <v/>
      </c>
      <c r="L201" s="19" t="str">
        <f aca="false">IF(K201="","",IF(K201&lt;=0,"Ömrünü doldurdu","Kullanımda"))</f>
        <v/>
      </c>
    </row>
    <row r="202" customFormat="false" ht="15" hidden="false" customHeight="false" outlineLevel="0" collapsed="false">
      <c r="A202" s="12"/>
      <c r="B202" s="13"/>
      <c r="C202" s="14"/>
      <c r="D202" s="15"/>
      <c r="E202" s="16"/>
      <c r="F202" s="13"/>
      <c r="G202" s="12"/>
      <c r="H202" s="17" t="str">
        <f aca="false">IF(OR(A202="",E202="",E202=0),"",D202/E202)</f>
        <v/>
      </c>
      <c r="I202" s="18" t="str">
        <f aca="true">IF(OR(A202="",C202=""),"",MAX(0,(TODAY()-C202)/365.25))</f>
        <v/>
      </c>
      <c r="J202" s="17" t="str">
        <f aca="false">IF(OR(H202="",I202=""),"",MIN(D202,H202*I202))</f>
        <v/>
      </c>
      <c r="K202" s="17" t="str">
        <f aca="false">IF(J202="","",D202-J202)</f>
        <v/>
      </c>
      <c r="L202" s="19" t="str">
        <f aca="false">IF(K202="","",IF(K202&lt;=0,"Ömrünü doldurdu","Kullanımda"))</f>
        <v/>
      </c>
    </row>
    <row r="203" customFormat="false" ht="15" hidden="false" customHeight="false" outlineLevel="0" collapsed="false">
      <c r="A203" s="12"/>
      <c r="B203" s="13"/>
      <c r="C203" s="14"/>
      <c r="D203" s="15"/>
      <c r="E203" s="16"/>
      <c r="F203" s="13"/>
      <c r="G203" s="12"/>
      <c r="H203" s="17" t="str">
        <f aca="false">IF(OR(A203="",E203="",E203=0),"",D203/E203)</f>
        <v/>
      </c>
      <c r="I203" s="18" t="str">
        <f aca="true">IF(OR(A203="",C203=""),"",MAX(0,(TODAY()-C203)/365.25))</f>
        <v/>
      </c>
      <c r="J203" s="17" t="str">
        <f aca="false">IF(OR(H203="",I203=""),"",MIN(D203,H203*I203))</f>
        <v/>
      </c>
      <c r="K203" s="17" t="str">
        <f aca="false">IF(J203="","",D203-J203)</f>
        <v/>
      </c>
      <c r="L203" s="19" t="str">
        <f aca="false">IF(K203="","",IF(K203&lt;=0,"Ömrünü doldurdu","Kullanımda"))</f>
        <v/>
      </c>
    </row>
    <row r="204" customFormat="false" ht="15" hidden="false" customHeight="false" outlineLevel="0" collapsed="false">
      <c r="A204" s="12"/>
      <c r="B204" s="13"/>
      <c r="C204" s="14"/>
      <c r="D204" s="15"/>
      <c r="E204" s="16"/>
      <c r="F204" s="13"/>
      <c r="G204" s="12"/>
      <c r="H204" s="17" t="str">
        <f aca="false">IF(OR(A204="",E204="",E204=0),"",D204/E204)</f>
        <v/>
      </c>
      <c r="I204" s="18" t="str">
        <f aca="true">IF(OR(A204="",C204=""),"",MAX(0,(TODAY()-C204)/365.25))</f>
        <v/>
      </c>
      <c r="J204" s="17" t="str">
        <f aca="false">IF(OR(H204="",I204=""),"",MIN(D204,H204*I204))</f>
        <v/>
      </c>
      <c r="K204" s="17" t="str">
        <f aca="false">IF(J204="","",D204-J204)</f>
        <v/>
      </c>
      <c r="L204" s="19" t="str">
        <f aca="false">IF(K204="","",IF(K204&lt;=0,"Ömrünü doldurdu","Kullanımda"))</f>
        <v/>
      </c>
    </row>
    <row r="205" customFormat="false" ht="15" hidden="false" customHeight="false" outlineLevel="0" collapsed="false">
      <c r="A205" s="12"/>
      <c r="B205" s="13"/>
      <c r="C205" s="14"/>
      <c r="D205" s="15"/>
      <c r="E205" s="16"/>
      <c r="F205" s="13"/>
      <c r="G205" s="12"/>
      <c r="H205" s="17" t="str">
        <f aca="false">IF(OR(A205="",E205="",E205=0),"",D205/E205)</f>
        <v/>
      </c>
      <c r="I205" s="18" t="str">
        <f aca="true">IF(OR(A205="",C205=""),"",MAX(0,(TODAY()-C205)/365.25))</f>
        <v/>
      </c>
      <c r="J205" s="17" t="str">
        <f aca="false">IF(OR(H205="",I205=""),"",MIN(D205,H205*I205))</f>
        <v/>
      </c>
      <c r="K205" s="17" t="str">
        <f aca="false">IF(J205="","",D205-J205)</f>
        <v/>
      </c>
      <c r="L205" s="19" t="str">
        <f aca="false">IF(K205="","",IF(K205&lt;=0,"Ömrünü doldurdu","Kullanımda"))</f>
        <v/>
      </c>
    </row>
    <row r="206" customFormat="false" ht="15" hidden="false" customHeight="false" outlineLevel="0" collapsed="false">
      <c r="A206" s="12"/>
      <c r="B206" s="13"/>
      <c r="C206" s="14"/>
      <c r="D206" s="15"/>
      <c r="E206" s="16"/>
      <c r="F206" s="13"/>
      <c r="G206" s="12"/>
      <c r="H206" s="17" t="str">
        <f aca="false">IF(OR(A206="",E206="",E206=0),"",D206/E206)</f>
        <v/>
      </c>
      <c r="I206" s="18" t="str">
        <f aca="true">IF(OR(A206="",C206=""),"",MAX(0,(TODAY()-C206)/365.25))</f>
        <v/>
      </c>
      <c r="J206" s="17" t="str">
        <f aca="false">IF(OR(H206="",I206=""),"",MIN(D206,H206*I206))</f>
        <v/>
      </c>
      <c r="K206" s="17" t="str">
        <f aca="false">IF(J206="","",D206-J206)</f>
        <v/>
      </c>
      <c r="L206" s="19" t="str">
        <f aca="false">IF(K206="","",IF(K206&lt;=0,"Ömrünü doldurdu","Kullanımda"))</f>
        <v/>
      </c>
    </row>
    <row r="207" customFormat="false" ht="15" hidden="false" customHeight="false" outlineLevel="0" collapsed="false">
      <c r="A207" s="12"/>
      <c r="B207" s="13"/>
      <c r="C207" s="14"/>
      <c r="D207" s="15"/>
      <c r="E207" s="16"/>
      <c r="F207" s="13"/>
      <c r="G207" s="12"/>
      <c r="H207" s="17" t="str">
        <f aca="false">IF(OR(A207="",E207="",E207=0),"",D207/E207)</f>
        <v/>
      </c>
      <c r="I207" s="18" t="str">
        <f aca="true">IF(OR(A207="",C207=""),"",MAX(0,(TODAY()-C207)/365.25))</f>
        <v/>
      </c>
      <c r="J207" s="17" t="str">
        <f aca="false">IF(OR(H207="",I207=""),"",MIN(D207,H207*I207))</f>
        <v/>
      </c>
      <c r="K207" s="17" t="str">
        <f aca="false">IF(J207="","",D207-J207)</f>
        <v/>
      </c>
      <c r="L207" s="19" t="str">
        <f aca="false">IF(K207="","",IF(K207&lt;=0,"Ömrünü doldurdu","Kullanımda"))</f>
        <v/>
      </c>
    </row>
    <row r="208" customFormat="false" ht="15" hidden="false" customHeight="false" outlineLevel="0" collapsed="false">
      <c r="A208" s="12"/>
      <c r="B208" s="13"/>
      <c r="C208" s="14"/>
      <c r="D208" s="15"/>
      <c r="E208" s="16"/>
      <c r="F208" s="13"/>
      <c r="G208" s="12"/>
      <c r="H208" s="17" t="str">
        <f aca="false">IF(OR(A208="",E208="",E208=0),"",D208/E208)</f>
        <v/>
      </c>
      <c r="I208" s="18" t="str">
        <f aca="true">IF(OR(A208="",C208=""),"",MAX(0,(TODAY()-C208)/365.25))</f>
        <v/>
      </c>
      <c r="J208" s="17" t="str">
        <f aca="false">IF(OR(H208="",I208=""),"",MIN(D208,H208*I208))</f>
        <v/>
      </c>
      <c r="K208" s="17" t="str">
        <f aca="false">IF(J208="","",D208-J208)</f>
        <v/>
      </c>
      <c r="L208" s="19" t="str">
        <f aca="false">IF(K208="","",IF(K208&lt;=0,"Ömrünü doldurdu","Kullanımda"))</f>
        <v/>
      </c>
    </row>
    <row r="209" customFormat="false" ht="15" hidden="false" customHeight="false" outlineLevel="0" collapsed="false">
      <c r="A209" s="12"/>
      <c r="B209" s="13"/>
      <c r="C209" s="14"/>
      <c r="D209" s="15"/>
      <c r="E209" s="16"/>
      <c r="F209" s="13"/>
      <c r="G209" s="12"/>
      <c r="H209" s="17" t="str">
        <f aca="false">IF(OR(A209="",E209="",E209=0),"",D209/E209)</f>
        <v/>
      </c>
      <c r="I209" s="18" t="str">
        <f aca="true">IF(OR(A209="",C209=""),"",MAX(0,(TODAY()-C209)/365.25))</f>
        <v/>
      </c>
      <c r="J209" s="17" t="str">
        <f aca="false">IF(OR(H209="",I209=""),"",MIN(D209,H209*I209))</f>
        <v/>
      </c>
      <c r="K209" s="17" t="str">
        <f aca="false">IF(J209="","",D209-J209)</f>
        <v/>
      </c>
      <c r="L209" s="19" t="str">
        <f aca="false">IF(K209="","",IF(K209&lt;=0,"Ömrünü doldurdu","Kullanımda"))</f>
        <v/>
      </c>
    </row>
    <row r="210" customFormat="false" ht="15" hidden="false" customHeight="false" outlineLevel="0" collapsed="false">
      <c r="A210" s="12"/>
      <c r="B210" s="13"/>
      <c r="C210" s="14"/>
      <c r="D210" s="15"/>
      <c r="E210" s="16"/>
      <c r="F210" s="13"/>
      <c r="G210" s="12"/>
      <c r="H210" s="17" t="str">
        <f aca="false">IF(OR(A210="",E210="",E210=0),"",D210/E210)</f>
        <v/>
      </c>
      <c r="I210" s="18" t="str">
        <f aca="true">IF(OR(A210="",C210=""),"",MAX(0,(TODAY()-C210)/365.25))</f>
        <v/>
      </c>
      <c r="J210" s="17" t="str">
        <f aca="false">IF(OR(H210="",I210=""),"",MIN(D210,H210*I210))</f>
        <v/>
      </c>
      <c r="K210" s="17" t="str">
        <f aca="false">IF(J210="","",D210-J210)</f>
        <v/>
      </c>
      <c r="L210" s="19" t="str">
        <f aca="false">IF(K210="","",IF(K210&lt;=0,"Ömrünü doldurdu","Kullanımda"))</f>
        <v/>
      </c>
    </row>
    <row r="211" customFormat="false" ht="15" hidden="false" customHeight="false" outlineLevel="0" collapsed="false">
      <c r="A211" s="12"/>
      <c r="B211" s="13"/>
      <c r="C211" s="14"/>
      <c r="D211" s="15"/>
      <c r="E211" s="16"/>
      <c r="F211" s="13"/>
      <c r="G211" s="12"/>
      <c r="H211" s="17" t="str">
        <f aca="false">IF(OR(A211="",E211="",E211=0),"",D211/E211)</f>
        <v/>
      </c>
      <c r="I211" s="18" t="str">
        <f aca="true">IF(OR(A211="",C211=""),"",MAX(0,(TODAY()-C211)/365.25))</f>
        <v/>
      </c>
      <c r="J211" s="17" t="str">
        <f aca="false">IF(OR(H211="",I211=""),"",MIN(D211,H211*I211))</f>
        <v/>
      </c>
      <c r="K211" s="17" t="str">
        <f aca="false">IF(J211="","",D211-J211)</f>
        <v/>
      </c>
      <c r="L211" s="19" t="str">
        <f aca="false">IF(K211="","",IF(K211&lt;=0,"Ömrünü doldurdu","Kullanımda"))</f>
        <v/>
      </c>
    </row>
    <row r="212" customFormat="false" ht="15" hidden="false" customHeight="false" outlineLevel="0" collapsed="false">
      <c r="A212" s="12"/>
      <c r="B212" s="13"/>
      <c r="C212" s="14"/>
      <c r="D212" s="15"/>
      <c r="E212" s="16"/>
      <c r="F212" s="13"/>
      <c r="G212" s="12"/>
      <c r="H212" s="17" t="str">
        <f aca="false">IF(OR(A212="",E212="",E212=0),"",D212/E212)</f>
        <v/>
      </c>
      <c r="I212" s="18" t="str">
        <f aca="true">IF(OR(A212="",C212=""),"",MAX(0,(TODAY()-C212)/365.25))</f>
        <v/>
      </c>
      <c r="J212" s="17" t="str">
        <f aca="false">IF(OR(H212="",I212=""),"",MIN(D212,H212*I212))</f>
        <v/>
      </c>
      <c r="K212" s="17" t="str">
        <f aca="false">IF(J212="","",D212-J212)</f>
        <v/>
      </c>
      <c r="L212" s="19" t="str">
        <f aca="false">IF(K212="","",IF(K212&lt;=0,"Ömrünü doldurdu","Kullanımda"))</f>
        <v/>
      </c>
    </row>
    <row r="213" customFormat="false" ht="15" hidden="false" customHeight="false" outlineLevel="0" collapsed="false">
      <c r="A213" s="12"/>
      <c r="B213" s="13"/>
      <c r="C213" s="14"/>
      <c r="D213" s="15"/>
      <c r="E213" s="16"/>
      <c r="F213" s="13"/>
      <c r="G213" s="12"/>
      <c r="H213" s="17" t="str">
        <f aca="false">IF(OR(A213="",E213="",E213=0),"",D213/E213)</f>
        <v/>
      </c>
      <c r="I213" s="18" t="str">
        <f aca="true">IF(OR(A213="",C213=""),"",MAX(0,(TODAY()-C213)/365.25))</f>
        <v/>
      </c>
      <c r="J213" s="17" t="str">
        <f aca="false">IF(OR(H213="",I213=""),"",MIN(D213,H213*I213))</f>
        <v/>
      </c>
      <c r="K213" s="17" t="str">
        <f aca="false">IF(J213="","",D213-J213)</f>
        <v/>
      </c>
      <c r="L213" s="19" t="str">
        <f aca="false">IF(K213="","",IF(K213&lt;=0,"Ömrünü doldurdu","Kullanımda"))</f>
        <v/>
      </c>
    </row>
    <row r="214" customFormat="false" ht="15" hidden="false" customHeight="false" outlineLevel="0" collapsed="false">
      <c r="A214" s="12"/>
      <c r="B214" s="13"/>
      <c r="C214" s="14"/>
      <c r="D214" s="15"/>
      <c r="E214" s="16"/>
      <c r="F214" s="13"/>
      <c r="G214" s="12"/>
      <c r="H214" s="17" t="str">
        <f aca="false">IF(OR(A214="",E214="",E214=0),"",D214/E214)</f>
        <v/>
      </c>
      <c r="I214" s="18" t="str">
        <f aca="true">IF(OR(A214="",C214=""),"",MAX(0,(TODAY()-C214)/365.25))</f>
        <v/>
      </c>
      <c r="J214" s="17" t="str">
        <f aca="false">IF(OR(H214="",I214=""),"",MIN(D214,H214*I214))</f>
        <v/>
      </c>
      <c r="K214" s="17" t="str">
        <f aca="false">IF(J214="","",D214-J214)</f>
        <v/>
      </c>
      <c r="L214" s="19" t="str">
        <f aca="false">IF(K214="","",IF(K214&lt;=0,"Ömrünü doldurdu","Kullanımda"))</f>
        <v/>
      </c>
    </row>
    <row r="215" customFormat="false" ht="15" hidden="false" customHeight="false" outlineLevel="0" collapsed="false">
      <c r="A215" s="12"/>
      <c r="B215" s="13"/>
      <c r="C215" s="14"/>
      <c r="D215" s="15"/>
      <c r="E215" s="16"/>
      <c r="F215" s="13"/>
      <c r="G215" s="12"/>
      <c r="H215" s="17" t="str">
        <f aca="false">IF(OR(A215="",E215="",E215=0),"",D215/E215)</f>
        <v/>
      </c>
      <c r="I215" s="18" t="str">
        <f aca="true">IF(OR(A215="",C215=""),"",MAX(0,(TODAY()-C215)/365.25))</f>
        <v/>
      </c>
      <c r="J215" s="17" t="str">
        <f aca="false">IF(OR(H215="",I215=""),"",MIN(D215,H215*I215))</f>
        <v/>
      </c>
      <c r="K215" s="17" t="str">
        <f aca="false">IF(J215="","",D215-J215)</f>
        <v/>
      </c>
      <c r="L215" s="19" t="str">
        <f aca="false">IF(K215="","",IF(K215&lt;=0,"Ömrünü doldurdu","Kullanımda"))</f>
        <v/>
      </c>
    </row>
    <row r="216" customFormat="false" ht="15" hidden="false" customHeight="false" outlineLevel="0" collapsed="false">
      <c r="A216" s="12"/>
      <c r="B216" s="13"/>
      <c r="C216" s="14"/>
      <c r="D216" s="15"/>
      <c r="E216" s="16"/>
      <c r="F216" s="13"/>
      <c r="G216" s="12"/>
      <c r="H216" s="17" t="str">
        <f aca="false">IF(OR(A216="",E216="",E216=0),"",D216/E216)</f>
        <v/>
      </c>
      <c r="I216" s="18" t="str">
        <f aca="true">IF(OR(A216="",C216=""),"",MAX(0,(TODAY()-C216)/365.25))</f>
        <v/>
      </c>
      <c r="J216" s="17" t="str">
        <f aca="false">IF(OR(H216="",I216=""),"",MIN(D216,H216*I216))</f>
        <v/>
      </c>
      <c r="K216" s="17" t="str">
        <f aca="false">IF(J216="","",D216-J216)</f>
        <v/>
      </c>
      <c r="L216" s="19" t="str">
        <f aca="false">IF(K216="","",IF(K216&lt;=0,"Ömrünü doldurdu","Kullanımda"))</f>
        <v/>
      </c>
    </row>
    <row r="217" customFormat="false" ht="15" hidden="false" customHeight="false" outlineLevel="0" collapsed="false">
      <c r="A217" s="12"/>
      <c r="B217" s="13"/>
      <c r="C217" s="14"/>
      <c r="D217" s="15"/>
      <c r="E217" s="16"/>
      <c r="F217" s="13"/>
      <c r="G217" s="12"/>
      <c r="H217" s="17" t="str">
        <f aca="false">IF(OR(A217="",E217="",E217=0),"",D217/E217)</f>
        <v/>
      </c>
      <c r="I217" s="18" t="str">
        <f aca="true">IF(OR(A217="",C217=""),"",MAX(0,(TODAY()-C217)/365.25))</f>
        <v/>
      </c>
      <c r="J217" s="17" t="str">
        <f aca="false">IF(OR(H217="",I217=""),"",MIN(D217,H217*I217))</f>
        <v/>
      </c>
      <c r="K217" s="17" t="str">
        <f aca="false">IF(J217="","",D217-J217)</f>
        <v/>
      </c>
      <c r="L217" s="19" t="str">
        <f aca="false">IF(K217="","",IF(K217&lt;=0,"Ömrünü doldurdu","Kullanımda"))</f>
        <v/>
      </c>
    </row>
    <row r="218" customFormat="false" ht="15" hidden="false" customHeight="false" outlineLevel="0" collapsed="false">
      <c r="A218" s="12"/>
      <c r="B218" s="13"/>
      <c r="C218" s="14"/>
      <c r="D218" s="15"/>
      <c r="E218" s="16"/>
      <c r="F218" s="13"/>
      <c r="G218" s="12"/>
      <c r="H218" s="17" t="str">
        <f aca="false">IF(OR(A218="",E218="",E218=0),"",D218/E218)</f>
        <v/>
      </c>
      <c r="I218" s="18" t="str">
        <f aca="true">IF(OR(A218="",C218=""),"",MAX(0,(TODAY()-C218)/365.25))</f>
        <v/>
      </c>
      <c r="J218" s="17" t="str">
        <f aca="false">IF(OR(H218="",I218=""),"",MIN(D218,H218*I218))</f>
        <v/>
      </c>
      <c r="K218" s="17" t="str">
        <f aca="false">IF(J218="","",D218-J218)</f>
        <v/>
      </c>
      <c r="L218" s="19" t="str">
        <f aca="false">IF(K218="","",IF(K218&lt;=0,"Ömrünü doldurdu","Kullanımda"))</f>
        <v/>
      </c>
    </row>
    <row r="219" customFormat="false" ht="15" hidden="false" customHeight="false" outlineLevel="0" collapsed="false">
      <c r="A219" s="12"/>
      <c r="B219" s="13"/>
      <c r="C219" s="14"/>
      <c r="D219" s="15"/>
      <c r="E219" s="16"/>
      <c r="F219" s="13"/>
      <c r="G219" s="12"/>
      <c r="H219" s="17" t="str">
        <f aca="false">IF(OR(A219="",E219="",E219=0),"",D219/E219)</f>
        <v/>
      </c>
      <c r="I219" s="18" t="str">
        <f aca="true">IF(OR(A219="",C219=""),"",MAX(0,(TODAY()-C219)/365.25))</f>
        <v/>
      </c>
      <c r="J219" s="17" t="str">
        <f aca="false">IF(OR(H219="",I219=""),"",MIN(D219,H219*I219))</f>
        <v/>
      </c>
      <c r="K219" s="17" t="str">
        <f aca="false">IF(J219="","",D219-J219)</f>
        <v/>
      </c>
      <c r="L219" s="19" t="str">
        <f aca="false">IF(K219="","",IF(K219&lt;=0,"Ömrünü doldurdu","Kullanımda"))</f>
        <v/>
      </c>
    </row>
    <row r="220" customFormat="false" ht="15" hidden="false" customHeight="false" outlineLevel="0" collapsed="false">
      <c r="A220" s="12"/>
      <c r="B220" s="13"/>
      <c r="C220" s="14"/>
      <c r="D220" s="15"/>
      <c r="E220" s="16"/>
      <c r="F220" s="13"/>
      <c r="G220" s="12"/>
      <c r="H220" s="17" t="str">
        <f aca="false">IF(OR(A220="",E220="",E220=0),"",D220/E220)</f>
        <v/>
      </c>
      <c r="I220" s="18" t="str">
        <f aca="true">IF(OR(A220="",C220=""),"",MAX(0,(TODAY()-C220)/365.25))</f>
        <v/>
      </c>
      <c r="J220" s="17" t="str">
        <f aca="false">IF(OR(H220="",I220=""),"",MIN(D220,H220*I220))</f>
        <v/>
      </c>
      <c r="K220" s="17" t="str">
        <f aca="false">IF(J220="","",D220-J220)</f>
        <v/>
      </c>
      <c r="L220" s="19" t="str">
        <f aca="false">IF(K220="","",IF(K220&lt;=0,"Ömrünü doldurdu","Kullanımda"))</f>
        <v/>
      </c>
    </row>
    <row r="221" customFormat="false" ht="15" hidden="false" customHeight="false" outlineLevel="0" collapsed="false">
      <c r="A221" s="12"/>
      <c r="B221" s="13"/>
      <c r="C221" s="14"/>
      <c r="D221" s="15"/>
      <c r="E221" s="16"/>
      <c r="F221" s="13"/>
      <c r="G221" s="12"/>
      <c r="H221" s="17" t="str">
        <f aca="false">IF(OR(A221="",E221="",E221=0),"",D221/E221)</f>
        <v/>
      </c>
      <c r="I221" s="18" t="str">
        <f aca="true">IF(OR(A221="",C221=""),"",MAX(0,(TODAY()-C221)/365.25))</f>
        <v/>
      </c>
      <c r="J221" s="17" t="str">
        <f aca="false">IF(OR(H221="",I221=""),"",MIN(D221,H221*I221))</f>
        <v/>
      </c>
      <c r="K221" s="17" t="str">
        <f aca="false">IF(J221="","",D221-J221)</f>
        <v/>
      </c>
      <c r="L221" s="19" t="str">
        <f aca="false">IF(K221="","",IF(K221&lt;=0,"Ömrünü doldurdu","Kullanımda"))</f>
        <v/>
      </c>
    </row>
    <row r="222" customFormat="false" ht="15" hidden="false" customHeight="false" outlineLevel="0" collapsed="false">
      <c r="A222" s="12"/>
      <c r="B222" s="13"/>
      <c r="C222" s="14"/>
      <c r="D222" s="15"/>
      <c r="E222" s="16"/>
      <c r="F222" s="13"/>
      <c r="G222" s="12"/>
      <c r="H222" s="17" t="str">
        <f aca="false">IF(OR(A222="",E222="",E222=0),"",D222/E222)</f>
        <v/>
      </c>
      <c r="I222" s="18" t="str">
        <f aca="true">IF(OR(A222="",C222=""),"",MAX(0,(TODAY()-C222)/365.25))</f>
        <v/>
      </c>
      <c r="J222" s="17" t="str">
        <f aca="false">IF(OR(H222="",I222=""),"",MIN(D222,H222*I222))</f>
        <v/>
      </c>
      <c r="K222" s="17" t="str">
        <f aca="false">IF(J222="","",D222-J222)</f>
        <v/>
      </c>
      <c r="L222" s="19" t="str">
        <f aca="false">IF(K222="","",IF(K222&lt;=0,"Ömrünü doldurdu","Kullanımda"))</f>
        <v/>
      </c>
    </row>
    <row r="223" customFormat="false" ht="15" hidden="false" customHeight="false" outlineLevel="0" collapsed="false">
      <c r="A223" s="12"/>
      <c r="B223" s="13"/>
      <c r="C223" s="14"/>
      <c r="D223" s="15"/>
      <c r="E223" s="16"/>
      <c r="F223" s="13"/>
      <c r="G223" s="12"/>
      <c r="H223" s="17" t="str">
        <f aca="false">IF(OR(A223="",E223="",E223=0),"",D223/E223)</f>
        <v/>
      </c>
      <c r="I223" s="18" t="str">
        <f aca="true">IF(OR(A223="",C223=""),"",MAX(0,(TODAY()-C223)/365.25))</f>
        <v/>
      </c>
      <c r="J223" s="17" t="str">
        <f aca="false">IF(OR(H223="",I223=""),"",MIN(D223,H223*I223))</f>
        <v/>
      </c>
      <c r="K223" s="17" t="str">
        <f aca="false">IF(J223="","",D223-J223)</f>
        <v/>
      </c>
      <c r="L223" s="19" t="str">
        <f aca="false">IF(K223="","",IF(K223&lt;=0,"Ömrünü doldurdu","Kullanımda"))</f>
        <v/>
      </c>
    </row>
    <row r="224" customFormat="false" ht="15" hidden="false" customHeight="false" outlineLevel="0" collapsed="false">
      <c r="A224" s="12"/>
      <c r="B224" s="13"/>
      <c r="C224" s="14"/>
      <c r="D224" s="15"/>
      <c r="E224" s="16"/>
      <c r="F224" s="13"/>
      <c r="G224" s="12"/>
      <c r="H224" s="17" t="str">
        <f aca="false">IF(OR(A224="",E224="",E224=0),"",D224/E224)</f>
        <v/>
      </c>
      <c r="I224" s="18" t="str">
        <f aca="true">IF(OR(A224="",C224=""),"",MAX(0,(TODAY()-C224)/365.25))</f>
        <v/>
      </c>
      <c r="J224" s="17" t="str">
        <f aca="false">IF(OR(H224="",I224=""),"",MIN(D224,H224*I224))</f>
        <v/>
      </c>
      <c r="K224" s="17" t="str">
        <f aca="false">IF(J224="","",D224-J224)</f>
        <v/>
      </c>
      <c r="L224" s="19" t="str">
        <f aca="false">IF(K224="","",IF(K224&lt;=0,"Ömrünü doldurdu","Kullanımda"))</f>
        <v/>
      </c>
    </row>
    <row r="225" customFormat="false" ht="15" hidden="false" customHeight="false" outlineLevel="0" collapsed="false">
      <c r="A225" s="12"/>
      <c r="B225" s="13"/>
      <c r="C225" s="14"/>
      <c r="D225" s="15"/>
      <c r="E225" s="16"/>
      <c r="F225" s="13"/>
      <c r="G225" s="12"/>
      <c r="H225" s="17" t="str">
        <f aca="false">IF(OR(A225="",E225="",E225=0),"",D225/E225)</f>
        <v/>
      </c>
      <c r="I225" s="18" t="str">
        <f aca="true">IF(OR(A225="",C225=""),"",MAX(0,(TODAY()-C225)/365.25))</f>
        <v/>
      </c>
      <c r="J225" s="17" t="str">
        <f aca="false">IF(OR(H225="",I225=""),"",MIN(D225,H225*I225))</f>
        <v/>
      </c>
      <c r="K225" s="17" t="str">
        <f aca="false">IF(J225="","",D225-J225)</f>
        <v/>
      </c>
      <c r="L225" s="19" t="str">
        <f aca="false">IF(K225="","",IF(K225&lt;=0,"Ömrünü doldurdu","Kullanımda"))</f>
        <v/>
      </c>
    </row>
    <row r="226" customFormat="false" ht="15" hidden="false" customHeight="false" outlineLevel="0" collapsed="false">
      <c r="A226" s="12"/>
      <c r="B226" s="13"/>
      <c r="C226" s="14"/>
      <c r="D226" s="15"/>
      <c r="E226" s="16"/>
      <c r="F226" s="13"/>
      <c r="G226" s="12"/>
      <c r="H226" s="17" t="str">
        <f aca="false">IF(OR(A226="",E226="",E226=0),"",D226/E226)</f>
        <v/>
      </c>
      <c r="I226" s="18" t="str">
        <f aca="true">IF(OR(A226="",C226=""),"",MAX(0,(TODAY()-C226)/365.25))</f>
        <v/>
      </c>
      <c r="J226" s="17" t="str">
        <f aca="false">IF(OR(H226="",I226=""),"",MIN(D226,H226*I226))</f>
        <v/>
      </c>
      <c r="K226" s="17" t="str">
        <f aca="false">IF(J226="","",D226-J226)</f>
        <v/>
      </c>
      <c r="L226" s="19" t="str">
        <f aca="false">IF(K226="","",IF(K226&lt;=0,"Ömrünü doldurdu","Kullanımda"))</f>
        <v/>
      </c>
    </row>
    <row r="227" customFormat="false" ht="15" hidden="false" customHeight="false" outlineLevel="0" collapsed="false">
      <c r="A227" s="12"/>
      <c r="B227" s="13"/>
      <c r="C227" s="14"/>
      <c r="D227" s="15"/>
      <c r="E227" s="16"/>
      <c r="F227" s="13"/>
      <c r="G227" s="12"/>
      <c r="H227" s="17" t="str">
        <f aca="false">IF(OR(A227="",E227="",E227=0),"",D227/E227)</f>
        <v/>
      </c>
      <c r="I227" s="18" t="str">
        <f aca="true">IF(OR(A227="",C227=""),"",MAX(0,(TODAY()-C227)/365.25))</f>
        <v/>
      </c>
      <c r="J227" s="17" t="str">
        <f aca="false">IF(OR(H227="",I227=""),"",MIN(D227,H227*I227))</f>
        <v/>
      </c>
      <c r="K227" s="17" t="str">
        <f aca="false">IF(J227="","",D227-J227)</f>
        <v/>
      </c>
      <c r="L227" s="19" t="str">
        <f aca="false">IF(K227="","",IF(K227&lt;=0,"Ömrünü doldurdu","Kullanımda"))</f>
        <v/>
      </c>
    </row>
    <row r="228" customFormat="false" ht="15" hidden="false" customHeight="false" outlineLevel="0" collapsed="false">
      <c r="A228" s="12"/>
      <c r="B228" s="13"/>
      <c r="C228" s="14"/>
      <c r="D228" s="15"/>
      <c r="E228" s="16"/>
      <c r="F228" s="13"/>
      <c r="G228" s="12"/>
      <c r="H228" s="17" t="str">
        <f aca="false">IF(OR(A228="",E228="",E228=0),"",D228/E228)</f>
        <v/>
      </c>
      <c r="I228" s="18" t="str">
        <f aca="true">IF(OR(A228="",C228=""),"",MAX(0,(TODAY()-C228)/365.25))</f>
        <v/>
      </c>
      <c r="J228" s="17" t="str">
        <f aca="false">IF(OR(H228="",I228=""),"",MIN(D228,H228*I228))</f>
        <v/>
      </c>
      <c r="K228" s="17" t="str">
        <f aca="false">IF(J228="","",D228-J228)</f>
        <v/>
      </c>
      <c r="L228" s="19" t="str">
        <f aca="false">IF(K228="","",IF(K228&lt;=0,"Ömrünü doldurdu","Kullanımda"))</f>
        <v/>
      </c>
    </row>
    <row r="229" customFormat="false" ht="15" hidden="false" customHeight="false" outlineLevel="0" collapsed="false">
      <c r="A229" s="12"/>
      <c r="B229" s="13"/>
      <c r="C229" s="14"/>
      <c r="D229" s="15"/>
      <c r="E229" s="16"/>
      <c r="F229" s="13"/>
      <c r="G229" s="12"/>
      <c r="H229" s="17" t="str">
        <f aca="false">IF(OR(A229="",E229="",E229=0),"",D229/E229)</f>
        <v/>
      </c>
      <c r="I229" s="18" t="str">
        <f aca="true">IF(OR(A229="",C229=""),"",MAX(0,(TODAY()-C229)/365.25))</f>
        <v/>
      </c>
      <c r="J229" s="17" t="str">
        <f aca="false">IF(OR(H229="",I229=""),"",MIN(D229,H229*I229))</f>
        <v/>
      </c>
      <c r="K229" s="17" t="str">
        <f aca="false">IF(J229="","",D229-J229)</f>
        <v/>
      </c>
      <c r="L229" s="19" t="str">
        <f aca="false">IF(K229="","",IF(K229&lt;=0,"Ömrünü doldurdu","Kullanımda"))</f>
        <v/>
      </c>
    </row>
    <row r="230" customFormat="false" ht="15" hidden="false" customHeight="false" outlineLevel="0" collapsed="false">
      <c r="A230" s="12"/>
      <c r="B230" s="13"/>
      <c r="C230" s="14"/>
      <c r="D230" s="15"/>
      <c r="E230" s="16"/>
      <c r="F230" s="13"/>
      <c r="G230" s="12"/>
      <c r="H230" s="17" t="str">
        <f aca="false">IF(OR(A230="",E230="",E230=0),"",D230/E230)</f>
        <v/>
      </c>
      <c r="I230" s="18" t="str">
        <f aca="true">IF(OR(A230="",C230=""),"",MAX(0,(TODAY()-C230)/365.25))</f>
        <v/>
      </c>
      <c r="J230" s="17" t="str">
        <f aca="false">IF(OR(H230="",I230=""),"",MIN(D230,H230*I230))</f>
        <v/>
      </c>
      <c r="K230" s="17" t="str">
        <f aca="false">IF(J230="","",D230-J230)</f>
        <v/>
      </c>
      <c r="L230" s="19" t="str">
        <f aca="false">IF(K230="","",IF(K230&lt;=0,"Ömrünü doldurdu","Kullanımda"))</f>
        <v/>
      </c>
    </row>
    <row r="231" customFormat="false" ht="15" hidden="false" customHeight="false" outlineLevel="0" collapsed="false">
      <c r="A231" s="12"/>
      <c r="B231" s="13"/>
      <c r="C231" s="14"/>
      <c r="D231" s="15"/>
      <c r="E231" s="16"/>
      <c r="F231" s="13"/>
      <c r="G231" s="12"/>
      <c r="H231" s="17" t="str">
        <f aca="false">IF(OR(A231="",E231="",E231=0),"",D231/E231)</f>
        <v/>
      </c>
      <c r="I231" s="18" t="str">
        <f aca="true">IF(OR(A231="",C231=""),"",MAX(0,(TODAY()-C231)/365.25))</f>
        <v/>
      </c>
      <c r="J231" s="17" t="str">
        <f aca="false">IF(OR(H231="",I231=""),"",MIN(D231,H231*I231))</f>
        <v/>
      </c>
      <c r="K231" s="17" t="str">
        <f aca="false">IF(J231="","",D231-J231)</f>
        <v/>
      </c>
      <c r="L231" s="19" t="str">
        <f aca="false">IF(K231="","",IF(K231&lt;=0,"Ömrünü doldurdu","Kullanımda"))</f>
        <v/>
      </c>
    </row>
    <row r="232" customFormat="false" ht="15" hidden="false" customHeight="false" outlineLevel="0" collapsed="false">
      <c r="A232" s="12"/>
      <c r="B232" s="13"/>
      <c r="C232" s="14"/>
      <c r="D232" s="15"/>
      <c r="E232" s="16"/>
      <c r="F232" s="13"/>
      <c r="G232" s="12"/>
      <c r="H232" s="17" t="str">
        <f aca="false">IF(OR(A232="",E232="",E232=0),"",D232/E232)</f>
        <v/>
      </c>
      <c r="I232" s="18" t="str">
        <f aca="true">IF(OR(A232="",C232=""),"",MAX(0,(TODAY()-C232)/365.25))</f>
        <v/>
      </c>
      <c r="J232" s="17" t="str">
        <f aca="false">IF(OR(H232="",I232=""),"",MIN(D232,H232*I232))</f>
        <v/>
      </c>
      <c r="K232" s="17" t="str">
        <f aca="false">IF(J232="","",D232-J232)</f>
        <v/>
      </c>
      <c r="L232" s="19" t="str">
        <f aca="false">IF(K232="","",IF(K232&lt;=0,"Ömrünü doldurdu","Kullanımda"))</f>
        <v/>
      </c>
    </row>
    <row r="233" customFormat="false" ht="15" hidden="false" customHeight="false" outlineLevel="0" collapsed="false">
      <c r="A233" s="12"/>
      <c r="B233" s="13"/>
      <c r="C233" s="14"/>
      <c r="D233" s="15"/>
      <c r="E233" s="16"/>
      <c r="F233" s="13"/>
      <c r="G233" s="12"/>
      <c r="H233" s="17" t="str">
        <f aca="false">IF(OR(A233="",E233="",E233=0),"",D233/E233)</f>
        <v/>
      </c>
      <c r="I233" s="18" t="str">
        <f aca="true">IF(OR(A233="",C233=""),"",MAX(0,(TODAY()-C233)/365.25))</f>
        <v/>
      </c>
      <c r="J233" s="17" t="str">
        <f aca="false">IF(OR(H233="",I233=""),"",MIN(D233,H233*I233))</f>
        <v/>
      </c>
      <c r="K233" s="17" t="str">
        <f aca="false">IF(J233="","",D233-J233)</f>
        <v/>
      </c>
      <c r="L233" s="19" t="str">
        <f aca="false">IF(K233="","",IF(K233&lt;=0,"Ömrünü doldurdu","Kullanımda"))</f>
        <v/>
      </c>
    </row>
    <row r="234" customFormat="false" ht="15" hidden="false" customHeight="false" outlineLevel="0" collapsed="false">
      <c r="A234" s="12"/>
      <c r="B234" s="13"/>
      <c r="C234" s="14"/>
      <c r="D234" s="15"/>
      <c r="E234" s="16"/>
      <c r="F234" s="13"/>
      <c r="G234" s="12"/>
      <c r="H234" s="17" t="str">
        <f aca="false">IF(OR(A234="",E234="",E234=0),"",D234/E234)</f>
        <v/>
      </c>
      <c r="I234" s="18" t="str">
        <f aca="true">IF(OR(A234="",C234=""),"",MAX(0,(TODAY()-C234)/365.25))</f>
        <v/>
      </c>
      <c r="J234" s="17" t="str">
        <f aca="false">IF(OR(H234="",I234=""),"",MIN(D234,H234*I234))</f>
        <v/>
      </c>
      <c r="K234" s="17" t="str">
        <f aca="false">IF(J234="","",D234-J234)</f>
        <v/>
      </c>
      <c r="L234" s="19" t="str">
        <f aca="false">IF(K234="","",IF(K234&lt;=0,"Ömrünü doldurdu","Kullanımda"))</f>
        <v/>
      </c>
    </row>
    <row r="235" customFormat="false" ht="15" hidden="false" customHeight="false" outlineLevel="0" collapsed="false">
      <c r="A235" s="12"/>
      <c r="B235" s="13"/>
      <c r="C235" s="14"/>
      <c r="D235" s="15"/>
      <c r="E235" s="16"/>
      <c r="F235" s="13"/>
      <c r="G235" s="12"/>
      <c r="H235" s="17" t="str">
        <f aca="false">IF(OR(A235="",E235="",E235=0),"",D235/E235)</f>
        <v/>
      </c>
      <c r="I235" s="18" t="str">
        <f aca="true">IF(OR(A235="",C235=""),"",MAX(0,(TODAY()-C235)/365.25))</f>
        <v/>
      </c>
      <c r="J235" s="17" t="str">
        <f aca="false">IF(OR(H235="",I235=""),"",MIN(D235,H235*I235))</f>
        <v/>
      </c>
      <c r="K235" s="17" t="str">
        <f aca="false">IF(J235="","",D235-J235)</f>
        <v/>
      </c>
      <c r="L235" s="19" t="str">
        <f aca="false">IF(K235="","",IF(K235&lt;=0,"Ömrünü doldurdu","Kullanımda"))</f>
        <v/>
      </c>
    </row>
    <row r="236" customFormat="false" ht="15" hidden="false" customHeight="false" outlineLevel="0" collapsed="false">
      <c r="A236" s="12"/>
      <c r="B236" s="13"/>
      <c r="C236" s="14"/>
      <c r="D236" s="15"/>
      <c r="E236" s="16"/>
      <c r="F236" s="13"/>
      <c r="G236" s="12"/>
      <c r="H236" s="17" t="str">
        <f aca="false">IF(OR(A236="",E236="",E236=0),"",D236/E236)</f>
        <v/>
      </c>
      <c r="I236" s="18" t="str">
        <f aca="true">IF(OR(A236="",C236=""),"",MAX(0,(TODAY()-C236)/365.25))</f>
        <v/>
      </c>
      <c r="J236" s="17" t="str">
        <f aca="false">IF(OR(H236="",I236=""),"",MIN(D236,H236*I236))</f>
        <v/>
      </c>
      <c r="K236" s="17" t="str">
        <f aca="false">IF(J236="","",D236-J236)</f>
        <v/>
      </c>
      <c r="L236" s="19" t="str">
        <f aca="false">IF(K236="","",IF(K236&lt;=0,"Ömrünü doldurdu","Kullanımda"))</f>
        <v/>
      </c>
    </row>
    <row r="237" customFormat="false" ht="15" hidden="false" customHeight="false" outlineLevel="0" collapsed="false">
      <c r="A237" s="12"/>
      <c r="B237" s="13"/>
      <c r="C237" s="14"/>
      <c r="D237" s="15"/>
      <c r="E237" s="16"/>
      <c r="F237" s="13"/>
      <c r="G237" s="12"/>
      <c r="H237" s="17" t="str">
        <f aca="false">IF(OR(A237="",E237="",E237=0),"",D237/E237)</f>
        <v/>
      </c>
      <c r="I237" s="18" t="str">
        <f aca="true">IF(OR(A237="",C237=""),"",MAX(0,(TODAY()-C237)/365.25))</f>
        <v/>
      </c>
      <c r="J237" s="17" t="str">
        <f aca="false">IF(OR(H237="",I237=""),"",MIN(D237,H237*I237))</f>
        <v/>
      </c>
      <c r="K237" s="17" t="str">
        <f aca="false">IF(J237="","",D237-J237)</f>
        <v/>
      </c>
      <c r="L237" s="19" t="str">
        <f aca="false">IF(K237="","",IF(K237&lt;=0,"Ömrünü doldurdu","Kullanımda"))</f>
        <v/>
      </c>
    </row>
    <row r="238" customFormat="false" ht="15" hidden="false" customHeight="false" outlineLevel="0" collapsed="false">
      <c r="A238" s="12"/>
      <c r="B238" s="13"/>
      <c r="C238" s="14"/>
      <c r="D238" s="15"/>
      <c r="E238" s="16"/>
      <c r="F238" s="13"/>
      <c r="G238" s="12"/>
      <c r="H238" s="17" t="str">
        <f aca="false">IF(OR(A238="",E238="",E238=0),"",D238/E238)</f>
        <v/>
      </c>
      <c r="I238" s="18" t="str">
        <f aca="true">IF(OR(A238="",C238=""),"",MAX(0,(TODAY()-C238)/365.25))</f>
        <v/>
      </c>
      <c r="J238" s="17" t="str">
        <f aca="false">IF(OR(H238="",I238=""),"",MIN(D238,H238*I238))</f>
        <v/>
      </c>
      <c r="K238" s="17" t="str">
        <f aca="false">IF(J238="","",D238-J238)</f>
        <v/>
      </c>
      <c r="L238" s="19" t="str">
        <f aca="false">IF(K238="","",IF(K238&lt;=0,"Ömrünü doldurdu","Kullanımda"))</f>
        <v/>
      </c>
    </row>
    <row r="239" customFormat="false" ht="15" hidden="false" customHeight="false" outlineLevel="0" collapsed="false">
      <c r="A239" s="12"/>
      <c r="B239" s="13"/>
      <c r="C239" s="14"/>
      <c r="D239" s="15"/>
      <c r="E239" s="16"/>
      <c r="F239" s="13"/>
      <c r="G239" s="12"/>
      <c r="H239" s="17" t="str">
        <f aca="false">IF(OR(A239="",E239="",E239=0),"",D239/E239)</f>
        <v/>
      </c>
      <c r="I239" s="18" t="str">
        <f aca="true">IF(OR(A239="",C239=""),"",MAX(0,(TODAY()-C239)/365.25))</f>
        <v/>
      </c>
      <c r="J239" s="17" t="str">
        <f aca="false">IF(OR(H239="",I239=""),"",MIN(D239,H239*I239))</f>
        <v/>
      </c>
      <c r="K239" s="17" t="str">
        <f aca="false">IF(J239="","",D239-J239)</f>
        <v/>
      </c>
      <c r="L239" s="19" t="str">
        <f aca="false">IF(K239="","",IF(K239&lt;=0,"Ömrünü doldurdu","Kullanımda"))</f>
        <v/>
      </c>
    </row>
    <row r="240" customFormat="false" ht="15" hidden="false" customHeight="false" outlineLevel="0" collapsed="false">
      <c r="A240" s="12"/>
      <c r="B240" s="13"/>
      <c r="C240" s="14"/>
      <c r="D240" s="15"/>
      <c r="E240" s="16"/>
      <c r="F240" s="13"/>
      <c r="G240" s="12"/>
      <c r="H240" s="17" t="str">
        <f aca="false">IF(OR(A240="",E240="",E240=0),"",D240/E240)</f>
        <v/>
      </c>
      <c r="I240" s="18" t="str">
        <f aca="true">IF(OR(A240="",C240=""),"",MAX(0,(TODAY()-C240)/365.25))</f>
        <v/>
      </c>
      <c r="J240" s="17" t="str">
        <f aca="false">IF(OR(H240="",I240=""),"",MIN(D240,H240*I240))</f>
        <v/>
      </c>
      <c r="K240" s="17" t="str">
        <f aca="false">IF(J240="","",D240-J240)</f>
        <v/>
      </c>
      <c r="L240" s="19" t="str">
        <f aca="false">IF(K240="","",IF(K240&lt;=0,"Ömrünü doldurdu","Kullanımda"))</f>
        <v/>
      </c>
    </row>
    <row r="241" customFormat="false" ht="15" hidden="false" customHeight="false" outlineLevel="0" collapsed="false">
      <c r="A241" s="12"/>
      <c r="B241" s="13"/>
      <c r="C241" s="14"/>
      <c r="D241" s="15"/>
      <c r="E241" s="16"/>
      <c r="F241" s="13"/>
      <c r="G241" s="12"/>
      <c r="H241" s="17" t="str">
        <f aca="false">IF(OR(A241="",E241="",E241=0),"",D241/E241)</f>
        <v/>
      </c>
      <c r="I241" s="18" t="str">
        <f aca="true">IF(OR(A241="",C241=""),"",MAX(0,(TODAY()-C241)/365.25))</f>
        <v/>
      </c>
      <c r="J241" s="17" t="str">
        <f aca="false">IF(OR(H241="",I241=""),"",MIN(D241,H241*I241))</f>
        <v/>
      </c>
      <c r="K241" s="17" t="str">
        <f aca="false">IF(J241="","",D241-J241)</f>
        <v/>
      </c>
      <c r="L241" s="19" t="str">
        <f aca="false">IF(K241="","",IF(K241&lt;=0,"Ömrünü doldurdu","Kullanımda"))</f>
        <v/>
      </c>
    </row>
    <row r="242" customFormat="false" ht="15" hidden="false" customHeight="false" outlineLevel="0" collapsed="false">
      <c r="A242" s="12"/>
      <c r="B242" s="13"/>
      <c r="C242" s="14"/>
      <c r="D242" s="15"/>
      <c r="E242" s="16"/>
      <c r="F242" s="13"/>
      <c r="G242" s="12"/>
      <c r="H242" s="17" t="str">
        <f aca="false">IF(OR(A242="",E242="",E242=0),"",D242/E242)</f>
        <v/>
      </c>
      <c r="I242" s="18" t="str">
        <f aca="true">IF(OR(A242="",C242=""),"",MAX(0,(TODAY()-C242)/365.25))</f>
        <v/>
      </c>
      <c r="J242" s="17" t="str">
        <f aca="false">IF(OR(H242="",I242=""),"",MIN(D242,H242*I242))</f>
        <v/>
      </c>
      <c r="K242" s="17" t="str">
        <f aca="false">IF(J242="","",D242-J242)</f>
        <v/>
      </c>
      <c r="L242" s="19" t="str">
        <f aca="false">IF(K242="","",IF(K242&lt;=0,"Ömrünü doldurdu","Kullanımda"))</f>
        <v/>
      </c>
    </row>
    <row r="243" customFormat="false" ht="15" hidden="false" customHeight="false" outlineLevel="0" collapsed="false">
      <c r="A243" s="12"/>
      <c r="B243" s="13"/>
      <c r="C243" s="14"/>
      <c r="D243" s="15"/>
      <c r="E243" s="16"/>
      <c r="F243" s="13"/>
      <c r="G243" s="12"/>
      <c r="H243" s="17" t="str">
        <f aca="false">IF(OR(A243="",E243="",E243=0),"",D243/E243)</f>
        <v/>
      </c>
      <c r="I243" s="18" t="str">
        <f aca="true">IF(OR(A243="",C243=""),"",MAX(0,(TODAY()-C243)/365.25))</f>
        <v/>
      </c>
      <c r="J243" s="17" t="str">
        <f aca="false">IF(OR(H243="",I243=""),"",MIN(D243,H243*I243))</f>
        <v/>
      </c>
      <c r="K243" s="17" t="str">
        <f aca="false">IF(J243="","",D243-J243)</f>
        <v/>
      </c>
      <c r="L243" s="19" t="str">
        <f aca="false">IF(K243="","",IF(K243&lt;=0,"Ömrünü doldurdu","Kullanımda"))</f>
        <v/>
      </c>
    </row>
    <row r="244" customFormat="false" ht="15" hidden="false" customHeight="false" outlineLevel="0" collapsed="false">
      <c r="A244" s="12"/>
      <c r="B244" s="13"/>
      <c r="C244" s="14"/>
      <c r="D244" s="15"/>
      <c r="E244" s="16"/>
      <c r="F244" s="13"/>
      <c r="G244" s="12"/>
      <c r="H244" s="17" t="str">
        <f aca="false">IF(OR(A244="",E244="",E244=0),"",D244/E244)</f>
        <v/>
      </c>
      <c r="I244" s="18" t="str">
        <f aca="true">IF(OR(A244="",C244=""),"",MAX(0,(TODAY()-C244)/365.25))</f>
        <v/>
      </c>
      <c r="J244" s="17" t="str">
        <f aca="false">IF(OR(H244="",I244=""),"",MIN(D244,H244*I244))</f>
        <v/>
      </c>
      <c r="K244" s="17" t="str">
        <f aca="false">IF(J244="","",D244-J244)</f>
        <v/>
      </c>
      <c r="L244" s="19" t="str">
        <f aca="false">IF(K244="","",IF(K244&lt;=0,"Ömrünü doldurdu","Kullanımda"))</f>
        <v/>
      </c>
    </row>
    <row r="245" customFormat="false" ht="15" hidden="false" customHeight="false" outlineLevel="0" collapsed="false">
      <c r="A245" s="12"/>
      <c r="B245" s="13"/>
      <c r="C245" s="14"/>
      <c r="D245" s="15"/>
      <c r="E245" s="16"/>
      <c r="F245" s="13"/>
      <c r="G245" s="12"/>
      <c r="H245" s="17" t="str">
        <f aca="false">IF(OR(A245="",E245="",E245=0),"",D245/E245)</f>
        <v/>
      </c>
      <c r="I245" s="18" t="str">
        <f aca="true">IF(OR(A245="",C245=""),"",MAX(0,(TODAY()-C245)/365.25))</f>
        <v/>
      </c>
      <c r="J245" s="17" t="str">
        <f aca="false">IF(OR(H245="",I245=""),"",MIN(D245,H245*I245))</f>
        <v/>
      </c>
      <c r="K245" s="17" t="str">
        <f aca="false">IF(J245="","",D245-J245)</f>
        <v/>
      </c>
      <c r="L245" s="19" t="str">
        <f aca="false">IF(K245="","",IF(K245&lt;=0,"Ömrünü doldurdu","Kullanımda"))</f>
        <v/>
      </c>
    </row>
    <row r="246" customFormat="false" ht="15" hidden="false" customHeight="false" outlineLevel="0" collapsed="false">
      <c r="A246" s="12"/>
      <c r="B246" s="13"/>
      <c r="C246" s="14"/>
      <c r="D246" s="15"/>
      <c r="E246" s="16"/>
      <c r="F246" s="13"/>
      <c r="G246" s="12"/>
      <c r="H246" s="17" t="str">
        <f aca="false">IF(OR(A246="",E246="",E246=0),"",D246/E246)</f>
        <v/>
      </c>
      <c r="I246" s="18" t="str">
        <f aca="true">IF(OR(A246="",C246=""),"",MAX(0,(TODAY()-C246)/365.25))</f>
        <v/>
      </c>
      <c r="J246" s="17" t="str">
        <f aca="false">IF(OR(H246="",I246=""),"",MIN(D246,H246*I246))</f>
        <v/>
      </c>
      <c r="K246" s="17" t="str">
        <f aca="false">IF(J246="","",D246-J246)</f>
        <v/>
      </c>
      <c r="L246" s="19" t="str">
        <f aca="false">IF(K246="","",IF(K246&lt;=0,"Ömrünü doldurdu","Kullanımda"))</f>
        <v/>
      </c>
    </row>
    <row r="247" customFormat="false" ht="15" hidden="false" customHeight="false" outlineLevel="0" collapsed="false">
      <c r="A247" s="12"/>
      <c r="B247" s="13"/>
      <c r="C247" s="14"/>
      <c r="D247" s="15"/>
      <c r="E247" s="16"/>
      <c r="F247" s="13"/>
      <c r="G247" s="12"/>
      <c r="H247" s="17" t="str">
        <f aca="false">IF(OR(A247="",E247="",E247=0),"",D247/E247)</f>
        <v/>
      </c>
      <c r="I247" s="18" t="str">
        <f aca="true">IF(OR(A247="",C247=""),"",MAX(0,(TODAY()-C247)/365.25))</f>
        <v/>
      </c>
      <c r="J247" s="17" t="str">
        <f aca="false">IF(OR(H247="",I247=""),"",MIN(D247,H247*I247))</f>
        <v/>
      </c>
      <c r="K247" s="17" t="str">
        <f aca="false">IF(J247="","",D247-J247)</f>
        <v/>
      </c>
      <c r="L247" s="19" t="str">
        <f aca="false">IF(K247="","",IF(K247&lt;=0,"Ömrünü doldurdu","Kullanımda"))</f>
        <v/>
      </c>
    </row>
    <row r="248" customFormat="false" ht="15" hidden="false" customHeight="false" outlineLevel="0" collapsed="false">
      <c r="A248" s="12"/>
      <c r="B248" s="13"/>
      <c r="C248" s="14"/>
      <c r="D248" s="15"/>
      <c r="E248" s="16"/>
      <c r="F248" s="13"/>
      <c r="G248" s="12"/>
      <c r="H248" s="17" t="str">
        <f aca="false">IF(OR(A248="",E248="",E248=0),"",D248/E248)</f>
        <v/>
      </c>
      <c r="I248" s="18" t="str">
        <f aca="true">IF(OR(A248="",C248=""),"",MAX(0,(TODAY()-C248)/365.25))</f>
        <v/>
      </c>
      <c r="J248" s="17" t="str">
        <f aca="false">IF(OR(H248="",I248=""),"",MIN(D248,H248*I248))</f>
        <v/>
      </c>
      <c r="K248" s="17" t="str">
        <f aca="false">IF(J248="","",D248-J248)</f>
        <v/>
      </c>
      <c r="L248" s="19" t="str">
        <f aca="false">IF(K248="","",IF(K248&lt;=0,"Ömrünü doldurdu","Kullanımda"))</f>
        <v/>
      </c>
    </row>
    <row r="249" customFormat="false" ht="15" hidden="false" customHeight="false" outlineLevel="0" collapsed="false">
      <c r="A249" s="12"/>
      <c r="B249" s="13"/>
      <c r="C249" s="14"/>
      <c r="D249" s="15"/>
      <c r="E249" s="16"/>
      <c r="F249" s="13"/>
      <c r="G249" s="12"/>
      <c r="H249" s="17" t="str">
        <f aca="false">IF(OR(A249="",E249="",E249=0),"",D249/E249)</f>
        <v/>
      </c>
      <c r="I249" s="18" t="str">
        <f aca="true">IF(OR(A249="",C249=""),"",MAX(0,(TODAY()-C249)/365.25))</f>
        <v/>
      </c>
      <c r="J249" s="17" t="str">
        <f aca="false">IF(OR(H249="",I249=""),"",MIN(D249,H249*I249))</f>
        <v/>
      </c>
      <c r="K249" s="17" t="str">
        <f aca="false">IF(J249="","",D249-J249)</f>
        <v/>
      </c>
      <c r="L249" s="19" t="str">
        <f aca="false">IF(K249="","",IF(K249&lt;=0,"Ömrünü doldurdu","Kullanımda"))</f>
        <v/>
      </c>
    </row>
    <row r="250" customFormat="false" ht="15" hidden="false" customHeight="false" outlineLevel="0" collapsed="false">
      <c r="A250" s="12"/>
      <c r="B250" s="13"/>
      <c r="C250" s="14"/>
      <c r="D250" s="15"/>
      <c r="E250" s="16"/>
      <c r="F250" s="13"/>
      <c r="G250" s="12"/>
      <c r="H250" s="17" t="str">
        <f aca="false">IF(OR(A250="",E250="",E250=0),"",D250/E250)</f>
        <v/>
      </c>
      <c r="I250" s="18" t="str">
        <f aca="true">IF(OR(A250="",C250=""),"",MAX(0,(TODAY()-C250)/365.25))</f>
        <v/>
      </c>
      <c r="J250" s="17" t="str">
        <f aca="false">IF(OR(H250="",I250=""),"",MIN(D250,H250*I250))</f>
        <v/>
      </c>
      <c r="K250" s="17" t="str">
        <f aca="false">IF(J250="","",D250-J250)</f>
        <v/>
      </c>
      <c r="L250" s="19" t="str">
        <f aca="false">IF(K250="","",IF(K250&lt;=0,"Ömrünü doldurdu","Kullanımda"))</f>
        <v/>
      </c>
    </row>
    <row r="251" customFormat="false" ht="15" hidden="false" customHeight="false" outlineLevel="0" collapsed="false">
      <c r="A251" s="12"/>
      <c r="B251" s="13"/>
      <c r="C251" s="14"/>
      <c r="D251" s="15"/>
      <c r="E251" s="16"/>
      <c r="F251" s="13"/>
      <c r="G251" s="12"/>
      <c r="H251" s="17" t="str">
        <f aca="false">IF(OR(A251="",E251="",E251=0),"",D251/E251)</f>
        <v/>
      </c>
      <c r="I251" s="18" t="str">
        <f aca="true">IF(OR(A251="",C251=""),"",MAX(0,(TODAY()-C251)/365.25))</f>
        <v/>
      </c>
      <c r="J251" s="17" t="str">
        <f aca="false">IF(OR(H251="",I251=""),"",MIN(D251,H251*I251))</f>
        <v/>
      </c>
      <c r="K251" s="17" t="str">
        <f aca="false">IF(J251="","",D251-J251)</f>
        <v/>
      </c>
      <c r="L251" s="19" t="str">
        <f aca="false">IF(K251="","",IF(K251&lt;=0,"Ömrünü doldurdu","Kullanımda"))</f>
        <v/>
      </c>
    </row>
    <row r="252" customFormat="false" ht="15" hidden="false" customHeight="false" outlineLevel="0" collapsed="false">
      <c r="A252" s="12"/>
      <c r="B252" s="13"/>
      <c r="C252" s="14"/>
      <c r="D252" s="15"/>
      <c r="E252" s="16"/>
      <c r="F252" s="13"/>
      <c r="G252" s="12"/>
      <c r="H252" s="17" t="str">
        <f aca="false">IF(OR(A252="",E252="",E252=0),"",D252/E252)</f>
        <v/>
      </c>
      <c r="I252" s="18" t="str">
        <f aca="true">IF(OR(A252="",C252=""),"",MAX(0,(TODAY()-C252)/365.25))</f>
        <v/>
      </c>
      <c r="J252" s="17" t="str">
        <f aca="false">IF(OR(H252="",I252=""),"",MIN(D252,H252*I252))</f>
        <v/>
      </c>
      <c r="K252" s="17" t="str">
        <f aca="false">IF(J252="","",D252-J252)</f>
        <v/>
      </c>
      <c r="L252" s="19" t="str">
        <f aca="false">IF(K252="","",IF(K252&lt;=0,"Ömrünü doldurdu","Kullanımda"))</f>
        <v/>
      </c>
    </row>
    <row r="253" customFormat="false" ht="15" hidden="false" customHeight="false" outlineLevel="0" collapsed="false">
      <c r="A253" s="12"/>
      <c r="B253" s="13"/>
      <c r="C253" s="14"/>
      <c r="D253" s="15"/>
      <c r="E253" s="16"/>
      <c r="F253" s="13"/>
      <c r="G253" s="12"/>
      <c r="H253" s="17" t="str">
        <f aca="false">IF(OR(A253="",E253="",E253=0),"",D253/E253)</f>
        <v/>
      </c>
      <c r="I253" s="18" t="str">
        <f aca="true">IF(OR(A253="",C253=""),"",MAX(0,(TODAY()-C253)/365.25))</f>
        <v/>
      </c>
      <c r="J253" s="17" t="str">
        <f aca="false">IF(OR(H253="",I253=""),"",MIN(D253,H253*I253))</f>
        <v/>
      </c>
      <c r="K253" s="17" t="str">
        <f aca="false">IF(J253="","",D253-J253)</f>
        <v/>
      </c>
      <c r="L253" s="19" t="str">
        <f aca="false">IF(K253="","",IF(K253&lt;=0,"Ömrünü doldurdu","Kullanımda"))</f>
        <v/>
      </c>
    </row>
    <row r="254" customFormat="false" ht="15" hidden="false" customHeight="false" outlineLevel="0" collapsed="false">
      <c r="A254" s="12"/>
      <c r="B254" s="13"/>
      <c r="C254" s="14"/>
      <c r="D254" s="15"/>
      <c r="E254" s="16"/>
      <c r="F254" s="13"/>
      <c r="G254" s="12"/>
      <c r="H254" s="17" t="str">
        <f aca="false">IF(OR(A254="",E254="",E254=0),"",D254/E254)</f>
        <v/>
      </c>
      <c r="I254" s="18" t="str">
        <f aca="true">IF(OR(A254="",C254=""),"",MAX(0,(TODAY()-C254)/365.25))</f>
        <v/>
      </c>
      <c r="J254" s="17" t="str">
        <f aca="false">IF(OR(H254="",I254=""),"",MIN(D254,H254*I254))</f>
        <v/>
      </c>
      <c r="K254" s="17" t="str">
        <f aca="false">IF(J254="","",D254-J254)</f>
        <v/>
      </c>
      <c r="L254" s="19" t="str">
        <f aca="false">IF(K254="","",IF(K254&lt;=0,"Ömrünü doldurdu","Kullanımda"))</f>
        <v/>
      </c>
    </row>
    <row r="255" customFormat="false" ht="15" hidden="false" customHeight="false" outlineLevel="0" collapsed="false">
      <c r="A255" s="12"/>
      <c r="B255" s="13"/>
      <c r="C255" s="14"/>
      <c r="D255" s="15"/>
      <c r="E255" s="16"/>
      <c r="F255" s="13"/>
      <c r="G255" s="12"/>
      <c r="H255" s="17" t="str">
        <f aca="false">IF(OR(A255="",E255="",E255=0),"",D255/E255)</f>
        <v/>
      </c>
      <c r="I255" s="18" t="str">
        <f aca="true">IF(OR(A255="",C255=""),"",MAX(0,(TODAY()-C255)/365.25))</f>
        <v/>
      </c>
      <c r="J255" s="17" t="str">
        <f aca="false">IF(OR(H255="",I255=""),"",MIN(D255,H255*I255))</f>
        <v/>
      </c>
      <c r="K255" s="17" t="str">
        <f aca="false">IF(J255="","",D255-J255)</f>
        <v/>
      </c>
      <c r="L255" s="19" t="str">
        <f aca="false">IF(K255="","",IF(K255&lt;=0,"Ömrünü doldurdu","Kullanımda"))</f>
        <v/>
      </c>
    </row>
    <row r="256" customFormat="false" ht="15" hidden="false" customHeight="false" outlineLevel="0" collapsed="false">
      <c r="A256" s="12"/>
      <c r="B256" s="13"/>
      <c r="C256" s="14"/>
      <c r="D256" s="15"/>
      <c r="E256" s="16"/>
      <c r="F256" s="13"/>
      <c r="G256" s="12"/>
      <c r="H256" s="17" t="str">
        <f aca="false">IF(OR(A256="",E256="",E256=0),"",D256/E256)</f>
        <v/>
      </c>
      <c r="I256" s="18" t="str">
        <f aca="true">IF(OR(A256="",C256=""),"",MAX(0,(TODAY()-C256)/365.25))</f>
        <v/>
      </c>
      <c r="J256" s="17" t="str">
        <f aca="false">IF(OR(H256="",I256=""),"",MIN(D256,H256*I256))</f>
        <v/>
      </c>
      <c r="K256" s="17" t="str">
        <f aca="false">IF(J256="","",D256-J256)</f>
        <v/>
      </c>
      <c r="L256" s="19" t="str">
        <f aca="false">IF(K256="","",IF(K256&lt;=0,"Ömrünü doldurdu","Kullanımda"))</f>
        <v/>
      </c>
    </row>
    <row r="257" customFormat="false" ht="15" hidden="false" customHeight="false" outlineLevel="0" collapsed="false">
      <c r="A257" s="12"/>
      <c r="B257" s="13"/>
      <c r="C257" s="14"/>
      <c r="D257" s="15"/>
      <c r="E257" s="16"/>
      <c r="F257" s="13"/>
      <c r="G257" s="12"/>
      <c r="H257" s="17" t="str">
        <f aca="false">IF(OR(A257="",E257="",E257=0),"",D257/E257)</f>
        <v/>
      </c>
      <c r="I257" s="18" t="str">
        <f aca="true">IF(OR(A257="",C257=""),"",MAX(0,(TODAY()-C257)/365.25))</f>
        <v/>
      </c>
      <c r="J257" s="17" t="str">
        <f aca="false">IF(OR(H257="",I257=""),"",MIN(D257,H257*I257))</f>
        <v/>
      </c>
      <c r="K257" s="17" t="str">
        <f aca="false">IF(J257="","",D257-J257)</f>
        <v/>
      </c>
      <c r="L257" s="19" t="str">
        <f aca="false">IF(K257="","",IF(K257&lt;=0,"Ömrünü doldurdu","Kullanımda"))</f>
        <v/>
      </c>
    </row>
    <row r="258" customFormat="false" ht="15" hidden="false" customHeight="false" outlineLevel="0" collapsed="false">
      <c r="A258" s="12"/>
      <c r="B258" s="13"/>
      <c r="C258" s="14"/>
      <c r="D258" s="15"/>
      <c r="E258" s="16"/>
      <c r="F258" s="13"/>
      <c r="G258" s="12"/>
      <c r="H258" s="17" t="str">
        <f aca="false">IF(OR(A258="",E258="",E258=0),"",D258/E258)</f>
        <v/>
      </c>
      <c r="I258" s="18" t="str">
        <f aca="true">IF(OR(A258="",C258=""),"",MAX(0,(TODAY()-C258)/365.25))</f>
        <v/>
      </c>
      <c r="J258" s="17" t="str">
        <f aca="false">IF(OR(H258="",I258=""),"",MIN(D258,H258*I258))</f>
        <v/>
      </c>
      <c r="K258" s="17" t="str">
        <f aca="false">IF(J258="","",D258-J258)</f>
        <v/>
      </c>
      <c r="L258" s="19" t="str">
        <f aca="false">IF(K258="","",IF(K258&lt;=0,"Ömrünü doldurdu","Kullanımda"))</f>
        <v/>
      </c>
    </row>
    <row r="259" customFormat="false" ht="15" hidden="false" customHeight="false" outlineLevel="0" collapsed="false">
      <c r="A259" s="12"/>
      <c r="B259" s="13"/>
      <c r="C259" s="14"/>
      <c r="D259" s="15"/>
      <c r="E259" s="16"/>
      <c r="F259" s="13"/>
      <c r="G259" s="12"/>
      <c r="H259" s="17" t="str">
        <f aca="false">IF(OR(A259="",E259="",E259=0),"",D259/E259)</f>
        <v/>
      </c>
      <c r="I259" s="18" t="str">
        <f aca="true">IF(OR(A259="",C259=""),"",MAX(0,(TODAY()-C259)/365.25))</f>
        <v/>
      </c>
      <c r="J259" s="17" t="str">
        <f aca="false">IF(OR(H259="",I259=""),"",MIN(D259,H259*I259))</f>
        <v/>
      </c>
      <c r="K259" s="17" t="str">
        <f aca="false">IF(J259="","",D259-J259)</f>
        <v/>
      </c>
      <c r="L259" s="19" t="str">
        <f aca="false">IF(K259="","",IF(K259&lt;=0,"Ömrünü doldurdu","Kullanımda"))</f>
        <v/>
      </c>
    </row>
    <row r="260" customFormat="false" ht="15" hidden="false" customHeight="false" outlineLevel="0" collapsed="false">
      <c r="A260" s="12"/>
      <c r="B260" s="13"/>
      <c r="C260" s="14"/>
      <c r="D260" s="15"/>
      <c r="E260" s="16"/>
      <c r="F260" s="13"/>
      <c r="G260" s="12"/>
      <c r="H260" s="17" t="str">
        <f aca="false">IF(OR(A260="",E260="",E260=0),"",D260/E260)</f>
        <v/>
      </c>
      <c r="I260" s="18" t="str">
        <f aca="true">IF(OR(A260="",C260=""),"",MAX(0,(TODAY()-C260)/365.25))</f>
        <v/>
      </c>
      <c r="J260" s="17" t="str">
        <f aca="false">IF(OR(H260="",I260=""),"",MIN(D260,H260*I260))</f>
        <v/>
      </c>
      <c r="K260" s="17" t="str">
        <f aca="false">IF(J260="","",D260-J260)</f>
        <v/>
      </c>
      <c r="L260" s="19" t="str">
        <f aca="false">IF(K260="","",IF(K260&lt;=0,"Ömrünü doldurdu","Kullanımda"))</f>
        <v/>
      </c>
    </row>
    <row r="261" customFormat="false" ht="15" hidden="false" customHeight="false" outlineLevel="0" collapsed="false">
      <c r="A261" s="12"/>
      <c r="B261" s="13"/>
      <c r="C261" s="14"/>
      <c r="D261" s="15"/>
      <c r="E261" s="16"/>
      <c r="F261" s="13"/>
      <c r="G261" s="12"/>
      <c r="H261" s="17" t="str">
        <f aca="false">IF(OR(A261="",E261="",E261=0),"",D261/E261)</f>
        <v/>
      </c>
      <c r="I261" s="18" t="str">
        <f aca="true">IF(OR(A261="",C261=""),"",MAX(0,(TODAY()-C261)/365.25))</f>
        <v/>
      </c>
      <c r="J261" s="17" t="str">
        <f aca="false">IF(OR(H261="",I261=""),"",MIN(D261,H261*I261))</f>
        <v/>
      </c>
      <c r="K261" s="17" t="str">
        <f aca="false">IF(J261="","",D261-J261)</f>
        <v/>
      </c>
      <c r="L261" s="19" t="str">
        <f aca="false">IF(K261="","",IF(K261&lt;=0,"Ömrünü doldurdu","Kullanımda"))</f>
        <v/>
      </c>
    </row>
    <row r="262" customFormat="false" ht="15" hidden="false" customHeight="false" outlineLevel="0" collapsed="false">
      <c r="A262" s="12"/>
      <c r="B262" s="13"/>
      <c r="C262" s="14"/>
      <c r="D262" s="15"/>
      <c r="E262" s="16"/>
      <c r="F262" s="13"/>
      <c r="G262" s="12"/>
      <c r="H262" s="17" t="str">
        <f aca="false">IF(OR(A262="",E262="",E262=0),"",D262/E262)</f>
        <v/>
      </c>
      <c r="I262" s="18" t="str">
        <f aca="true">IF(OR(A262="",C262=""),"",MAX(0,(TODAY()-C262)/365.25))</f>
        <v/>
      </c>
      <c r="J262" s="17" t="str">
        <f aca="false">IF(OR(H262="",I262=""),"",MIN(D262,H262*I262))</f>
        <v/>
      </c>
      <c r="K262" s="17" t="str">
        <f aca="false">IF(J262="","",D262-J262)</f>
        <v/>
      </c>
      <c r="L262" s="19" t="str">
        <f aca="false">IF(K262="","",IF(K262&lt;=0,"Ömrünü doldurdu","Kullanımda"))</f>
        <v/>
      </c>
    </row>
    <row r="263" customFormat="false" ht="15" hidden="false" customHeight="false" outlineLevel="0" collapsed="false">
      <c r="A263" s="12"/>
      <c r="B263" s="13"/>
      <c r="C263" s="14"/>
      <c r="D263" s="15"/>
      <c r="E263" s="16"/>
      <c r="F263" s="13"/>
      <c r="G263" s="12"/>
      <c r="H263" s="17" t="str">
        <f aca="false">IF(OR(A263="",E263="",E263=0),"",D263/E263)</f>
        <v/>
      </c>
      <c r="I263" s="18" t="str">
        <f aca="true">IF(OR(A263="",C263=""),"",MAX(0,(TODAY()-C263)/365.25))</f>
        <v/>
      </c>
      <c r="J263" s="17" t="str">
        <f aca="false">IF(OR(H263="",I263=""),"",MIN(D263,H263*I263))</f>
        <v/>
      </c>
      <c r="K263" s="17" t="str">
        <f aca="false">IF(J263="","",D263-J263)</f>
        <v/>
      </c>
      <c r="L263" s="19" t="str">
        <f aca="false">IF(K263="","",IF(K263&lt;=0,"Ömrünü doldurdu","Kullanımda"))</f>
        <v/>
      </c>
    </row>
    <row r="264" customFormat="false" ht="15" hidden="false" customHeight="false" outlineLevel="0" collapsed="false">
      <c r="A264" s="12"/>
      <c r="B264" s="13"/>
      <c r="C264" s="14"/>
      <c r="D264" s="15"/>
      <c r="E264" s="16"/>
      <c r="F264" s="13"/>
      <c r="G264" s="12"/>
      <c r="H264" s="17" t="str">
        <f aca="false">IF(OR(A264="",E264="",E264=0),"",D264/E264)</f>
        <v/>
      </c>
      <c r="I264" s="18" t="str">
        <f aca="true">IF(OR(A264="",C264=""),"",MAX(0,(TODAY()-C264)/365.25))</f>
        <v/>
      </c>
      <c r="J264" s="17" t="str">
        <f aca="false">IF(OR(H264="",I264=""),"",MIN(D264,H264*I264))</f>
        <v/>
      </c>
      <c r="K264" s="17" t="str">
        <f aca="false">IF(J264="","",D264-J264)</f>
        <v/>
      </c>
      <c r="L264" s="19" t="str">
        <f aca="false">IF(K264="","",IF(K264&lt;=0,"Ömrünü doldurdu","Kullanımda"))</f>
        <v/>
      </c>
    </row>
    <row r="265" customFormat="false" ht="15" hidden="false" customHeight="false" outlineLevel="0" collapsed="false">
      <c r="A265" s="12"/>
      <c r="B265" s="13"/>
      <c r="C265" s="14"/>
      <c r="D265" s="15"/>
      <c r="E265" s="16"/>
      <c r="F265" s="13"/>
      <c r="G265" s="12"/>
      <c r="H265" s="17" t="str">
        <f aca="false">IF(OR(A265="",E265="",E265=0),"",D265/E265)</f>
        <v/>
      </c>
      <c r="I265" s="18" t="str">
        <f aca="true">IF(OR(A265="",C265=""),"",MAX(0,(TODAY()-C265)/365.25))</f>
        <v/>
      </c>
      <c r="J265" s="17" t="str">
        <f aca="false">IF(OR(H265="",I265=""),"",MIN(D265,H265*I265))</f>
        <v/>
      </c>
      <c r="K265" s="17" t="str">
        <f aca="false">IF(J265="","",D265-J265)</f>
        <v/>
      </c>
      <c r="L265" s="19" t="str">
        <f aca="false">IF(K265="","",IF(K265&lt;=0,"Ömrünü doldurdu","Kullanımda"))</f>
        <v/>
      </c>
    </row>
    <row r="266" customFormat="false" ht="15" hidden="false" customHeight="false" outlineLevel="0" collapsed="false">
      <c r="A266" s="12"/>
      <c r="B266" s="13"/>
      <c r="C266" s="14"/>
      <c r="D266" s="15"/>
      <c r="E266" s="16"/>
      <c r="F266" s="13"/>
      <c r="G266" s="12"/>
      <c r="H266" s="17" t="str">
        <f aca="false">IF(OR(A266="",E266="",E266=0),"",D266/E266)</f>
        <v/>
      </c>
      <c r="I266" s="18" t="str">
        <f aca="true">IF(OR(A266="",C266=""),"",MAX(0,(TODAY()-C266)/365.25))</f>
        <v/>
      </c>
      <c r="J266" s="17" t="str">
        <f aca="false">IF(OR(H266="",I266=""),"",MIN(D266,H266*I266))</f>
        <v/>
      </c>
      <c r="K266" s="17" t="str">
        <f aca="false">IF(J266="","",D266-J266)</f>
        <v/>
      </c>
      <c r="L266" s="19" t="str">
        <f aca="false">IF(K266="","",IF(K266&lt;=0,"Ömrünü doldurdu","Kullanımda"))</f>
        <v/>
      </c>
    </row>
    <row r="267" customFormat="false" ht="15" hidden="false" customHeight="false" outlineLevel="0" collapsed="false">
      <c r="A267" s="12"/>
      <c r="B267" s="13"/>
      <c r="C267" s="14"/>
      <c r="D267" s="15"/>
      <c r="E267" s="16"/>
      <c r="F267" s="13"/>
      <c r="G267" s="12"/>
      <c r="H267" s="17" t="str">
        <f aca="false">IF(OR(A267="",E267="",E267=0),"",D267/E267)</f>
        <v/>
      </c>
      <c r="I267" s="18" t="str">
        <f aca="true">IF(OR(A267="",C267=""),"",MAX(0,(TODAY()-C267)/365.25))</f>
        <v/>
      </c>
      <c r="J267" s="17" t="str">
        <f aca="false">IF(OR(H267="",I267=""),"",MIN(D267,H267*I267))</f>
        <v/>
      </c>
      <c r="K267" s="17" t="str">
        <f aca="false">IF(J267="","",D267-J267)</f>
        <v/>
      </c>
      <c r="L267" s="19" t="str">
        <f aca="false">IF(K267="","",IF(K267&lt;=0,"Ömrünü doldurdu","Kullanımda"))</f>
        <v/>
      </c>
    </row>
    <row r="268" customFormat="false" ht="15" hidden="false" customHeight="false" outlineLevel="0" collapsed="false">
      <c r="A268" s="12"/>
      <c r="B268" s="13"/>
      <c r="C268" s="14"/>
      <c r="D268" s="15"/>
      <c r="E268" s="16"/>
      <c r="F268" s="13"/>
      <c r="G268" s="12"/>
      <c r="H268" s="17" t="str">
        <f aca="false">IF(OR(A268="",E268="",E268=0),"",D268/E268)</f>
        <v/>
      </c>
      <c r="I268" s="18" t="str">
        <f aca="true">IF(OR(A268="",C268=""),"",MAX(0,(TODAY()-C268)/365.25))</f>
        <v/>
      </c>
      <c r="J268" s="17" t="str">
        <f aca="false">IF(OR(H268="",I268=""),"",MIN(D268,H268*I268))</f>
        <v/>
      </c>
      <c r="K268" s="17" t="str">
        <f aca="false">IF(J268="","",D268-J268)</f>
        <v/>
      </c>
      <c r="L268" s="19" t="str">
        <f aca="false">IF(K268="","",IF(K268&lt;=0,"Ömrünü doldurdu","Kullanımda"))</f>
        <v/>
      </c>
    </row>
    <row r="269" customFormat="false" ht="15" hidden="false" customHeight="false" outlineLevel="0" collapsed="false">
      <c r="A269" s="12"/>
      <c r="B269" s="13"/>
      <c r="C269" s="14"/>
      <c r="D269" s="15"/>
      <c r="E269" s="16"/>
      <c r="F269" s="13"/>
      <c r="G269" s="12"/>
      <c r="H269" s="17" t="str">
        <f aca="false">IF(OR(A269="",E269="",E269=0),"",D269/E269)</f>
        <v/>
      </c>
      <c r="I269" s="18" t="str">
        <f aca="true">IF(OR(A269="",C269=""),"",MAX(0,(TODAY()-C269)/365.25))</f>
        <v/>
      </c>
      <c r="J269" s="17" t="str">
        <f aca="false">IF(OR(H269="",I269=""),"",MIN(D269,H269*I269))</f>
        <v/>
      </c>
      <c r="K269" s="17" t="str">
        <f aca="false">IF(J269="","",D269-J269)</f>
        <v/>
      </c>
      <c r="L269" s="19" t="str">
        <f aca="false">IF(K269="","",IF(K269&lt;=0,"Ömrünü doldurdu","Kullanımda"))</f>
        <v/>
      </c>
    </row>
    <row r="270" customFormat="false" ht="15" hidden="false" customHeight="false" outlineLevel="0" collapsed="false">
      <c r="A270" s="12"/>
      <c r="B270" s="13"/>
      <c r="C270" s="14"/>
      <c r="D270" s="15"/>
      <c r="E270" s="16"/>
      <c r="F270" s="13"/>
      <c r="G270" s="12"/>
      <c r="H270" s="17" t="str">
        <f aca="false">IF(OR(A270="",E270="",E270=0),"",D270/E270)</f>
        <v/>
      </c>
      <c r="I270" s="18" t="str">
        <f aca="true">IF(OR(A270="",C270=""),"",MAX(0,(TODAY()-C270)/365.25))</f>
        <v/>
      </c>
      <c r="J270" s="17" t="str">
        <f aca="false">IF(OR(H270="",I270=""),"",MIN(D270,H270*I270))</f>
        <v/>
      </c>
      <c r="K270" s="17" t="str">
        <f aca="false">IF(J270="","",D270-J270)</f>
        <v/>
      </c>
      <c r="L270" s="19" t="str">
        <f aca="false">IF(K270="","",IF(K270&lt;=0,"Ömrünü doldurdu","Kullanımda"))</f>
        <v/>
      </c>
    </row>
    <row r="271" customFormat="false" ht="15" hidden="false" customHeight="false" outlineLevel="0" collapsed="false">
      <c r="A271" s="12"/>
      <c r="B271" s="13"/>
      <c r="C271" s="14"/>
      <c r="D271" s="15"/>
      <c r="E271" s="16"/>
      <c r="F271" s="13"/>
      <c r="G271" s="12"/>
      <c r="H271" s="17" t="str">
        <f aca="false">IF(OR(A271="",E271="",E271=0),"",D271/E271)</f>
        <v/>
      </c>
      <c r="I271" s="18" t="str">
        <f aca="true">IF(OR(A271="",C271=""),"",MAX(0,(TODAY()-C271)/365.25))</f>
        <v/>
      </c>
      <c r="J271" s="17" t="str">
        <f aca="false">IF(OR(H271="",I271=""),"",MIN(D271,H271*I271))</f>
        <v/>
      </c>
      <c r="K271" s="17" t="str">
        <f aca="false">IF(J271="","",D271-J271)</f>
        <v/>
      </c>
      <c r="L271" s="19" t="str">
        <f aca="false">IF(K271="","",IF(K271&lt;=0,"Ömrünü doldurdu","Kullanımda"))</f>
        <v/>
      </c>
    </row>
    <row r="272" customFormat="false" ht="15" hidden="false" customHeight="false" outlineLevel="0" collapsed="false">
      <c r="A272" s="12"/>
      <c r="B272" s="13"/>
      <c r="C272" s="14"/>
      <c r="D272" s="15"/>
      <c r="E272" s="16"/>
      <c r="F272" s="13"/>
      <c r="G272" s="12"/>
      <c r="H272" s="17" t="str">
        <f aca="false">IF(OR(A272="",E272="",E272=0),"",D272/E272)</f>
        <v/>
      </c>
      <c r="I272" s="18" t="str">
        <f aca="true">IF(OR(A272="",C272=""),"",MAX(0,(TODAY()-C272)/365.25))</f>
        <v/>
      </c>
      <c r="J272" s="17" t="str">
        <f aca="false">IF(OR(H272="",I272=""),"",MIN(D272,H272*I272))</f>
        <v/>
      </c>
      <c r="K272" s="17" t="str">
        <f aca="false">IF(J272="","",D272-J272)</f>
        <v/>
      </c>
      <c r="L272" s="19" t="str">
        <f aca="false">IF(K272="","",IF(K272&lt;=0,"Ömrünü doldurdu","Kullanımda"))</f>
        <v/>
      </c>
    </row>
    <row r="273" customFormat="false" ht="15" hidden="false" customHeight="false" outlineLevel="0" collapsed="false">
      <c r="A273" s="12"/>
      <c r="B273" s="13"/>
      <c r="C273" s="14"/>
      <c r="D273" s="15"/>
      <c r="E273" s="16"/>
      <c r="F273" s="13"/>
      <c r="G273" s="12"/>
      <c r="H273" s="17" t="str">
        <f aca="false">IF(OR(A273="",E273="",E273=0),"",D273/E273)</f>
        <v/>
      </c>
      <c r="I273" s="18" t="str">
        <f aca="true">IF(OR(A273="",C273=""),"",MAX(0,(TODAY()-C273)/365.25))</f>
        <v/>
      </c>
      <c r="J273" s="17" t="str">
        <f aca="false">IF(OR(H273="",I273=""),"",MIN(D273,H273*I273))</f>
        <v/>
      </c>
      <c r="K273" s="17" t="str">
        <f aca="false">IF(J273="","",D273-J273)</f>
        <v/>
      </c>
      <c r="L273" s="19" t="str">
        <f aca="false">IF(K273="","",IF(K273&lt;=0,"Ömrünü doldurdu","Kullanımda"))</f>
        <v/>
      </c>
    </row>
    <row r="274" customFormat="false" ht="15" hidden="false" customHeight="false" outlineLevel="0" collapsed="false">
      <c r="A274" s="12"/>
      <c r="B274" s="13"/>
      <c r="C274" s="14"/>
      <c r="D274" s="15"/>
      <c r="E274" s="16"/>
      <c r="F274" s="13"/>
      <c r="G274" s="12"/>
      <c r="H274" s="17" t="str">
        <f aca="false">IF(OR(A274="",E274="",E274=0),"",D274/E274)</f>
        <v/>
      </c>
      <c r="I274" s="18" t="str">
        <f aca="true">IF(OR(A274="",C274=""),"",MAX(0,(TODAY()-C274)/365.25))</f>
        <v/>
      </c>
      <c r="J274" s="17" t="str">
        <f aca="false">IF(OR(H274="",I274=""),"",MIN(D274,H274*I274))</f>
        <v/>
      </c>
      <c r="K274" s="17" t="str">
        <f aca="false">IF(J274="","",D274-J274)</f>
        <v/>
      </c>
      <c r="L274" s="19" t="str">
        <f aca="false">IF(K274="","",IF(K274&lt;=0,"Ömrünü doldurdu","Kullanımda"))</f>
        <v/>
      </c>
    </row>
    <row r="275" customFormat="false" ht="15" hidden="false" customHeight="false" outlineLevel="0" collapsed="false">
      <c r="A275" s="12"/>
      <c r="B275" s="13"/>
      <c r="C275" s="14"/>
      <c r="D275" s="15"/>
      <c r="E275" s="16"/>
      <c r="F275" s="13"/>
      <c r="G275" s="12"/>
      <c r="H275" s="17" t="str">
        <f aca="false">IF(OR(A275="",E275="",E275=0),"",D275/E275)</f>
        <v/>
      </c>
      <c r="I275" s="18" t="str">
        <f aca="true">IF(OR(A275="",C275=""),"",MAX(0,(TODAY()-C275)/365.25))</f>
        <v/>
      </c>
      <c r="J275" s="17" t="str">
        <f aca="false">IF(OR(H275="",I275=""),"",MIN(D275,H275*I275))</f>
        <v/>
      </c>
      <c r="K275" s="17" t="str">
        <f aca="false">IF(J275="","",D275-J275)</f>
        <v/>
      </c>
      <c r="L275" s="19" t="str">
        <f aca="false">IF(K275="","",IF(K275&lt;=0,"Ömrünü doldurdu","Kullanımda"))</f>
        <v/>
      </c>
    </row>
    <row r="276" customFormat="false" ht="15" hidden="false" customHeight="false" outlineLevel="0" collapsed="false">
      <c r="A276" s="12"/>
      <c r="B276" s="13"/>
      <c r="C276" s="14"/>
      <c r="D276" s="15"/>
      <c r="E276" s="16"/>
      <c r="F276" s="13"/>
      <c r="G276" s="12"/>
      <c r="H276" s="17" t="str">
        <f aca="false">IF(OR(A276="",E276="",E276=0),"",D276/E276)</f>
        <v/>
      </c>
      <c r="I276" s="18" t="str">
        <f aca="true">IF(OR(A276="",C276=""),"",MAX(0,(TODAY()-C276)/365.25))</f>
        <v/>
      </c>
      <c r="J276" s="17" t="str">
        <f aca="false">IF(OR(H276="",I276=""),"",MIN(D276,H276*I276))</f>
        <v/>
      </c>
      <c r="K276" s="17" t="str">
        <f aca="false">IF(J276="","",D276-J276)</f>
        <v/>
      </c>
      <c r="L276" s="19" t="str">
        <f aca="false">IF(K276="","",IF(K276&lt;=0,"Ömrünü doldurdu","Kullanımda"))</f>
        <v/>
      </c>
    </row>
    <row r="277" customFormat="false" ht="15" hidden="false" customHeight="false" outlineLevel="0" collapsed="false">
      <c r="A277" s="12"/>
      <c r="B277" s="13"/>
      <c r="C277" s="14"/>
      <c r="D277" s="15"/>
      <c r="E277" s="16"/>
      <c r="F277" s="13"/>
      <c r="G277" s="12"/>
      <c r="H277" s="17" t="str">
        <f aca="false">IF(OR(A277="",E277="",E277=0),"",D277/E277)</f>
        <v/>
      </c>
      <c r="I277" s="18" t="str">
        <f aca="true">IF(OR(A277="",C277=""),"",MAX(0,(TODAY()-C277)/365.25))</f>
        <v/>
      </c>
      <c r="J277" s="17" t="str">
        <f aca="false">IF(OR(H277="",I277=""),"",MIN(D277,H277*I277))</f>
        <v/>
      </c>
      <c r="K277" s="17" t="str">
        <f aca="false">IF(J277="","",D277-J277)</f>
        <v/>
      </c>
      <c r="L277" s="19" t="str">
        <f aca="false">IF(K277="","",IF(K277&lt;=0,"Ömrünü doldurdu","Kullanımda"))</f>
        <v/>
      </c>
    </row>
    <row r="278" customFormat="false" ht="15" hidden="false" customHeight="false" outlineLevel="0" collapsed="false">
      <c r="A278" s="12"/>
      <c r="B278" s="13"/>
      <c r="C278" s="14"/>
      <c r="D278" s="15"/>
      <c r="E278" s="16"/>
      <c r="F278" s="13"/>
      <c r="G278" s="12"/>
      <c r="H278" s="17" t="str">
        <f aca="false">IF(OR(A278="",E278="",E278=0),"",D278/E278)</f>
        <v/>
      </c>
      <c r="I278" s="18" t="str">
        <f aca="true">IF(OR(A278="",C278=""),"",MAX(0,(TODAY()-C278)/365.25))</f>
        <v/>
      </c>
      <c r="J278" s="17" t="str">
        <f aca="false">IF(OR(H278="",I278=""),"",MIN(D278,H278*I278))</f>
        <v/>
      </c>
      <c r="K278" s="17" t="str">
        <f aca="false">IF(J278="","",D278-J278)</f>
        <v/>
      </c>
      <c r="L278" s="19" t="str">
        <f aca="false">IF(K278="","",IF(K278&lt;=0,"Ömrünü doldurdu","Kullanımda"))</f>
        <v/>
      </c>
    </row>
    <row r="279" customFormat="false" ht="15" hidden="false" customHeight="false" outlineLevel="0" collapsed="false">
      <c r="A279" s="12"/>
      <c r="B279" s="13"/>
      <c r="C279" s="14"/>
      <c r="D279" s="15"/>
      <c r="E279" s="16"/>
      <c r="F279" s="13"/>
      <c r="G279" s="12"/>
      <c r="H279" s="17" t="str">
        <f aca="false">IF(OR(A279="",E279="",E279=0),"",D279/E279)</f>
        <v/>
      </c>
      <c r="I279" s="18" t="str">
        <f aca="true">IF(OR(A279="",C279=""),"",MAX(0,(TODAY()-C279)/365.25))</f>
        <v/>
      </c>
      <c r="J279" s="17" t="str">
        <f aca="false">IF(OR(H279="",I279=""),"",MIN(D279,H279*I279))</f>
        <v/>
      </c>
      <c r="K279" s="17" t="str">
        <f aca="false">IF(J279="","",D279-J279)</f>
        <v/>
      </c>
      <c r="L279" s="19" t="str">
        <f aca="false">IF(K279="","",IF(K279&lt;=0,"Ömrünü doldurdu","Kullanımda"))</f>
        <v/>
      </c>
    </row>
    <row r="280" customFormat="false" ht="15" hidden="false" customHeight="false" outlineLevel="0" collapsed="false">
      <c r="A280" s="12"/>
      <c r="B280" s="13"/>
      <c r="C280" s="14"/>
      <c r="D280" s="15"/>
      <c r="E280" s="16"/>
      <c r="F280" s="13"/>
      <c r="G280" s="12"/>
      <c r="H280" s="17" t="str">
        <f aca="false">IF(OR(A280="",E280="",E280=0),"",D280/E280)</f>
        <v/>
      </c>
      <c r="I280" s="18" t="str">
        <f aca="true">IF(OR(A280="",C280=""),"",MAX(0,(TODAY()-C280)/365.25))</f>
        <v/>
      </c>
      <c r="J280" s="17" t="str">
        <f aca="false">IF(OR(H280="",I280=""),"",MIN(D280,H280*I280))</f>
        <v/>
      </c>
      <c r="K280" s="17" t="str">
        <f aca="false">IF(J280="","",D280-J280)</f>
        <v/>
      </c>
      <c r="L280" s="19" t="str">
        <f aca="false">IF(K280="","",IF(K280&lt;=0,"Ömrünü doldurdu","Kullanımda"))</f>
        <v/>
      </c>
    </row>
    <row r="281" customFormat="false" ht="15" hidden="false" customHeight="false" outlineLevel="0" collapsed="false">
      <c r="A281" s="12"/>
      <c r="B281" s="13"/>
      <c r="C281" s="14"/>
      <c r="D281" s="15"/>
      <c r="E281" s="16"/>
      <c r="F281" s="13"/>
      <c r="G281" s="12"/>
      <c r="H281" s="17" t="str">
        <f aca="false">IF(OR(A281="",E281="",E281=0),"",D281/E281)</f>
        <v/>
      </c>
      <c r="I281" s="18" t="str">
        <f aca="true">IF(OR(A281="",C281=""),"",MAX(0,(TODAY()-C281)/365.25))</f>
        <v/>
      </c>
      <c r="J281" s="17" t="str">
        <f aca="false">IF(OR(H281="",I281=""),"",MIN(D281,H281*I281))</f>
        <v/>
      </c>
      <c r="K281" s="17" t="str">
        <f aca="false">IF(J281="","",D281-J281)</f>
        <v/>
      </c>
      <c r="L281" s="19" t="str">
        <f aca="false">IF(K281="","",IF(K281&lt;=0,"Ömrünü doldurdu","Kullanımda"))</f>
        <v/>
      </c>
    </row>
    <row r="282" customFormat="false" ht="15" hidden="false" customHeight="false" outlineLevel="0" collapsed="false">
      <c r="A282" s="12"/>
      <c r="B282" s="13"/>
      <c r="C282" s="14"/>
      <c r="D282" s="15"/>
      <c r="E282" s="16"/>
      <c r="F282" s="13"/>
      <c r="G282" s="12"/>
      <c r="H282" s="17" t="str">
        <f aca="false">IF(OR(A282="",E282="",E282=0),"",D282/E282)</f>
        <v/>
      </c>
      <c r="I282" s="18" t="str">
        <f aca="true">IF(OR(A282="",C282=""),"",MAX(0,(TODAY()-C282)/365.25))</f>
        <v/>
      </c>
      <c r="J282" s="17" t="str">
        <f aca="false">IF(OR(H282="",I282=""),"",MIN(D282,H282*I282))</f>
        <v/>
      </c>
      <c r="K282" s="17" t="str">
        <f aca="false">IF(J282="","",D282-J282)</f>
        <v/>
      </c>
      <c r="L282" s="19" t="str">
        <f aca="false">IF(K282="","",IF(K282&lt;=0,"Ömrünü doldurdu","Kullanımda"))</f>
        <v/>
      </c>
    </row>
    <row r="283" customFormat="false" ht="15" hidden="false" customHeight="false" outlineLevel="0" collapsed="false">
      <c r="A283" s="12"/>
      <c r="B283" s="13"/>
      <c r="C283" s="14"/>
      <c r="D283" s="15"/>
      <c r="E283" s="16"/>
      <c r="F283" s="13"/>
      <c r="G283" s="12"/>
      <c r="H283" s="17" t="str">
        <f aca="false">IF(OR(A283="",E283="",E283=0),"",D283/E283)</f>
        <v/>
      </c>
      <c r="I283" s="18" t="str">
        <f aca="true">IF(OR(A283="",C283=""),"",MAX(0,(TODAY()-C283)/365.25))</f>
        <v/>
      </c>
      <c r="J283" s="17" t="str">
        <f aca="false">IF(OR(H283="",I283=""),"",MIN(D283,H283*I283))</f>
        <v/>
      </c>
      <c r="K283" s="17" t="str">
        <f aca="false">IF(J283="","",D283-J283)</f>
        <v/>
      </c>
      <c r="L283" s="19" t="str">
        <f aca="false">IF(K283="","",IF(K283&lt;=0,"Ömrünü doldurdu","Kullanımda"))</f>
        <v/>
      </c>
    </row>
    <row r="284" customFormat="false" ht="15" hidden="false" customHeight="false" outlineLevel="0" collapsed="false">
      <c r="A284" s="12"/>
      <c r="B284" s="13"/>
      <c r="C284" s="14"/>
      <c r="D284" s="15"/>
      <c r="E284" s="16"/>
      <c r="F284" s="13"/>
      <c r="G284" s="12"/>
      <c r="H284" s="17" t="str">
        <f aca="false">IF(OR(A284="",E284="",E284=0),"",D284/E284)</f>
        <v/>
      </c>
      <c r="I284" s="18" t="str">
        <f aca="true">IF(OR(A284="",C284=""),"",MAX(0,(TODAY()-C284)/365.25))</f>
        <v/>
      </c>
      <c r="J284" s="17" t="str">
        <f aca="false">IF(OR(H284="",I284=""),"",MIN(D284,H284*I284))</f>
        <v/>
      </c>
      <c r="K284" s="17" t="str">
        <f aca="false">IF(J284="","",D284-J284)</f>
        <v/>
      </c>
      <c r="L284" s="19" t="str">
        <f aca="false">IF(K284="","",IF(K284&lt;=0,"Ömrünü doldurdu","Kullanımda"))</f>
        <v/>
      </c>
    </row>
    <row r="285" customFormat="false" ht="15" hidden="false" customHeight="false" outlineLevel="0" collapsed="false">
      <c r="A285" s="12"/>
      <c r="B285" s="13"/>
      <c r="C285" s="14"/>
      <c r="D285" s="15"/>
      <c r="E285" s="16"/>
      <c r="F285" s="13"/>
      <c r="G285" s="12"/>
      <c r="H285" s="17" t="str">
        <f aca="false">IF(OR(A285="",E285="",E285=0),"",D285/E285)</f>
        <v/>
      </c>
      <c r="I285" s="18" t="str">
        <f aca="true">IF(OR(A285="",C285=""),"",MAX(0,(TODAY()-C285)/365.25))</f>
        <v/>
      </c>
      <c r="J285" s="17" t="str">
        <f aca="false">IF(OR(H285="",I285=""),"",MIN(D285,H285*I285))</f>
        <v/>
      </c>
      <c r="K285" s="17" t="str">
        <f aca="false">IF(J285="","",D285-J285)</f>
        <v/>
      </c>
      <c r="L285" s="19" t="str">
        <f aca="false">IF(K285="","",IF(K285&lt;=0,"Ömrünü doldurdu","Kullanımda"))</f>
        <v/>
      </c>
    </row>
    <row r="286" customFormat="false" ht="15" hidden="false" customHeight="false" outlineLevel="0" collapsed="false">
      <c r="A286" s="12"/>
      <c r="B286" s="13"/>
      <c r="C286" s="14"/>
      <c r="D286" s="15"/>
      <c r="E286" s="16"/>
      <c r="F286" s="13"/>
      <c r="G286" s="12"/>
      <c r="H286" s="17" t="str">
        <f aca="false">IF(OR(A286="",E286="",E286=0),"",D286/E286)</f>
        <v/>
      </c>
      <c r="I286" s="18" t="str">
        <f aca="true">IF(OR(A286="",C286=""),"",MAX(0,(TODAY()-C286)/365.25))</f>
        <v/>
      </c>
      <c r="J286" s="17" t="str">
        <f aca="false">IF(OR(H286="",I286=""),"",MIN(D286,H286*I286))</f>
        <v/>
      </c>
      <c r="K286" s="17" t="str">
        <f aca="false">IF(J286="","",D286-J286)</f>
        <v/>
      </c>
      <c r="L286" s="19" t="str">
        <f aca="false">IF(K286="","",IF(K286&lt;=0,"Ömrünü doldurdu","Kullanımda"))</f>
        <v/>
      </c>
    </row>
    <row r="287" customFormat="false" ht="15" hidden="false" customHeight="false" outlineLevel="0" collapsed="false">
      <c r="A287" s="12"/>
      <c r="B287" s="13"/>
      <c r="C287" s="14"/>
      <c r="D287" s="15"/>
      <c r="E287" s="16"/>
      <c r="F287" s="13"/>
      <c r="G287" s="12"/>
      <c r="H287" s="17" t="str">
        <f aca="false">IF(OR(A287="",E287="",E287=0),"",D287/E287)</f>
        <v/>
      </c>
      <c r="I287" s="18" t="str">
        <f aca="true">IF(OR(A287="",C287=""),"",MAX(0,(TODAY()-C287)/365.25))</f>
        <v/>
      </c>
      <c r="J287" s="17" t="str">
        <f aca="false">IF(OR(H287="",I287=""),"",MIN(D287,H287*I287))</f>
        <v/>
      </c>
      <c r="K287" s="17" t="str">
        <f aca="false">IF(J287="","",D287-J287)</f>
        <v/>
      </c>
      <c r="L287" s="19" t="str">
        <f aca="false">IF(K287="","",IF(K287&lt;=0,"Ömrünü doldurdu","Kullanımda"))</f>
        <v/>
      </c>
    </row>
    <row r="288" customFormat="false" ht="15" hidden="false" customHeight="false" outlineLevel="0" collapsed="false">
      <c r="A288" s="12"/>
      <c r="B288" s="13"/>
      <c r="C288" s="14"/>
      <c r="D288" s="15"/>
      <c r="E288" s="16"/>
      <c r="F288" s="13"/>
      <c r="G288" s="12"/>
      <c r="H288" s="17" t="str">
        <f aca="false">IF(OR(A288="",E288="",E288=0),"",D288/E288)</f>
        <v/>
      </c>
      <c r="I288" s="18" t="str">
        <f aca="true">IF(OR(A288="",C288=""),"",MAX(0,(TODAY()-C288)/365.25))</f>
        <v/>
      </c>
      <c r="J288" s="17" t="str">
        <f aca="false">IF(OR(H288="",I288=""),"",MIN(D288,H288*I288))</f>
        <v/>
      </c>
      <c r="K288" s="17" t="str">
        <f aca="false">IF(J288="","",D288-J288)</f>
        <v/>
      </c>
      <c r="L288" s="19" t="str">
        <f aca="false">IF(K288="","",IF(K288&lt;=0,"Ömrünü doldurdu","Kullanımda"))</f>
        <v/>
      </c>
    </row>
    <row r="289" customFormat="false" ht="15" hidden="false" customHeight="false" outlineLevel="0" collapsed="false">
      <c r="A289" s="12"/>
      <c r="B289" s="13"/>
      <c r="C289" s="14"/>
      <c r="D289" s="15"/>
      <c r="E289" s="16"/>
      <c r="F289" s="13"/>
      <c r="G289" s="12"/>
      <c r="H289" s="17" t="str">
        <f aca="false">IF(OR(A289="",E289="",E289=0),"",D289/E289)</f>
        <v/>
      </c>
      <c r="I289" s="18" t="str">
        <f aca="true">IF(OR(A289="",C289=""),"",MAX(0,(TODAY()-C289)/365.25))</f>
        <v/>
      </c>
      <c r="J289" s="17" t="str">
        <f aca="false">IF(OR(H289="",I289=""),"",MIN(D289,H289*I289))</f>
        <v/>
      </c>
      <c r="K289" s="17" t="str">
        <f aca="false">IF(J289="","",D289-J289)</f>
        <v/>
      </c>
      <c r="L289" s="19" t="str">
        <f aca="false">IF(K289="","",IF(K289&lt;=0,"Ömrünü doldurdu","Kullanımda"))</f>
        <v/>
      </c>
    </row>
    <row r="290" customFormat="false" ht="15" hidden="false" customHeight="false" outlineLevel="0" collapsed="false">
      <c r="A290" s="12"/>
      <c r="B290" s="13"/>
      <c r="C290" s="14"/>
      <c r="D290" s="15"/>
      <c r="E290" s="16"/>
      <c r="F290" s="13"/>
      <c r="G290" s="12"/>
      <c r="H290" s="17" t="str">
        <f aca="false">IF(OR(A290="",E290="",E290=0),"",D290/E290)</f>
        <v/>
      </c>
      <c r="I290" s="18" t="str">
        <f aca="true">IF(OR(A290="",C290=""),"",MAX(0,(TODAY()-C290)/365.25))</f>
        <v/>
      </c>
      <c r="J290" s="17" t="str">
        <f aca="false">IF(OR(H290="",I290=""),"",MIN(D290,H290*I290))</f>
        <v/>
      </c>
      <c r="K290" s="17" t="str">
        <f aca="false">IF(J290="","",D290-J290)</f>
        <v/>
      </c>
      <c r="L290" s="19" t="str">
        <f aca="false">IF(K290="","",IF(K290&lt;=0,"Ömrünü doldurdu","Kullanımda"))</f>
        <v/>
      </c>
    </row>
    <row r="291" customFormat="false" ht="15" hidden="false" customHeight="false" outlineLevel="0" collapsed="false">
      <c r="A291" s="12"/>
      <c r="B291" s="13"/>
      <c r="C291" s="14"/>
      <c r="D291" s="15"/>
      <c r="E291" s="16"/>
      <c r="F291" s="13"/>
      <c r="G291" s="12"/>
      <c r="H291" s="17" t="str">
        <f aca="false">IF(OR(A291="",E291="",E291=0),"",D291/E291)</f>
        <v/>
      </c>
      <c r="I291" s="18" t="str">
        <f aca="true">IF(OR(A291="",C291=""),"",MAX(0,(TODAY()-C291)/365.25))</f>
        <v/>
      </c>
      <c r="J291" s="17" t="str">
        <f aca="false">IF(OR(H291="",I291=""),"",MIN(D291,H291*I291))</f>
        <v/>
      </c>
      <c r="K291" s="17" t="str">
        <f aca="false">IF(J291="","",D291-J291)</f>
        <v/>
      </c>
      <c r="L291" s="19" t="str">
        <f aca="false">IF(K291="","",IF(K291&lt;=0,"Ömrünü doldurdu","Kullanımda"))</f>
        <v/>
      </c>
    </row>
    <row r="292" customFormat="false" ht="15" hidden="false" customHeight="false" outlineLevel="0" collapsed="false">
      <c r="A292" s="12"/>
      <c r="B292" s="13"/>
      <c r="C292" s="14"/>
      <c r="D292" s="15"/>
      <c r="E292" s="16"/>
      <c r="F292" s="13"/>
      <c r="G292" s="12"/>
      <c r="H292" s="17" t="str">
        <f aca="false">IF(OR(A292="",E292="",E292=0),"",D292/E292)</f>
        <v/>
      </c>
      <c r="I292" s="18" t="str">
        <f aca="true">IF(OR(A292="",C292=""),"",MAX(0,(TODAY()-C292)/365.25))</f>
        <v/>
      </c>
      <c r="J292" s="17" t="str">
        <f aca="false">IF(OR(H292="",I292=""),"",MIN(D292,H292*I292))</f>
        <v/>
      </c>
      <c r="K292" s="17" t="str">
        <f aca="false">IF(J292="","",D292-J292)</f>
        <v/>
      </c>
      <c r="L292" s="19" t="str">
        <f aca="false">IF(K292="","",IF(K292&lt;=0,"Ömrünü doldurdu","Kullanımda"))</f>
        <v/>
      </c>
    </row>
    <row r="293" customFormat="false" ht="15" hidden="false" customHeight="false" outlineLevel="0" collapsed="false">
      <c r="A293" s="12"/>
      <c r="B293" s="13"/>
      <c r="C293" s="14"/>
      <c r="D293" s="15"/>
      <c r="E293" s="16"/>
      <c r="F293" s="13"/>
      <c r="G293" s="12"/>
      <c r="H293" s="17" t="str">
        <f aca="false">IF(OR(A293="",E293="",E293=0),"",D293/E293)</f>
        <v/>
      </c>
      <c r="I293" s="18" t="str">
        <f aca="true">IF(OR(A293="",C293=""),"",MAX(0,(TODAY()-C293)/365.25))</f>
        <v/>
      </c>
      <c r="J293" s="17" t="str">
        <f aca="false">IF(OR(H293="",I293=""),"",MIN(D293,H293*I293))</f>
        <v/>
      </c>
      <c r="K293" s="17" t="str">
        <f aca="false">IF(J293="","",D293-J293)</f>
        <v/>
      </c>
      <c r="L293" s="19" t="str">
        <f aca="false">IF(K293="","",IF(K293&lt;=0,"Ömrünü doldurdu","Kullanımda"))</f>
        <v/>
      </c>
    </row>
    <row r="294" customFormat="false" ht="15" hidden="false" customHeight="false" outlineLevel="0" collapsed="false">
      <c r="A294" s="12"/>
      <c r="B294" s="13"/>
      <c r="C294" s="14"/>
      <c r="D294" s="15"/>
      <c r="E294" s="16"/>
      <c r="F294" s="13"/>
      <c r="G294" s="12"/>
      <c r="H294" s="17" t="str">
        <f aca="false">IF(OR(A294="",E294="",E294=0),"",D294/E294)</f>
        <v/>
      </c>
      <c r="I294" s="18" t="str">
        <f aca="true">IF(OR(A294="",C294=""),"",MAX(0,(TODAY()-C294)/365.25))</f>
        <v/>
      </c>
      <c r="J294" s="17" t="str">
        <f aca="false">IF(OR(H294="",I294=""),"",MIN(D294,H294*I294))</f>
        <v/>
      </c>
      <c r="K294" s="17" t="str">
        <f aca="false">IF(J294="","",D294-J294)</f>
        <v/>
      </c>
      <c r="L294" s="19" t="str">
        <f aca="false">IF(K294="","",IF(K294&lt;=0,"Ömrünü doldurdu","Kullanımda"))</f>
        <v/>
      </c>
    </row>
    <row r="295" customFormat="false" ht="15" hidden="false" customHeight="false" outlineLevel="0" collapsed="false">
      <c r="A295" s="12"/>
      <c r="B295" s="13"/>
      <c r="C295" s="14"/>
      <c r="D295" s="15"/>
      <c r="E295" s="16"/>
      <c r="F295" s="13"/>
      <c r="G295" s="12"/>
      <c r="H295" s="17" t="str">
        <f aca="false">IF(OR(A295="",E295="",E295=0),"",D295/E295)</f>
        <v/>
      </c>
      <c r="I295" s="18" t="str">
        <f aca="true">IF(OR(A295="",C295=""),"",MAX(0,(TODAY()-C295)/365.25))</f>
        <v/>
      </c>
      <c r="J295" s="17" t="str">
        <f aca="false">IF(OR(H295="",I295=""),"",MIN(D295,H295*I295))</f>
        <v/>
      </c>
      <c r="K295" s="17" t="str">
        <f aca="false">IF(J295="","",D295-J295)</f>
        <v/>
      </c>
      <c r="L295" s="19" t="str">
        <f aca="false">IF(K295="","",IF(K295&lt;=0,"Ömrünü doldurdu","Kullanımda"))</f>
        <v/>
      </c>
    </row>
    <row r="296" customFormat="false" ht="15" hidden="false" customHeight="false" outlineLevel="0" collapsed="false">
      <c r="A296" s="12"/>
      <c r="B296" s="13"/>
      <c r="C296" s="14"/>
      <c r="D296" s="15"/>
      <c r="E296" s="16"/>
      <c r="F296" s="13"/>
      <c r="G296" s="12"/>
      <c r="H296" s="17" t="str">
        <f aca="false">IF(OR(A296="",E296="",E296=0),"",D296/E296)</f>
        <v/>
      </c>
      <c r="I296" s="18" t="str">
        <f aca="true">IF(OR(A296="",C296=""),"",MAX(0,(TODAY()-C296)/365.25))</f>
        <v/>
      </c>
      <c r="J296" s="17" t="str">
        <f aca="false">IF(OR(H296="",I296=""),"",MIN(D296,H296*I296))</f>
        <v/>
      </c>
      <c r="K296" s="17" t="str">
        <f aca="false">IF(J296="","",D296-J296)</f>
        <v/>
      </c>
      <c r="L296" s="19" t="str">
        <f aca="false">IF(K296="","",IF(K296&lt;=0,"Ömrünü doldurdu","Kullanımda"))</f>
        <v/>
      </c>
    </row>
    <row r="297" customFormat="false" ht="15" hidden="false" customHeight="false" outlineLevel="0" collapsed="false">
      <c r="A297" s="12"/>
      <c r="B297" s="13"/>
      <c r="C297" s="14"/>
      <c r="D297" s="15"/>
      <c r="E297" s="16"/>
      <c r="F297" s="13"/>
      <c r="G297" s="12"/>
      <c r="H297" s="17" t="str">
        <f aca="false">IF(OR(A297="",E297="",E297=0),"",D297/E297)</f>
        <v/>
      </c>
      <c r="I297" s="18" t="str">
        <f aca="true">IF(OR(A297="",C297=""),"",MAX(0,(TODAY()-C297)/365.25))</f>
        <v/>
      </c>
      <c r="J297" s="17" t="str">
        <f aca="false">IF(OR(H297="",I297=""),"",MIN(D297,H297*I297))</f>
        <v/>
      </c>
      <c r="K297" s="17" t="str">
        <f aca="false">IF(J297="","",D297-J297)</f>
        <v/>
      </c>
      <c r="L297" s="19" t="str">
        <f aca="false">IF(K297="","",IF(K297&lt;=0,"Ömrünü doldurdu","Kullanımda"))</f>
        <v/>
      </c>
    </row>
    <row r="298" customFormat="false" ht="15" hidden="false" customHeight="false" outlineLevel="0" collapsed="false">
      <c r="A298" s="12"/>
      <c r="B298" s="13"/>
      <c r="C298" s="14"/>
      <c r="D298" s="15"/>
      <c r="E298" s="16"/>
      <c r="F298" s="13"/>
      <c r="G298" s="12"/>
      <c r="H298" s="17" t="str">
        <f aca="false">IF(OR(A298="",E298="",E298=0),"",D298/E298)</f>
        <v/>
      </c>
      <c r="I298" s="18" t="str">
        <f aca="true">IF(OR(A298="",C298=""),"",MAX(0,(TODAY()-C298)/365.25))</f>
        <v/>
      </c>
      <c r="J298" s="17" t="str">
        <f aca="false">IF(OR(H298="",I298=""),"",MIN(D298,H298*I298))</f>
        <v/>
      </c>
      <c r="K298" s="17" t="str">
        <f aca="false">IF(J298="","",D298-J298)</f>
        <v/>
      </c>
      <c r="L298" s="19" t="str">
        <f aca="false">IF(K298="","",IF(K298&lt;=0,"Ömrünü doldurdu","Kullanımda"))</f>
        <v/>
      </c>
    </row>
    <row r="299" customFormat="false" ht="15" hidden="false" customHeight="false" outlineLevel="0" collapsed="false">
      <c r="A299" s="12"/>
      <c r="B299" s="13"/>
      <c r="C299" s="14"/>
      <c r="D299" s="15"/>
      <c r="E299" s="16"/>
      <c r="F299" s="13"/>
      <c r="G299" s="12"/>
      <c r="H299" s="17" t="str">
        <f aca="false">IF(OR(A299="",E299="",E299=0),"",D299/E299)</f>
        <v/>
      </c>
      <c r="I299" s="18" t="str">
        <f aca="true">IF(OR(A299="",C299=""),"",MAX(0,(TODAY()-C299)/365.25))</f>
        <v/>
      </c>
      <c r="J299" s="17" t="str">
        <f aca="false">IF(OR(H299="",I299=""),"",MIN(D299,H299*I299))</f>
        <v/>
      </c>
      <c r="K299" s="17" t="str">
        <f aca="false">IF(J299="","",D299-J299)</f>
        <v/>
      </c>
      <c r="L299" s="19" t="str">
        <f aca="false">IF(K299="","",IF(K299&lt;=0,"Ömrünü doldurdu","Kullanımda"))</f>
        <v/>
      </c>
    </row>
    <row r="300" customFormat="false" ht="15" hidden="false" customHeight="false" outlineLevel="0" collapsed="false">
      <c r="A300" s="12"/>
      <c r="B300" s="13"/>
      <c r="C300" s="14"/>
      <c r="D300" s="15"/>
      <c r="E300" s="16"/>
      <c r="F300" s="13"/>
      <c r="G300" s="12"/>
      <c r="H300" s="17" t="str">
        <f aca="false">IF(OR(A300="",E300="",E300=0),"",D300/E300)</f>
        <v/>
      </c>
      <c r="I300" s="18" t="str">
        <f aca="true">IF(OR(A300="",C300=""),"",MAX(0,(TODAY()-C300)/365.25))</f>
        <v/>
      </c>
      <c r="J300" s="17" t="str">
        <f aca="false">IF(OR(H300="",I300=""),"",MIN(D300,H300*I300))</f>
        <v/>
      </c>
      <c r="K300" s="17" t="str">
        <f aca="false">IF(J300="","",D300-J300)</f>
        <v/>
      </c>
      <c r="L300" s="19" t="str">
        <f aca="false">IF(K300="","",IF(K300&lt;=0,"Ömrünü doldurdu","Kullanımda"))</f>
        <v/>
      </c>
    </row>
    <row r="301" customFormat="false" ht="15" hidden="false" customHeight="false" outlineLevel="0" collapsed="false">
      <c r="A301" s="12"/>
      <c r="B301" s="13"/>
      <c r="C301" s="14"/>
      <c r="D301" s="15"/>
      <c r="E301" s="16"/>
      <c r="F301" s="13"/>
      <c r="G301" s="12"/>
      <c r="H301" s="17" t="str">
        <f aca="false">IF(OR(A301="",E301="",E301=0),"",D301/E301)</f>
        <v/>
      </c>
      <c r="I301" s="18" t="str">
        <f aca="true">IF(OR(A301="",C301=""),"",MAX(0,(TODAY()-C301)/365.25))</f>
        <v/>
      </c>
      <c r="J301" s="17" t="str">
        <f aca="false">IF(OR(H301="",I301=""),"",MIN(D301,H301*I301))</f>
        <v/>
      </c>
      <c r="K301" s="17" t="str">
        <f aca="false">IF(J301="","",D301-J301)</f>
        <v/>
      </c>
      <c r="L301" s="19" t="str">
        <f aca="false">IF(K301="","",IF(K301&lt;=0,"Ömrünü doldurdu","Kullanımda"))</f>
        <v/>
      </c>
    </row>
    <row r="302" customFormat="false" ht="15" hidden="false" customHeight="false" outlineLevel="0" collapsed="false">
      <c r="A302" s="12"/>
      <c r="B302" s="13"/>
      <c r="C302" s="14"/>
      <c r="D302" s="15"/>
      <c r="E302" s="16"/>
      <c r="F302" s="13"/>
      <c r="G302" s="12"/>
      <c r="H302" s="17" t="str">
        <f aca="false">IF(OR(A302="",E302="",E302=0),"",D302/E302)</f>
        <v/>
      </c>
      <c r="I302" s="18" t="str">
        <f aca="true">IF(OR(A302="",C302=""),"",MAX(0,(TODAY()-C302)/365.25))</f>
        <v/>
      </c>
      <c r="J302" s="17" t="str">
        <f aca="false">IF(OR(H302="",I302=""),"",MIN(D302,H302*I302))</f>
        <v/>
      </c>
      <c r="K302" s="17" t="str">
        <f aca="false">IF(J302="","",D302-J302)</f>
        <v/>
      </c>
      <c r="L302" s="19" t="str">
        <f aca="false">IF(K302="","",IF(K302&lt;=0,"Ömrünü doldurdu","Kullanımda"))</f>
        <v/>
      </c>
    </row>
    <row r="303" customFormat="false" ht="15" hidden="false" customHeight="false" outlineLevel="0" collapsed="false">
      <c r="A303" s="12"/>
      <c r="B303" s="13"/>
      <c r="C303" s="14"/>
      <c r="D303" s="15"/>
      <c r="E303" s="16"/>
      <c r="F303" s="13"/>
      <c r="G303" s="12"/>
      <c r="H303" s="17" t="str">
        <f aca="false">IF(OR(A303="",E303="",E303=0),"",D303/E303)</f>
        <v/>
      </c>
      <c r="I303" s="18" t="str">
        <f aca="true">IF(OR(A303="",C303=""),"",MAX(0,(TODAY()-C303)/365.25))</f>
        <v/>
      </c>
      <c r="J303" s="17" t="str">
        <f aca="false">IF(OR(H303="",I303=""),"",MIN(D303,H303*I303))</f>
        <v/>
      </c>
      <c r="K303" s="17" t="str">
        <f aca="false">IF(J303="","",D303-J303)</f>
        <v/>
      </c>
      <c r="L303" s="19" t="str">
        <f aca="false">IF(K303="","",IF(K303&lt;=0,"Ömrünü doldurdu","Kullanımda"))</f>
        <v/>
      </c>
    </row>
    <row r="304" customFormat="false" ht="15" hidden="false" customHeight="false" outlineLevel="0" collapsed="false">
      <c r="A304" s="12"/>
      <c r="B304" s="13"/>
      <c r="C304" s="14"/>
      <c r="D304" s="15"/>
      <c r="E304" s="16"/>
      <c r="F304" s="13"/>
      <c r="G304" s="12"/>
      <c r="H304" s="17" t="str">
        <f aca="false">IF(OR(A304="",E304="",E304=0),"",D304/E304)</f>
        <v/>
      </c>
      <c r="I304" s="18" t="str">
        <f aca="true">IF(OR(A304="",C304=""),"",MAX(0,(TODAY()-C304)/365.25))</f>
        <v/>
      </c>
      <c r="J304" s="17" t="str">
        <f aca="false">IF(OR(H304="",I304=""),"",MIN(D304,H304*I304))</f>
        <v/>
      </c>
      <c r="K304" s="17" t="str">
        <f aca="false">IF(J304="","",D304-J304)</f>
        <v/>
      </c>
      <c r="L304" s="19" t="str">
        <f aca="false">IF(K304="","",IF(K304&lt;=0,"Ömrünü doldurdu","Kullanımda"))</f>
        <v/>
      </c>
    </row>
    <row r="305" customFormat="false" ht="15" hidden="false" customHeight="false" outlineLevel="0" collapsed="false">
      <c r="A305" s="12"/>
      <c r="B305" s="13"/>
      <c r="C305" s="14"/>
      <c r="D305" s="15"/>
      <c r="E305" s="16"/>
      <c r="F305" s="13"/>
      <c r="G305" s="12"/>
      <c r="H305" s="17" t="str">
        <f aca="false">IF(OR(A305="",E305="",E305=0),"",D305/E305)</f>
        <v/>
      </c>
      <c r="I305" s="18" t="str">
        <f aca="true">IF(OR(A305="",C305=""),"",MAX(0,(TODAY()-C305)/365.25))</f>
        <v/>
      </c>
      <c r="J305" s="17" t="str">
        <f aca="false">IF(OR(H305="",I305=""),"",MIN(D305,H305*I305))</f>
        <v/>
      </c>
      <c r="K305" s="17" t="str">
        <f aca="false">IF(J305="","",D305-J305)</f>
        <v/>
      </c>
      <c r="L305" s="19" t="str">
        <f aca="false">IF(K305="","",IF(K305&lt;=0,"Ömrünü doldurdu","Kullanımda"))</f>
        <v/>
      </c>
    </row>
    <row r="306" customFormat="false" ht="15" hidden="false" customHeight="false" outlineLevel="0" collapsed="false">
      <c r="A306" s="12"/>
      <c r="B306" s="13"/>
      <c r="C306" s="14"/>
      <c r="D306" s="15"/>
      <c r="E306" s="16"/>
      <c r="F306" s="13"/>
      <c r="G306" s="12"/>
      <c r="H306" s="17" t="str">
        <f aca="false">IF(OR(A306="",E306="",E306=0),"",D306/E306)</f>
        <v/>
      </c>
      <c r="I306" s="18" t="str">
        <f aca="true">IF(OR(A306="",C306=""),"",MAX(0,(TODAY()-C306)/365.25))</f>
        <v/>
      </c>
      <c r="J306" s="17" t="str">
        <f aca="false">IF(OR(H306="",I306=""),"",MIN(D306,H306*I306))</f>
        <v/>
      </c>
      <c r="K306" s="17" t="str">
        <f aca="false">IF(J306="","",D306-J306)</f>
        <v/>
      </c>
      <c r="L306" s="19" t="str">
        <f aca="false">IF(K306="","",IF(K306&lt;=0,"Ömrünü doldurdu","Kullanımda"))</f>
        <v/>
      </c>
    </row>
    <row r="307" customFormat="false" ht="15" hidden="false" customHeight="false" outlineLevel="0" collapsed="false">
      <c r="A307" s="12"/>
      <c r="B307" s="13"/>
      <c r="C307" s="14"/>
      <c r="D307" s="15"/>
      <c r="E307" s="16"/>
      <c r="F307" s="13"/>
      <c r="G307" s="12"/>
      <c r="H307" s="17" t="str">
        <f aca="false">IF(OR(A307="",E307="",E307=0),"",D307/E307)</f>
        <v/>
      </c>
      <c r="I307" s="18" t="str">
        <f aca="true">IF(OR(A307="",C307=""),"",MAX(0,(TODAY()-C307)/365.25))</f>
        <v/>
      </c>
      <c r="J307" s="17" t="str">
        <f aca="false">IF(OR(H307="",I307=""),"",MIN(D307,H307*I307))</f>
        <v/>
      </c>
      <c r="K307" s="17" t="str">
        <f aca="false">IF(J307="","",D307-J307)</f>
        <v/>
      </c>
      <c r="L307" s="19" t="str">
        <f aca="false">IF(K307="","",IF(K307&lt;=0,"Ömrünü doldurdu","Kullanımda"))</f>
        <v/>
      </c>
    </row>
    <row r="308" customFormat="false" ht="15" hidden="false" customHeight="false" outlineLevel="0" collapsed="false">
      <c r="A308" s="12"/>
      <c r="B308" s="13"/>
      <c r="C308" s="14"/>
      <c r="D308" s="15"/>
      <c r="E308" s="16"/>
      <c r="F308" s="13"/>
      <c r="G308" s="12"/>
      <c r="H308" s="17" t="str">
        <f aca="false">IF(OR(A308="",E308="",E308=0),"",D308/E308)</f>
        <v/>
      </c>
      <c r="I308" s="18" t="str">
        <f aca="true">IF(OR(A308="",C308=""),"",MAX(0,(TODAY()-C308)/365.25))</f>
        <v/>
      </c>
      <c r="J308" s="17" t="str">
        <f aca="false">IF(OR(H308="",I308=""),"",MIN(D308,H308*I308))</f>
        <v/>
      </c>
      <c r="K308" s="17" t="str">
        <f aca="false">IF(J308="","",D308-J308)</f>
        <v/>
      </c>
      <c r="L308" s="19" t="str">
        <f aca="false">IF(K308="","",IF(K308&lt;=0,"Ömrünü doldurdu","Kullanımda"))</f>
        <v/>
      </c>
    </row>
    <row r="309" customFormat="false" ht="15" hidden="false" customHeight="false" outlineLevel="0" collapsed="false">
      <c r="A309" s="12"/>
      <c r="B309" s="13"/>
      <c r="C309" s="14"/>
      <c r="D309" s="15"/>
      <c r="E309" s="16"/>
      <c r="F309" s="13"/>
      <c r="G309" s="12"/>
      <c r="H309" s="17" t="str">
        <f aca="false">IF(OR(A309="",E309="",E309=0),"",D309/E309)</f>
        <v/>
      </c>
      <c r="I309" s="18" t="str">
        <f aca="true">IF(OR(A309="",C309=""),"",MAX(0,(TODAY()-C309)/365.25))</f>
        <v/>
      </c>
      <c r="J309" s="17" t="str">
        <f aca="false">IF(OR(H309="",I309=""),"",MIN(D309,H309*I309))</f>
        <v/>
      </c>
      <c r="K309" s="17" t="str">
        <f aca="false">IF(J309="","",D309-J309)</f>
        <v/>
      </c>
      <c r="L309" s="19" t="str">
        <f aca="false">IF(K309="","",IF(K309&lt;=0,"Ömrünü doldurdu","Kullanımda"))</f>
        <v/>
      </c>
    </row>
    <row r="310" customFormat="false" ht="15" hidden="false" customHeight="false" outlineLevel="0" collapsed="false">
      <c r="A310" s="12"/>
      <c r="B310" s="13"/>
      <c r="C310" s="14"/>
      <c r="D310" s="15"/>
      <c r="E310" s="16"/>
      <c r="F310" s="13"/>
      <c r="G310" s="12"/>
      <c r="H310" s="17" t="str">
        <f aca="false">IF(OR(A310="",E310="",E310=0),"",D310/E310)</f>
        <v/>
      </c>
      <c r="I310" s="18" t="str">
        <f aca="true">IF(OR(A310="",C310=""),"",MAX(0,(TODAY()-C310)/365.25))</f>
        <v/>
      </c>
      <c r="J310" s="17" t="str">
        <f aca="false">IF(OR(H310="",I310=""),"",MIN(D310,H310*I310))</f>
        <v/>
      </c>
      <c r="K310" s="17" t="str">
        <f aca="false">IF(J310="","",D310-J310)</f>
        <v/>
      </c>
      <c r="L310" s="19" t="str">
        <f aca="false">IF(K310="","",IF(K310&lt;=0,"Ömrünü doldurdu","Kullanımda"))</f>
        <v/>
      </c>
    </row>
    <row r="311" customFormat="false" ht="15" hidden="false" customHeight="false" outlineLevel="0" collapsed="false">
      <c r="A311" s="12"/>
      <c r="B311" s="13"/>
      <c r="C311" s="14"/>
      <c r="D311" s="15"/>
      <c r="E311" s="16"/>
      <c r="F311" s="13"/>
      <c r="G311" s="12"/>
      <c r="H311" s="17" t="str">
        <f aca="false">IF(OR(A311="",E311="",E311=0),"",D311/E311)</f>
        <v/>
      </c>
      <c r="I311" s="18" t="str">
        <f aca="true">IF(OR(A311="",C311=""),"",MAX(0,(TODAY()-C311)/365.25))</f>
        <v/>
      </c>
      <c r="J311" s="17" t="str">
        <f aca="false">IF(OR(H311="",I311=""),"",MIN(D311,H311*I311))</f>
        <v/>
      </c>
      <c r="K311" s="17" t="str">
        <f aca="false">IF(J311="","",D311-J311)</f>
        <v/>
      </c>
      <c r="L311" s="19" t="str">
        <f aca="false">IF(K311="","",IF(K311&lt;=0,"Ömrünü doldurdu","Kullanımda"))</f>
        <v/>
      </c>
    </row>
    <row r="312" customFormat="false" ht="15" hidden="false" customHeight="false" outlineLevel="0" collapsed="false">
      <c r="A312" s="12"/>
      <c r="B312" s="13"/>
      <c r="C312" s="14"/>
      <c r="D312" s="15"/>
      <c r="E312" s="16"/>
      <c r="F312" s="13"/>
      <c r="G312" s="12"/>
      <c r="H312" s="17" t="str">
        <f aca="false">IF(OR(A312="",E312="",E312=0),"",D312/E312)</f>
        <v/>
      </c>
      <c r="I312" s="18" t="str">
        <f aca="true">IF(OR(A312="",C312=""),"",MAX(0,(TODAY()-C312)/365.25))</f>
        <v/>
      </c>
      <c r="J312" s="17" t="str">
        <f aca="false">IF(OR(H312="",I312=""),"",MIN(D312,H312*I312))</f>
        <v/>
      </c>
      <c r="K312" s="17" t="str">
        <f aca="false">IF(J312="","",D312-J312)</f>
        <v/>
      </c>
      <c r="L312" s="19" t="str">
        <f aca="false">IF(K312="","",IF(K312&lt;=0,"Ömrünü doldurdu","Kullanımda"))</f>
        <v/>
      </c>
    </row>
    <row r="313" customFormat="false" ht="15" hidden="false" customHeight="false" outlineLevel="0" collapsed="false">
      <c r="A313" s="12"/>
      <c r="B313" s="13"/>
      <c r="C313" s="14"/>
      <c r="D313" s="15"/>
      <c r="E313" s="16"/>
      <c r="F313" s="13"/>
      <c r="G313" s="12"/>
      <c r="H313" s="17" t="str">
        <f aca="false">IF(OR(A313="",E313="",E313=0),"",D313/E313)</f>
        <v/>
      </c>
      <c r="I313" s="18" t="str">
        <f aca="true">IF(OR(A313="",C313=""),"",MAX(0,(TODAY()-C313)/365.25))</f>
        <v/>
      </c>
      <c r="J313" s="17" t="str">
        <f aca="false">IF(OR(H313="",I313=""),"",MIN(D313,H313*I313))</f>
        <v/>
      </c>
      <c r="K313" s="17" t="str">
        <f aca="false">IF(J313="","",D313-J313)</f>
        <v/>
      </c>
      <c r="L313" s="19" t="str">
        <f aca="false">IF(K313="","",IF(K313&lt;=0,"Ömrünü doldurdu","Kullanımda"))</f>
        <v/>
      </c>
    </row>
    <row r="314" customFormat="false" ht="15" hidden="false" customHeight="false" outlineLevel="0" collapsed="false">
      <c r="A314" s="12"/>
      <c r="B314" s="13"/>
      <c r="C314" s="14"/>
      <c r="D314" s="15"/>
      <c r="E314" s="16"/>
      <c r="F314" s="13"/>
      <c r="G314" s="12"/>
      <c r="H314" s="17" t="str">
        <f aca="false">IF(OR(A314="",E314="",E314=0),"",D314/E314)</f>
        <v/>
      </c>
      <c r="I314" s="18" t="str">
        <f aca="true">IF(OR(A314="",C314=""),"",MAX(0,(TODAY()-C314)/365.25))</f>
        <v/>
      </c>
      <c r="J314" s="17" t="str">
        <f aca="false">IF(OR(H314="",I314=""),"",MIN(D314,H314*I314))</f>
        <v/>
      </c>
      <c r="K314" s="17" t="str">
        <f aca="false">IF(J314="","",D314-J314)</f>
        <v/>
      </c>
      <c r="L314" s="19" t="str">
        <f aca="false">IF(K314="","",IF(K314&lt;=0,"Ömrünü doldurdu","Kullanımda"))</f>
        <v/>
      </c>
    </row>
    <row r="315" customFormat="false" ht="15" hidden="false" customHeight="false" outlineLevel="0" collapsed="false">
      <c r="A315" s="12"/>
      <c r="B315" s="13"/>
      <c r="C315" s="14"/>
      <c r="D315" s="15"/>
      <c r="E315" s="16"/>
      <c r="F315" s="13"/>
      <c r="G315" s="12"/>
      <c r="H315" s="17" t="str">
        <f aca="false">IF(OR(A315="",E315="",E315=0),"",D315/E315)</f>
        <v/>
      </c>
      <c r="I315" s="18" t="str">
        <f aca="true">IF(OR(A315="",C315=""),"",MAX(0,(TODAY()-C315)/365.25))</f>
        <v/>
      </c>
      <c r="J315" s="17" t="str">
        <f aca="false">IF(OR(H315="",I315=""),"",MIN(D315,H315*I315))</f>
        <v/>
      </c>
      <c r="K315" s="17" t="str">
        <f aca="false">IF(J315="","",D315-J315)</f>
        <v/>
      </c>
      <c r="L315" s="19" t="str">
        <f aca="false">IF(K315="","",IF(K315&lt;=0,"Ömrünü doldurdu","Kullanımda"))</f>
        <v/>
      </c>
    </row>
    <row r="316" customFormat="false" ht="15" hidden="false" customHeight="false" outlineLevel="0" collapsed="false">
      <c r="A316" s="12"/>
      <c r="B316" s="13"/>
      <c r="C316" s="14"/>
      <c r="D316" s="15"/>
      <c r="E316" s="16"/>
      <c r="F316" s="13"/>
      <c r="G316" s="12"/>
      <c r="H316" s="17" t="str">
        <f aca="false">IF(OR(A316="",E316="",E316=0),"",D316/E316)</f>
        <v/>
      </c>
      <c r="I316" s="18" t="str">
        <f aca="true">IF(OR(A316="",C316=""),"",MAX(0,(TODAY()-C316)/365.25))</f>
        <v/>
      </c>
      <c r="J316" s="17" t="str">
        <f aca="false">IF(OR(H316="",I316=""),"",MIN(D316,H316*I316))</f>
        <v/>
      </c>
      <c r="K316" s="17" t="str">
        <f aca="false">IF(J316="","",D316-J316)</f>
        <v/>
      </c>
      <c r="L316" s="19" t="str">
        <f aca="false">IF(K316="","",IF(K316&lt;=0,"Ömrünü doldurdu","Kullanımda"))</f>
        <v/>
      </c>
    </row>
    <row r="317" customFormat="false" ht="15" hidden="false" customHeight="false" outlineLevel="0" collapsed="false">
      <c r="A317" s="12"/>
      <c r="B317" s="13"/>
      <c r="C317" s="14"/>
      <c r="D317" s="15"/>
      <c r="E317" s="16"/>
      <c r="F317" s="13"/>
      <c r="G317" s="12"/>
      <c r="H317" s="17" t="str">
        <f aca="false">IF(OR(A317="",E317="",E317=0),"",D317/E317)</f>
        <v/>
      </c>
      <c r="I317" s="18" t="str">
        <f aca="true">IF(OR(A317="",C317=""),"",MAX(0,(TODAY()-C317)/365.25))</f>
        <v/>
      </c>
      <c r="J317" s="17" t="str">
        <f aca="false">IF(OR(H317="",I317=""),"",MIN(D317,H317*I317))</f>
        <v/>
      </c>
      <c r="K317" s="17" t="str">
        <f aca="false">IF(J317="","",D317-J317)</f>
        <v/>
      </c>
      <c r="L317" s="19" t="str">
        <f aca="false">IF(K317="","",IF(K317&lt;=0,"Ömrünü doldurdu","Kullanımda"))</f>
        <v/>
      </c>
    </row>
    <row r="318" customFormat="false" ht="15" hidden="false" customHeight="false" outlineLevel="0" collapsed="false">
      <c r="A318" s="12"/>
      <c r="B318" s="13"/>
      <c r="C318" s="14"/>
      <c r="D318" s="15"/>
      <c r="E318" s="16"/>
      <c r="F318" s="13"/>
      <c r="G318" s="12"/>
      <c r="H318" s="17" t="str">
        <f aca="false">IF(OR(A318="",E318="",E318=0),"",D318/E318)</f>
        <v/>
      </c>
      <c r="I318" s="18" t="str">
        <f aca="true">IF(OR(A318="",C318=""),"",MAX(0,(TODAY()-C318)/365.25))</f>
        <v/>
      </c>
      <c r="J318" s="17" t="str">
        <f aca="false">IF(OR(H318="",I318=""),"",MIN(D318,H318*I318))</f>
        <v/>
      </c>
      <c r="K318" s="17" t="str">
        <f aca="false">IF(J318="","",D318-J318)</f>
        <v/>
      </c>
      <c r="L318" s="19" t="str">
        <f aca="false">IF(K318="","",IF(K318&lt;=0,"Ömrünü doldurdu","Kullanımda"))</f>
        <v/>
      </c>
    </row>
    <row r="319" customFormat="false" ht="15" hidden="false" customHeight="false" outlineLevel="0" collapsed="false">
      <c r="A319" s="12"/>
      <c r="B319" s="13"/>
      <c r="C319" s="14"/>
      <c r="D319" s="15"/>
      <c r="E319" s="16"/>
      <c r="F319" s="13"/>
      <c r="G319" s="12"/>
      <c r="H319" s="17" t="str">
        <f aca="false">IF(OR(A319="",E319="",E319=0),"",D319/E319)</f>
        <v/>
      </c>
      <c r="I319" s="18" t="str">
        <f aca="true">IF(OR(A319="",C319=""),"",MAX(0,(TODAY()-C319)/365.25))</f>
        <v/>
      </c>
      <c r="J319" s="17" t="str">
        <f aca="false">IF(OR(H319="",I319=""),"",MIN(D319,H319*I319))</f>
        <v/>
      </c>
      <c r="K319" s="17" t="str">
        <f aca="false">IF(J319="","",D319-J319)</f>
        <v/>
      </c>
      <c r="L319" s="19" t="str">
        <f aca="false">IF(K319="","",IF(K319&lt;=0,"Ömrünü doldurdu","Kullanımda"))</f>
        <v/>
      </c>
    </row>
    <row r="320" customFormat="false" ht="15" hidden="false" customHeight="false" outlineLevel="0" collapsed="false">
      <c r="A320" s="12"/>
      <c r="B320" s="13"/>
      <c r="C320" s="14"/>
      <c r="D320" s="15"/>
      <c r="E320" s="16"/>
      <c r="F320" s="13"/>
      <c r="G320" s="12"/>
      <c r="H320" s="17" t="str">
        <f aca="false">IF(OR(A320="",E320="",E320=0),"",D320/E320)</f>
        <v/>
      </c>
      <c r="I320" s="18" t="str">
        <f aca="true">IF(OR(A320="",C320=""),"",MAX(0,(TODAY()-C320)/365.25))</f>
        <v/>
      </c>
      <c r="J320" s="17" t="str">
        <f aca="false">IF(OR(H320="",I320=""),"",MIN(D320,H320*I320))</f>
        <v/>
      </c>
      <c r="K320" s="17" t="str">
        <f aca="false">IF(J320="","",D320-J320)</f>
        <v/>
      </c>
      <c r="L320" s="19" t="str">
        <f aca="false">IF(K320="","",IF(K320&lt;=0,"Ömrünü doldurdu","Kullanımda"))</f>
        <v/>
      </c>
    </row>
    <row r="321" customFormat="false" ht="15" hidden="false" customHeight="false" outlineLevel="0" collapsed="false">
      <c r="A321" s="12"/>
      <c r="B321" s="13"/>
      <c r="C321" s="14"/>
      <c r="D321" s="15"/>
      <c r="E321" s="16"/>
      <c r="F321" s="13"/>
      <c r="G321" s="12"/>
      <c r="H321" s="17" t="str">
        <f aca="false">IF(OR(A321="",E321="",E321=0),"",D321/E321)</f>
        <v/>
      </c>
      <c r="I321" s="18" t="str">
        <f aca="true">IF(OR(A321="",C321=""),"",MAX(0,(TODAY()-C321)/365.25))</f>
        <v/>
      </c>
      <c r="J321" s="17" t="str">
        <f aca="false">IF(OR(H321="",I321=""),"",MIN(D321,H321*I321))</f>
        <v/>
      </c>
      <c r="K321" s="17" t="str">
        <f aca="false">IF(J321="","",D321-J321)</f>
        <v/>
      </c>
      <c r="L321" s="19" t="str">
        <f aca="false">IF(K321="","",IF(K321&lt;=0,"Ömrünü doldurdu","Kullanımda"))</f>
        <v/>
      </c>
    </row>
    <row r="322" customFormat="false" ht="15" hidden="false" customHeight="false" outlineLevel="0" collapsed="false">
      <c r="A322" s="12"/>
      <c r="B322" s="13"/>
      <c r="C322" s="14"/>
      <c r="D322" s="15"/>
      <c r="E322" s="16"/>
      <c r="F322" s="13"/>
      <c r="G322" s="12"/>
      <c r="H322" s="17" t="str">
        <f aca="false">IF(OR(A322="",E322="",E322=0),"",D322/E322)</f>
        <v/>
      </c>
      <c r="I322" s="18" t="str">
        <f aca="true">IF(OR(A322="",C322=""),"",MAX(0,(TODAY()-C322)/365.25))</f>
        <v/>
      </c>
      <c r="J322" s="17" t="str">
        <f aca="false">IF(OR(H322="",I322=""),"",MIN(D322,H322*I322))</f>
        <v/>
      </c>
      <c r="K322" s="17" t="str">
        <f aca="false">IF(J322="","",D322-J322)</f>
        <v/>
      </c>
      <c r="L322" s="19" t="str">
        <f aca="false">IF(K322="","",IF(K322&lt;=0,"Ömrünü doldurdu","Kullanımda"))</f>
        <v/>
      </c>
    </row>
    <row r="323" customFormat="false" ht="15" hidden="false" customHeight="false" outlineLevel="0" collapsed="false">
      <c r="A323" s="12"/>
      <c r="B323" s="13"/>
      <c r="C323" s="14"/>
      <c r="D323" s="15"/>
      <c r="E323" s="16"/>
      <c r="F323" s="13"/>
      <c r="G323" s="12"/>
      <c r="H323" s="17" t="str">
        <f aca="false">IF(OR(A323="",E323="",E323=0),"",D323/E323)</f>
        <v/>
      </c>
      <c r="I323" s="18" t="str">
        <f aca="true">IF(OR(A323="",C323=""),"",MAX(0,(TODAY()-C323)/365.25))</f>
        <v/>
      </c>
      <c r="J323" s="17" t="str">
        <f aca="false">IF(OR(H323="",I323=""),"",MIN(D323,H323*I323))</f>
        <v/>
      </c>
      <c r="K323" s="17" t="str">
        <f aca="false">IF(J323="","",D323-J323)</f>
        <v/>
      </c>
      <c r="L323" s="19" t="str">
        <f aca="false">IF(K323="","",IF(K323&lt;=0,"Ömrünü doldurdu","Kullanımda"))</f>
        <v/>
      </c>
    </row>
    <row r="324" customFormat="false" ht="15" hidden="false" customHeight="false" outlineLevel="0" collapsed="false">
      <c r="A324" s="12"/>
      <c r="B324" s="13"/>
      <c r="C324" s="14"/>
      <c r="D324" s="15"/>
      <c r="E324" s="16"/>
      <c r="F324" s="13"/>
      <c r="G324" s="12"/>
      <c r="H324" s="17" t="str">
        <f aca="false">IF(OR(A324="",E324="",E324=0),"",D324/E324)</f>
        <v/>
      </c>
      <c r="I324" s="18" t="str">
        <f aca="true">IF(OR(A324="",C324=""),"",MAX(0,(TODAY()-C324)/365.25))</f>
        <v/>
      </c>
      <c r="J324" s="17" t="str">
        <f aca="false">IF(OR(H324="",I324=""),"",MIN(D324,H324*I324))</f>
        <v/>
      </c>
      <c r="K324" s="17" t="str">
        <f aca="false">IF(J324="","",D324-J324)</f>
        <v/>
      </c>
      <c r="L324" s="19" t="str">
        <f aca="false">IF(K324="","",IF(K324&lt;=0,"Ömrünü doldurdu","Kullanımda"))</f>
        <v/>
      </c>
    </row>
    <row r="325" customFormat="false" ht="15" hidden="false" customHeight="false" outlineLevel="0" collapsed="false">
      <c r="A325" s="12"/>
      <c r="B325" s="13"/>
      <c r="C325" s="14"/>
      <c r="D325" s="15"/>
      <c r="E325" s="16"/>
      <c r="F325" s="13"/>
      <c r="G325" s="12"/>
      <c r="H325" s="17" t="str">
        <f aca="false">IF(OR(A325="",E325="",E325=0),"",D325/E325)</f>
        <v/>
      </c>
      <c r="I325" s="18" t="str">
        <f aca="true">IF(OR(A325="",C325=""),"",MAX(0,(TODAY()-C325)/365.25))</f>
        <v/>
      </c>
      <c r="J325" s="17" t="str">
        <f aca="false">IF(OR(H325="",I325=""),"",MIN(D325,H325*I325))</f>
        <v/>
      </c>
      <c r="K325" s="17" t="str">
        <f aca="false">IF(J325="","",D325-J325)</f>
        <v/>
      </c>
      <c r="L325" s="19" t="str">
        <f aca="false">IF(K325="","",IF(K325&lt;=0,"Ömrünü doldurdu","Kullanımda"))</f>
        <v/>
      </c>
    </row>
    <row r="326" customFormat="false" ht="15" hidden="false" customHeight="false" outlineLevel="0" collapsed="false">
      <c r="A326" s="12"/>
      <c r="B326" s="13"/>
      <c r="C326" s="14"/>
      <c r="D326" s="15"/>
      <c r="E326" s="16"/>
      <c r="F326" s="13"/>
      <c r="G326" s="12"/>
      <c r="H326" s="17" t="str">
        <f aca="false">IF(OR(A326="",E326="",E326=0),"",D326/E326)</f>
        <v/>
      </c>
      <c r="I326" s="18" t="str">
        <f aca="true">IF(OR(A326="",C326=""),"",MAX(0,(TODAY()-C326)/365.25))</f>
        <v/>
      </c>
      <c r="J326" s="17" t="str">
        <f aca="false">IF(OR(H326="",I326=""),"",MIN(D326,H326*I326))</f>
        <v/>
      </c>
      <c r="K326" s="17" t="str">
        <f aca="false">IF(J326="","",D326-J326)</f>
        <v/>
      </c>
      <c r="L326" s="19" t="str">
        <f aca="false">IF(K326="","",IF(K326&lt;=0,"Ömrünü doldurdu","Kullanımda"))</f>
        <v/>
      </c>
    </row>
    <row r="327" customFormat="false" ht="15" hidden="false" customHeight="false" outlineLevel="0" collapsed="false">
      <c r="A327" s="12"/>
      <c r="B327" s="13"/>
      <c r="C327" s="14"/>
      <c r="D327" s="15"/>
      <c r="E327" s="16"/>
      <c r="F327" s="13"/>
      <c r="G327" s="12"/>
      <c r="H327" s="17" t="str">
        <f aca="false">IF(OR(A327="",E327="",E327=0),"",D327/E327)</f>
        <v/>
      </c>
      <c r="I327" s="18" t="str">
        <f aca="true">IF(OR(A327="",C327=""),"",MAX(0,(TODAY()-C327)/365.25))</f>
        <v/>
      </c>
      <c r="J327" s="17" t="str">
        <f aca="false">IF(OR(H327="",I327=""),"",MIN(D327,H327*I327))</f>
        <v/>
      </c>
      <c r="K327" s="17" t="str">
        <f aca="false">IF(J327="","",D327-J327)</f>
        <v/>
      </c>
      <c r="L327" s="19" t="str">
        <f aca="false">IF(K327="","",IF(K327&lt;=0,"Ömrünü doldurdu","Kullanımda"))</f>
        <v/>
      </c>
    </row>
    <row r="328" customFormat="false" ht="15" hidden="false" customHeight="false" outlineLevel="0" collapsed="false">
      <c r="A328" s="12"/>
      <c r="B328" s="13"/>
      <c r="C328" s="14"/>
      <c r="D328" s="15"/>
      <c r="E328" s="16"/>
      <c r="F328" s="13"/>
      <c r="G328" s="12"/>
      <c r="H328" s="17" t="str">
        <f aca="false">IF(OR(A328="",E328="",E328=0),"",D328/E328)</f>
        <v/>
      </c>
      <c r="I328" s="18" t="str">
        <f aca="true">IF(OR(A328="",C328=""),"",MAX(0,(TODAY()-C328)/365.25))</f>
        <v/>
      </c>
      <c r="J328" s="17" t="str">
        <f aca="false">IF(OR(H328="",I328=""),"",MIN(D328,H328*I328))</f>
        <v/>
      </c>
      <c r="K328" s="17" t="str">
        <f aca="false">IF(J328="","",D328-J328)</f>
        <v/>
      </c>
      <c r="L328" s="19" t="str">
        <f aca="false">IF(K328="","",IF(K328&lt;=0,"Ömrünü doldurdu","Kullanımda"))</f>
        <v/>
      </c>
    </row>
    <row r="329" customFormat="false" ht="15" hidden="false" customHeight="false" outlineLevel="0" collapsed="false">
      <c r="A329" s="12"/>
      <c r="B329" s="13"/>
      <c r="C329" s="14"/>
      <c r="D329" s="15"/>
      <c r="E329" s="16"/>
      <c r="F329" s="13"/>
      <c r="G329" s="12"/>
      <c r="H329" s="17" t="str">
        <f aca="false">IF(OR(A329="",E329="",E329=0),"",D329/E329)</f>
        <v/>
      </c>
      <c r="I329" s="18" t="str">
        <f aca="true">IF(OR(A329="",C329=""),"",MAX(0,(TODAY()-C329)/365.25))</f>
        <v/>
      </c>
      <c r="J329" s="17" t="str">
        <f aca="false">IF(OR(H329="",I329=""),"",MIN(D329,H329*I329))</f>
        <v/>
      </c>
      <c r="K329" s="17" t="str">
        <f aca="false">IF(J329="","",D329-J329)</f>
        <v/>
      </c>
      <c r="L329" s="19" t="str">
        <f aca="false">IF(K329="","",IF(K329&lt;=0,"Ömrünü doldurdu","Kullanımda"))</f>
        <v/>
      </c>
    </row>
    <row r="330" customFormat="false" ht="15" hidden="false" customHeight="false" outlineLevel="0" collapsed="false">
      <c r="A330" s="12"/>
      <c r="B330" s="13"/>
      <c r="C330" s="14"/>
      <c r="D330" s="15"/>
      <c r="E330" s="16"/>
      <c r="F330" s="13"/>
      <c r="G330" s="12"/>
      <c r="H330" s="17" t="str">
        <f aca="false">IF(OR(A330="",E330="",E330=0),"",D330/E330)</f>
        <v/>
      </c>
      <c r="I330" s="18" t="str">
        <f aca="true">IF(OR(A330="",C330=""),"",MAX(0,(TODAY()-C330)/365.25))</f>
        <v/>
      </c>
      <c r="J330" s="17" t="str">
        <f aca="false">IF(OR(H330="",I330=""),"",MIN(D330,H330*I330))</f>
        <v/>
      </c>
      <c r="K330" s="17" t="str">
        <f aca="false">IF(J330="","",D330-J330)</f>
        <v/>
      </c>
      <c r="L330" s="19" t="str">
        <f aca="false">IF(K330="","",IF(K330&lt;=0,"Ömrünü doldurdu","Kullanımda"))</f>
        <v/>
      </c>
    </row>
    <row r="331" customFormat="false" ht="15" hidden="false" customHeight="false" outlineLevel="0" collapsed="false">
      <c r="A331" s="12"/>
      <c r="B331" s="13"/>
      <c r="C331" s="14"/>
      <c r="D331" s="15"/>
      <c r="E331" s="16"/>
      <c r="F331" s="13"/>
      <c r="G331" s="12"/>
      <c r="H331" s="17" t="str">
        <f aca="false">IF(OR(A331="",E331="",E331=0),"",D331/E331)</f>
        <v/>
      </c>
      <c r="I331" s="18" t="str">
        <f aca="true">IF(OR(A331="",C331=""),"",MAX(0,(TODAY()-C331)/365.25))</f>
        <v/>
      </c>
      <c r="J331" s="17" t="str">
        <f aca="false">IF(OR(H331="",I331=""),"",MIN(D331,H331*I331))</f>
        <v/>
      </c>
      <c r="K331" s="17" t="str">
        <f aca="false">IF(J331="","",D331-J331)</f>
        <v/>
      </c>
      <c r="L331" s="19" t="str">
        <f aca="false">IF(K331="","",IF(K331&lt;=0,"Ömrünü doldurdu","Kullanımda"))</f>
        <v/>
      </c>
    </row>
    <row r="332" customFormat="false" ht="15" hidden="false" customHeight="false" outlineLevel="0" collapsed="false">
      <c r="A332" s="12"/>
      <c r="B332" s="13"/>
      <c r="C332" s="14"/>
      <c r="D332" s="15"/>
      <c r="E332" s="16"/>
      <c r="F332" s="13"/>
      <c r="G332" s="12"/>
      <c r="H332" s="17" t="str">
        <f aca="false">IF(OR(A332="",E332="",E332=0),"",D332/E332)</f>
        <v/>
      </c>
      <c r="I332" s="18" t="str">
        <f aca="true">IF(OR(A332="",C332=""),"",MAX(0,(TODAY()-C332)/365.25))</f>
        <v/>
      </c>
      <c r="J332" s="17" t="str">
        <f aca="false">IF(OR(H332="",I332=""),"",MIN(D332,H332*I332))</f>
        <v/>
      </c>
      <c r="K332" s="17" t="str">
        <f aca="false">IF(J332="","",D332-J332)</f>
        <v/>
      </c>
      <c r="L332" s="19" t="str">
        <f aca="false">IF(K332="","",IF(K332&lt;=0,"Ömrünü doldurdu","Kullanımda"))</f>
        <v/>
      </c>
    </row>
    <row r="333" customFormat="false" ht="15" hidden="false" customHeight="false" outlineLevel="0" collapsed="false">
      <c r="A333" s="12"/>
      <c r="B333" s="13"/>
      <c r="C333" s="14"/>
      <c r="D333" s="15"/>
      <c r="E333" s="16"/>
      <c r="F333" s="13"/>
      <c r="G333" s="12"/>
      <c r="H333" s="17" t="str">
        <f aca="false">IF(OR(A333="",E333="",E333=0),"",D333/E333)</f>
        <v/>
      </c>
      <c r="I333" s="18" t="str">
        <f aca="true">IF(OR(A333="",C333=""),"",MAX(0,(TODAY()-C333)/365.25))</f>
        <v/>
      </c>
      <c r="J333" s="17" t="str">
        <f aca="false">IF(OR(H333="",I333=""),"",MIN(D333,H333*I333))</f>
        <v/>
      </c>
      <c r="K333" s="17" t="str">
        <f aca="false">IF(J333="","",D333-J333)</f>
        <v/>
      </c>
      <c r="L333" s="19" t="str">
        <f aca="false">IF(K333="","",IF(K333&lt;=0,"Ömrünü doldurdu","Kullanımda"))</f>
        <v/>
      </c>
    </row>
    <row r="334" customFormat="false" ht="15" hidden="false" customHeight="false" outlineLevel="0" collapsed="false">
      <c r="A334" s="12"/>
      <c r="B334" s="13"/>
      <c r="C334" s="14"/>
      <c r="D334" s="15"/>
      <c r="E334" s="16"/>
      <c r="F334" s="13"/>
      <c r="G334" s="12"/>
      <c r="H334" s="17" t="str">
        <f aca="false">IF(OR(A334="",E334="",E334=0),"",D334/E334)</f>
        <v/>
      </c>
      <c r="I334" s="18" t="str">
        <f aca="true">IF(OR(A334="",C334=""),"",MAX(0,(TODAY()-C334)/365.25))</f>
        <v/>
      </c>
      <c r="J334" s="17" t="str">
        <f aca="false">IF(OR(H334="",I334=""),"",MIN(D334,H334*I334))</f>
        <v/>
      </c>
      <c r="K334" s="17" t="str">
        <f aca="false">IF(J334="","",D334-J334)</f>
        <v/>
      </c>
      <c r="L334" s="19" t="str">
        <f aca="false">IF(K334="","",IF(K334&lt;=0,"Ömrünü doldurdu","Kullanımda"))</f>
        <v/>
      </c>
    </row>
    <row r="335" customFormat="false" ht="15" hidden="false" customHeight="false" outlineLevel="0" collapsed="false">
      <c r="A335" s="12"/>
      <c r="B335" s="13"/>
      <c r="C335" s="14"/>
      <c r="D335" s="15"/>
      <c r="E335" s="16"/>
      <c r="F335" s="13"/>
      <c r="G335" s="12"/>
      <c r="H335" s="17" t="str">
        <f aca="false">IF(OR(A335="",E335="",E335=0),"",D335/E335)</f>
        <v/>
      </c>
      <c r="I335" s="18" t="str">
        <f aca="true">IF(OR(A335="",C335=""),"",MAX(0,(TODAY()-C335)/365.25))</f>
        <v/>
      </c>
      <c r="J335" s="17" t="str">
        <f aca="false">IF(OR(H335="",I335=""),"",MIN(D335,H335*I335))</f>
        <v/>
      </c>
      <c r="K335" s="17" t="str">
        <f aca="false">IF(J335="","",D335-J335)</f>
        <v/>
      </c>
      <c r="L335" s="19" t="str">
        <f aca="false">IF(K335="","",IF(K335&lt;=0,"Ömrünü doldurdu","Kullanımda"))</f>
        <v/>
      </c>
    </row>
    <row r="336" customFormat="false" ht="15" hidden="false" customHeight="false" outlineLevel="0" collapsed="false">
      <c r="A336" s="12"/>
      <c r="B336" s="13"/>
      <c r="C336" s="14"/>
      <c r="D336" s="15"/>
      <c r="E336" s="16"/>
      <c r="F336" s="13"/>
      <c r="G336" s="12"/>
      <c r="H336" s="17" t="str">
        <f aca="false">IF(OR(A336="",E336="",E336=0),"",D336/E336)</f>
        <v/>
      </c>
      <c r="I336" s="18" t="str">
        <f aca="true">IF(OR(A336="",C336=""),"",MAX(0,(TODAY()-C336)/365.25))</f>
        <v/>
      </c>
      <c r="J336" s="17" t="str">
        <f aca="false">IF(OR(H336="",I336=""),"",MIN(D336,H336*I336))</f>
        <v/>
      </c>
      <c r="K336" s="17" t="str">
        <f aca="false">IF(J336="","",D336-J336)</f>
        <v/>
      </c>
      <c r="L336" s="19" t="str">
        <f aca="false">IF(K336="","",IF(K336&lt;=0,"Ömrünü doldurdu","Kullanımda"))</f>
        <v/>
      </c>
    </row>
    <row r="337" customFormat="false" ht="15" hidden="false" customHeight="false" outlineLevel="0" collapsed="false">
      <c r="A337" s="12"/>
      <c r="B337" s="13"/>
      <c r="C337" s="14"/>
      <c r="D337" s="15"/>
      <c r="E337" s="16"/>
      <c r="F337" s="13"/>
      <c r="G337" s="12"/>
      <c r="H337" s="17" t="str">
        <f aca="false">IF(OR(A337="",E337="",E337=0),"",D337/E337)</f>
        <v/>
      </c>
      <c r="I337" s="18" t="str">
        <f aca="true">IF(OR(A337="",C337=""),"",MAX(0,(TODAY()-C337)/365.25))</f>
        <v/>
      </c>
      <c r="J337" s="17" t="str">
        <f aca="false">IF(OR(H337="",I337=""),"",MIN(D337,H337*I337))</f>
        <v/>
      </c>
      <c r="K337" s="17" t="str">
        <f aca="false">IF(J337="","",D337-J337)</f>
        <v/>
      </c>
      <c r="L337" s="19" t="str">
        <f aca="false">IF(K337="","",IF(K337&lt;=0,"Ömrünü doldurdu","Kullanımda"))</f>
        <v/>
      </c>
    </row>
    <row r="338" customFormat="false" ht="15" hidden="false" customHeight="false" outlineLevel="0" collapsed="false">
      <c r="A338" s="12"/>
      <c r="B338" s="13"/>
      <c r="C338" s="14"/>
      <c r="D338" s="15"/>
      <c r="E338" s="16"/>
      <c r="F338" s="13"/>
      <c r="G338" s="12"/>
      <c r="H338" s="17" t="str">
        <f aca="false">IF(OR(A338="",E338="",E338=0),"",D338/E338)</f>
        <v/>
      </c>
      <c r="I338" s="18" t="str">
        <f aca="true">IF(OR(A338="",C338=""),"",MAX(0,(TODAY()-C338)/365.25))</f>
        <v/>
      </c>
      <c r="J338" s="17" t="str">
        <f aca="false">IF(OR(H338="",I338=""),"",MIN(D338,H338*I338))</f>
        <v/>
      </c>
      <c r="K338" s="17" t="str">
        <f aca="false">IF(J338="","",D338-J338)</f>
        <v/>
      </c>
      <c r="L338" s="19" t="str">
        <f aca="false">IF(K338="","",IF(K338&lt;=0,"Ömrünü doldurdu","Kullanımda"))</f>
        <v/>
      </c>
    </row>
    <row r="339" customFormat="false" ht="15" hidden="false" customHeight="false" outlineLevel="0" collapsed="false">
      <c r="A339" s="12"/>
      <c r="B339" s="13"/>
      <c r="C339" s="14"/>
      <c r="D339" s="15"/>
      <c r="E339" s="16"/>
      <c r="F339" s="13"/>
      <c r="G339" s="12"/>
      <c r="H339" s="17" t="str">
        <f aca="false">IF(OR(A339="",E339="",E339=0),"",D339/E339)</f>
        <v/>
      </c>
      <c r="I339" s="18" t="str">
        <f aca="true">IF(OR(A339="",C339=""),"",MAX(0,(TODAY()-C339)/365.25))</f>
        <v/>
      </c>
      <c r="J339" s="17" t="str">
        <f aca="false">IF(OR(H339="",I339=""),"",MIN(D339,H339*I339))</f>
        <v/>
      </c>
      <c r="K339" s="17" t="str">
        <f aca="false">IF(J339="","",D339-J339)</f>
        <v/>
      </c>
      <c r="L339" s="19" t="str">
        <f aca="false">IF(K339="","",IF(K339&lt;=0,"Ömrünü doldurdu","Kullanımda"))</f>
        <v/>
      </c>
    </row>
    <row r="340" customFormat="false" ht="15" hidden="false" customHeight="false" outlineLevel="0" collapsed="false">
      <c r="A340" s="12"/>
      <c r="B340" s="13"/>
      <c r="C340" s="14"/>
      <c r="D340" s="15"/>
      <c r="E340" s="16"/>
      <c r="F340" s="13"/>
      <c r="G340" s="12"/>
      <c r="H340" s="17" t="str">
        <f aca="false">IF(OR(A340="",E340="",E340=0),"",D340/E340)</f>
        <v/>
      </c>
      <c r="I340" s="18" t="str">
        <f aca="true">IF(OR(A340="",C340=""),"",MAX(0,(TODAY()-C340)/365.25))</f>
        <v/>
      </c>
      <c r="J340" s="17" t="str">
        <f aca="false">IF(OR(H340="",I340=""),"",MIN(D340,H340*I340))</f>
        <v/>
      </c>
      <c r="K340" s="17" t="str">
        <f aca="false">IF(J340="","",D340-J340)</f>
        <v/>
      </c>
      <c r="L340" s="19" t="str">
        <f aca="false">IF(K340="","",IF(K340&lt;=0,"Ömrünü doldurdu","Kullanımda"))</f>
        <v/>
      </c>
    </row>
    <row r="341" customFormat="false" ht="15" hidden="false" customHeight="false" outlineLevel="0" collapsed="false">
      <c r="A341" s="12"/>
      <c r="B341" s="13"/>
      <c r="C341" s="14"/>
      <c r="D341" s="15"/>
      <c r="E341" s="16"/>
      <c r="F341" s="13"/>
      <c r="G341" s="12"/>
      <c r="H341" s="17" t="str">
        <f aca="false">IF(OR(A341="",E341="",E341=0),"",D341/E341)</f>
        <v/>
      </c>
      <c r="I341" s="18" t="str">
        <f aca="true">IF(OR(A341="",C341=""),"",MAX(0,(TODAY()-C341)/365.25))</f>
        <v/>
      </c>
      <c r="J341" s="17" t="str">
        <f aca="false">IF(OR(H341="",I341=""),"",MIN(D341,H341*I341))</f>
        <v/>
      </c>
      <c r="K341" s="17" t="str">
        <f aca="false">IF(J341="","",D341-J341)</f>
        <v/>
      </c>
      <c r="L341" s="19" t="str">
        <f aca="false">IF(K341="","",IF(K341&lt;=0,"Ömrünü doldurdu","Kullanımda"))</f>
        <v/>
      </c>
    </row>
    <row r="342" customFormat="false" ht="15" hidden="false" customHeight="false" outlineLevel="0" collapsed="false">
      <c r="A342" s="12"/>
      <c r="B342" s="13"/>
      <c r="C342" s="14"/>
      <c r="D342" s="15"/>
      <c r="E342" s="16"/>
      <c r="F342" s="13"/>
      <c r="G342" s="12"/>
      <c r="H342" s="17" t="str">
        <f aca="false">IF(OR(A342="",E342="",E342=0),"",D342/E342)</f>
        <v/>
      </c>
      <c r="I342" s="18" t="str">
        <f aca="true">IF(OR(A342="",C342=""),"",MAX(0,(TODAY()-C342)/365.25))</f>
        <v/>
      </c>
      <c r="J342" s="17" t="str">
        <f aca="false">IF(OR(H342="",I342=""),"",MIN(D342,H342*I342))</f>
        <v/>
      </c>
      <c r="K342" s="17" t="str">
        <f aca="false">IF(J342="","",D342-J342)</f>
        <v/>
      </c>
      <c r="L342" s="19" t="str">
        <f aca="false">IF(K342="","",IF(K342&lt;=0,"Ömrünü doldurdu","Kullanımda"))</f>
        <v/>
      </c>
    </row>
    <row r="343" customFormat="false" ht="15" hidden="false" customHeight="false" outlineLevel="0" collapsed="false">
      <c r="A343" s="12"/>
      <c r="B343" s="13"/>
      <c r="C343" s="14"/>
      <c r="D343" s="15"/>
      <c r="E343" s="16"/>
      <c r="F343" s="13"/>
      <c r="G343" s="12"/>
      <c r="H343" s="17" t="str">
        <f aca="false">IF(OR(A343="",E343="",E343=0),"",D343/E343)</f>
        <v/>
      </c>
      <c r="I343" s="18" t="str">
        <f aca="true">IF(OR(A343="",C343=""),"",MAX(0,(TODAY()-C343)/365.25))</f>
        <v/>
      </c>
      <c r="J343" s="17" t="str">
        <f aca="false">IF(OR(H343="",I343=""),"",MIN(D343,H343*I343))</f>
        <v/>
      </c>
      <c r="K343" s="17" t="str">
        <f aca="false">IF(J343="","",D343-J343)</f>
        <v/>
      </c>
      <c r="L343" s="19" t="str">
        <f aca="false">IF(K343="","",IF(K343&lt;=0,"Ömrünü doldurdu","Kullanımda"))</f>
        <v/>
      </c>
    </row>
    <row r="344" customFormat="false" ht="15" hidden="false" customHeight="false" outlineLevel="0" collapsed="false">
      <c r="A344" s="12"/>
      <c r="B344" s="13"/>
      <c r="C344" s="14"/>
      <c r="D344" s="15"/>
      <c r="E344" s="16"/>
      <c r="F344" s="13"/>
      <c r="G344" s="12"/>
      <c r="H344" s="17" t="str">
        <f aca="false">IF(OR(A344="",E344="",E344=0),"",D344/E344)</f>
        <v/>
      </c>
      <c r="I344" s="18" t="str">
        <f aca="true">IF(OR(A344="",C344=""),"",MAX(0,(TODAY()-C344)/365.25))</f>
        <v/>
      </c>
      <c r="J344" s="17" t="str">
        <f aca="false">IF(OR(H344="",I344=""),"",MIN(D344,H344*I344))</f>
        <v/>
      </c>
      <c r="K344" s="17" t="str">
        <f aca="false">IF(J344="","",D344-J344)</f>
        <v/>
      </c>
      <c r="L344" s="19" t="str">
        <f aca="false">IF(K344="","",IF(K344&lt;=0,"Ömrünü doldurdu","Kullanımda"))</f>
        <v/>
      </c>
    </row>
    <row r="345" customFormat="false" ht="15" hidden="false" customHeight="false" outlineLevel="0" collapsed="false">
      <c r="A345" s="12"/>
      <c r="B345" s="13"/>
      <c r="C345" s="14"/>
      <c r="D345" s="15"/>
      <c r="E345" s="16"/>
      <c r="F345" s="13"/>
      <c r="G345" s="12"/>
      <c r="H345" s="17" t="str">
        <f aca="false">IF(OR(A345="",E345="",E345=0),"",D345/E345)</f>
        <v/>
      </c>
      <c r="I345" s="18" t="str">
        <f aca="true">IF(OR(A345="",C345=""),"",MAX(0,(TODAY()-C345)/365.25))</f>
        <v/>
      </c>
      <c r="J345" s="17" t="str">
        <f aca="false">IF(OR(H345="",I345=""),"",MIN(D345,H345*I345))</f>
        <v/>
      </c>
      <c r="K345" s="17" t="str">
        <f aca="false">IF(J345="","",D345-J345)</f>
        <v/>
      </c>
      <c r="L345" s="19" t="str">
        <f aca="false">IF(K345="","",IF(K345&lt;=0,"Ömrünü doldurdu","Kullanımda"))</f>
        <v/>
      </c>
    </row>
    <row r="346" customFormat="false" ht="15" hidden="false" customHeight="false" outlineLevel="0" collapsed="false">
      <c r="A346" s="12"/>
      <c r="B346" s="13"/>
      <c r="C346" s="14"/>
      <c r="D346" s="15"/>
      <c r="E346" s="16"/>
      <c r="F346" s="13"/>
      <c r="G346" s="12"/>
      <c r="H346" s="17" t="str">
        <f aca="false">IF(OR(A346="",E346="",E346=0),"",D346/E346)</f>
        <v/>
      </c>
      <c r="I346" s="18" t="str">
        <f aca="true">IF(OR(A346="",C346=""),"",MAX(0,(TODAY()-C346)/365.25))</f>
        <v/>
      </c>
      <c r="J346" s="17" t="str">
        <f aca="false">IF(OR(H346="",I346=""),"",MIN(D346,H346*I346))</f>
        <v/>
      </c>
      <c r="K346" s="17" t="str">
        <f aca="false">IF(J346="","",D346-J346)</f>
        <v/>
      </c>
      <c r="L346" s="19" t="str">
        <f aca="false">IF(K346="","",IF(K346&lt;=0,"Ömrünü doldurdu","Kullanımda"))</f>
        <v/>
      </c>
    </row>
    <row r="347" customFormat="false" ht="15" hidden="false" customHeight="false" outlineLevel="0" collapsed="false">
      <c r="A347" s="12"/>
      <c r="B347" s="13"/>
      <c r="C347" s="14"/>
      <c r="D347" s="15"/>
      <c r="E347" s="16"/>
      <c r="F347" s="13"/>
      <c r="G347" s="12"/>
      <c r="H347" s="17" t="str">
        <f aca="false">IF(OR(A347="",E347="",E347=0),"",D347/E347)</f>
        <v/>
      </c>
      <c r="I347" s="18" t="str">
        <f aca="true">IF(OR(A347="",C347=""),"",MAX(0,(TODAY()-C347)/365.25))</f>
        <v/>
      </c>
      <c r="J347" s="17" t="str">
        <f aca="false">IF(OR(H347="",I347=""),"",MIN(D347,H347*I347))</f>
        <v/>
      </c>
      <c r="K347" s="17" t="str">
        <f aca="false">IF(J347="","",D347-J347)</f>
        <v/>
      </c>
      <c r="L347" s="19" t="str">
        <f aca="false">IF(K347="","",IF(K347&lt;=0,"Ömrünü doldurdu","Kullanımda"))</f>
        <v/>
      </c>
    </row>
    <row r="348" customFormat="false" ht="15" hidden="false" customHeight="false" outlineLevel="0" collapsed="false">
      <c r="A348" s="12"/>
      <c r="B348" s="13"/>
      <c r="C348" s="14"/>
      <c r="D348" s="15"/>
      <c r="E348" s="16"/>
      <c r="F348" s="13"/>
      <c r="G348" s="12"/>
      <c r="H348" s="17" t="str">
        <f aca="false">IF(OR(A348="",E348="",E348=0),"",D348/E348)</f>
        <v/>
      </c>
      <c r="I348" s="18" t="str">
        <f aca="true">IF(OR(A348="",C348=""),"",MAX(0,(TODAY()-C348)/365.25))</f>
        <v/>
      </c>
      <c r="J348" s="17" t="str">
        <f aca="false">IF(OR(H348="",I348=""),"",MIN(D348,H348*I348))</f>
        <v/>
      </c>
      <c r="K348" s="17" t="str">
        <f aca="false">IF(J348="","",D348-J348)</f>
        <v/>
      </c>
      <c r="L348" s="19" t="str">
        <f aca="false">IF(K348="","",IF(K348&lt;=0,"Ömrünü doldurdu","Kullanımda"))</f>
        <v/>
      </c>
    </row>
    <row r="349" customFormat="false" ht="15" hidden="false" customHeight="false" outlineLevel="0" collapsed="false">
      <c r="A349" s="12"/>
      <c r="B349" s="13"/>
      <c r="C349" s="14"/>
      <c r="D349" s="15"/>
      <c r="E349" s="16"/>
      <c r="F349" s="13"/>
      <c r="G349" s="12"/>
      <c r="H349" s="17" t="str">
        <f aca="false">IF(OR(A349="",E349="",E349=0),"",D349/E349)</f>
        <v/>
      </c>
      <c r="I349" s="18" t="str">
        <f aca="true">IF(OR(A349="",C349=""),"",MAX(0,(TODAY()-C349)/365.25))</f>
        <v/>
      </c>
      <c r="J349" s="17" t="str">
        <f aca="false">IF(OR(H349="",I349=""),"",MIN(D349,H349*I349))</f>
        <v/>
      </c>
      <c r="K349" s="17" t="str">
        <f aca="false">IF(J349="","",D349-J349)</f>
        <v/>
      </c>
      <c r="L349" s="19" t="str">
        <f aca="false">IF(K349="","",IF(K349&lt;=0,"Ömrünü doldurdu","Kullanımda"))</f>
        <v/>
      </c>
    </row>
    <row r="350" customFormat="false" ht="15" hidden="false" customHeight="false" outlineLevel="0" collapsed="false">
      <c r="A350" s="12"/>
      <c r="B350" s="13"/>
      <c r="C350" s="14"/>
      <c r="D350" s="15"/>
      <c r="E350" s="16"/>
      <c r="F350" s="13"/>
      <c r="G350" s="12"/>
      <c r="H350" s="17" t="str">
        <f aca="false">IF(OR(A350="",E350="",E350=0),"",D350/E350)</f>
        <v/>
      </c>
      <c r="I350" s="18" t="str">
        <f aca="true">IF(OR(A350="",C350=""),"",MAX(0,(TODAY()-C350)/365.25))</f>
        <v/>
      </c>
      <c r="J350" s="17" t="str">
        <f aca="false">IF(OR(H350="",I350=""),"",MIN(D350,H350*I350))</f>
        <v/>
      </c>
      <c r="K350" s="17" t="str">
        <f aca="false">IF(J350="","",D350-J350)</f>
        <v/>
      </c>
      <c r="L350" s="19" t="str">
        <f aca="false">IF(K350="","",IF(K350&lt;=0,"Ömrünü doldurdu","Kullanımda"))</f>
        <v/>
      </c>
    </row>
    <row r="351" customFormat="false" ht="15" hidden="false" customHeight="false" outlineLevel="0" collapsed="false">
      <c r="A351" s="12"/>
      <c r="B351" s="13"/>
      <c r="C351" s="14"/>
      <c r="D351" s="15"/>
      <c r="E351" s="16"/>
      <c r="F351" s="13"/>
      <c r="G351" s="12"/>
      <c r="H351" s="17" t="str">
        <f aca="false">IF(OR(A351="",E351="",E351=0),"",D351/E351)</f>
        <v/>
      </c>
      <c r="I351" s="18" t="str">
        <f aca="true">IF(OR(A351="",C351=""),"",MAX(0,(TODAY()-C351)/365.25))</f>
        <v/>
      </c>
      <c r="J351" s="17" t="str">
        <f aca="false">IF(OR(H351="",I351=""),"",MIN(D351,H351*I351))</f>
        <v/>
      </c>
      <c r="K351" s="17" t="str">
        <f aca="false">IF(J351="","",D351-J351)</f>
        <v/>
      </c>
      <c r="L351" s="19" t="str">
        <f aca="false">IF(K351="","",IF(K351&lt;=0,"Ömrünü doldurdu","Kullanımda"))</f>
        <v/>
      </c>
    </row>
    <row r="352" customFormat="false" ht="15" hidden="false" customHeight="false" outlineLevel="0" collapsed="false">
      <c r="A352" s="12"/>
      <c r="B352" s="13"/>
      <c r="C352" s="14"/>
      <c r="D352" s="15"/>
      <c r="E352" s="16"/>
      <c r="F352" s="13"/>
      <c r="G352" s="12"/>
      <c r="H352" s="17" t="str">
        <f aca="false">IF(OR(A352="",E352="",E352=0),"",D352/E352)</f>
        <v/>
      </c>
      <c r="I352" s="18" t="str">
        <f aca="true">IF(OR(A352="",C352=""),"",MAX(0,(TODAY()-C352)/365.25))</f>
        <v/>
      </c>
      <c r="J352" s="17" t="str">
        <f aca="false">IF(OR(H352="",I352=""),"",MIN(D352,H352*I352))</f>
        <v/>
      </c>
      <c r="K352" s="17" t="str">
        <f aca="false">IF(J352="","",D352-J352)</f>
        <v/>
      </c>
      <c r="L352" s="19" t="str">
        <f aca="false">IF(K352="","",IF(K352&lt;=0,"Ömrünü doldurdu","Kullanımda"))</f>
        <v/>
      </c>
    </row>
    <row r="353" customFormat="false" ht="15" hidden="false" customHeight="false" outlineLevel="0" collapsed="false">
      <c r="A353" s="12"/>
      <c r="B353" s="13"/>
      <c r="C353" s="14"/>
      <c r="D353" s="15"/>
      <c r="E353" s="16"/>
      <c r="F353" s="13"/>
      <c r="G353" s="12"/>
      <c r="H353" s="17" t="str">
        <f aca="false">IF(OR(A353="",E353="",E353=0),"",D353/E353)</f>
        <v/>
      </c>
      <c r="I353" s="18" t="str">
        <f aca="true">IF(OR(A353="",C353=""),"",MAX(0,(TODAY()-C353)/365.25))</f>
        <v/>
      </c>
      <c r="J353" s="17" t="str">
        <f aca="false">IF(OR(H353="",I353=""),"",MIN(D353,H353*I353))</f>
        <v/>
      </c>
      <c r="K353" s="17" t="str">
        <f aca="false">IF(J353="","",D353-J353)</f>
        <v/>
      </c>
      <c r="L353" s="19" t="str">
        <f aca="false">IF(K353="","",IF(K353&lt;=0,"Ömrünü doldurdu","Kullanımda"))</f>
        <v/>
      </c>
    </row>
    <row r="354" customFormat="false" ht="15" hidden="false" customHeight="false" outlineLevel="0" collapsed="false">
      <c r="A354" s="12"/>
      <c r="B354" s="13"/>
      <c r="C354" s="14"/>
      <c r="D354" s="15"/>
      <c r="E354" s="16"/>
      <c r="F354" s="13"/>
      <c r="G354" s="12"/>
      <c r="H354" s="17" t="str">
        <f aca="false">IF(OR(A354="",E354="",E354=0),"",D354/E354)</f>
        <v/>
      </c>
      <c r="I354" s="18" t="str">
        <f aca="true">IF(OR(A354="",C354=""),"",MAX(0,(TODAY()-C354)/365.25))</f>
        <v/>
      </c>
      <c r="J354" s="17" t="str">
        <f aca="false">IF(OR(H354="",I354=""),"",MIN(D354,H354*I354))</f>
        <v/>
      </c>
      <c r="K354" s="17" t="str">
        <f aca="false">IF(J354="","",D354-J354)</f>
        <v/>
      </c>
      <c r="L354" s="19" t="str">
        <f aca="false">IF(K354="","",IF(K354&lt;=0,"Ömrünü doldurdu","Kullanımda"))</f>
        <v/>
      </c>
    </row>
    <row r="355" customFormat="false" ht="15" hidden="false" customHeight="false" outlineLevel="0" collapsed="false">
      <c r="A355" s="12"/>
      <c r="B355" s="13"/>
      <c r="C355" s="14"/>
      <c r="D355" s="15"/>
      <c r="E355" s="16"/>
      <c r="F355" s="13"/>
      <c r="G355" s="12"/>
      <c r="H355" s="17" t="str">
        <f aca="false">IF(OR(A355="",E355="",E355=0),"",D355/E355)</f>
        <v/>
      </c>
      <c r="I355" s="18" t="str">
        <f aca="true">IF(OR(A355="",C355=""),"",MAX(0,(TODAY()-C355)/365.25))</f>
        <v/>
      </c>
      <c r="J355" s="17" t="str">
        <f aca="false">IF(OR(H355="",I355=""),"",MIN(D355,H355*I355))</f>
        <v/>
      </c>
      <c r="K355" s="17" t="str">
        <f aca="false">IF(J355="","",D355-J355)</f>
        <v/>
      </c>
      <c r="L355" s="19" t="str">
        <f aca="false">IF(K355="","",IF(K355&lt;=0,"Ömrünü doldurdu","Kullanımda"))</f>
        <v/>
      </c>
    </row>
    <row r="356" customFormat="false" ht="15" hidden="false" customHeight="false" outlineLevel="0" collapsed="false">
      <c r="A356" s="12"/>
      <c r="B356" s="13"/>
      <c r="C356" s="14"/>
      <c r="D356" s="15"/>
      <c r="E356" s="16"/>
      <c r="F356" s="13"/>
      <c r="G356" s="12"/>
      <c r="H356" s="17" t="str">
        <f aca="false">IF(OR(A356="",E356="",E356=0),"",D356/E356)</f>
        <v/>
      </c>
      <c r="I356" s="18" t="str">
        <f aca="true">IF(OR(A356="",C356=""),"",MAX(0,(TODAY()-C356)/365.25))</f>
        <v/>
      </c>
      <c r="J356" s="17" t="str">
        <f aca="false">IF(OR(H356="",I356=""),"",MIN(D356,H356*I356))</f>
        <v/>
      </c>
      <c r="K356" s="17" t="str">
        <f aca="false">IF(J356="","",D356-J356)</f>
        <v/>
      </c>
      <c r="L356" s="19" t="str">
        <f aca="false">IF(K356="","",IF(K356&lt;=0,"Ömrünü doldurdu","Kullanımda"))</f>
        <v/>
      </c>
    </row>
    <row r="357" customFormat="false" ht="15" hidden="false" customHeight="false" outlineLevel="0" collapsed="false">
      <c r="A357" s="12"/>
      <c r="B357" s="13"/>
      <c r="C357" s="14"/>
      <c r="D357" s="15"/>
      <c r="E357" s="16"/>
      <c r="F357" s="13"/>
      <c r="G357" s="12"/>
      <c r="H357" s="17" t="str">
        <f aca="false">IF(OR(A357="",E357="",E357=0),"",D357/E357)</f>
        <v/>
      </c>
      <c r="I357" s="18" t="str">
        <f aca="true">IF(OR(A357="",C357=""),"",MAX(0,(TODAY()-C357)/365.25))</f>
        <v/>
      </c>
      <c r="J357" s="17" t="str">
        <f aca="false">IF(OR(H357="",I357=""),"",MIN(D357,H357*I357))</f>
        <v/>
      </c>
      <c r="K357" s="17" t="str">
        <f aca="false">IF(J357="","",D357-J357)</f>
        <v/>
      </c>
      <c r="L357" s="19" t="str">
        <f aca="false">IF(K357="","",IF(K357&lt;=0,"Ömrünü doldurdu","Kullanımda"))</f>
        <v/>
      </c>
    </row>
    <row r="358" customFormat="false" ht="15" hidden="false" customHeight="false" outlineLevel="0" collapsed="false">
      <c r="A358" s="12"/>
      <c r="B358" s="13"/>
      <c r="C358" s="14"/>
      <c r="D358" s="15"/>
      <c r="E358" s="16"/>
      <c r="F358" s="13"/>
      <c r="G358" s="12"/>
      <c r="H358" s="17" t="str">
        <f aca="false">IF(OR(A358="",E358="",E358=0),"",D358/E358)</f>
        <v/>
      </c>
      <c r="I358" s="18" t="str">
        <f aca="true">IF(OR(A358="",C358=""),"",MAX(0,(TODAY()-C358)/365.25))</f>
        <v/>
      </c>
      <c r="J358" s="17" t="str">
        <f aca="false">IF(OR(H358="",I358=""),"",MIN(D358,H358*I358))</f>
        <v/>
      </c>
      <c r="K358" s="17" t="str">
        <f aca="false">IF(J358="","",D358-J358)</f>
        <v/>
      </c>
      <c r="L358" s="19" t="str">
        <f aca="false">IF(K358="","",IF(K358&lt;=0,"Ömrünü doldurdu","Kullanımda"))</f>
        <v/>
      </c>
    </row>
    <row r="359" customFormat="false" ht="15" hidden="false" customHeight="false" outlineLevel="0" collapsed="false">
      <c r="A359" s="12"/>
      <c r="B359" s="13"/>
      <c r="C359" s="14"/>
      <c r="D359" s="15"/>
      <c r="E359" s="16"/>
      <c r="F359" s="13"/>
      <c r="G359" s="12"/>
      <c r="H359" s="17" t="str">
        <f aca="false">IF(OR(A359="",E359="",E359=0),"",D359/E359)</f>
        <v/>
      </c>
      <c r="I359" s="18" t="str">
        <f aca="true">IF(OR(A359="",C359=""),"",MAX(0,(TODAY()-C359)/365.25))</f>
        <v/>
      </c>
      <c r="J359" s="17" t="str">
        <f aca="false">IF(OR(H359="",I359=""),"",MIN(D359,H359*I359))</f>
        <v/>
      </c>
      <c r="K359" s="17" t="str">
        <f aca="false">IF(J359="","",D359-J359)</f>
        <v/>
      </c>
      <c r="L359" s="19" t="str">
        <f aca="false">IF(K359="","",IF(K359&lt;=0,"Ömrünü doldurdu","Kullanımda"))</f>
        <v/>
      </c>
    </row>
    <row r="360" customFormat="false" ht="15" hidden="false" customHeight="false" outlineLevel="0" collapsed="false">
      <c r="A360" s="12"/>
      <c r="B360" s="13"/>
      <c r="C360" s="14"/>
      <c r="D360" s="15"/>
      <c r="E360" s="16"/>
      <c r="F360" s="13"/>
      <c r="G360" s="12"/>
      <c r="H360" s="17" t="str">
        <f aca="false">IF(OR(A360="",E360="",E360=0),"",D360/E360)</f>
        <v/>
      </c>
      <c r="I360" s="18" t="str">
        <f aca="true">IF(OR(A360="",C360=""),"",MAX(0,(TODAY()-C360)/365.25))</f>
        <v/>
      </c>
      <c r="J360" s="17" t="str">
        <f aca="false">IF(OR(H360="",I360=""),"",MIN(D360,H360*I360))</f>
        <v/>
      </c>
      <c r="K360" s="17" t="str">
        <f aca="false">IF(J360="","",D360-J360)</f>
        <v/>
      </c>
      <c r="L360" s="19" t="str">
        <f aca="false">IF(K360="","",IF(K360&lt;=0,"Ömrünü doldurdu","Kullanımda"))</f>
        <v/>
      </c>
    </row>
    <row r="361" customFormat="false" ht="15" hidden="false" customHeight="false" outlineLevel="0" collapsed="false">
      <c r="A361" s="12"/>
      <c r="B361" s="13"/>
      <c r="C361" s="14"/>
      <c r="D361" s="15"/>
      <c r="E361" s="16"/>
      <c r="F361" s="13"/>
      <c r="G361" s="12"/>
      <c r="H361" s="17" t="str">
        <f aca="false">IF(OR(A361="",E361="",E361=0),"",D361/E361)</f>
        <v/>
      </c>
      <c r="I361" s="18" t="str">
        <f aca="true">IF(OR(A361="",C361=""),"",MAX(0,(TODAY()-C361)/365.25))</f>
        <v/>
      </c>
      <c r="J361" s="17" t="str">
        <f aca="false">IF(OR(H361="",I361=""),"",MIN(D361,H361*I361))</f>
        <v/>
      </c>
      <c r="K361" s="17" t="str">
        <f aca="false">IF(J361="","",D361-J361)</f>
        <v/>
      </c>
      <c r="L361" s="19" t="str">
        <f aca="false">IF(K361="","",IF(K361&lt;=0,"Ömrünü doldurdu","Kullanımda"))</f>
        <v/>
      </c>
    </row>
    <row r="362" customFormat="false" ht="15" hidden="false" customHeight="false" outlineLevel="0" collapsed="false">
      <c r="A362" s="12"/>
      <c r="B362" s="13"/>
      <c r="C362" s="14"/>
      <c r="D362" s="15"/>
      <c r="E362" s="16"/>
      <c r="F362" s="13"/>
      <c r="G362" s="12"/>
      <c r="H362" s="17" t="str">
        <f aca="false">IF(OR(A362="",E362="",E362=0),"",D362/E362)</f>
        <v/>
      </c>
      <c r="I362" s="18" t="str">
        <f aca="true">IF(OR(A362="",C362=""),"",MAX(0,(TODAY()-C362)/365.25))</f>
        <v/>
      </c>
      <c r="J362" s="17" t="str">
        <f aca="false">IF(OR(H362="",I362=""),"",MIN(D362,H362*I362))</f>
        <v/>
      </c>
      <c r="K362" s="17" t="str">
        <f aca="false">IF(J362="","",D362-J362)</f>
        <v/>
      </c>
      <c r="L362" s="19" t="str">
        <f aca="false">IF(K362="","",IF(K362&lt;=0,"Ömrünü doldurdu","Kullanımda"))</f>
        <v/>
      </c>
    </row>
    <row r="363" customFormat="false" ht="15" hidden="false" customHeight="false" outlineLevel="0" collapsed="false">
      <c r="A363" s="12"/>
      <c r="B363" s="13"/>
      <c r="C363" s="14"/>
      <c r="D363" s="15"/>
      <c r="E363" s="16"/>
      <c r="F363" s="13"/>
      <c r="G363" s="12"/>
      <c r="H363" s="17" t="str">
        <f aca="false">IF(OR(A363="",E363="",E363=0),"",D363/E363)</f>
        <v/>
      </c>
      <c r="I363" s="18" t="str">
        <f aca="true">IF(OR(A363="",C363=""),"",MAX(0,(TODAY()-C363)/365.25))</f>
        <v/>
      </c>
      <c r="J363" s="17" t="str">
        <f aca="false">IF(OR(H363="",I363=""),"",MIN(D363,H363*I363))</f>
        <v/>
      </c>
      <c r="K363" s="17" t="str">
        <f aca="false">IF(J363="","",D363-J363)</f>
        <v/>
      </c>
      <c r="L363" s="19" t="str">
        <f aca="false">IF(K363="","",IF(K363&lt;=0,"Ömrünü doldurdu","Kullanımda"))</f>
        <v/>
      </c>
    </row>
    <row r="364" customFormat="false" ht="15" hidden="false" customHeight="false" outlineLevel="0" collapsed="false">
      <c r="A364" s="12"/>
      <c r="B364" s="13"/>
      <c r="C364" s="14"/>
      <c r="D364" s="15"/>
      <c r="E364" s="16"/>
      <c r="F364" s="13"/>
      <c r="G364" s="12"/>
      <c r="H364" s="17" t="str">
        <f aca="false">IF(OR(A364="",E364="",E364=0),"",D364/E364)</f>
        <v/>
      </c>
      <c r="I364" s="18" t="str">
        <f aca="true">IF(OR(A364="",C364=""),"",MAX(0,(TODAY()-C364)/365.25))</f>
        <v/>
      </c>
      <c r="J364" s="17" t="str">
        <f aca="false">IF(OR(H364="",I364=""),"",MIN(D364,H364*I364))</f>
        <v/>
      </c>
      <c r="K364" s="17" t="str">
        <f aca="false">IF(J364="","",D364-J364)</f>
        <v/>
      </c>
      <c r="L364" s="19" t="str">
        <f aca="false">IF(K364="","",IF(K364&lt;=0,"Ömrünü doldurdu","Kullanımda"))</f>
        <v/>
      </c>
    </row>
    <row r="365" customFormat="false" ht="15" hidden="false" customHeight="false" outlineLevel="0" collapsed="false">
      <c r="A365" s="12"/>
      <c r="B365" s="13"/>
      <c r="C365" s="14"/>
      <c r="D365" s="15"/>
      <c r="E365" s="16"/>
      <c r="F365" s="13"/>
      <c r="G365" s="12"/>
      <c r="H365" s="17" t="str">
        <f aca="false">IF(OR(A365="",E365="",E365=0),"",D365/E365)</f>
        <v/>
      </c>
      <c r="I365" s="18" t="str">
        <f aca="true">IF(OR(A365="",C365=""),"",MAX(0,(TODAY()-C365)/365.25))</f>
        <v/>
      </c>
      <c r="J365" s="17" t="str">
        <f aca="false">IF(OR(H365="",I365=""),"",MIN(D365,H365*I365))</f>
        <v/>
      </c>
      <c r="K365" s="17" t="str">
        <f aca="false">IF(J365="","",D365-J365)</f>
        <v/>
      </c>
      <c r="L365" s="19" t="str">
        <f aca="false">IF(K365="","",IF(K365&lt;=0,"Ömrünü doldurdu","Kullanımda"))</f>
        <v/>
      </c>
    </row>
    <row r="366" customFormat="false" ht="15" hidden="false" customHeight="false" outlineLevel="0" collapsed="false">
      <c r="A366" s="12"/>
      <c r="B366" s="13"/>
      <c r="C366" s="14"/>
      <c r="D366" s="15"/>
      <c r="E366" s="16"/>
      <c r="F366" s="13"/>
      <c r="G366" s="12"/>
      <c r="H366" s="17" t="str">
        <f aca="false">IF(OR(A366="",E366="",E366=0),"",D366/E366)</f>
        <v/>
      </c>
      <c r="I366" s="18" t="str">
        <f aca="true">IF(OR(A366="",C366=""),"",MAX(0,(TODAY()-C366)/365.25))</f>
        <v/>
      </c>
      <c r="J366" s="17" t="str">
        <f aca="false">IF(OR(H366="",I366=""),"",MIN(D366,H366*I366))</f>
        <v/>
      </c>
      <c r="K366" s="17" t="str">
        <f aca="false">IF(J366="","",D366-J366)</f>
        <v/>
      </c>
      <c r="L366" s="19" t="str">
        <f aca="false">IF(K366="","",IF(K366&lt;=0,"Ömrünü doldurdu","Kullanımda"))</f>
        <v/>
      </c>
    </row>
    <row r="367" customFormat="false" ht="15" hidden="false" customHeight="false" outlineLevel="0" collapsed="false">
      <c r="A367" s="12"/>
      <c r="B367" s="13"/>
      <c r="C367" s="14"/>
      <c r="D367" s="15"/>
      <c r="E367" s="16"/>
      <c r="F367" s="13"/>
      <c r="G367" s="12"/>
      <c r="H367" s="17" t="str">
        <f aca="false">IF(OR(A367="",E367="",E367=0),"",D367/E367)</f>
        <v/>
      </c>
      <c r="I367" s="18" t="str">
        <f aca="true">IF(OR(A367="",C367=""),"",MAX(0,(TODAY()-C367)/365.25))</f>
        <v/>
      </c>
      <c r="J367" s="17" t="str">
        <f aca="false">IF(OR(H367="",I367=""),"",MIN(D367,H367*I367))</f>
        <v/>
      </c>
      <c r="K367" s="17" t="str">
        <f aca="false">IF(J367="","",D367-J367)</f>
        <v/>
      </c>
      <c r="L367" s="19" t="str">
        <f aca="false">IF(K367="","",IF(K367&lt;=0,"Ömrünü doldurdu","Kullanımda"))</f>
        <v/>
      </c>
    </row>
    <row r="368" customFormat="false" ht="15" hidden="false" customHeight="false" outlineLevel="0" collapsed="false">
      <c r="A368" s="12"/>
      <c r="B368" s="13"/>
      <c r="C368" s="14"/>
      <c r="D368" s="15"/>
      <c r="E368" s="16"/>
      <c r="F368" s="13"/>
      <c r="G368" s="12"/>
      <c r="H368" s="17" t="str">
        <f aca="false">IF(OR(A368="",E368="",E368=0),"",D368/E368)</f>
        <v/>
      </c>
      <c r="I368" s="18" t="str">
        <f aca="true">IF(OR(A368="",C368=""),"",MAX(0,(TODAY()-C368)/365.25))</f>
        <v/>
      </c>
      <c r="J368" s="17" t="str">
        <f aca="false">IF(OR(H368="",I368=""),"",MIN(D368,H368*I368))</f>
        <v/>
      </c>
      <c r="K368" s="17" t="str">
        <f aca="false">IF(J368="","",D368-J368)</f>
        <v/>
      </c>
      <c r="L368" s="19" t="str">
        <f aca="false">IF(K368="","",IF(K368&lt;=0,"Ömrünü doldurdu","Kullanımda"))</f>
        <v/>
      </c>
    </row>
    <row r="369" customFormat="false" ht="15" hidden="false" customHeight="false" outlineLevel="0" collapsed="false">
      <c r="A369" s="12"/>
      <c r="B369" s="13"/>
      <c r="C369" s="14"/>
      <c r="D369" s="15"/>
      <c r="E369" s="16"/>
      <c r="F369" s="13"/>
      <c r="G369" s="12"/>
      <c r="H369" s="17" t="str">
        <f aca="false">IF(OR(A369="",E369="",E369=0),"",D369/E369)</f>
        <v/>
      </c>
      <c r="I369" s="18" t="str">
        <f aca="true">IF(OR(A369="",C369=""),"",MAX(0,(TODAY()-C369)/365.25))</f>
        <v/>
      </c>
      <c r="J369" s="17" t="str">
        <f aca="false">IF(OR(H369="",I369=""),"",MIN(D369,H369*I369))</f>
        <v/>
      </c>
      <c r="K369" s="17" t="str">
        <f aca="false">IF(J369="","",D369-J369)</f>
        <v/>
      </c>
      <c r="L369" s="19" t="str">
        <f aca="false">IF(K369="","",IF(K369&lt;=0,"Ömrünü doldurdu","Kullanımda"))</f>
        <v/>
      </c>
    </row>
    <row r="370" customFormat="false" ht="15" hidden="false" customHeight="false" outlineLevel="0" collapsed="false">
      <c r="A370" s="12"/>
      <c r="B370" s="13"/>
      <c r="C370" s="14"/>
      <c r="D370" s="15"/>
      <c r="E370" s="16"/>
      <c r="F370" s="13"/>
      <c r="G370" s="12"/>
      <c r="H370" s="17" t="str">
        <f aca="false">IF(OR(A370="",E370="",E370=0),"",D370/E370)</f>
        <v/>
      </c>
      <c r="I370" s="18" t="str">
        <f aca="true">IF(OR(A370="",C370=""),"",MAX(0,(TODAY()-C370)/365.25))</f>
        <v/>
      </c>
      <c r="J370" s="17" t="str">
        <f aca="false">IF(OR(H370="",I370=""),"",MIN(D370,H370*I370))</f>
        <v/>
      </c>
      <c r="K370" s="17" t="str">
        <f aca="false">IF(J370="","",D370-J370)</f>
        <v/>
      </c>
      <c r="L370" s="19" t="str">
        <f aca="false">IF(K370="","",IF(K370&lt;=0,"Ömrünü doldurdu","Kullanımda"))</f>
        <v/>
      </c>
    </row>
    <row r="371" customFormat="false" ht="15" hidden="false" customHeight="false" outlineLevel="0" collapsed="false">
      <c r="A371" s="12"/>
      <c r="B371" s="13"/>
      <c r="C371" s="14"/>
      <c r="D371" s="15"/>
      <c r="E371" s="16"/>
      <c r="F371" s="13"/>
      <c r="G371" s="12"/>
      <c r="H371" s="17" t="str">
        <f aca="false">IF(OR(A371="",E371="",E371=0),"",D371/E371)</f>
        <v/>
      </c>
      <c r="I371" s="18" t="str">
        <f aca="true">IF(OR(A371="",C371=""),"",MAX(0,(TODAY()-C371)/365.25))</f>
        <v/>
      </c>
      <c r="J371" s="17" t="str">
        <f aca="false">IF(OR(H371="",I371=""),"",MIN(D371,H371*I371))</f>
        <v/>
      </c>
      <c r="K371" s="17" t="str">
        <f aca="false">IF(J371="","",D371-J371)</f>
        <v/>
      </c>
      <c r="L371" s="19" t="str">
        <f aca="false">IF(K371="","",IF(K371&lt;=0,"Ömrünü doldurdu","Kullanımda"))</f>
        <v/>
      </c>
    </row>
    <row r="372" customFormat="false" ht="15" hidden="false" customHeight="false" outlineLevel="0" collapsed="false">
      <c r="A372" s="12"/>
      <c r="B372" s="13"/>
      <c r="C372" s="14"/>
      <c r="D372" s="15"/>
      <c r="E372" s="16"/>
      <c r="F372" s="13"/>
      <c r="G372" s="12"/>
      <c r="H372" s="17" t="str">
        <f aca="false">IF(OR(A372="",E372="",E372=0),"",D372/E372)</f>
        <v/>
      </c>
      <c r="I372" s="18" t="str">
        <f aca="true">IF(OR(A372="",C372=""),"",MAX(0,(TODAY()-C372)/365.25))</f>
        <v/>
      </c>
      <c r="J372" s="17" t="str">
        <f aca="false">IF(OR(H372="",I372=""),"",MIN(D372,H372*I372))</f>
        <v/>
      </c>
      <c r="K372" s="17" t="str">
        <f aca="false">IF(J372="","",D372-J372)</f>
        <v/>
      </c>
      <c r="L372" s="19" t="str">
        <f aca="false">IF(K372="","",IF(K372&lt;=0,"Ömrünü doldurdu","Kullanımda"))</f>
        <v/>
      </c>
    </row>
    <row r="373" customFormat="false" ht="15" hidden="false" customHeight="false" outlineLevel="0" collapsed="false">
      <c r="A373" s="12"/>
      <c r="B373" s="13"/>
      <c r="C373" s="14"/>
      <c r="D373" s="15"/>
      <c r="E373" s="16"/>
      <c r="F373" s="13"/>
      <c r="G373" s="12"/>
      <c r="H373" s="17" t="str">
        <f aca="false">IF(OR(A373="",E373="",E373=0),"",D373/E373)</f>
        <v/>
      </c>
      <c r="I373" s="18" t="str">
        <f aca="true">IF(OR(A373="",C373=""),"",MAX(0,(TODAY()-C373)/365.25))</f>
        <v/>
      </c>
      <c r="J373" s="17" t="str">
        <f aca="false">IF(OR(H373="",I373=""),"",MIN(D373,H373*I373))</f>
        <v/>
      </c>
      <c r="K373" s="17" t="str">
        <f aca="false">IF(J373="","",D373-J373)</f>
        <v/>
      </c>
      <c r="L373" s="19" t="str">
        <f aca="false">IF(K373="","",IF(K373&lt;=0,"Ömrünü doldurdu","Kullanımda"))</f>
        <v/>
      </c>
    </row>
    <row r="374" customFormat="false" ht="15" hidden="false" customHeight="false" outlineLevel="0" collapsed="false">
      <c r="A374" s="12"/>
      <c r="B374" s="13"/>
      <c r="C374" s="14"/>
      <c r="D374" s="15"/>
      <c r="E374" s="16"/>
      <c r="F374" s="13"/>
      <c r="G374" s="12"/>
      <c r="H374" s="17" t="str">
        <f aca="false">IF(OR(A374="",E374="",E374=0),"",D374/E374)</f>
        <v/>
      </c>
      <c r="I374" s="18" t="str">
        <f aca="true">IF(OR(A374="",C374=""),"",MAX(0,(TODAY()-C374)/365.25))</f>
        <v/>
      </c>
      <c r="J374" s="17" t="str">
        <f aca="false">IF(OR(H374="",I374=""),"",MIN(D374,H374*I374))</f>
        <v/>
      </c>
      <c r="K374" s="17" t="str">
        <f aca="false">IF(J374="","",D374-J374)</f>
        <v/>
      </c>
      <c r="L374" s="19" t="str">
        <f aca="false">IF(K374="","",IF(K374&lt;=0,"Ömrünü doldurdu","Kullanımda"))</f>
        <v/>
      </c>
    </row>
    <row r="375" customFormat="false" ht="15" hidden="false" customHeight="false" outlineLevel="0" collapsed="false">
      <c r="A375" s="12"/>
      <c r="B375" s="13"/>
      <c r="C375" s="14"/>
      <c r="D375" s="15"/>
      <c r="E375" s="16"/>
      <c r="F375" s="13"/>
      <c r="G375" s="12"/>
      <c r="H375" s="17" t="str">
        <f aca="false">IF(OR(A375="",E375="",E375=0),"",D375/E375)</f>
        <v/>
      </c>
      <c r="I375" s="18" t="str">
        <f aca="true">IF(OR(A375="",C375=""),"",MAX(0,(TODAY()-C375)/365.25))</f>
        <v/>
      </c>
      <c r="J375" s="17" t="str">
        <f aca="false">IF(OR(H375="",I375=""),"",MIN(D375,H375*I375))</f>
        <v/>
      </c>
      <c r="K375" s="17" t="str">
        <f aca="false">IF(J375="","",D375-J375)</f>
        <v/>
      </c>
      <c r="L375" s="19" t="str">
        <f aca="false">IF(K375="","",IF(K375&lt;=0,"Ömrünü doldurdu","Kullanımda"))</f>
        <v/>
      </c>
    </row>
    <row r="376" customFormat="false" ht="15" hidden="false" customHeight="false" outlineLevel="0" collapsed="false">
      <c r="A376" s="12"/>
      <c r="B376" s="13"/>
      <c r="C376" s="14"/>
      <c r="D376" s="15"/>
      <c r="E376" s="16"/>
      <c r="F376" s="13"/>
      <c r="G376" s="12"/>
      <c r="H376" s="17" t="str">
        <f aca="false">IF(OR(A376="",E376="",E376=0),"",D376/E376)</f>
        <v/>
      </c>
      <c r="I376" s="18" t="str">
        <f aca="true">IF(OR(A376="",C376=""),"",MAX(0,(TODAY()-C376)/365.25))</f>
        <v/>
      </c>
      <c r="J376" s="17" t="str">
        <f aca="false">IF(OR(H376="",I376=""),"",MIN(D376,H376*I376))</f>
        <v/>
      </c>
      <c r="K376" s="17" t="str">
        <f aca="false">IF(J376="","",D376-J376)</f>
        <v/>
      </c>
      <c r="L376" s="19" t="str">
        <f aca="false">IF(K376="","",IF(K376&lt;=0,"Ömrünü doldurdu","Kullanımda"))</f>
        <v/>
      </c>
    </row>
    <row r="377" customFormat="false" ht="15" hidden="false" customHeight="false" outlineLevel="0" collapsed="false">
      <c r="A377" s="12"/>
      <c r="B377" s="13"/>
      <c r="C377" s="14"/>
      <c r="D377" s="15"/>
      <c r="E377" s="16"/>
      <c r="F377" s="13"/>
      <c r="G377" s="12"/>
      <c r="H377" s="17" t="str">
        <f aca="false">IF(OR(A377="",E377="",E377=0),"",D377/E377)</f>
        <v/>
      </c>
      <c r="I377" s="18" t="str">
        <f aca="true">IF(OR(A377="",C377=""),"",MAX(0,(TODAY()-C377)/365.25))</f>
        <v/>
      </c>
      <c r="J377" s="17" t="str">
        <f aca="false">IF(OR(H377="",I377=""),"",MIN(D377,H377*I377))</f>
        <v/>
      </c>
      <c r="K377" s="17" t="str">
        <f aca="false">IF(J377="","",D377-J377)</f>
        <v/>
      </c>
      <c r="L377" s="19" t="str">
        <f aca="false">IF(K377="","",IF(K377&lt;=0,"Ömrünü doldurdu","Kullanımda"))</f>
        <v/>
      </c>
    </row>
    <row r="378" customFormat="false" ht="15" hidden="false" customHeight="false" outlineLevel="0" collapsed="false">
      <c r="A378" s="12"/>
      <c r="B378" s="13"/>
      <c r="C378" s="14"/>
      <c r="D378" s="15"/>
      <c r="E378" s="16"/>
      <c r="F378" s="13"/>
      <c r="G378" s="12"/>
      <c r="H378" s="17" t="str">
        <f aca="false">IF(OR(A378="",E378="",E378=0),"",D378/E378)</f>
        <v/>
      </c>
      <c r="I378" s="18" t="str">
        <f aca="true">IF(OR(A378="",C378=""),"",MAX(0,(TODAY()-C378)/365.25))</f>
        <v/>
      </c>
      <c r="J378" s="17" t="str">
        <f aca="false">IF(OR(H378="",I378=""),"",MIN(D378,H378*I378))</f>
        <v/>
      </c>
      <c r="K378" s="17" t="str">
        <f aca="false">IF(J378="","",D378-J378)</f>
        <v/>
      </c>
      <c r="L378" s="19" t="str">
        <f aca="false">IF(K378="","",IF(K378&lt;=0,"Ömrünü doldurdu","Kullanımda"))</f>
        <v/>
      </c>
    </row>
    <row r="379" customFormat="false" ht="15" hidden="false" customHeight="false" outlineLevel="0" collapsed="false">
      <c r="A379" s="12"/>
      <c r="B379" s="13"/>
      <c r="C379" s="14"/>
      <c r="D379" s="15"/>
      <c r="E379" s="16"/>
      <c r="F379" s="13"/>
      <c r="G379" s="12"/>
      <c r="H379" s="17" t="str">
        <f aca="false">IF(OR(A379="",E379="",E379=0),"",D379/E379)</f>
        <v/>
      </c>
      <c r="I379" s="18" t="str">
        <f aca="true">IF(OR(A379="",C379=""),"",MAX(0,(TODAY()-C379)/365.25))</f>
        <v/>
      </c>
      <c r="J379" s="17" t="str">
        <f aca="false">IF(OR(H379="",I379=""),"",MIN(D379,H379*I379))</f>
        <v/>
      </c>
      <c r="K379" s="17" t="str">
        <f aca="false">IF(J379="","",D379-J379)</f>
        <v/>
      </c>
      <c r="L379" s="19" t="str">
        <f aca="false">IF(K379="","",IF(K379&lt;=0,"Ömrünü doldurdu","Kullanımda"))</f>
        <v/>
      </c>
    </row>
    <row r="380" customFormat="false" ht="15" hidden="false" customHeight="false" outlineLevel="0" collapsed="false">
      <c r="A380" s="12"/>
      <c r="B380" s="13"/>
      <c r="C380" s="14"/>
      <c r="D380" s="15"/>
      <c r="E380" s="16"/>
      <c r="F380" s="13"/>
      <c r="G380" s="12"/>
      <c r="H380" s="17" t="str">
        <f aca="false">IF(OR(A380="",E380="",E380=0),"",D380/E380)</f>
        <v/>
      </c>
      <c r="I380" s="18" t="str">
        <f aca="true">IF(OR(A380="",C380=""),"",MAX(0,(TODAY()-C380)/365.25))</f>
        <v/>
      </c>
      <c r="J380" s="17" t="str">
        <f aca="false">IF(OR(H380="",I380=""),"",MIN(D380,H380*I380))</f>
        <v/>
      </c>
      <c r="K380" s="17" t="str">
        <f aca="false">IF(J380="","",D380-J380)</f>
        <v/>
      </c>
      <c r="L380" s="19" t="str">
        <f aca="false">IF(K380="","",IF(K380&lt;=0,"Ömrünü doldurdu","Kullanımda"))</f>
        <v/>
      </c>
    </row>
    <row r="381" customFormat="false" ht="15" hidden="false" customHeight="false" outlineLevel="0" collapsed="false">
      <c r="A381" s="12"/>
      <c r="B381" s="13"/>
      <c r="C381" s="14"/>
      <c r="D381" s="15"/>
      <c r="E381" s="16"/>
      <c r="F381" s="13"/>
      <c r="G381" s="12"/>
      <c r="H381" s="17" t="str">
        <f aca="false">IF(OR(A381="",E381="",E381=0),"",D381/E381)</f>
        <v/>
      </c>
      <c r="I381" s="18" t="str">
        <f aca="true">IF(OR(A381="",C381=""),"",MAX(0,(TODAY()-C381)/365.25))</f>
        <v/>
      </c>
      <c r="J381" s="17" t="str">
        <f aca="false">IF(OR(H381="",I381=""),"",MIN(D381,H381*I381))</f>
        <v/>
      </c>
      <c r="K381" s="17" t="str">
        <f aca="false">IF(J381="","",D381-J381)</f>
        <v/>
      </c>
      <c r="L381" s="19" t="str">
        <f aca="false">IF(K381="","",IF(K381&lt;=0,"Ömrünü doldurdu","Kullanımda"))</f>
        <v/>
      </c>
    </row>
    <row r="382" customFormat="false" ht="15" hidden="false" customHeight="false" outlineLevel="0" collapsed="false">
      <c r="A382" s="12"/>
      <c r="B382" s="13"/>
      <c r="C382" s="14"/>
      <c r="D382" s="15"/>
      <c r="E382" s="16"/>
      <c r="F382" s="13"/>
      <c r="G382" s="12"/>
      <c r="H382" s="17" t="str">
        <f aca="false">IF(OR(A382="",E382="",E382=0),"",D382/E382)</f>
        <v/>
      </c>
      <c r="I382" s="18" t="str">
        <f aca="true">IF(OR(A382="",C382=""),"",MAX(0,(TODAY()-C382)/365.25))</f>
        <v/>
      </c>
      <c r="J382" s="17" t="str">
        <f aca="false">IF(OR(H382="",I382=""),"",MIN(D382,H382*I382))</f>
        <v/>
      </c>
      <c r="K382" s="17" t="str">
        <f aca="false">IF(J382="","",D382-J382)</f>
        <v/>
      </c>
      <c r="L382" s="19" t="str">
        <f aca="false">IF(K382="","",IF(K382&lt;=0,"Ömrünü doldurdu","Kullanımda"))</f>
        <v/>
      </c>
    </row>
    <row r="383" customFormat="false" ht="15" hidden="false" customHeight="false" outlineLevel="0" collapsed="false">
      <c r="A383" s="12"/>
      <c r="B383" s="13"/>
      <c r="C383" s="14"/>
      <c r="D383" s="15"/>
      <c r="E383" s="16"/>
      <c r="F383" s="13"/>
      <c r="G383" s="12"/>
      <c r="H383" s="17" t="str">
        <f aca="false">IF(OR(A383="",E383="",E383=0),"",D383/E383)</f>
        <v/>
      </c>
      <c r="I383" s="18" t="str">
        <f aca="true">IF(OR(A383="",C383=""),"",MAX(0,(TODAY()-C383)/365.25))</f>
        <v/>
      </c>
      <c r="J383" s="17" t="str">
        <f aca="false">IF(OR(H383="",I383=""),"",MIN(D383,H383*I383))</f>
        <v/>
      </c>
      <c r="K383" s="17" t="str">
        <f aca="false">IF(J383="","",D383-J383)</f>
        <v/>
      </c>
      <c r="L383" s="19" t="str">
        <f aca="false">IF(K383="","",IF(K383&lt;=0,"Ömrünü doldurdu","Kullanımda"))</f>
        <v/>
      </c>
    </row>
    <row r="384" customFormat="false" ht="15" hidden="false" customHeight="false" outlineLevel="0" collapsed="false">
      <c r="A384" s="12"/>
      <c r="B384" s="13"/>
      <c r="C384" s="14"/>
      <c r="D384" s="15"/>
      <c r="E384" s="16"/>
      <c r="F384" s="13"/>
      <c r="G384" s="12"/>
      <c r="H384" s="17" t="str">
        <f aca="false">IF(OR(A384="",E384="",E384=0),"",D384/E384)</f>
        <v/>
      </c>
      <c r="I384" s="18" t="str">
        <f aca="true">IF(OR(A384="",C384=""),"",MAX(0,(TODAY()-C384)/365.25))</f>
        <v/>
      </c>
      <c r="J384" s="17" t="str">
        <f aca="false">IF(OR(H384="",I384=""),"",MIN(D384,H384*I384))</f>
        <v/>
      </c>
      <c r="K384" s="17" t="str">
        <f aca="false">IF(J384="","",D384-J384)</f>
        <v/>
      </c>
      <c r="L384" s="19" t="str">
        <f aca="false">IF(K384="","",IF(K384&lt;=0,"Ömrünü doldurdu","Kullanımda"))</f>
        <v/>
      </c>
    </row>
    <row r="385" customFormat="false" ht="15" hidden="false" customHeight="false" outlineLevel="0" collapsed="false">
      <c r="A385" s="12"/>
      <c r="B385" s="13"/>
      <c r="C385" s="14"/>
      <c r="D385" s="15"/>
      <c r="E385" s="16"/>
      <c r="F385" s="13"/>
      <c r="G385" s="12"/>
      <c r="H385" s="17" t="str">
        <f aca="false">IF(OR(A385="",E385="",E385=0),"",D385/E385)</f>
        <v/>
      </c>
      <c r="I385" s="18" t="str">
        <f aca="true">IF(OR(A385="",C385=""),"",MAX(0,(TODAY()-C385)/365.25))</f>
        <v/>
      </c>
      <c r="J385" s="17" t="str">
        <f aca="false">IF(OR(H385="",I385=""),"",MIN(D385,H385*I385))</f>
        <v/>
      </c>
      <c r="K385" s="17" t="str">
        <f aca="false">IF(J385="","",D385-J385)</f>
        <v/>
      </c>
      <c r="L385" s="19" t="str">
        <f aca="false">IF(K385="","",IF(K385&lt;=0,"Ömrünü doldurdu","Kullanımda"))</f>
        <v/>
      </c>
    </row>
    <row r="386" customFormat="false" ht="15" hidden="false" customHeight="false" outlineLevel="0" collapsed="false">
      <c r="A386" s="12"/>
      <c r="B386" s="13"/>
      <c r="C386" s="14"/>
      <c r="D386" s="15"/>
      <c r="E386" s="16"/>
      <c r="F386" s="13"/>
      <c r="G386" s="12"/>
      <c r="H386" s="17" t="str">
        <f aca="false">IF(OR(A386="",E386="",E386=0),"",D386/E386)</f>
        <v/>
      </c>
      <c r="I386" s="18" t="str">
        <f aca="true">IF(OR(A386="",C386=""),"",MAX(0,(TODAY()-C386)/365.25))</f>
        <v/>
      </c>
      <c r="J386" s="17" t="str">
        <f aca="false">IF(OR(H386="",I386=""),"",MIN(D386,H386*I386))</f>
        <v/>
      </c>
      <c r="K386" s="17" t="str">
        <f aca="false">IF(J386="","",D386-J386)</f>
        <v/>
      </c>
      <c r="L386" s="19" t="str">
        <f aca="false">IF(K386="","",IF(K386&lt;=0,"Ömrünü doldurdu","Kullanımda"))</f>
        <v/>
      </c>
    </row>
    <row r="387" customFormat="false" ht="15" hidden="false" customHeight="false" outlineLevel="0" collapsed="false">
      <c r="A387" s="12"/>
      <c r="B387" s="13"/>
      <c r="C387" s="14"/>
      <c r="D387" s="15"/>
      <c r="E387" s="16"/>
      <c r="F387" s="13"/>
      <c r="G387" s="12"/>
      <c r="H387" s="17" t="str">
        <f aca="false">IF(OR(A387="",E387="",E387=0),"",D387/E387)</f>
        <v/>
      </c>
      <c r="I387" s="18" t="str">
        <f aca="true">IF(OR(A387="",C387=""),"",MAX(0,(TODAY()-C387)/365.25))</f>
        <v/>
      </c>
      <c r="J387" s="17" t="str">
        <f aca="false">IF(OR(H387="",I387=""),"",MIN(D387,H387*I387))</f>
        <v/>
      </c>
      <c r="K387" s="17" t="str">
        <f aca="false">IF(J387="","",D387-J387)</f>
        <v/>
      </c>
      <c r="L387" s="19" t="str">
        <f aca="false">IF(K387="","",IF(K387&lt;=0,"Ömrünü doldurdu","Kullanımda"))</f>
        <v/>
      </c>
    </row>
    <row r="388" customFormat="false" ht="15" hidden="false" customHeight="false" outlineLevel="0" collapsed="false">
      <c r="A388" s="12"/>
      <c r="B388" s="13"/>
      <c r="C388" s="14"/>
      <c r="D388" s="15"/>
      <c r="E388" s="16"/>
      <c r="F388" s="13"/>
      <c r="G388" s="12"/>
      <c r="H388" s="17" t="str">
        <f aca="false">IF(OR(A388="",E388="",E388=0),"",D388/E388)</f>
        <v/>
      </c>
      <c r="I388" s="18" t="str">
        <f aca="true">IF(OR(A388="",C388=""),"",MAX(0,(TODAY()-C388)/365.25))</f>
        <v/>
      </c>
      <c r="J388" s="17" t="str">
        <f aca="false">IF(OR(H388="",I388=""),"",MIN(D388,H388*I388))</f>
        <v/>
      </c>
      <c r="K388" s="17" t="str">
        <f aca="false">IF(J388="","",D388-J388)</f>
        <v/>
      </c>
      <c r="L388" s="19" t="str">
        <f aca="false">IF(K388="","",IF(K388&lt;=0,"Ömrünü doldurdu","Kullanımda"))</f>
        <v/>
      </c>
    </row>
    <row r="389" customFormat="false" ht="15" hidden="false" customHeight="false" outlineLevel="0" collapsed="false">
      <c r="A389" s="12"/>
      <c r="B389" s="13"/>
      <c r="C389" s="14"/>
      <c r="D389" s="15"/>
      <c r="E389" s="16"/>
      <c r="F389" s="13"/>
      <c r="G389" s="12"/>
      <c r="H389" s="17" t="str">
        <f aca="false">IF(OR(A389="",E389="",E389=0),"",D389/E389)</f>
        <v/>
      </c>
      <c r="I389" s="18" t="str">
        <f aca="true">IF(OR(A389="",C389=""),"",MAX(0,(TODAY()-C389)/365.25))</f>
        <v/>
      </c>
      <c r="J389" s="17" t="str">
        <f aca="false">IF(OR(H389="",I389=""),"",MIN(D389,H389*I389))</f>
        <v/>
      </c>
      <c r="K389" s="17" t="str">
        <f aca="false">IF(J389="","",D389-J389)</f>
        <v/>
      </c>
      <c r="L389" s="19" t="str">
        <f aca="false">IF(K389="","",IF(K389&lt;=0,"Ömrünü doldurdu","Kullanımda"))</f>
        <v/>
      </c>
    </row>
    <row r="390" customFormat="false" ht="15" hidden="false" customHeight="false" outlineLevel="0" collapsed="false">
      <c r="A390" s="12"/>
      <c r="B390" s="13"/>
      <c r="C390" s="14"/>
      <c r="D390" s="15"/>
      <c r="E390" s="16"/>
      <c r="F390" s="13"/>
      <c r="G390" s="12"/>
      <c r="H390" s="17" t="str">
        <f aca="false">IF(OR(A390="",E390="",E390=0),"",D390/E390)</f>
        <v/>
      </c>
      <c r="I390" s="18" t="str">
        <f aca="true">IF(OR(A390="",C390=""),"",MAX(0,(TODAY()-C390)/365.25))</f>
        <v/>
      </c>
      <c r="J390" s="17" t="str">
        <f aca="false">IF(OR(H390="",I390=""),"",MIN(D390,H390*I390))</f>
        <v/>
      </c>
      <c r="K390" s="17" t="str">
        <f aca="false">IF(J390="","",D390-J390)</f>
        <v/>
      </c>
      <c r="L390" s="19" t="str">
        <f aca="false">IF(K390="","",IF(K390&lt;=0,"Ömrünü doldurdu","Kullanımda"))</f>
        <v/>
      </c>
    </row>
    <row r="391" customFormat="false" ht="15" hidden="false" customHeight="false" outlineLevel="0" collapsed="false">
      <c r="A391" s="12"/>
      <c r="B391" s="13"/>
      <c r="C391" s="14"/>
      <c r="D391" s="15"/>
      <c r="E391" s="16"/>
      <c r="F391" s="13"/>
      <c r="G391" s="12"/>
      <c r="H391" s="17" t="str">
        <f aca="false">IF(OR(A391="",E391="",E391=0),"",D391/E391)</f>
        <v/>
      </c>
      <c r="I391" s="18" t="str">
        <f aca="true">IF(OR(A391="",C391=""),"",MAX(0,(TODAY()-C391)/365.25))</f>
        <v/>
      </c>
      <c r="J391" s="17" t="str">
        <f aca="false">IF(OR(H391="",I391=""),"",MIN(D391,H391*I391))</f>
        <v/>
      </c>
      <c r="K391" s="17" t="str">
        <f aca="false">IF(J391="","",D391-J391)</f>
        <v/>
      </c>
      <c r="L391" s="19" t="str">
        <f aca="false">IF(K391="","",IF(K391&lt;=0,"Ömrünü doldurdu","Kullanımda"))</f>
        <v/>
      </c>
    </row>
    <row r="392" customFormat="false" ht="15" hidden="false" customHeight="false" outlineLevel="0" collapsed="false">
      <c r="A392" s="12"/>
      <c r="B392" s="13"/>
      <c r="C392" s="14"/>
      <c r="D392" s="15"/>
      <c r="E392" s="16"/>
      <c r="F392" s="13"/>
      <c r="G392" s="12"/>
      <c r="H392" s="17" t="str">
        <f aca="false">IF(OR(A392="",E392="",E392=0),"",D392/E392)</f>
        <v/>
      </c>
      <c r="I392" s="18" t="str">
        <f aca="true">IF(OR(A392="",C392=""),"",MAX(0,(TODAY()-C392)/365.25))</f>
        <v/>
      </c>
      <c r="J392" s="17" t="str">
        <f aca="false">IF(OR(H392="",I392=""),"",MIN(D392,H392*I392))</f>
        <v/>
      </c>
      <c r="K392" s="17" t="str">
        <f aca="false">IF(J392="","",D392-J392)</f>
        <v/>
      </c>
      <c r="L392" s="19" t="str">
        <f aca="false">IF(K392="","",IF(K392&lt;=0,"Ömrünü doldurdu","Kullanımda"))</f>
        <v/>
      </c>
    </row>
    <row r="393" customFormat="false" ht="15" hidden="false" customHeight="false" outlineLevel="0" collapsed="false">
      <c r="A393" s="12"/>
      <c r="B393" s="13"/>
      <c r="C393" s="14"/>
      <c r="D393" s="15"/>
      <c r="E393" s="16"/>
      <c r="F393" s="13"/>
      <c r="G393" s="12"/>
      <c r="H393" s="17" t="str">
        <f aca="false">IF(OR(A393="",E393="",E393=0),"",D393/E393)</f>
        <v/>
      </c>
      <c r="I393" s="18" t="str">
        <f aca="true">IF(OR(A393="",C393=""),"",MAX(0,(TODAY()-C393)/365.25))</f>
        <v/>
      </c>
      <c r="J393" s="17" t="str">
        <f aca="false">IF(OR(H393="",I393=""),"",MIN(D393,H393*I393))</f>
        <v/>
      </c>
      <c r="K393" s="17" t="str">
        <f aca="false">IF(J393="","",D393-J393)</f>
        <v/>
      </c>
      <c r="L393" s="19" t="str">
        <f aca="false">IF(K393="","",IF(K393&lt;=0,"Ömrünü doldurdu","Kullanımda"))</f>
        <v/>
      </c>
    </row>
    <row r="394" customFormat="false" ht="15" hidden="false" customHeight="false" outlineLevel="0" collapsed="false">
      <c r="A394" s="12"/>
      <c r="B394" s="13"/>
      <c r="C394" s="14"/>
      <c r="D394" s="15"/>
      <c r="E394" s="16"/>
      <c r="F394" s="13"/>
      <c r="G394" s="12"/>
      <c r="H394" s="17" t="str">
        <f aca="false">IF(OR(A394="",E394="",E394=0),"",D394/E394)</f>
        <v/>
      </c>
      <c r="I394" s="18" t="str">
        <f aca="true">IF(OR(A394="",C394=""),"",MAX(0,(TODAY()-C394)/365.25))</f>
        <v/>
      </c>
      <c r="J394" s="17" t="str">
        <f aca="false">IF(OR(H394="",I394=""),"",MIN(D394,H394*I394))</f>
        <v/>
      </c>
      <c r="K394" s="17" t="str">
        <f aca="false">IF(J394="","",D394-J394)</f>
        <v/>
      </c>
      <c r="L394" s="19" t="str">
        <f aca="false">IF(K394="","",IF(K394&lt;=0,"Ömrünü doldurdu","Kullanımda"))</f>
        <v/>
      </c>
    </row>
    <row r="395" customFormat="false" ht="15" hidden="false" customHeight="false" outlineLevel="0" collapsed="false">
      <c r="A395" s="12"/>
      <c r="B395" s="13"/>
      <c r="C395" s="14"/>
      <c r="D395" s="15"/>
      <c r="E395" s="16"/>
      <c r="F395" s="13"/>
      <c r="G395" s="12"/>
      <c r="H395" s="17" t="str">
        <f aca="false">IF(OR(A395="",E395="",E395=0),"",D395/E395)</f>
        <v/>
      </c>
      <c r="I395" s="18" t="str">
        <f aca="true">IF(OR(A395="",C395=""),"",MAX(0,(TODAY()-C395)/365.25))</f>
        <v/>
      </c>
      <c r="J395" s="17" t="str">
        <f aca="false">IF(OR(H395="",I395=""),"",MIN(D395,H395*I395))</f>
        <v/>
      </c>
      <c r="K395" s="17" t="str">
        <f aca="false">IF(J395="","",D395-J395)</f>
        <v/>
      </c>
      <c r="L395" s="19" t="str">
        <f aca="false">IF(K395="","",IF(K395&lt;=0,"Ömrünü doldurdu","Kullanımda"))</f>
        <v/>
      </c>
    </row>
    <row r="396" customFormat="false" ht="15" hidden="false" customHeight="false" outlineLevel="0" collapsed="false">
      <c r="A396" s="12"/>
      <c r="B396" s="13"/>
      <c r="C396" s="14"/>
      <c r="D396" s="15"/>
      <c r="E396" s="16"/>
      <c r="F396" s="13"/>
      <c r="G396" s="12"/>
      <c r="H396" s="17" t="str">
        <f aca="false">IF(OR(A396="",E396="",E396=0),"",D396/E396)</f>
        <v/>
      </c>
      <c r="I396" s="18" t="str">
        <f aca="true">IF(OR(A396="",C396=""),"",MAX(0,(TODAY()-C396)/365.25))</f>
        <v/>
      </c>
      <c r="J396" s="17" t="str">
        <f aca="false">IF(OR(H396="",I396=""),"",MIN(D396,H396*I396))</f>
        <v/>
      </c>
      <c r="K396" s="17" t="str">
        <f aca="false">IF(J396="","",D396-J396)</f>
        <v/>
      </c>
      <c r="L396" s="19" t="str">
        <f aca="false">IF(K396="","",IF(K396&lt;=0,"Ömrünü doldurdu","Kullanımda"))</f>
        <v/>
      </c>
    </row>
    <row r="397" customFormat="false" ht="15" hidden="false" customHeight="false" outlineLevel="0" collapsed="false">
      <c r="A397" s="12"/>
      <c r="B397" s="13"/>
      <c r="C397" s="14"/>
      <c r="D397" s="15"/>
      <c r="E397" s="16"/>
      <c r="F397" s="13"/>
      <c r="G397" s="12"/>
      <c r="H397" s="17" t="str">
        <f aca="false">IF(OR(A397="",E397="",E397=0),"",D397/E397)</f>
        <v/>
      </c>
      <c r="I397" s="18" t="str">
        <f aca="true">IF(OR(A397="",C397=""),"",MAX(0,(TODAY()-C397)/365.25))</f>
        <v/>
      </c>
      <c r="J397" s="17" t="str">
        <f aca="false">IF(OR(H397="",I397=""),"",MIN(D397,H397*I397))</f>
        <v/>
      </c>
      <c r="K397" s="17" t="str">
        <f aca="false">IF(J397="","",D397-J397)</f>
        <v/>
      </c>
      <c r="L397" s="19" t="str">
        <f aca="false">IF(K397="","",IF(K397&lt;=0,"Ömrünü doldurdu","Kullanımda"))</f>
        <v/>
      </c>
    </row>
    <row r="398" customFormat="false" ht="15" hidden="false" customHeight="false" outlineLevel="0" collapsed="false">
      <c r="A398" s="12"/>
      <c r="B398" s="13"/>
      <c r="C398" s="14"/>
      <c r="D398" s="15"/>
      <c r="E398" s="16"/>
      <c r="F398" s="13"/>
      <c r="G398" s="12"/>
      <c r="H398" s="17" t="str">
        <f aca="false">IF(OR(A398="",E398="",E398=0),"",D398/E398)</f>
        <v/>
      </c>
      <c r="I398" s="18" t="str">
        <f aca="true">IF(OR(A398="",C398=""),"",MAX(0,(TODAY()-C398)/365.25))</f>
        <v/>
      </c>
      <c r="J398" s="17" t="str">
        <f aca="false">IF(OR(H398="",I398=""),"",MIN(D398,H398*I398))</f>
        <v/>
      </c>
      <c r="K398" s="17" t="str">
        <f aca="false">IF(J398="","",D398-J398)</f>
        <v/>
      </c>
      <c r="L398" s="19" t="str">
        <f aca="false">IF(K398="","",IF(K398&lt;=0,"Ömrünü doldurdu","Kullanımda"))</f>
        <v/>
      </c>
    </row>
    <row r="399" customFormat="false" ht="15" hidden="false" customHeight="false" outlineLevel="0" collapsed="false">
      <c r="A399" s="12"/>
      <c r="B399" s="13"/>
      <c r="C399" s="14"/>
      <c r="D399" s="15"/>
      <c r="E399" s="16"/>
      <c r="F399" s="13"/>
      <c r="G399" s="12"/>
      <c r="H399" s="17" t="str">
        <f aca="false">IF(OR(A399="",E399="",E399=0),"",D399/E399)</f>
        <v/>
      </c>
      <c r="I399" s="18" t="str">
        <f aca="true">IF(OR(A399="",C399=""),"",MAX(0,(TODAY()-C399)/365.25))</f>
        <v/>
      </c>
      <c r="J399" s="17" t="str">
        <f aca="false">IF(OR(H399="",I399=""),"",MIN(D399,H399*I399))</f>
        <v/>
      </c>
      <c r="K399" s="17" t="str">
        <f aca="false">IF(J399="","",D399-J399)</f>
        <v/>
      </c>
      <c r="L399" s="19" t="str">
        <f aca="false">IF(K399="","",IF(K399&lt;=0,"Ömrünü doldurdu","Kullanımda"))</f>
        <v/>
      </c>
    </row>
    <row r="400" customFormat="false" ht="15" hidden="false" customHeight="false" outlineLevel="0" collapsed="false">
      <c r="A400" s="12"/>
      <c r="B400" s="13"/>
      <c r="C400" s="14"/>
      <c r="D400" s="15"/>
      <c r="E400" s="16"/>
      <c r="F400" s="13"/>
      <c r="G400" s="12"/>
      <c r="H400" s="17" t="str">
        <f aca="false">IF(OR(A400="",E400="",E400=0),"",D400/E400)</f>
        <v/>
      </c>
      <c r="I400" s="18" t="str">
        <f aca="true">IF(OR(A400="",C400=""),"",MAX(0,(TODAY()-C400)/365.25))</f>
        <v/>
      </c>
      <c r="J400" s="17" t="str">
        <f aca="false">IF(OR(H400="",I400=""),"",MIN(D400,H400*I400))</f>
        <v/>
      </c>
      <c r="K400" s="17" t="str">
        <f aca="false">IF(J400="","",D400-J400)</f>
        <v/>
      </c>
      <c r="L400" s="19" t="str">
        <f aca="false">IF(K400="","",IF(K400&lt;=0,"Ömrünü doldurdu","Kullanımda"))</f>
        <v/>
      </c>
    </row>
    <row r="401" customFormat="false" ht="15" hidden="false" customHeight="false" outlineLevel="0" collapsed="false">
      <c r="A401" s="12"/>
      <c r="B401" s="13"/>
      <c r="C401" s="14"/>
      <c r="D401" s="15"/>
      <c r="E401" s="16"/>
      <c r="F401" s="13"/>
      <c r="G401" s="12"/>
      <c r="H401" s="17" t="str">
        <f aca="false">IF(OR(A401="",E401="",E401=0),"",D401/E401)</f>
        <v/>
      </c>
      <c r="I401" s="18" t="str">
        <f aca="true">IF(OR(A401="",C401=""),"",MAX(0,(TODAY()-C401)/365.25))</f>
        <v/>
      </c>
      <c r="J401" s="17" t="str">
        <f aca="false">IF(OR(H401="",I401=""),"",MIN(D401,H401*I401))</f>
        <v/>
      </c>
      <c r="K401" s="17" t="str">
        <f aca="false">IF(J401="","",D401-J401)</f>
        <v/>
      </c>
      <c r="L401" s="19" t="str">
        <f aca="false">IF(K401="","",IF(K401&lt;=0,"Ömrünü doldurdu","Kullanımda"))</f>
        <v/>
      </c>
    </row>
    <row r="402" customFormat="false" ht="15" hidden="false" customHeight="false" outlineLevel="0" collapsed="false">
      <c r="A402" s="12"/>
      <c r="B402" s="13"/>
      <c r="C402" s="14"/>
      <c r="D402" s="15"/>
      <c r="E402" s="16"/>
      <c r="F402" s="13"/>
      <c r="G402" s="12"/>
      <c r="H402" s="17" t="str">
        <f aca="false">IF(OR(A402="",E402="",E402=0),"",D402/E402)</f>
        <v/>
      </c>
      <c r="I402" s="18" t="str">
        <f aca="true">IF(OR(A402="",C402=""),"",MAX(0,(TODAY()-C402)/365.25))</f>
        <v/>
      </c>
      <c r="J402" s="17" t="str">
        <f aca="false">IF(OR(H402="",I402=""),"",MIN(D402,H402*I402))</f>
        <v/>
      </c>
      <c r="K402" s="17" t="str">
        <f aca="false">IF(J402="","",D402-J402)</f>
        <v/>
      </c>
      <c r="L402" s="19" t="str">
        <f aca="false">IF(K402="","",IF(K402&lt;=0,"Ömrünü doldurdu","Kullanımda"))</f>
        <v/>
      </c>
    </row>
    <row r="403" customFormat="false" ht="15" hidden="false" customHeight="false" outlineLevel="0" collapsed="false">
      <c r="A403" s="12"/>
      <c r="B403" s="13"/>
      <c r="C403" s="14"/>
      <c r="D403" s="15"/>
      <c r="E403" s="16"/>
      <c r="F403" s="13"/>
      <c r="G403" s="12"/>
      <c r="H403" s="17" t="str">
        <f aca="false">IF(OR(A403="",E403="",E403=0),"",D403/E403)</f>
        <v/>
      </c>
      <c r="I403" s="18" t="str">
        <f aca="true">IF(OR(A403="",C403=""),"",MAX(0,(TODAY()-C403)/365.25))</f>
        <v/>
      </c>
      <c r="J403" s="17" t="str">
        <f aca="false">IF(OR(H403="",I403=""),"",MIN(D403,H403*I403))</f>
        <v/>
      </c>
      <c r="K403" s="17" t="str">
        <f aca="false">IF(J403="","",D403-J403)</f>
        <v/>
      </c>
      <c r="L403" s="19" t="str">
        <f aca="false">IF(K403="","",IF(K403&lt;=0,"Ömrünü doldurdu","Kullanımda"))</f>
        <v/>
      </c>
    </row>
    <row r="404" customFormat="false" ht="15" hidden="false" customHeight="false" outlineLevel="0" collapsed="false">
      <c r="A404" s="12"/>
      <c r="B404" s="13"/>
      <c r="C404" s="14"/>
      <c r="D404" s="15"/>
      <c r="E404" s="16"/>
      <c r="F404" s="13"/>
      <c r="G404" s="12"/>
      <c r="H404" s="17" t="str">
        <f aca="false">IF(OR(A404="",E404="",E404=0),"",D404/E404)</f>
        <v/>
      </c>
      <c r="I404" s="18" t="str">
        <f aca="true">IF(OR(A404="",C404=""),"",MAX(0,(TODAY()-C404)/365.25))</f>
        <v/>
      </c>
      <c r="J404" s="17" t="str">
        <f aca="false">IF(OR(H404="",I404=""),"",MIN(D404,H404*I404))</f>
        <v/>
      </c>
      <c r="K404" s="17" t="str">
        <f aca="false">IF(J404="","",D404-J404)</f>
        <v/>
      </c>
      <c r="L404" s="19" t="str">
        <f aca="false">IF(K404="","",IF(K404&lt;=0,"Ömrünü doldurdu","Kullanımda"))</f>
        <v/>
      </c>
    </row>
    <row r="405" customFormat="false" ht="15" hidden="false" customHeight="false" outlineLevel="0" collapsed="false">
      <c r="A405" s="12"/>
      <c r="B405" s="13"/>
      <c r="C405" s="14"/>
      <c r="D405" s="15"/>
      <c r="E405" s="16"/>
      <c r="F405" s="13"/>
      <c r="G405" s="12"/>
      <c r="H405" s="17" t="str">
        <f aca="false">IF(OR(A405="",E405="",E405=0),"",D405/E405)</f>
        <v/>
      </c>
      <c r="I405" s="18" t="str">
        <f aca="true">IF(OR(A405="",C405=""),"",MAX(0,(TODAY()-C405)/365.25))</f>
        <v/>
      </c>
      <c r="J405" s="17" t="str">
        <f aca="false">IF(OR(H405="",I405=""),"",MIN(D405,H405*I405))</f>
        <v/>
      </c>
      <c r="K405" s="17" t="str">
        <f aca="false">IF(J405="","",D405-J405)</f>
        <v/>
      </c>
      <c r="L405" s="19" t="str">
        <f aca="false">IF(K405="","",IF(K405&lt;=0,"Ömrünü doldurdu","Kullanımda"))</f>
        <v/>
      </c>
    </row>
    <row r="406" customFormat="false" ht="15" hidden="false" customHeight="false" outlineLevel="0" collapsed="false">
      <c r="A406" s="12"/>
      <c r="B406" s="13"/>
      <c r="C406" s="14"/>
      <c r="D406" s="15"/>
      <c r="E406" s="16"/>
      <c r="F406" s="13"/>
      <c r="G406" s="12"/>
      <c r="H406" s="17" t="str">
        <f aca="false">IF(OR(A406="",E406="",E406=0),"",D406/E406)</f>
        <v/>
      </c>
      <c r="I406" s="18" t="str">
        <f aca="true">IF(OR(A406="",C406=""),"",MAX(0,(TODAY()-C406)/365.25))</f>
        <v/>
      </c>
      <c r="J406" s="17" t="str">
        <f aca="false">IF(OR(H406="",I406=""),"",MIN(D406,H406*I406))</f>
        <v/>
      </c>
      <c r="K406" s="17" t="str">
        <f aca="false">IF(J406="","",D406-J406)</f>
        <v/>
      </c>
      <c r="L406" s="19" t="str">
        <f aca="false">IF(K406="","",IF(K406&lt;=0,"Ömrünü doldurdu","Kullanımda"))</f>
        <v/>
      </c>
    </row>
    <row r="407" customFormat="false" ht="15" hidden="false" customHeight="false" outlineLevel="0" collapsed="false">
      <c r="A407" s="12"/>
      <c r="B407" s="13"/>
      <c r="C407" s="14"/>
      <c r="D407" s="15"/>
      <c r="E407" s="16"/>
      <c r="F407" s="13"/>
      <c r="G407" s="12"/>
      <c r="H407" s="17" t="str">
        <f aca="false">IF(OR(A407="",E407="",E407=0),"",D407/E407)</f>
        <v/>
      </c>
      <c r="I407" s="18" t="str">
        <f aca="true">IF(OR(A407="",C407=""),"",MAX(0,(TODAY()-C407)/365.25))</f>
        <v/>
      </c>
      <c r="J407" s="17" t="str">
        <f aca="false">IF(OR(H407="",I407=""),"",MIN(D407,H407*I407))</f>
        <v/>
      </c>
      <c r="K407" s="17" t="str">
        <f aca="false">IF(J407="","",D407-J407)</f>
        <v/>
      </c>
      <c r="L407" s="19" t="str">
        <f aca="false">IF(K407="","",IF(K407&lt;=0,"Ömrünü doldurdu","Kullanımda"))</f>
        <v/>
      </c>
    </row>
    <row r="408" customFormat="false" ht="15" hidden="false" customHeight="false" outlineLevel="0" collapsed="false">
      <c r="A408" s="12"/>
      <c r="B408" s="13"/>
      <c r="C408" s="14"/>
      <c r="D408" s="15"/>
      <c r="E408" s="16"/>
      <c r="F408" s="13"/>
      <c r="G408" s="12"/>
      <c r="H408" s="17" t="str">
        <f aca="false">IF(OR(A408="",E408="",E408=0),"",D408/E408)</f>
        <v/>
      </c>
      <c r="I408" s="18" t="str">
        <f aca="true">IF(OR(A408="",C408=""),"",MAX(0,(TODAY()-C408)/365.25))</f>
        <v/>
      </c>
      <c r="J408" s="17" t="str">
        <f aca="false">IF(OR(H408="",I408=""),"",MIN(D408,H408*I408))</f>
        <v/>
      </c>
      <c r="K408" s="17" t="str">
        <f aca="false">IF(J408="","",D408-J408)</f>
        <v/>
      </c>
      <c r="L408" s="19" t="str">
        <f aca="false">IF(K408="","",IF(K408&lt;=0,"Ömrünü doldurdu","Kullanımda"))</f>
        <v/>
      </c>
    </row>
    <row r="409" customFormat="false" ht="15" hidden="false" customHeight="false" outlineLevel="0" collapsed="false">
      <c r="A409" s="12"/>
      <c r="B409" s="13"/>
      <c r="C409" s="14"/>
      <c r="D409" s="15"/>
      <c r="E409" s="16"/>
      <c r="F409" s="13"/>
      <c r="G409" s="12"/>
      <c r="H409" s="17" t="str">
        <f aca="false">IF(OR(A409="",E409="",E409=0),"",D409/E409)</f>
        <v/>
      </c>
      <c r="I409" s="18" t="str">
        <f aca="true">IF(OR(A409="",C409=""),"",MAX(0,(TODAY()-C409)/365.25))</f>
        <v/>
      </c>
      <c r="J409" s="17" t="str">
        <f aca="false">IF(OR(H409="",I409=""),"",MIN(D409,H409*I409))</f>
        <v/>
      </c>
      <c r="K409" s="17" t="str">
        <f aca="false">IF(J409="","",D409-J409)</f>
        <v/>
      </c>
      <c r="L409" s="19" t="str">
        <f aca="false">IF(K409="","",IF(K409&lt;=0,"Ömrünü doldurdu","Kullanımda"))</f>
        <v/>
      </c>
    </row>
    <row r="410" customFormat="false" ht="15" hidden="false" customHeight="false" outlineLevel="0" collapsed="false">
      <c r="A410" s="12"/>
      <c r="B410" s="13"/>
      <c r="C410" s="14"/>
      <c r="D410" s="15"/>
      <c r="E410" s="16"/>
      <c r="F410" s="13"/>
      <c r="G410" s="12"/>
      <c r="H410" s="17" t="str">
        <f aca="false">IF(OR(A410="",E410="",E410=0),"",D410/E410)</f>
        <v/>
      </c>
      <c r="I410" s="18" t="str">
        <f aca="true">IF(OR(A410="",C410=""),"",MAX(0,(TODAY()-C410)/365.25))</f>
        <v/>
      </c>
      <c r="J410" s="17" t="str">
        <f aca="false">IF(OR(H410="",I410=""),"",MIN(D410,H410*I410))</f>
        <v/>
      </c>
      <c r="K410" s="17" t="str">
        <f aca="false">IF(J410="","",D410-J410)</f>
        <v/>
      </c>
      <c r="L410" s="19" t="str">
        <f aca="false">IF(K410="","",IF(K410&lt;=0,"Ömrünü doldurdu","Kullanımda"))</f>
        <v/>
      </c>
    </row>
    <row r="411" customFormat="false" ht="15" hidden="false" customHeight="false" outlineLevel="0" collapsed="false">
      <c r="A411" s="12"/>
      <c r="B411" s="13"/>
      <c r="C411" s="14"/>
      <c r="D411" s="15"/>
      <c r="E411" s="16"/>
      <c r="F411" s="13"/>
      <c r="G411" s="12"/>
      <c r="H411" s="17" t="str">
        <f aca="false">IF(OR(A411="",E411="",E411=0),"",D411/E411)</f>
        <v/>
      </c>
      <c r="I411" s="18" t="str">
        <f aca="true">IF(OR(A411="",C411=""),"",MAX(0,(TODAY()-C411)/365.25))</f>
        <v/>
      </c>
      <c r="J411" s="17" t="str">
        <f aca="false">IF(OR(H411="",I411=""),"",MIN(D411,H411*I411))</f>
        <v/>
      </c>
      <c r="K411" s="17" t="str">
        <f aca="false">IF(J411="","",D411-J411)</f>
        <v/>
      </c>
      <c r="L411" s="19" t="str">
        <f aca="false">IF(K411="","",IF(K411&lt;=0,"Ömrünü doldurdu","Kullanımda"))</f>
        <v/>
      </c>
    </row>
    <row r="412" customFormat="false" ht="15" hidden="false" customHeight="false" outlineLevel="0" collapsed="false">
      <c r="A412" s="12"/>
      <c r="B412" s="13"/>
      <c r="C412" s="14"/>
      <c r="D412" s="15"/>
      <c r="E412" s="16"/>
      <c r="F412" s="13"/>
      <c r="G412" s="12"/>
      <c r="H412" s="17" t="str">
        <f aca="false">IF(OR(A412="",E412="",E412=0),"",D412/E412)</f>
        <v/>
      </c>
      <c r="I412" s="18" t="str">
        <f aca="true">IF(OR(A412="",C412=""),"",MAX(0,(TODAY()-C412)/365.25))</f>
        <v/>
      </c>
      <c r="J412" s="17" t="str">
        <f aca="false">IF(OR(H412="",I412=""),"",MIN(D412,H412*I412))</f>
        <v/>
      </c>
      <c r="K412" s="17" t="str">
        <f aca="false">IF(J412="","",D412-J412)</f>
        <v/>
      </c>
      <c r="L412" s="19" t="str">
        <f aca="false">IF(K412="","",IF(K412&lt;=0,"Ömrünü doldurdu","Kullanımda"))</f>
        <v/>
      </c>
    </row>
    <row r="413" customFormat="false" ht="15" hidden="false" customHeight="false" outlineLevel="0" collapsed="false">
      <c r="A413" s="12"/>
      <c r="B413" s="13"/>
      <c r="C413" s="14"/>
      <c r="D413" s="15"/>
      <c r="E413" s="16"/>
      <c r="F413" s="13"/>
      <c r="G413" s="12"/>
      <c r="H413" s="17" t="str">
        <f aca="false">IF(OR(A413="",E413="",E413=0),"",D413/E413)</f>
        <v/>
      </c>
      <c r="I413" s="18" t="str">
        <f aca="true">IF(OR(A413="",C413=""),"",MAX(0,(TODAY()-C413)/365.25))</f>
        <v/>
      </c>
      <c r="J413" s="17" t="str">
        <f aca="false">IF(OR(H413="",I413=""),"",MIN(D413,H413*I413))</f>
        <v/>
      </c>
      <c r="K413" s="17" t="str">
        <f aca="false">IF(J413="","",D413-J413)</f>
        <v/>
      </c>
      <c r="L413" s="19" t="str">
        <f aca="false">IF(K413="","",IF(K413&lt;=0,"Ömrünü doldurdu","Kullanımda"))</f>
        <v/>
      </c>
    </row>
    <row r="414" customFormat="false" ht="15" hidden="false" customHeight="false" outlineLevel="0" collapsed="false">
      <c r="A414" s="12"/>
      <c r="B414" s="13"/>
      <c r="C414" s="14"/>
      <c r="D414" s="15"/>
      <c r="E414" s="16"/>
      <c r="F414" s="13"/>
      <c r="G414" s="12"/>
      <c r="H414" s="17" t="str">
        <f aca="false">IF(OR(A414="",E414="",E414=0),"",D414/E414)</f>
        <v/>
      </c>
      <c r="I414" s="18" t="str">
        <f aca="true">IF(OR(A414="",C414=""),"",MAX(0,(TODAY()-C414)/365.25))</f>
        <v/>
      </c>
      <c r="J414" s="17" t="str">
        <f aca="false">IF(OR(H414="",I414=""),"",MIN(D414,H414*I414))</f>
        <v/>
      </c>
      <c r="K414" s="17" t="str">
        <f aca="false">IF(J414="","",D414-J414)</f>
        <v/>
      </c>
      <c r="L414" s="19" t="str">
        <f aca="false">IF(K414="","",IF(K414&lt;=0,"Ömrünü doldurdu","Kullanımda"))</f>
        <v/>
      </c>
    </row>
    <row r="415" customFormat="false" ht="15" hidden="false" customHeight="false" outlineLevel="0" collapsed="false">
      <c r="A415" s="12"/>
      <c r="B415" s="13"/>
      <c r="C415" s="14"/>
      <c r="D415" s="15"/>
      <c r="E415" s="16"/>
      <c r="F415" s="13"/>
      <c r="G415" s="12"/>
      <c r="H415" s="17" t="str">
        <f aca="false">IF(OR(A415="",E415="",E415=0),"",D415/E415)</f>
        <v/>
      </c>
      <c r="I415" s="18" t="str">
        <f aca="true">IF(OR(A415="",C415=""),"",MAX(0,(TODAY()-C415)/365.25))</f>
        <v/>
      </c>
      <c r="J415" s="17" t="str">
        <f aca="false">IF(OR(H415="",I415=""),"",MIN(D415,H415*I415))</f>
        <v/>
      </c>
      <c r="K415" s="17" t="str">
        <f aca="false">IF(J415="","",D415-J415)</f>
        <v/>
      </c>
      <c r="L415" s="19" t="str">
        <f aca="false">IF(K415="","",IF(K415&lt;=0,"Ömrünü doldurdu","Kullanımda"))</f>
        <v/>
      </c>
    </row>
    <row r="416" customFormat="false" ht="15" hidden="false" customHeight="false" outlineLevel="0" collapsed="false">
      <c r="A416" s="12"/>
      <c r="B416" s="13"/>
      <c r="C416" s="14"/>
      <c r="D416" s="15"/>
      <c r="E416" s="16"/>
      <c r="F416" s="13"/>
      <c r="G416" s="12"/>
      <c r="H416" s="17" t="str">
        <f aca="false">IF(OR(A416="",E416="",E416=0),"",D416/E416)</f>
        <v/>
      </c>
      <c r="I416" s="18" t="str">
        <f aca="true">IF(OR(A416="",C416=""),"",MAX(0,(TODAY()-C416)/365.25))</f>
        <v/>
      </c>
      <c r="J416" s="17" t="str">
        <f aca="false">IF(OR(H416="",I416=""),"",MIN(D416,H416*I416))</f>
        <v/>
      </c>
      <c r="K416" s="17" t="str">
        <f aca="false">IF(J416="","",D416-J416)</f>
        <v/>
      </c>
      <c r="L416" s="19" t="str">
        <f aca="false">IF(K416="","",IF(K416&lt;=0,"Ömrünü doldurdu","Kullanımda"))</f>
        <v/>
      </c>
    </row>
    <row r="417" customFormat="false" ht="15" hidden="false" customHeight="false" outlineLevel="0" collapsed="false">
      <c r="A417" s="12"/>
      <c r="B417" s="13"/>
      <c r="C417" s="14"/>
      <c r="D417" s="15"/>
      <c r="E417" s="16"/>
      <c r="F417" s="13"/>
      <c r="G417" s="12"/>
      <c r="H417" s="17" t="str">
        <f aca="false">IF(OR(A417="",E417="",E417=0),"",D417/E417)</f>
        <v/>
      </c>
      <c r="I417" s="18" t="str">
        <f aca="true">IF(OR(A417="",C417=""),"",MAX(0,(TODAY()-C417)/365.25))</f>
        <v/>
      </c>
      <c r="J417" s="17" t="str">
        <f aca="false">IF(OR(H417="",I417=""),"",MIN(D417,H417*I417))</f>
        <v/>
      </c>
      <c r="K417" s="17" t="str">
        <f aca="false">IF(J417="","",D417-J417)</f>
        <v/>
      </c>
      <c r="L417" s="19" t="str">
        <f aca="false">IF(K417="","",IF(K417&lt;=0,"Ömrünü doldurdu","Kullanımda"))</f>
        <v/>
      </c>
    </row>
    <row r="418" customFormat="false" ht="15" hidden="false" customHeight="false" outlineLevel="0" collapsed="false">
      <c r="A418" s="12"/>
      <c r="B418" s="13"/>
      <c r="C418" s="14"/>
      <c r="D418" s="15"/>
      <c r="E418" s="16"/>
      <c r="F418" s="13"/>
      <c r="G418" s="12"/>
      <c r="H418" s="17" t="str">
        <f aca="false">IF(OR(A418="",E418="",E418=0),"",D418/E418)</f>
        <v/>
      </c>
      <c r="I418" s="18" t="str">
        <f aca="true">IF(OR(A418="",C418=""),"",MAX(0,(TODAY()-C418)/365.25))</f>
        <v/>
      </c>
      <c r="J418" s="17" t="str">
        <f aca="false">IF(OR(H418="",I418=""),"",MIN(D418,H418*I418))</f>
        <v/>
      </c>
      <c r="K418" s="17" t="str">
        <f aca="false">IF(J418="","",D418-J418)</f>
        <v/>
      </c>
      <c r="L418" s="19" t="str">
        <f aca="false">IF(K418="","",IF(K418&lt;=0,"Ömrünü doldurdu","Kullanımda"))</f>
        <v/>
      </c>
    </row>
    <row r="419" customFormat="false" ht="15" hidden="false" customHeight="false" outlineLevel="0" collapsed="false">
      <c r="A419" s="12"/>
      <c r="B419" s="13"/>
      <c r="C419" s="14"/>
      <c r="D419" s="15"/>
      <c r="E419" s="16"/>
      <c r="F419" s="13"/>
      <c r="G419" s="12"/>
      <c r="H419" s="17" t="str">
        <f aca="false">IF(OR(A419="",E419="",E419=0),"",D419/E419)</f>
        <v/>
      </c>
      <c r="I419" s="18" t="str">
        <f aca="true">IF(OR(A419="",C419=""),"",MAX(0,(TODAY()-C419)/365.25))</f>
        <v/>
      </c>
      <c r="J419" s="17" t="str">
        <f aca="false">IF(OR(H419="",I419=""),"",MIN(D419,H419*I419))</f>
        <v/>
      </c>
      <c r="K419" s="17" t="str">
        <f aca="false">IF(J419="","",D419-J419)</f>
        <v/>
      </c>
      <c r="L419" s="19" t="str">
        <f aca="false">IF(K419="","",IF(K419&lt;=0,"Ömrünü doldurdu","Kullanımda"))</f>
        <v/>
      </c>
    </row>
    <row r="420" customFormat="false" ht="15" hidden="false" customHeight="false" outlineLevel="0" collapsed="false">
      <c r="A420" s="12"/>
      <c r="B420" s="13"/>
      <c r="C420" s="14"/>
      <c r="D420" s="15"/>
      <c r="E420" s="16"/>
      <c r="F420" s="13"/>
      <c r="G420" s="12"/>
      <c r="H420" s="17" t="str">
        <f aca="false">IF(OR(A420="",E420="",E420=0),"",D420/E420)</f>
        <v/>
      </c>
      <c r="I420" s="18" t="str">
        <f aca="true">IF(OR(A420="",C420=""),"",MAX(0,(TODAY()-C420)/365.25))</f>
        <v/>
      </c>
      <c r="J420" s="17" t="str">
        <f aca="false">IF(OR(H420="",I420=""),"",MIN(D420,H420*I420))</f>
        <v/>
      </c>
      <c r="K420" s="17" t="str">
        <f aca="false">IF(J420="","",D420-J420)</f>
        <v/>
      </c>
      <c r="L420" s="19" t="str">
        <f aca="false">IF(K420="","",IF(K420&lt;=0,"Ömrünü doldurdu","Kullanımda"))</f>
        <v/>
      </c>
    </row>
    <row r="421" customFormat="false" ht="15" hidden="false" customHeight="false" outlineLevel="0" collapsed="false">
      <c r="A421" s="12"/>
      <c r="B421" s="13"/>
      <c r="C421" s="14"/>
      <c r="D421" s="15"/>
      <c r="E421" s="16"/>
      <c r="F421" s="13"/>
      <c r="G421" s="12"/>
      <c r="H421" s="17" t="str">
        <f aca="false">IF(OR(A421="",E421="",E421=0),"",D421/E421)</f>
        <v/>
      </c>
      <c r="I421" s="18" t="str">
        <f aca="true">IF(OR(A421="",C421=""),"",MAX(0,(TODAY()-C421)/365.25))</f>
        <v/>
      </c>
      <c r="J421" s="17" t="str">
        <f aca="false">IF(OR(H421="",I421=""),"",MIN(D421,H421*I421))</f>
        <v/>
      </c>
      <c r="K421" s="17" t="str">
        <f aca="false">IF(J421="","",D421-J421)</f>
        <v/>
      </c>
      <c r="L421" s="19" t="str">
        <f aca="false">IF(K421="","",IF(K421&lt;=0,"Ömrünü doldurdu","Kullanımda"))</f>
        <v/>
      </c>
    </row>
    <row r="422" customFormat="false" ht="15" hidden="false" customHeight="false" outlineLevel="0" collapsed="false">
      <c r="A422" s="12"/>
      <c r="B422" s="13"/>
      <c r="C422" s="14"/>
      <c r="D422" s="15"/>
      <c r="E422" s="16"/>
      <c r="F422" s="13"/>
      <c r="G422" s="12"/>
      <c r="H422" s="17" t="str">
        <f aca="false">IF(OR(A422="",E422="",E422=0),"",D422/E422)</f>
        <v/>
      </c>
      <c r="I422" s="18" t="str">
        <f aca="true">IF(OR(A422="",C422=""),"",MAX(0,(TODAY()-C422)/365.25))</f>
        <v/>
      </c>
      <c r="J422" s="17" t="str">
        <f aca="false">IF(OR(H422="",I422=""),"",MIN(D422,H422*I422))</f>
        <v/>
      </c>
      <c r="K422" s="17" t="str">
        <f aca="false">IF(J422="","",D422-J422)</f>
        <v/>
      </c>
      <c r="L422" s="19" t="str">
        <f aca="false">IF(K422="","",IF(K422&lt;=0,"Ömrünü doldurdu","Kullanımda"))</f>
        <v/>
      </c>
    </row>
    <row r="423" customFormat="false" ht="15" hidden="false" customHeight="false" outlineLevel="0" collapsed="false">
      <c r="A423" s="12"/>
      <c r="B423" s="13"/>
      <c r="C423" s="14"/>
      <c r="D423" s="15"/>
      <c r="E423" s="16"/>
      <c r="F423" s="13"/>
      <c r="G423" s="12"/>
      <c r="H423" s="17" t="str">
        <f aca="false">IF(OR(A423="",E423="",E423=0),"",D423/E423)</f>
        <v/>
      </c>
      <c r="I423" s="18" t="str">
        <f aca="true">IF(OR(A423="",C423=""),"",MAX(0,(TODAY()-C423)/365.25))</f>
        <v/>
      </c>
      <c r="J423" s="17" t="str">
        <f aca="false">IF(OR(H423="",I423=""),"",MIN(D423,H423*I423))</f>
        <v/>
      </c>
      <c r="K423" s="17" t="str">
        <f aca="false">IF(J423="","",D423-J423)</f>
        <v/>
      </c>
      <c r="L423" s="19" t="str">
        <f aca="false">IF(K423="","",IF(K423&lt;=0,"Ömrünü doldurdu","Kullanımda"))</f>
        <v/>
      </c>
    </row>
    <row r="424" customFormat="false" ht="15" hidden="false" customHeight="false" outlineLevel="0" collapsed="false">
      <c r="A424" s="12"/>
      <c r="B424" s="13"/>
      <c r="C424" s="14"/>
      <c r="D424" s="15"/>
      <c r="E424" s="16"/>
      <c r="F424" s="13"/>
      <c r="G424" s="12"/>
      <c r="H424" s="17" t="str">
        <f aca="false">IF(OR(A424="",E424="",E424=0),"",D424/E424)</f>
        <v/>
      </c>
      <c r="I424" s="18" t="str">
        <f aca="true">IF(OR(A424="",C424=""),"",MAX(0,(TODAY()-C424)/365.25))</f>
        <v/>
      </c>
      <c r="J424" s="17" t="str">
        <f aca="false">IF(OR(H424="",I424=""),"",MIN(D424,H424*I424))</f>
        <v/>
      </c>
      <c r="K424" s="17" t="str">
        <f aca="false">IF(J424="","",D424-J424)</f>
        <v/>
      </c>
      <c r="L424" s="19" t="str">
        <f aca="false">IF(K424="","",IF(K424&lt;=0,"Ömrünü doldurdu","Kullanımda"))</f>
        <v/>
      </c>
    </row>
    <row r="425" customFormat="false" ht="15" hidden="false" customHeight="false" outlineLevel="0" collapsed="false">
      <c r="A425" s="12"/>
      <c r="B425" s="13"/>
      <c r="C425" s="14"/>
      <c r="D425" s="15"/>
      <c r="E425" s="16"/>
      <c r="F425" s="13"/>
      <c r="G425" s="12"/>
      <c r="H425" s="17" t="str">
        <f aca="false">IF(OR(A425="",E425="",E425=0),"",D425/E425)</f>
        <v/>
      </c>
      <c r="I425" s="18" t="str">
        <f aca="true">IF(OR(A425="",C425=""),"",MAX(0,(TODAY()-C425)/365.25))</f>
        <v/>
      </c>
      <c r="J425" s="17" t="str">
        <f aca="false">IF(OR(H425="",I425=""),"",MIN(D425,H425*I425))</f>
        <v/>
      </c>
      <c r="K425" s="17" t="str">
        <f aca="false">IF(J425="","",D425-J425)</f>
        <v/>
      </c>
      <c r="L425" s="19" t="str">
        <f aca="false">IF(K425="","",IF(K425&lt;=0,"Ömrünü doldurdu","Kullanımda"))</f>
        <v/>
      </c>
    </row>
    <row r="426" customFormat="false" ht="15" hidden="false" customHeight="false" outlineLevel="0" collapsed="false">
      <c r="A426" s="12"/>
      <c r="B426" s="13"/>
      <c r="C426" s="14"/>
      <c r="D426" s="15"/>
      <c r="E426" s="16"/>
      <c r="F426" s="13"/>
      <c r="G426" s="12"/>
      <c r="H426" s="17" t="str">
        <f aca="false">IF(OR(A426="",E426="",E426=0),"",D426/E426)</f>
        <v/>
      </c>
      <c r="I426" s="18" t="str">
        <f aca="true">IF(OR(A426="",C426=""),"",MAX(0,(TODAY()-C426)/365.25))</f>
        <v/>
      </c>
      <c r="J426" s="17" t="str">
        <f aca="false">IF(OR(H426="",I426=""),"",MIN(D426,H426*I426))</f>
        <v/>
      </c>
      <c r="K426" s="17" t="str">
        <f aca="false">IF(J426="","",D426-J426)</f>
        <v/>
      </c>
      <c r="L426" s="19" t="str">
        <f aca="false">IF(K426="","",IF(K426&lt;=0,"Ömrünü doldurdu","Kullanımda"))</f>
        <v/>
      </c>
    </row>
    <row r="427" customFormat="false" ht="15" hidden="false" customHeight="false" outlineLevel="0" collapsed="false">
      <c r="A427" s="12"/>
      <c r="B427" s="13"/>
      <c r="C427" s="14"/>
      <c r="D427" s="15"/>
      <c r="E427" s="16"/>
      <c r="F427" s="13"/>
      <c r="G427" s="12"/>
      <c r="H427" s="17" t="str">
        <f aca="false">IF(OR(A427="",E427="",E427=0),"",D427/E427)</f>
        <v/>
      </c>
      <c r="I427" s="18" t="str">
        <f aca="true">IF(OR(A427="",C427=""),"",MAX(0,(TODAY()-C427)/365.25))</f>
        <v/>
      </c>
      <c r="J427" s="17" t="str">
        <f aca="false">IF(OR(H427="",I427=""),"",MIN(D427,H427*I427))</f>
        <v/>
      </c>
      <c r="K427" s="17" t="str">
        <f aca="false">IF(J427="","",D427-J427)</f>
        <v/>
      </c>
      <c r="L427" s="19" t="str">
        <f aca="false">IF(K427="","",IF(K427&lt;=0,"Ömrünü doldurdu","Kullanımda"))</f>
        <v/>
      </c>
    </row>
    <row r="428" customFormat="false" ht="15" hidden="false" customHeight="false" outlineLevel="0" collapsed="false">
      <c r="A428" s="12"/>
      <c r="B428" s="13"/>
      <c r="C428" s="14"/>
      <c r="D428" s="15"/>
      <c r="E428" s="16"/>
      <c r="F428" s="13"/>
      <c r="G428" s="12"/>
      <c r="H428" s="17" t="str">
        <f aca="false">IF(OR(A428="",E428="",E428=0),"",D428/E428)</f>
        <v/>
      </c>
      <c r="I428" s="18" t="str">
        <f aca="true">IF(OR(A428="",C428=""),"",MAX(0,(TODAY()-C428)/365.25))</f>
        <v/>
      </c>
      <c r="J428" s="17" t="str">
        <f aca="false">IF(OR(H428="",I428=""),"",MIN(D428,H428*I428))</f>
        <v/>
      </c>
      <c r="K428" s="17" t="str">
        <f aca="false">IF(J428="","",D428-J428)</f>
        <v/>
      </c>
      <c r="L428" s="19" t="str">
        <f aca="false">IF(K428="","",IF(K428&lt;=0,"Ömrünü doldurdu","Kullanımda"))</f>
        <v/>
      </c>
    </row>
    <row r="429" customFormat="false" ht="15" hidden="false" customHeight="false" outlineLevel="0" collapsed="false">
      <c r="A429" s="12"/>
      <c r="B429" s="13"/>
      <c r="C429" s="14"/>
      <c r="D429" s="15"/>
      <c r="E429" s="16"/>
      <c r="F429" s="13"/>
      <c r="G429" s="12"/>
      <c r="H429" s="17" t="str">
        <f aca="false">IF(OR(A429="",E429="",E429=0),"",D429/E429)</f>
        <v/>
      </c>
      <c r="I429" s="18" t="str">
        <f aca="true">IF(OR(A429="",C429=""),"",MAX(0,(TODAY()-C429)/365.25))</f>
        <v/>
      </c>
      <c r="J429" s="17" t="str">
        <f aca="false">IF(OR(H429="",I429=""),"",MIN(D429,H429*I429))</f>
        <v/>
      </c>
      <c r="K429" s="17" t="str">
        <f aca="false">IF(J429="","",D429-J429)</f>
        <v/>
      </c>
      <c r="L429" s="19" t="str">
        <f aca="false">IF(K429="","",IF(K429&lt;=0,"Ömrünü doldurdu","Kullanımda"))</f>
        <v/>
      </c>
    </row>
    <row r="430" customFormat="false" ht="15" hidden="false" customHeight="false" outlineLevel="0" collapsed="false">
      <c r="A430" s="12"/>
      <c r="B430" s="13"/>
      <c r="C430" s="14"/>
      <c r="D430" s="15"/>
      <c r="E430" s="16"/>
      <c r="F430" s="13"/>
      <c r="G430" s="12"/>
      <c r="H430" s="17" t="str">
        <f aca="false">IF(OR(A430="",E430="",E430=0),"",D430/E430)</f>
        <v/>
      </c>
      <c r="I430" s="18" t="str">
        <f aca="true">IF(OR(A430="",C430=""),"",MAX(0,(TODAY()-C430)/365.25))</f>
        <v/>
      </c>
      <c r="J430" s="17" t="str">
        <f aca="false">IF(OR(H430="",I430=""),"",MIN(D430,H430*I430))</f>
        <v/>
      </c>
      <c r="K430" s="17" t="str">
        <f aca="false">IF(J430="","",D430-J430)</f>
        <v/>
      </c>
      <c r="L430" s="19" t="str">
        <f aca="false">IF(K430="","",IF(K430&lt;=0,"Ömrünü doldurdu","Kullanımda"))</f>
        <v/>
      </c>
    </row>
    <row r="431" customFormat="false" ht="15" hidden="false" customHeight="false" outlineLevel="0" collapsed="false">
      <c r="A431" s="12"/>
      <c r="B431" s="13"/>
      <c r="C431" s="14"/>
      <c r="D431" s="15"/>
      <c r="E431" s="16"/>
      <c r="F431" s="13"/>
      <c r="G431" s="12"/>
      <c r="H431" s="17" t="str">
        <f aca="false">IF(OR(A431="",E431="",E431=0),"",D431/E431)</f>
        <v/>
      </c>
      <c r="I431" s="18" t="str">
        <f aca="true">IF(OR(A431="",C431=""),"",MAX(0,(TODAY()-C431)/365.25))</f>
        <v/>
      </c>
      <c r="J431" s="17" t="str">
        <f aca="false">IF(OR(H431="",I431=""),"",MIN(D431,H431*I431))</f>
        <v/>
      </c>
      <c r="K431" s="17" t="str">
        <f aca="false">IF(J431="","",D431-J431)</f>
        <v/>
      </c>
      <c r="L431" s="19" t="str">
        <f aca="false">IF(K431="","",IF(K431&lt;=0,"Ömrünü doldurdu","Kullanımda"))</f>
        <v/>
      </c>
    </row>
    <row r="432" customFormat="false" ht="15" hidden="false" customHeight="false" outlineLevel="0" collapsed="false">
      <c r="A432" s="12"/>
      <c r="B432" s="13"/>
      <c r="C432" s="14"/>
      <c r="D432" s="15"/>
      <c r="E432" s="16"/>
      <c r="F432" s="13"/>
      <c r="G432" s="12"/>
      <c r="H432" s="17" t="str">
        <f aca="false">IF(OR(A432="",E432="",E432=0),"",D432/E432)</f>
        <v/>
      </c>
      <c r="I432" s="18" t="str">
        <f aca="true">IF(OR(A432="",C432=""),"",MAX(0,(TODAY()-C432)/365.25))</f>
        <v/>
      </c>
      <c r="J432" s="17" t="str">
        <f aca="false">IF(OR(H432="",I432=""),"",MIN(D432,H432*I432))</f>
        <v/>
      </c>
      <c r="K432" s="17" t="str">
        <f aca="false">IF(J432="","",D432-J432)</f>
        <v/>
      </c>
      <c r="L432" s="19" t="str">
        <f aca="false">IF(K432="","",IF(K432&lt;=0,"Ömrünü doldurdu","Kullanımda"))</f>
        <v/>
      </c>
    </row>
    <row r="433" customFormat="false" ht="15" hidden="false" customHeight="false" outlineLevel="0" collapsed="false">
      <c r="A433" s="12"/>
      <c r="B433" s="13"/>
      <c r="C433" s="14"/>
      <c r="D433" s="15"/>
      <c r="E433" s="16"/>
      <c r="F433" s="13"/>
      <c r="G433" s="12"/>
      <c r="H433" s="17" t="str">
        <f aca="false">IF(OR(A433="",E433="",E433=0),"",D433/E433)</f>
        <v/>
      </c>
      <c r="I433" s="18" t="str">
        <f aca="true">IF(OR(A433="",C433=""),"",MAX(0,(TODAY()-C433)/365.25))</f>
        <v/>
      </c>
      <c r="J433" s="17" t="str">
        <f aca="false">IF(OR(H433="",I433=""),"",MIN(D433,H433*I433))</f>
        <v/>
      </c>
      <c r="K433" s="17" t="str">
        <f aca="false">IF(J433="","",D433-J433)</f>
        <v/>
      </c>
      <c r="L433" s="19" t="str">
        <f aca="false">IF(K433="","",IF(K433&lt;=0,"Ömrünü doldurdu","Kullanımda"))</f>
        <v/>
      </c>
    </row>
    <row r="434" customFormat="false" ht="15" hidden="false" customHeight="false" outlineLevel="0" collapsed="false">
      <c r="A434" s="12"/>
      <c r="B434" s="13"/>
      <c r="C434" s="14"/>
      <c r="D434" s="15"/>
      <c r="E434" s="16"/>
      <c r="F434" s="13"/>
      <c r="G434" s="12"/>
      <c r="H434" s="17" t="str">
        <f aca="false">IF(OR(A434="",E434="",E434=0),"",D434/E434)</f>
        <v/>
      </c>
      <c r="I434" s="18" t="str">
        <f aca="true">IF(OR(A434="",C434=""),"",MAX(0,(TODAY()-C434)/365.25))</f>
        <v/>
      </c>
      <c r="J434" s="17" t="str">
        <f aca="false">IF(OR(H434="",I434=""),"",MIN(D434,H434*I434))</f>
        <v/>
      </c>
      <c r="K434" s="17" t="str">
        <f aca="false">IF(J434="","",D434-J434)</f>
        <v/>
      </c>
      <c r="L434" s="19" t="str">
        <f aca="false">IF(K434="","",IF(K434&lt;=0,"Ömrünü doldurdu","Kullanımda"))</f>
        <v/>
      </c>
    </row>
    <row r="435" customFormat="false" ht="15" hidden="false" customHeight="false" outlineLevel="0" collapsed="false">
      <c r="A435" s="12"/>
      <c r="B435" s="13"/>
      <c r="C435" s="14"/>
      <c r="D435" s="15"/>
      <c r="E435" s="16"/>
      <c r="F435" s="13"/>
      <c r="G435" s="12"/>
      <c r="H435" s="17" t="str">
        <f aca="false">IF(OR(A435="",E435="",E435=0),"",D435/E435)</f>
        <v/>
      </c>
      <c r="I435" s="18" t="str">
        <f aca="true">IF(OR(A435="",C435=""),"",MAX(0,(TODAY()-C435)/365.25))</f>
        <v/>
      </c>
      <c r="J435" s="17" t="str">
        <f aca="false">IF(OR(H435="",I435=""),"",MIN(D435,H435*I435))</f>
        <v/>
      </c>
      <c r="K435" s="17" t="str">
        <f aca="false">IF(J435="","",D435-J435)</f>
        <v/>
      </c>
      <c r="L435" s="19" t="str">
        <f aca="false">IF(K435="","",IF(K435&lt;=0,"Ömrünü doldurdu","Kullanımda"))</f>
        <v/>
      </c>
    </row>
    <row r="436" customFormat="false" ht="15" hidden="false" customHeight="false" outlineLevel="0" collapsed="false">
      <c r="A436" s="12"/>
      <c r="B436" s="13"/>
      <c r="C436" s="14"/>
      <c r="D436" s="15"/>
      <c r="E436" s="16"/>
      <c r="F436" s="13"/>
      <c r="G436" s="12"/>
      <c r="H436" s="17" t="str">
        <f aca="false">IF(OR(A436="",E436="",E436=0),"",D436/E436)</f>
        <v/>
      </c>
      <c r="I436" s="18" t="str">
        <f aca="true">IF(OR(A436="",C436=""),"",MAX(0,(TODAY()-C436)/365.25))</f>
        <v/>
      </c>
      <c r="J436" s="17" t="str">
        <f aca="false">IF(OR(H436="",I436=""),"",MIN(D436,H436*I436))</f>
        <v/>
      </c>
      <c r="K436" s="17" t="str">
        <f aca="false">IF(J436="","",D436-J436)</f>
        <v/>
      </c>
      <c r="L436" s="19" t="str">
        <f aca="false">IF(K436="","",IF(K436&lt;=0,"Ömrünü doldurdu","Kullanımda"))</f>
        <v/>
      </c>
    </row>
    <row r="437" customFormat="false" ht="15" hidden="false" customHeight="false" outlineLevel="0" collapsed="false">
      <c r="A437" s="12"/>
      <c r="B437" s="13"/>
      <c r="C437" s="14"/>
      <c r="D437" s="15"/>
      <c r="E437" s="16"/>
      <c r="F437" s="13"/>
      <c r="G437" s="12"/>
      <c r="H437" s="17" t="str">
        <f aca="false">IF(OR(A437="",E437="",E437=0),"",D437/E437)</f>
        <v/>
      </c>
      <c r="I437" s="18" t="str">
        <f aca="true">IF(OR(A437="",C437=""),"",MAX(0,(TODAY()-C437)/365.25))</f>
        <v/>
      </c>
      <c r="J437" s="17" t="str">
        <f aca="false">IF(OR(H437="",I437=""),"",MIN(D437,H437*I437))</f>
        <v/>
      </c>
      <c r="K437" s="17" t="str">
        <f aca="false">IF(J437="","",D437-J437)</f>
        <v/>
      </c>
      <c r="L437" s="19" t="str">
        <f aca="false">IF(K437="","",IF(K437&lt;=0,"Ömrünü doldurdu","Kullanımda"))</f>
        <v/>
      </c>
    </row>
    <row r="438" customFormat="false" ht="15" hidden="false" customHeight="false" outlineLevel="0" collapsed="false">
      <c r="A438" s="12"/>
      <c r="B438" s="13"/>
      <c r="C438" s="14"/>
      <c r="D438" s="15"/>
      <c r="E438" s="16"/>
      <c r="F438" s="13"/>
      <c r="G438" s="12"/>
      <c r="H438" s="17" t="str">
        <f aca="false">IF(OR(A438="",E438="",E438=0),"",D438/E438)</f>
        <v/>
      </c>
      <c r="I438" s="18" t="str">
        <f aca="true">IF(OR(A438="",C438=""),"",MAX(0,(TODAY()-C438)/365.25))</f>
        <v/>
      </c>
      <c r="J438" s="17" t="str">
        <f aca="false">IF(OR(H438="",I438=""),"",MIN(D438,H438*I438))</f>
        <v/>
      </c>
      <c r="K438" s="17" t="str">
        <f aca="false">IF(J438="","",D438-J438)</f>
        <v/>
      </c>
      <c r="L438" s="19" t="str">
        <f aca="false">IF(K438="","",IF(K438&lt;=0,"Ömrünü doldurdu","Kullanımda"))</f>
        <v/>
      </c>
    </row>
    <row r="439" customFormat="false" ht="15" hidden="false" customHeight="false" outlineLevel="0" collapsed="false">
      <c r="A439" s="12"/>
      <c r="B439" s="13"/>
      <c r="C439" s="14"/>
      <c r="D439" s="15"/>
      <c r="E439" s="16"/>
      <c r="F439" s="13"/>
      <c r="G439" s="12"/>
      <c r="H439" s="17" t="str">
        <f aca="false">IF(OR(A439="",E439="",E439=0),"",D439/E439)</f>
        <v/>
      </c>
      <c r="I439" s="18" t="str">
        <f aca="true">IF(OR(A439="",C439=""),"",MAX(0,(TODAY()-C439)/365.25))</f>
        <v/>
      </c>
      <c r="J439" s="17" t="str">
        <f aca="false">IF(OR(H439="",I439=""),"",MIN(D439,H439*I439))</f>
        <v/>
      </c>
      <c r="K439" s="17" t="str">
        <f aca="false">IF(J439="","",D439-J439)</f>
        <v/>
      </c>
      <c r="L439" s="19" t="str">
        <f aca="false">IF(K439="","",IF(K439&lt;=0,"Ömrünü doldurdu","Kullanımda"))</f>
        <v/>
      </c>
    </row>
    <row r="440" customFormat="false" ht="15" hidden="false" customHeight="false" outlineLevel="0" collapsed="false">
      <c r="A440" s="12"/>
      <c r="B440" s="13"/>
      <c r="C440" s="14"/>
      <c r="D440" s="15"/>
      <c r="E440" s="16"/>
      <c r="F440" s="13"/>
      <c r="G440" s="12"/>
      <c r="H440" s="17" t="str">
        <f aca="false">IF(OR(A440="",E440="",E440=0),"",D440/E440)</f>
        <v/>
      </c>
      <c r="I440" s="18" t="str">
        <f aca="true">IF(OR(A440="",C440=""),"",MAX(0,(TODAY()-C440)/365.25))</f>
        <v/>
      </c>
      <c r="J440" s="17" t="str">
        <f aca="false">IF(OR(H440="",I440=""),"",MIN(D440,H440*I440))</f>
        <v/>
      </c>
      <c r="K440" s="17" t="str">
        <f aca="false">IF(J440="","",D440-J440)</f>
        <v/>
      </c>
      <c r="L440" s="19" t="str">
        <f aca="false">IF(K440="","",IF(K440&lt;=0,"Ömrünü doldurdu","Kullanımda"))</f>
        <v/>
      </c>
    </row>
    <row r="441" customFormat="false" ht="15" hidden="false" customHeight="false" outlineLevel="0" collapsed="false">
      <c r="A441" s="12"/>
      <c r="B441" s="13"/>
      <c r="C441" s="14"/>
      <c r="D441" s="15"/>
      <c r="E441" s="16"/>
      <c r="F441" s="13"/>
      <c r="G441" s="12"/>
      <c r="H441" s="17" t="str">
        <f aca="false">IF(OR(A441="",E441="",E441=0),"",D441/E441)</f>
        <v/>
      </c>
      <c r="I441" s="18" t="str">
        <f aca="true">IF(OR(A441="",C441=""),"",MAX(0,(TODAY()-C441)/365.25))</f>
        <v/>
      </c>
      <c r="J441" s="17" t="str">
        <f aca="false">IF(OR(H441="",I441=""),"",MIN(D441,H441*I441))</f>
        <v/>
      </c>
      <c r="K441" s="17" t="str">
        <f aca="false">IF(J441="","",D441-J441)</f>
        <v/>
      </c>
      <c r="L441" s="19" t="str">
        <f aca="false">IF(K441="","",IF(K441&lt;=0,"Ömrünü doldurdu","Kullanımda"))</f>
        <v/>
      </c>
    </row>
    <row r="442" customFormat="false" ht="15" hidden="false" customHeight="false" outlineLevel="0" collapsed="false">
      <c r="A442" s="12"/>
      <c r="B442" s="13"/>
      <c r="C442" s="14"/>
      <c r="D442" s="15"/>
      <c r="E442" s="16"/>
      <c r="F442" s="13"/>
      <c r="G442" s="12"/>
      <c r="H442" s="17" t="str">
        <f aca="false">IF(OR(A442="",E442="",E442=0),"",D442/E442)</f>
        <v/>
      </c>
      <c r="I442" s="18" t="str">
        <f aca="true">IF(OR(A442="",C442=""),"",MAX(0,(TODAY()-C442)/365.25))</f>
        <v/>
      </c>
      <c r="J442" s="17" t="str">
        <f aca="false">IF(OR(H442="",I442=""),"",MIN(D442,H442*I442))</f>
        <v/>
      </c>
      <c r="K442" s="17" t="str">
        <f aca="false">IF(J442="","",D442-J442)</f>
        <v/>
      </c>
      <c r="L442" s="19" t="str">
        <f aca="false">IF(K442="","",IF(K442&lt;=0,"Ömrünü doldurdu","Kullanımda"))</f>
        <v/>
      </c>
    </row>
    <row r="443" customFormat="false" ht="15" hidden="false" customHeight="false" outlineLevel="0" collapsed="false">
      <c r="A443" s="12"/>
      <c r="B443" s="13"/>
      <c r="C443" s="14"/>
      <c r="D443" s="15"/>
      <c r="E443" s="16"/>
      <c r="F443" s="13"/>
      <c r="G443" s="12"/>
      <c r="H443" s="17" t="str">
        <f aca="false">IF(OR(A443="",E443="",E443=0),"",D443/E443)</f>
        <v/>
      </c>
      <c r="I443" s="18" t="str">
        <f aca="true">IF(OR(A443="",C443=""),"",MAX(0,(TODAY()-C443)/365.25))</f>
        <v/>
      </c>
      <c r="J443" s="17" t="str">
        <f aca="false">IF(OR(H443="",I443=""),"",MIN(D443,H443*I443))</f>
        <v/>
      </c>
      <c r="K443" s="17" t="str">
        <f aca="false">IF(J443="","",D443-J443)</f>
        <v/>
      </c>
      <c r="L443" s="19" t="str">
        <f aca="false">IF(K443="","",IF(K443&lt;=0,"Ömrünü doldurdu","Kullanımda"))</f>
        <v/>
      </c>
    </row>
    <row r="444" customFormat="false" ht="15" hidden="false" customHeight="false" outlineLevel="0" collapsed="false">
      <c r="A444" s="12"/>
      <c r="B444" s="13"/>
      <c r="C444" s="14"/>
      <c r="D444" s="15"/>
      <c r="E444" s="16"/>
      <c r="F444" s="13"/>
      <c r="G444" s="12"/>
      <c r="H444" s="17" t="str">
        <f aca="false">IF(OR(A444="",E444="",E444=0),"",D444/E444)</f>
        <v/>
      </c>
      <c r="I444" s="18" t="str">
        <f aca="true">IF(OR(A444="",C444=""),"",MAX(0,(TODAY()-C444)/365.25))</f>
        <v/>
      </c>
      <c r="J444" s="17" t="str">
        <f aca="false">IF(OR(H444="",I444=""),"",MIN(D444,H444*I444))</f>
        <v/>
      </c>
      <c r="K444" s="17" t="str">
        <f aca="false">IF(J444="","",D444-J444)</f>
        <v/>
      </c>
      <c r="L444" s="19" t="str">
        <f aca="false">IF(K444="","",IF(K444&lt;=0,"Ömrünü doldurdu","Kullanımda"))</f>
        <v/>
      </c>
    </row>
    <row r="445" customFormat="false" ht="15" hidden="false" customHeight="false" outlineLevel="0" collapsed="false">
      <c r="A445" s="12"/>
      <c r="B445" s="13"/>
      <c r="C445" s="14"/>
      <c r="D445" s="15"/>
      <c r="E445" s="16"/>
      <c r="F445" s="13"/>
      <c r="G445" s="12"/>
      <c r="H445" s="17" t="str">
        <f aca="false">IF(OR(A445="",E445="",E445=0),"",D445/E445)</f>
        <v/>
      </c>
      <c r="I445" s="18" t="str">
        <f aca="true">IF(OR(A445="",C445=""),"",MAX(0,(TODAY()-C445)/365.25))</f>
        <v/>
      </c>
      <c r="J445" s="17" t="str">
        <f aca="false">IF(OR(H445="",I445=""),"",MIN(D445,H445*I445))</f>
        <v/>
      </c>
      <c r="K445" s="17" t="str">
        <f aca="false">IF(J445="","",D445-J445)</f>
        <v/>
      </c>
      <c r="L445" s="19" t="str">
        <f aca="false">IF(K445="","",IF(K445&lt;=0,"Ömrünü doldurdu","Kullanımda"))</f>
        <v/>
      </c>
    </row>
    <row r="446" customFormat="false" ht="15" hidden="false" customHeight="false" outlineLevel="0" collapsed="false">
      <c r="A446" s="12"/>
      <c r="B446" s="13"/>
      <c r="C446" s="14"/>
      <c r="D446" s="15"/>
      <c r="E446" s="16"/>
      <c r="F446" s="13"/>
      <c r="G446" s="12"/>
      <c r="H446" s="17" t="str">
        <f aca="false">IF(OR(A446="",E446="",E446=0),"",D446/E446)</f>
        <v/>
      </c>
      <c r="I446" s="18" t="str">
        <f aca="true">IF(OR(A446="",C446=""),"",MAX(0,(TODAY()-C446)/365.25))</f>
        <v/>
      </c>
      <c r="J446" s="17" t="str">
        <f aca="false">IF(OR(H446="",I446=""),"",MIN(D446,H446*I446))</f>
        <v/>
      </c>
      <c r="K446" s="17" t="str">
        <f aca="false">IF(J446="","",D446-J446)</f>
        <v/>
      </c>
      <c r="L446" s="19" t="str">
        <f aca="false">IF(K446="","",IF(K446&lt;=0,"Ömrünü doldurdu","Kullanımda"))</f>
        <v/>
      </c>
    </row>
    <row r="447" customFormat="false" ht="15" hidden="false" customHeight="false" outlineLevel="0" collapsed="false">
      <c r="A447" s="12"/>
      <c r="B447" s="13"/>
      <c r="C447" s="14"/>
      <c r="D447" s="15"/>
      <c r="E447" s="16"/>
      <c r="F447" s="13"/>
      <c r="G447" s="12"/>
      <c r="H447" s="17" t="str">
        <f aca="false">IF(OR(A447="",E447="",E447=0),"",D447/E447)</f>
        <v/>
      </c>
      <c r="I447" s="18" t="str">
        <f aca="true">IF(OR(A447="",C447=""),"",MAX(0,(TODAY()-C447)/365.25))</f>
        <v/>
      </c>
      <c r="J447" s="17" t="str">
        <f aca="false">IF(OR(H447="",I447=""),"",MIN(D447,H447*I447))</f>
        <v/>
      </c>
      <c r="K447" s="17" t="str">
        <f aca="false">IF(J447="","",D447-J447)</f>
        <v/>
      </c>
      <c r="L447" s="19" t="str">
        <f aca="false">IF(K447="","",IF(K447&lt;=0,"Ömrünü doldurdu","Kullanımda"))</f>
        <v/>
      </c>
    </row>
    <row r="448" customFormat="false" ht="15" hidden="false" customHeight="false" outlineLevel="0" collapsed="false">
      <c r="A448" s="12"/>
      <c r="B448" s="13"/>
      <c r="C448" s="14"/>
      <c r="D448" s="15"/>
      <c r="E448" s="16"/>
      <c r="F448" s="13"/>
      <c r="G448" s="12"/>
      <c r="H448" s="17" t="str">
        <f aca="false">IF(OR(A448="",E448="",E448=0),"",D448/E448)</f>
        <v/>
      </c>
      <c r="I448" s="18" t="str">
        <f aca="true">IF(OR(A448="",C448=""),"",MAX(0,(TODAY()-C448)/365.25))</f>
        <v/>
      </c>
      <c r="J448" s="17" t="str">
        <f aca="false">IF(OR(H448="",I448=""),"",MIN(D448,H448*I448))</f>
        <v/>
      </c>
      <c r="K448" s="17" t="str">
        <f aca="false">IF(J448="","",D448-J448)</f>
        <v/>
      </c>
      <c r="L448" s="19" t="str">
        <f aca="false">IF(K448="","",IF(K448&lt;=0,"Ömrünü doldurdu","Kullanımda"))</f>
        <v/>
      </c>
    </row>
    <row r="449" customFormat="false" ht="15" hidden="false" customHeight="false" outlineLevel="0" collapsed="false">
      <c r="A449" s="12"/>
      <c r="B449" s="13"/>
      <c r="C449" s="14"/>
      <c r="D449" s="15"/>
      <c r="E449" s="16"/>
      <c r="F449" s="13"/>
      <c r="G449" s="12"/>
      <c r="H449" s="17" t="str">
        <f aca="false">IF(OR(A449="",E449="",E449=0),"",D449/E449)</f>
        <v/>
      </c>
      <c r="I449" s="18" t="str">
        <f aca="true">IF(OR(A449="",C449=""),"",MAX(0,(TODAY()-C449)/365.25))</f>
        <v/>
      </c>
      <c r="J449" s="17" t="str">
        <f aca="false">IF(OR(H449="",I449=""),"",MIN(D449,H449*I449))</f>
        <v/>
      </c>
      <c r="K449" s="17" t="str">
        <f aca="false">IF(J449="","",D449-J449)</f>
        <v/>
      </c>
      <c r="L449" s="19" t="str">
        <f aca="false">IF(K449="","",IF(K449&lt;=0,"Ömrünü doldurdu","Kullanımda"))</f>
        <v/>
      </c>
    </row>
    <row r="450" customFormat="false" ht="15" hidden="false" customHeight="false" outlineLevel="0" collapsed="false">
      <c r="A450" s="12"/>
      <c r="B450" s="13"/>
      <c r="C450" s="14"/>
      <c r="D450" s="15"/>
      <c r="E450" s="16"/>
      <c r="F450" s="13"/>
      <c r="G450" s="12"/>
      <c r="H450" s="17" t="str">
        <f aca="false">IF(OR(A450="",E450="",E450=0),"",D450/E450)</f>
        <v/>
      </c>
      <c r="I450" s="18" t="str">
        <f aca="true">IF(OR(A450="",C450=""),"",MAX(0,(TODAY()-C450)/365.25))</f>
        <v/>
      </c>
      <c r="J450" s="17" t="str">
        <f aca="false">IF(OR(H450="",I450=""),"",MIN(D450,H450*I450))</f>
        <v/>
      </c>
      <c r="K450" s="17" t="str">
        <f aca="false">IF(J450="","",D450-J450)</f>
        <v/>
      </c>
      <c r="L450" s="19" t="str">
        <f aca="false">IF(K450="","",IF(K450&lt;=0,"Ömrünü doldurdu","Kullanımda"))</f>
        <v/>
      </c>
    </row>
    <row r="451" customFormat="false" ht="15" hidden="false" customHeight="false" outlineLevel="0" collapsed="false">
      <c r="A451" s="12"/>
      <c r="B451" s="13"/>
      <c r="C451" s="14"/>
      <c r="D451" s="15"/>
      <c r="E451" s="16"/>
      <c r="F451" s="13"/>
      <c r="G451" s="12"/>
      <c r="H451" s="17" t="str">
        <f aca="false">IF(OR(A451="",E451="",E451=0),"",D451/E451)</f>
        <v/>
      </c>
      <c r="I451" s="18" t="str">
        <f aca="true">IF(OR(A451="",C451=""),"",MAX(0,(TODAY()-C451)/365.25))</f>
        <v/>
      </c>
      <c r="J451" s="17" t="str">
        <f aca="false">IF(OR(H451="",I451=""),"",MIN(D451,H451*I451))</f>
        <v/>
      </c>
      <c r="K451" s="17" t="str">
        <f aca="false">IF(J451="","",D451-J451)</f>
        <v/>
      </c>
      <c r="L451" s="19" t="str">
        <f aca="false">IF(K451="","",IF(K451&lt;=0,"Ömrünü doldurdu","Kullanımda"))</f>
        <v/>
      </c>
    </row>
    <row r="452" customFormat="false" ht="15" hidden="false" customHeight="false" outlineLevel="0" collapsed="false">
      <c r="A452" s="12"/>
      <c r="B452" s="13"/>
      <c r="C452" s="14"/>
      <c r="D452" s="15"/>
      <c r="E452" s="16"/>
      <c r="F452" s="13"/>
      <c r="G452" s="12"/>
      <c r="H452" s="17" t="str">
        <f aca="false">IF(OR(A452="",E452="",E452=0),"",D452/E452)</f>
        <v/>
      </c>
      <c r="I452" s="18" t="str">
        <f aca="true">IF(OR(A452="",C452=""),"",MAX(0,(TODAY()-C452)/365.25))</f>
        <v/>
      </c>
      <c r="J452" s="17" t="str">
        <f aca="false">IF(OR(H452="",I452=""),"",MIN(D452,H452*I452))</f>
        <v/>
      </c>
      <c r="K452" s="17" t="str">
        <f aca="false">IF(J452="","",D452-J452)</f>
        <v/>
      </c>
      <c r="L452" s="19" t="str">
        <f aca="false">IF(K452="","",IF(K452&lt;=0,"Ömrünü doldurdu","Kullanımda"))</f>
        <v/>
      </c>
    </row>
    <row r="453" customFormat="false" ht="15" hidden="false" customHeight="false" outlineLevel="0" collapsed="false">
      <c r="A453" s="12"/>
      <c r="B453" s="13"/>
      <c r="C453" s="14"/>
      <c r="D453" s="15"/>
      <c r="E453" s="16"/>
      <c r="F453" s="13"/>
      <c r="G453" s="12"/>
      <c r="H453" s="17" t="str">
        <f aca="false">IF(OR(A453="",E453="",E453=0),"",D453/E453)</f>
        <v/>
      </c>
      <c r="I453" s="18" t="str">
        <f aca="true">IF(OR(A453="",C453=""),"",MAX(0,(TODAY()-C453)/365.25))</f>
        <v/>
      </c>
      <c r="J453" s="17" t="str">
        <f aca="false">IF(OR(H453="",I453=""),"",MIN(D453,H453*I453))</f>
        <v/>
      </c>
      <c r="K453" s="17" t="str">
        <f aca="false">IF(J453="","",D453-J453)</f>
        <v/>
      </c>
      <c r="L453" s="19" t="str">
        <f aca="false">IF(K453="","",IF(K453&lt;=0,"Ömrünü doldurdu","Kullanımda"))</f>
        <v/>
      </c>
    </row>
    <row r="454" customFormat="false" ht="15" hidden="false" customHeight="false" outlineLevel="0" collapsed="false">
      <c r="A454" s="12"/>
      <c r="B454" s="13"/>
      <c r="C454" s="14"/>
      <c r="D454" s="15"/>
      <c r="E454" s="16"/>
      <c r="F454" s="13"/>
      <c r="G454" s="12"/>
      <c r="H454" s="17" t="str">
        <f aca="false">IF(OR(A454="",E454="",E454=0),"",D454/E454)</f>
        <v/>
      </c>
      <c r="I454" s="18" t="str">
        <f aca="true">IF(OR(A454="",C454=""),"",MAX(0,(TODAY()-C454)/365.25))</f>
        <v/>
      </c>
      <c r="J454" s="17" t="str">
        <f aca="false">IF(OR(H454="",I454=""),"",MIN(D454,H454*I454))</f>
        <v/>
      </c>
      <c r="K454" s="17" t="str">
        <f aca="false">IF(J454="","",D454-J454)</f>
        <v/>
      </c>
      <c r="L454" s="19" t="str">
        <f aca="false">IF(K454="","",IF(K454&lt;=0,"Ömrünü doldurdu","Kullanımda"))</f>
        <v/>
      </c>
    </row>
    <row r="455" customFormat="false" ht="15" hidden="false" customHeight="false" outlineLevel="0" collapsed="false">
      <c r="A455" s="12"/>
      <c r="B455" s="13"/>
      <c r="C455" s="14"/>
      <c r="D455" s="15"/>
      <c r="E455" s="16"/>
      <c r="F455" s="13"/>
      <c r="G455" s="12"/>
      <c r="H455" s="17" t="str">
        <f aca="false">IF(OR(A455="",E455="",E455=0),"",D455/E455)</f>
        <v/>
      </c>
      <c r="I455" s="18" t="str">
        <f aca="true">IF(OR(A455="",C455=""),"",MAX(0,(TODAY()-C455)/365.25))</f>
        <v/>
      </c>
      <c r="J455" s="17" t="str">
        <f aca="false">IF(OR(H455="",I455=""),"",MIN(D455,H455*I455))</f>
        <v/>
      </c>
      <c r="K455" s="17" t="str">
        <f aca="false">IF(J455="","",D455-J455)</f>
        <v/>
      </c>
      <c r="L455" s="19" t="str">
        <f aca="false">IF(K455="","",IF(K455&lt;=0,"Ömrünü doldurdu","Kullanımda"))</f>
        <v/>
      </c>
    </row>
    <row r="456" customFormat="false" ht="15" hidden="false" customHeight="false" outlineLevel="0" collapsed="false">
      <c r="A456" s="12"/>
      <c r="B456" s="13"/>
      <c r="C456" s="14"/>
      <c r="D456" s="15"/>
      <c r="E456" s="16"/>
      <c r="F456" s="13"/>
      <c r="G456" s="12"/>
      <c r="H456" s="17" t="str">
        <f aca="false">IF(OR(A456="",E456="",E456=0),"",D456/E456)</f>
        <v/>
      </c>
      <c r="I456" s="18" t="str">
        <f aca="true">IF(OR(A456="",C456=""),"",MAX(0,(TODAY()-C456)/365.25))</f>
        <v/>
      </c>
      <c r="J456" s="17" t="str">
        <f aca="false">IF(OR(H456="",I456=""),"",MIN(D456,H456*I456))</f>
        <v/>
      </c>
      <c r="K456" s="17" t="str">
        <f aca="false">IF(J456="","",D456-J456)</f>
        <v/>
      </c>
      <c r="L456" s="19" t="str">
        <f aca="false">IF(K456="","",IF(K456&lt;=0,"Ömrünü doldurdu","Kullanımda"))</f>
        <v/>
      </c>
    </row>
    <row r="457" customFormat="false" ht="15" hidden="false" customHeight="false" outlineLevel="0" collapsed="false">
      <c r="A457" s="12"/>
      <c r="B457" s="13"/>
      <c r="C457" s="14"/>
      <c r="D457" s="15"/>
      <c r="E457" s="16"/>
      <c r="F457" s="13"/>
      <c r="G457" s="12"/>
      <c r="H457" s="17" t="str">
        <f aca="false">IF(OR(A457="",E457="",E457=0),"",D457/E457)</f>
        <v/>
      </c>
      <c r="I457" s="18" t="str">
        <f aca="true">IF(OR(A457="",C457=""),"",MAX(0,(TODAY()-C457)/365.25))</f>
        <v/>
      </c>
      <c r="J457" s="17" t="str">
        <f aca="false">IF(OR(H457="",I457=""),"",MIN(D457,H457*I457))</f>
        <v/>
      </c>
      <c r="K457" s="17" t="str">
        <f aca="false">IF(J457="","",D457-J457)</f>
        <v/>
      </c>
      <c r="L457" s="19" t="str">
        <f aca="false">IF(K457="","",IF(K457&lt;=0,"Ömrünü doldurdu","Kullanımda"))</f>
        <v/>
      </c>
    </row>
    <row r="458" customFormat="false" ht="15" hidden="false" customHeight="false" outlineLevel="0" collapsed="false">
      <c r="A458" s="12"/>
      <c r="B458" s="13"/>
      <c r="C458" s="14"/>
      <c r="D458" s="15"/>
      <c r="E458" s="16"/>
      <c r="F458" s="13"/>
      <c r="G458" s="12"/>
      <c r="H458" s="17" t="str">
        <f aca="false">IF(OR(A458="",E458="",E458=0),"",D458/E458)</f>
        <v/>
      </c>
      <c r="I458" s="18" t="str">
        <f aca="true">IF(OR(A458="",C458=""),"",MAX(0,(TODAY()-C458)/365.25))</f>
        <v/>
      </c>
      <c r="J458" s="17" t="str">
        <f aca="false">IF(OR(H458="",I458=""),"",MIN(D458,H458*I458))</f>
        <v/>
      </c>
      <c r="K458" s="17" t="str">
        <f aca="false">IF(J458="","",D458-J458)</f>
        <v/>
      </c>
      <c r="L458" s="19" t="str">
        <f aca="false">IF(K458="","",IF(K458&lt;=0,"Ömrünü doldurdu","Kullanımda"))</f>
        <v/>
      </c>
    </row>
    <row r="459" customFormat="false" ht="15" hidden="false" customHeight="false" outlineLevel="0" collapsed="false">
      <c r="A459" s="12"/>
      <c r="B459" s="13"/>
      <c r="C459" s="14"/>
      <c r="D459" s="15"/>
      <c r="E459" s="16"/>
      <c r="F459" s="13"/>
      <c r="G459" s="12"/>
      <c r="H459" s="17" t="str">
        <f aca="false">IF(OR(A459="",E459="",E459=0),"",D459/E459)</f>
        <v/>
      </c>
      <c r="I459" s="18" t="str">
        <f aca="true">IF(OR(A459="",C459=""),"",MAX(0,(TODAY()-C459)/365.25))</f>
        <v/>
      </c>
      <c r="J459" s="17" t="str">
        <f aca="false">IF(OR(H459="",I459=""),"",MIN(D459,H459*I459))</f>
        <v/>
      </c>
      <c r="K459" s="17" t="str">
        <f aca="false">IF(J459="","",D459-J459)</f>
        <v/>
      </c>
      <c r="L459" s="19" t="str">
        <f aca="false">IF(K459="","",IF(K459&lt;=0,"Ömrünü doldurdu","Kullanımda"))</f>
        <v/>
      </c>
    </row>
    <row r="460" customFormat="false" ht="15" hidden="false" customHeight="false" outlineLevel="0" collapsed="false">
      <c r="A460" s="12"/>
      <c r="B460" s="13"/>
      <c r="C460" s="14"/>
      <c r="D460" s="15"/>
      <c r="E460" s="16"/>
      <c r="F460" s="13"/>
      <c r="G460" s="12"/>
      <c r="H460" s="17" t="str">
        <f aca="false">IF(OR(A460="",E460="",E460=0),"",D460/E460)</f>
        <v/>
      </c>
      <c r="I460" s="18" t="str">
        <f aca="true">IF(OR(A460="",C460=""),"",MAX(0,(TODAY()-C460)/365.25))</f>
        <v/>
      </c>
      <c r="J460" s="17" t="str">
        <f aca="false">IF(OR(H460="",I460=""),"",MIN(D460,H460*I460))</f>
        <v/>
      </c>
      <c r="K460" s="17" t="str">
        <f aca="false">IF(J460="","",D460-J460)</f>
        <v/>
      </c>
      <c r="L460" s="19" t="str">
        <f aca="false">IF(K460="","",IF(K460&lt;=0,"Ömrünü doldurdu","Kullanımda"))</f>
        <v/>
      </c>
    </row>
    <row r="461" customFormat="false" ht="15" hidden="false" customHeight="false" outlineLevel="0" collapsed="false">
      <c r="A461" s="12"/>
      <c r="B461" s="13"/>
      <c r="C461" s="14"/>
      <c r="D461" s="15"/>
      <c r="E461" s="16"/>
      <c r="F461" s="13"/>
      <c r="G461" s="12"/>
      <c r="H461" s="17" t="str">
        <f aca="false">IF(OR(A461="",E461="",E461=0),"",D461/E461)</f>
        <v/>
      </c>
      <c r="I461" s="18" t="str">
        <f aca="true">IF(OR(A461="",C461=""),"",MAX(0,(TODAY()-C461)/365.25))</f>
        <v/>
      </c>
      <c r="J461" s="17" t="str">
        <f aca="false">IF(OR(H461="",I461=""),"",MIN(D461,H461*I461))</f>
        <v/>
      </c>
      <c r="K461" s="17" t="str">
        <f aca="false">IF(J461="","",D461-J461)</f>
        <v/>
      </c>
      <c r="L461" s="19" t="str">
        <f aca="false">IF(K461="","",IF(K461&lt;=0,"Ömrünü doldurdu","Kullanımda"))</f>
        <v/>
      </c>
    </row>
    <row r="462" customFormat="false" ht="15" hidden="false" customHeight="false" outlineLevel="0" collapsed="false">
      <c r="A462" s="12"/>
      <c r="B462" s="13"/>
      <c r="C462" s="14"/>
      <c r="D462" s="15"/>
      <c r="E462" s="16"/>
      <c r="F462" s="13"/>
      <c r="G462" s="12"/>
      <c r="H462" s="17" t="str">
        <f aca="false">IF(OR(A462="",E462="",E462=0),"",D462/E462)</f>
        <v/>
      </c>
      <c r="I462" s="18" t="str">
        <f aca="true">IF(OR(A462="",C462=""),"",MAX(0,(TODAY()-C462)/365.25))</f>
        <v/>
      </c>
      <c r="J462" s="17" t="str">
        <f aca="false">IF(OR(H462="",I462=""),"",MIN(D462,H462*I462))</f>
        <v/>
      </c>
      <c r="K462" s="17" t="str">
        <f aca="false">IF(J462="","",D462-J462)</f>
        <v/>
      </c>
      <c r="L462" s="19" t="str">
        <f aca="false">IF(K462="","",IF(K462&lt;=0,"Ömrünü doldurdu","Kullanımda"))</f>
        <v/>
      </c>
    </row>
    <row r="463" customFormat="false" ht="15" hidden="false" customHeight="false" outlineLevel="0" collapsed="false">
      <c r="A463" s="12"/>
      <c r="B463" s="13"/>
      <c r="C463" s="14"/>
      <c r="D463" s="15"/>
      <c r="E463" s="16"/>
      <c r="F463" s="13"/>
      <c r="G463" s="12"/>
      <c r="H463" s="17" t="str">
        <f aca="false">IF(OR(A463="",E463="",E463=0),"",D463/E463)</f>
        <v/>
      </c>
      <c r="I463" s="18" t="str">
        <f aca="true">IF(OR(A463="",C463=""),"",MAX(0,(TODAY()-C463)/365.25))</f>
        <v/>
      </c>
      <c r="J463" s="17" t="str">
        <f aca="false">IF(OR(H463="",I463=""),"",MIN(D463,H463*I463))</f>
        <v/>
      </c>
      <c r="K463" s="17" t="str">
        <f aca="false">IF(J463="","",D463-J463)</f>
        <v/>
      </c>
      <c r="L463" s="19" t="str">
        <f aca="false">IF(K463="","",IF(K463&lt;=0,"Ömrünü doldurdu","Kullanımda"))</f>
        <v/>
      </c>
    </row>
    <row r="464" customFormat="false" ht="15" hidden="false" customHeight="false" outlineLevel="0" collapsed="false">
      <c r="A464" s="12"/>
      <c r="B464" s="13"/>
      <c r="C464" s="14"/>
      <c r="D464" s="15"/>
      <c r="E464" s="16"/>
      <c r="F464" s="13"/>
      <c r="G464" s="12"/>
      <c r="H464" s="17" t="str">
        <f aca="false">IF(OR(A464="",E464="",E464=0),"",D464/E464)</f>
        <v/>
      </c>
      <c r="I464" s="18" t="str">
        <f aca="true">IF(OR(A464="",C464=""),"",MAX(0,(TODAY()-C464)/365.25))</f>
        <v/>
      </c>
      <c r="J464" s="17" t="str">
        <f aca="false">IF(OR(H464="",I464=""),"",MIN(D464,H464*I464))</f>
        <v/>
      </c>
      <c r="K464" s="17" t="str">
        <f aca="false">IF(J464="","",D464-J464)</f>
        <v/>
      </c>
      <c r="L464" s="19" t="str">
        <f aca="false">IF(K464="","",IF(K464&lt;=0,"Ömrünü doldurdu","Kullanımda"))</f>
        <v/>
      </c>
    </row>
    <row r="465" customFormat="false" ht="15" hidden="false" customHeight="false" outlineLevel="0" collapsed="false">
      <c r="A465" s="12"/>
      <c r="B465" s="13"/>
      <c r="C465" s="14"/>
      <c r="D465" s="15"/>
      <c r="E465" s="16"/>
      <c r="F465" s="13"/>
      <c r="G465" s="12"/>
      <c r="H465" s="17" t="str">
        <f aca="false">IF(OR(A465="",E465="",E465=0),"",D465/E465)</f>
        <v/>
      </c>
      <c r="I465" s="18" t="str">
        <f aca="true">IF(OR(A465="",C465=""),"",MAX(0,(TODAY()-C465)/365.25))</f>
        <v/>
      </c>
      <c r="J465" s="17" t="str">
        <f aca="false">IF(OR(H465="",I465=""),"",MIN(D465,H465*I465))</f>
        <v/>
      </c>
      <c r="K465" s="17" t="str">
        <f aca="false">IF(J465="","",D465-J465)</f>
        <v/>
      </c>
      <c r="L465" s="19" t="str">
        <f aca="false">IF(K465="","",IF(K465&lt;=0,"Ömrünü doldurdu","Kullanımda"))</f>
        <v/>
      </c>
    </row>
    <row r="466" customFormat="false" ht="15" hidden="false" customHeight="false" outlineLevel="0" collapsed="false">
      <c r="A466" s="12"/>
      <c r="B466" s="13"/>
      <c r="C466" s="14"/>
      <c r="D466" s="15"/>
      <c r="E466" s="16"/>
      <c r="F466" s="13"/>
      <c r="G466" s="12"/>
      <c r="H466" s="17" t="str">
        <f aca="false">IF(OR(A466="",E466="",E466=0),"",D466/E466)</f>
        <v/>
      </c>
      <c r="I466" s="18" t="str">
        <f aca="true">IF(OR(A466="",C466=""),"",MAX(0,(TODAY()-C466)/365.25))</f>
        <v/>
      </c>
      <c r="J466" s="17" t="str">
        <f aca="false">IF(OR(H466="",I466=""),"",MIN(D466,H466*I466))</f>
        <v/>
      </c>
      <c r="K466" s="17" t="str">
        <f aca="false">IF(J466="","",D466-J466)</f>
        <v/>
      </c>
      <c r="L466" s="19" t="str">
        <f aca="false">IF(K466="","",IF(K466&lt;=0,"Ömrünü doldurdu","Kullanımda"))</f>
        <v/>
      </c>
    </row>
    <row r="467" customFormat="false" ht="15" hidden="false" customHeight="false" outlineLevel="0" collapsed="false">
      <c r="A467" s="12"/>
      <c r="B467" s="13"/>
      <c r="C467" s="14"/>
      <c r="D467" s="15"/>
      <c r="E467" s="16"/>
      <c r="F467" s="13"/>
      <c r="G467" s="12"/>
      <c r="H467" s="17" t="str">
        <f aca="false">IF(OR(A467="",E467="",E467=0),"",D467/E467)</f>
        <v/>
      </c>
      <c r="I467" s="18" t="str">
        <f aca="true">IF(OR(A467="",C467=""),"",MAX(0,(TODAY()-C467)/365.25))</f>
        <v/>
      </c>
      <c r="J467" s="17" t="str">
        <f aca="false">IF(OR(H467="",I467=""),"",MIN(D467,H467*I467))</f>
        <v/>
      </c>
      <c r="K467" s="17" t="str">
        <f aca="false">IF(J467="","",D467-J467)</f>
        <v/>
      </c>
      <c r="L467" s="19" t="str">
        <f aca="false">IF(K467="","",IF(K467&lt;=0,"Ömrünü doldurdu","Kullanımda"))</f>
        <v/>
      </c>
    </row>
    <row r="468" customFormat="false" ht="15" hidden="false" customHeight="false" outlineLevel="0" collapsed="false">
      <c r="A468" s="12"/>
      <c r="B468" s="13"/>
      <c r="C468" s="14"/>
      <c r="D468" s="15"/>
      <c r="E468" s="16"/>
      <c r="F468" s="13"/>
      <c r="G468" s="12"/>
      <c r="H468" s="17" t="str">
        <f aca="false">IF(OR(A468="",E468="",E468=0),"",D468/E468)</f>
        <v/>
      </c>
      <c r="I468" s="18" t="str">
        <f aca="true">IF(OR(A468="",C468=""),"",MAX(0,(TODAY()-C468)/365.25))</f>
        <v/>
      </c>
      <c r="J468" s="17" t="str">
        <f aca="false">IF(OR(H468="",I468=""),"",MIN(D468,H468*I468))</f>
        <v/>
      </c>
      <c r="K468" s="17" t="str">
        <f aca="false">IF(J468="","",D468-J468)</f>
        <v/>
      </c>
      <c r="L468" s="19" t="str">
        <f aca="false">IF(K468="","",IF(K468&lt;=0,"Ömrünü doldurdu","Kullanımda"))</f>
        <v/>
      </c>
    </row>
    <row r="469" customFormat="false" ht="15" hidden="false" customHeight="false" outlineLevel="0" collapsed="false">
      <c r="A469" s="12"/>
      <c r="B469" s="13"/>
      <c r="C469" s="14"/>
      <c r="D469" s="15"/>
      <c r="E469" s="16"/>
      <c r="F469" s="13"/>
      <c r="G469" s="12"/>
      <c r="H469" s="17" t="str">
        <f aca="false">IF(OR(A469="",E469="",E469=0),"",D469/E469)</f>
        <v/>
      </c>
      <c r="I469" s="18" t="str">
        <f aca="true">IF(OR(A469="",C469=""),"",MAX(0,(TODAY()-C469)/365.25))</f>
        <v/>
      </c>
      <c r="J469" s="17" t="str">
        <f aca="false">IF(OR(H469="",I469=""),"",MIN(D469,H469*I469))</f>
        <v/>
      </c>
      <c r="K469" s="17" t="str">
        <f aca="false">IF(J469="","",D469-J469)</f>
        <v/>
      </c>
      <c r="L469" s="19" t="str">
        <f aca="false">IF(K469="","",IF(K469&lt;=0,"Ömrünü doldurdu","Kullanımda"))</f>
        <v/>
      </c>
    </row>
    <row r="470" customFormat="false" ht="15" hidden="false" customHeight="false" outlineLevel="0" collapsed="false">
      <c r="A470" s="12"/>
      <c r="B470" s="13"/>
      <c r="C470" s="14"/>
      <c r="D470" s="15"/>
      <c r="E470" s="16"/>
      <c r="F470" s="13"/>
      <c r="G470" s="12"/>
      <c r="H470" s="17" t="str">
        <f aca="false">IF(OR(A470="",E470="",E470=0),"",D470/E470)</f>
        <v/>
      </c>
      <c r="I470" s="18" t="str">
        <f aca="true">IF(OR(A470="",C470=""),"",MAX(0,(TODAY()-C470)/365.25))</f>
        <v/>
      </c>
      <c r="J470" s="17" t="str">
        <f aca="false">IF(OR(H470="",I470=""),"",MIN(D470,H470*I470))</f>
        <v/>
      </c>
      <c r="K470" s="17" t="str">
        <f aca="false">IF(J470="","",D470-J470)</f>
        <v/>
      </c>
      <c r="L470" s="19" t="str">
        <f aca="false">IF(K470="","",IF(K470&lt;=0,"Ömrünü doldurdu","Kullanımda"))</f>
        <v/>
      </c>
    </row>
    <row r="471" customFormat="false" ht="15" hidden="false" customHeight="false" outlineLevel="0" collapsed="false">
      <c r="A471" s="12"/>
      <c r="B471" s="13"/>
      <c r="C471" s="14"/>
      <c r="D471" s="15"/>
      <c r="E471" s="16"/>
      <c r="F471" s="13"/>
      <c r="G471" s="12"/>
      <c r="H471" s="17" t="str">
        <f aca="false">IF(OR(A471="",E471="",E471=0),"",D471/E471)</f>
        <v/>
      </c>
      <c r="I471" s="18" t="str">
        <f aca="true">IF(OR(A471="",C471=""),"",MAX(0,(TODAY()-C471)/365.25))</f>
        <v/>
      </c>
      <c r="J471" s="17" t="str">
        <f aca="false">IF(OR(H471="",I471=""),"",MIN(D471,H471*I471))</f>
        <v/>
      </c>
      <c r="K471" s="17" t="str">
        <f aca="false">IF(J471="","",D471-J471)</f>
        <v/>
      </c>
      <c r="L471" s="19" t="str">
        <f aca="false">IF(K471="","",IF(K471&lt;=0,"Ömrünü doldurdu","Kullanımda"))</f>
        <v/>
      </c>
    </row>
    <row r="472" customFormat="false" ht="15" hidden="false" customHeight="false" outlineLevel="0" collapsed="false">
      <c r="A472" s="12"/>
      <c r="B472" s="13"/>
      <c r="C472" s="14"/>
      <c r="D472" s="15"/>
      <c r="E472" s="16"/>
      <c r="F472" s="13"/>
      <c r="G472" s="12"/>
      <c r="H472" s="17" t="str">
        <f aca="false">IF(OR(A472="",E472="",E472=0),"",D472/E472)</f>
        <v/>
      </c>
      <c r="I472" s="18" t="str">
        <f aca="true">IF(OR(A472="",C472=""),"",MAX(0,(TODAY()-C472)/365.25))</f>
        <v/>
      </c>
      <c r="J472" s="17" t="str">
        <f aca="false">IF(OR(H472="",I472=""),"",MIN(D472,H472*I472))</f>
        <v/>
      </c>
      <c r="K472" s="17" t="str">
        <f aca="false">IF(J472="","",D472-J472)</f>
        <v/>
      </c>
      <c r="L472" s="19" t="str">
        <f aca="false">IF(K472="","",IF(K472&lt;=0,"Ömrünü doldurdu","Kullanımda"))</f>
        <v/>
      </c>
    </row>
    <row r="473" customFormat="false" ht="15" hidden="false" customHeight="false" outlineLevel="0" collapsed="false">
      <c r="A473" s="12"/>
      <c r="B473" s="13"/>
      <c r="C473" s="14"/>
      <c r="D473" s="15"/>
      <c r="E473" s="16"/>
      <c r="F473" s="13"/>
      <c r="G473" s="12"/>
      <c r="H473" s="17" t="str">
        <f aca="false">IF(OR(A473="",E473="",E473=0),"",D473/E473)</f>
        <v/>
      </c>
      <c r="I473" s="18" t="str">
        <f aca="true">IF(OR(A473="",C473=""),"",MAX(0,(TODAY()-C473)/365.25))</f>
        <v/>
      </c>
      <c r="J473" s="17" t="str">
        <f aca="false">IF(OR(H473="",I473=""),"",MIN(D473,H473*I473))</f>
        <v/>
      </c>
      <c r="K473" s="17" t="str">
        <f aca="false">IF(J473="","",D473-J473)</f>
        <v/>
      </c>
      <c r="L473" s="19" t="str">
        <f aca="false">IF(K473="","",IF(K473&lt;=0,"Ömrünü doldurdu","Kullanımda"))</f>
        <v/>
      </c>
    </row>
    <row r="474" customFormat="false" ht="15" hidden="false" customHeight="false" outlineLevel="0" collapsed="false">
      <c r="A474" s="12"/>
      <c r="B474" s="13"/>
      <c r="C474" s="14"/>
      <c r="D474" s="15"/>
      <c r="E474" s="16"/>
      <c r="F474" s="13"/>
      <c r="G474" s="12"/>
      <c r="H474" s="17" t="str">
        <f aca="false">IF(OR(A474="",E474="",E474=0),"",D474/E474)</f>
        <v/>
      </c>
      <c r="I474" s="18" t="str">
        <f aca="true">IF(OR(A474="",C474=""),"",MAX(0,(TODAY()-C474)/365.25))</f>
        <v/>
      </c>
      <c r="J474" s="17" t="str">
        <f aca="false">IF(OR(H474="",I474=""),"",MIN(D474,H474*I474))</f>
        <v/>
      </c>
      <c r="K474" s="17" t="str">
        <f aca="false">IF(J474="","",D474-J474)</f>
        <v/>
      </c>
      <c r="L474" s="19" t="str">
        <f aca="false">IF(K474="","",IF(K474&lt;=0,"Ömrünü doldurdu","Kullanımda"))</f>
        <v/>
      </c>
    </row>
    <row r="475" customFormat="false" ht="15" hidden="false" customHeight="false" outlineLevel="0" collapsed="false">
      <c r="A475" s="12"/>
      <c r="B475" s="13"/>
      <c r="C475" s="14"/>
      <c r="D475" s="15"/>
      <c r="E475" s="16"/>
      <c r="F475" s="13"/>
      <c r="G475" s="12"/>
      <c r="H475" s="17" t="str">
        <f aca="false">IF(OR(A475="",E475="",E475=0),"",D475/E475)</f>
        <v/>
      </c>
      <c r="I475" s="18" t="str">
        <f aca="true">IF(OR(A475="",C475=""),"",MAX(0,(TODAY()-C475)/365.25))</f>
        <v/>
      </c>
      <c r="J475" s="17" t="str">
        <f aca="false">IF(OR(H475="",I475=""),"",MIN(D475,H475*I475))</f>
        <v/>
      </c>
      <c r="K475" s="17" t="str">
        <f aca="false">IF(J475="","",D475-J475)</f>
        <v/>
      </c>
      <c r="L475" s="19" t="str">
        <f aca="false">IF(K475="","",IF(K475&lt;=0,"Ömrünü doldurdu","Kullanımda"))</f>
        <v/>
      </c>
    </row>
    <row r="476" customFormat="false" ht="15" hidden="false" customHeight="false" outlineLevel="0" collapsed="false">
      <c r="A476" s="12"/>
      <c r="B476" s="13"/>
      <c r="C476" s="14"/>
      <c r="D476" s="15"/>
      <c r="E476" s="16"/>
      <c r="F476" s="13"/>
      <c r="G476" s="12"/>
      <c r="H476" s="17" t="str">
        <f aca="false">IF(OR(A476="",E476="",E476=0),"",D476/E476)</f>
        <v/>
      </c>
      <c r="I476" s="18" t="str">
        <f aca="true">IF(OR(A476="",C476=""),"",MAX(0,(TODAY()-C476)/365.25))</f>
        <v/>
      </c>
      <c r="J476" s="17" t="str">
        <f aca="false">IF(OR(H476="",I476=""),"",MIN(D476,H476*I476))</f>
        <v/>
      </c>
      <c r="K476" s="17" t="str">
        <f aca="false">IF(J476="","",D476-J476)</f>
        <v/>
      </c>
      <c r="L476" s="19" t="str">
        <f aca="false">IF(K476="","",IF(K476&lt;=0,"Ömrünü doldurdu","Kullanımda"))</f>
        <v/>
      </c>
    </row>
    <row r="477" customFormat="false" ht="15" hidden="false" customHeight="false" outlineLevel="0" collapsed="false">
      <c r="A477" s="12"/>
      <c r="B477" s="13"/>
      <c r="C477" s="14"/>
      <c r="D477" s="15"/>
      <c r="E477" s="16"/>
      <c r="F477" s="13"/>
      <c r="G477" s="12"/>
      <c r="H477" s="17" t="str">
        <f aca="false">IF(OR(A477="",E477="",E477=0),"",D477/E477)</f>
        <v/>
      </c>
      <c r="I477" s="18" t="str">
        <f aca="true">IF(OR(A477="",C477=""),"",MAX(0,(TODAY()-C477)/365.25))</f>
        <v/>
      </c>
      <c r="J477" s="17" t="str">
        <f aca="false">IF(OR(H477="",I477=""),"",MIN(D477,H477*I477))</f>
        <v/>
      </c>
      <c r="K477" s="17" t="str">
        <f aca="false">IF(J477="","",D477-J477)</f>
        <v/>
      </c>
      <c r="L477" s="19" t="str">
        <f aca="false">IF(K477="","",IF(K477&lt;=0,"Ömrünü doldurdu","Kullanımda"))</f>
        <v/>
      </c>
    </row>
    <row r="478" customFormat="false" ht="15" hidden="false" customHeight="false" outlineLevel="0" collapsed="false">
      <c r="A478" s="12"/>
      <c r="B478" s="13"/>
      <c r="C478" s="14"/>
      <c r="D478" s="15"/>
      <c r="E478" s="16"/>
      <c r="F478" s="13"/>
      <c r="G478" s="12"/>
      <c r="H478" s="17" t="str">
        <f aca="false">IF(OR(A478="",E478="",E478=0),"",D478/E478)</f>
        <v/>
      </c>
      <c r="I478" s="18" t="str">
        <f aca="true">IF(OR(A478="",C478=""),"",MAX(0,(TODAY()-C478)/365.25))</f>
        <v/>
      </c>
      <c r="J478" s="17" t="str">
        <f aca="false">IF(OR(H478="",I478=""),"",MIN(D478,H478*I478))</f>
        <v/>
      </c>
      <c r="K478" s="17" t="str">
        <f aca="false">IF(J478="","",D478-J478)</f>
        <v/>
      </c>
      <c r="L478" s="19" t="str">
        <f aca="false">IF(K478="","",IF(K478&lt;=0,"Ömrünü doldurdu","Kullanımda"))</f>
        <v/>
      </c>
    </row>
    <row r="479" customFormat="false" ht="15" hidden="false" customHeight="false" outlineLevel="0" collapsed="false">
      <c r="A479" s="12"/>
      <c r="B479" s="13"/>
      <c r="C479" s="14"/>
      <c r="D479" s="15"/>
      <c r="E479" s="16"/>
      <c r="F479" s="13"/>
      <c r="G479" s="12"/>
      <c r="H479" s="17" t="str">
        <f aca="false">IF(OR(A479="",E479="",E479=0),"",D479/E479)</f>
        <v/>
      </c>
      <c r="I479" s="18" t="str">
        <f aca="true">IF(OR(A479="",C479=""),"",MAX(0,(TODAY()-C479)/365.25))</f>
        <v/>
      </c>
      <c r="J479" s="17" t="str">
        <f aca="false">IF(OR(H479="",I479=""),"",MIN(D479,H479*I479))</f>
        <v/>
      </c>
      <c r="K479" s="17" t="str">
        <f aca="false">IF(J479="","",D479-J479)</f>
        <v/>
      </c>
      <c r="L479" s="19" t="str">
        <f aca="false">IF(K479="","",IF(K479&lt;=0,"Ömrünü doldurdu","Kullanımda"))</f>
        <v/>
      </c>
    </row>
    <row r="480" customFormat="false" ht="15" hidden="false" customHeight="false" outlineLevel="0" collapsed="false">
      <c r="A480" s="12"/>
      <c r="B480" s="13"/>
      <c r="C480" s="14"/>
      <c r="D480" s="15"/>
      <c r="E480" s="16"/>
      <c r="F480" s="13"/>
      <c r="G480" s="12"/>
      <c r="H480" s="17" t="str">
        <f aca="false">IF(OR(A480="",E480="",E480=0),"",D480/E480)</f>
        <v/>
      </c>
      <c r="I480" s="18" t="str">
        <f aca="true">IF(OR(A480="",C480=""),"",MAX(0,(TODAY()-C480)/365.25))</f>
        <v/>
      </c>
      <c r="J480" s="17" t="str">
        <f aca="false">IF(OR(H480="",I480=""),"",MIN(D480,H480*I480))</f>
        <v/>
      </c>
      <c r="K480" s="17" t="str">
        <f aca="false">IF(J480="","",D480-J480)</f>
        <v/>
      </c>
      <c r="L480" s="19" t="str">
        <f aca="false">IF(K480="","",IF(K480&lt;=0,"Ömrünü doldurdu","Kullanımda"))</f>
        <v/>
      </c>
    </row>
    <row r="481" customFormat="false" ht="15" hidden="false" customHeight="false" outlineLevel="0" collapsed="false">
      <c r="A481" s="12"/>
      <c r="B481" s="13"/>
      <c r="C481" s="14"/>
      <c r="D481" s="15"/>
      <c r="E481" s="16"/>
      <c r="F481" s="13"/>
      <c r="G481" s="12"/>
      <c r="H481" s="17" t="str">
        <f aca="false">IF(OR(A481="",E481="",E481=0),"",D481/E481)</f>
        <v/>
      </c>
      <c r="I481" s="18" t="str">
        <f aca="true">IF(OR(A481="",C481=""),"",MAX(0,(TODAY()-C481)/365.25))</f>
        <v/>
      </c>
      <c r="J481" s="17" t="str">
        <f aca="false">IF(OR(H481="",I481=""),"",MIN(D481,H481*I481))</f>
        <v/>
      </c>
      <c r="K481" s="17" t="str">
        <f aca="false">IF(J481="","",D481-J481)</f>
        <v/>
      </c>
      <c r="L481" s="19" t="str">
        <f aca="false">IF(K481="","",IF(K481&lt;=0,"Ömrünü doldurdu","Kullanımda"))</f>
        <v/>
      </c>
    </row>
    <row r="482" customFormat="false" ht="15" hidden="false" customHeight="false" outlineLevel="0" collapsed="false">
      <c r="A482" s="12"/>
      <c r="B482" s="13"/>
      <c r="C482" s="14"/>
      <c r="D482" s="15"/>
      <c r="E482" s="16"/>
      <c r="F482" s="13"/>
      <c r="G482" s="12"/>
      <c r="H482" s="17" t="str">
        <f aca="false">IF(OR(A482="",E482="",E482=0),"",D482/E482)</f>
        <v/>
      </c>
      <c r="I482" s="18" t="str">
        <f aca="true">IF(OR(A482="",C482=""),"",MAX(0,(TODAY()-C482)/365.25))</f>
        <v/>
      </c>
      <c r="J482" s="17" t="str">
        <f aca="false">IF(OR(H482="",I482=""),"",MIN(D482,H482*I482))</f>
        <v/>
      </c>
      <c r="K482" s="17" t="str">
        <f aca="false">IF(J482="","",D482-J482)</f>
        <v/>
      </c>
      <c r="L482" s="19" t="str">
        <f aca="false">IF(K482="","",IF(K482&lt;=0,"Ömrünü doldurdu","Kullanımda"))</f>
        <v/>
      </c>
    </row>
    <row r="483" customFormat="false" ht="15" hidden="false" customHeight="false" outlineLevel="0" collapsed="false">
      <c r="A483" s="12"/>
      <c r="B483" s="13"/>
      <c r="C483" s="14"/>
      <c r="D483" s="15"/>
      <c r="E483" s="16"/>
      <c r="F483" s="13"/>
      <c r="G483" s="12"/>
      <c r="H483" s="17" t="str">
        <f aca="false">IF(OR(A483="",E483="",E483=0),"",D483/E483)</f>
        <v/>
      </c>
      <c r="I483" s="18" t="str">
        <f aca="true">IF(OR(A483="",C483=""),"",MAX(0,(TODAY()-C483)/365.25))</f>
        <v/>
      </c>
      <c r="J483" s="17" t="str">
        <f aca="false">IF(OR(H483="",I483=""),"",MIN(D483,H483*I483))</f>
        <v/>
      </c>
      <c r="K483" s="17" t="str">
        <f aca="false">IF(J483="","",D483-J483)</f>
        <v/>
      </c>
      <c r="L483" s="19" t="str">
        <f aca="false">IF(K483="","",IF(K483&lt;=0,"Ömrünü doldurdu","Kullanımda"))</f>
        <v/>
      </c>
    </row>
    <row r="484" customFormat="false" ht="15" hidden="false" customHeight="false" outlineLevel="0" collapsed="false">
      <c r="A484" s="12"/>
      <c r="B484" s="13"/>
      <c r="C484" s="14"/>
      <c r="D484" s="15"/>
      <c r="E484" s="16"/>
      <c r="F484" s="13"/>
      <c r="G484" s="12"/>
      <c r="H484" s="17" t="str">
        <f aca="false">IF(OR(A484="",E484="",E484=0),"",D484/E484)</f>
        <v/>
      </c>
      <c r="I484" s="18" t="str">
        <f aca="true">IF(OR(A484="",C484=""),"",MAX(0,(TODAY()-C484)/365.25))</f>
        <v/>
      </c>
      <c r="J484" s="17" t="str">
        <f aca="false">IF(OR(H484="",I484=""),"",MIN(D484,H484*I484))</f>
        <v/>
      </c>
      <c r="K484" s="17" t="str">
        <f aca="false">IF(J484="","",D484-J484)</f>
        <v/>
      </c>
      <c r="L484" s="19" t="str">
        <f aca="false">IF(K484="","",IF(K484&lt;=0,"Ömrünü doldurdu","Kullanımda"))</f>
        <v/>
      </c>
    </row>
    <row r="485" customFormat="false" ht="15" hidden="false" customHeight="false" outlineLevel="0" collapsed="false">
      <c r="A485" s="12"/>
      <c r="B485" s="13"/>
      <c r="C485" s="14"/>
      <c r="D485" s="15"/>
      <c r="E485" s="16"/>
      <c r="F485" s="13"/>
      <c r="G485" s="12"/>
      <c r="H485" s="17" t="str">
        <f aca="false">IF(OR(A485="",E485="",E485=0),"",D485/E485)</f>
        <v/>
      </c>
      <c r="I485" s="18" t="str">
        <f aca="true">IF(OR(A485="",C485=""),"",MAX(0,(TODAY()-C485)/365.25))</f>
        <v/>
      </c>
      <c r="J485" s="17" t="str">
        <f aca="false">IF(OR(H485="",I485=""),"",MIN(D485,H485*I485))</f>
        <v/>
      </c>
      <c r="K485" s="17" t="str">
        <f aca="false">IF(J485="","",D485-J485)</f>
        <v/>
      </c>
      <c r="L485" s="19" t="str">
        <f aca="false">IF(K485="","",IF(K485&lt;=0,"Ömrünü doldurdu","Kullanımda"))</f>
        <v/>
      </c>
    </row>
    <row r="486" customFormat="false" ht="15" hidden="false" customHeight="false" outlineLevel="0" collapsed="false">
      <c r="A486" s="12"/>
      <c r="B486" s="13"/>
      <c r="C486" s="14"/>
      <c r="D486" s="15"/>
      <c r="E486" s="16"/>
      <c r="F486" s="13"/>
      <c r="G486" s="12"/>
      <c r="H486" s="17" t="str">
        <f aca="false">IF(OR(A486="",E486="",E486=0),"",D486/E486)</f>
        <v/>
      </c>
      <c r="I486" s="18" t="str">
        <f aca="true">IF(OR(A486="",C486=""),"",MAX(0,(TODAY()-C486)/365.25))</f>
        <v/>
      </c>
      <c r="J486" s="17" t="str">
        <f aca="false">IF(OR(H486="",I486=""),"",MIN(D486,H486*I486))</f>
        <v/>
      </c>
      <c r="K486" s="17" t="str">
        <f aca="false">IF(J486="","",D486-J486)</f>
        <v/>
      </c>
      <c r="L486" s="19" t="str">
        <f aca="false">IF(K486="","",IF(K486&lt;=0,"Ömrünü doldurdu","Kullanımda"))</f>
        <v/>
      </c>
    </row>
    <row r="487" customFormat="false" ht="15" hidden="false" customHeight="false" outlineLevel="0" collapsed="false">
      <c r="A487" s="12"/>
      <c r="B487" s="13"/>
      <c r="C487" s="14"/>
      <c r="D487" s="15"/>
      <c r="E487" s="16"/>
      <c r="F487" s="13"/>
      <c r="G487" s="12"/>
      <c r="H487" s="17" t="str">
        <f aca="false">IF(OR(A487="",E487="",E487=0),"",D487/E487)</f>
        <v/>
      </c>
      <c r="I487" s="18" t="str">
        <f aca="true">IF(OR(A487="",C487=""),"",MAX(0,(TODAY()-C487)/365.25))</f>
        <v/>
      </c>
      <c r="J487" s="17" t="str">
        <f aca="false">IF(OR(H487="",I487=""),"",MIN(D487,H487*I487))</f>
        <v/>
      </c>
      <c r="K487" s="17" t="str">
        <f aca="false">IF(J487="","",D487-J487)</f>
        <v/>
      </c>
      <c r="L487" s="19" t="str">
        <f aca="false">IF(K487="","",IF(K487&lt;=0,"Ömrünü doldurdu","Kullanımda"))</f>
        <v/>
      </c>
    </row>
    <row r="488" customFormat="false" ht="15" hidden="false" customHeight="false" outlineLevel="0" collapsed="false">
      <c r="A488" s="12"/>
      <c r="B488" s="13"/>
      <c r="C488" s="14"/>
      <c r="D488" s="15"/>
      <c r="E488" s="16"/>
      <c r="F488" s="13"/>
      <c r="G488" s="12"/>
      <c r="H488" s="17" t="str">
        <f aca="false">IF(OR(A488="",E488="",E488=0),"",D488/E488)</f>
        <v/>
      </c>
      <c r="I488" s="18" t="str">
        <f aca="true">IF(OR(A488="",C488=""),"",MAX(0,(TODAY()-C488)/365.25))</f>
        <v/>
      </c>
      <c r="J488" s="17" t="str">
        <f aca="false">IF(OR(H488="",I488=""),"",MIN(D488,H488*I488))</f>
        <v/>
      </c>
      <c r="K488" s="17" t="str">
        <f aca="false">IF(J488="","",D488-J488)</f>
        <v/>
      </c>
      <c r="L488" s="19" t="str">
        <f aca="false">IF(K488="","",IF(K488&lt;=0,"Ömrünü doldurdu","Kullanımda"))</f>
        <v/>
      </c>
    </row>
    <row r="489" customFormat="false" ht="15" hidden="false" customHeight="false" outlineLevel="0" collapsed="false">
      <c r="A489" s="12"/>
      <c r="B489" s="13"/>
      <c r="C489" s="14"/>
      <c r="D489" s="15"/>
      <c r="E489" s="16"/>
      <c r="F489" s="13"/>
      <c r="G489" s="12"/>
      <c r="H489" s="17" t="str">
        <f aca="false">IF(OR(A489="",E489="",E489=0),"",D489/E489)</f>
        <v/>
      </c>
      <c r="I489" s="18" t="str">
        <f aca="true">IF(OR(A489="",C489=""),"",MAX(0,(TODAY()-C489)/365.25))</f>
        <v/>
      </c>
      <c r="J489" s="17" t="str">
        <f aca="false">IF(OR(H489="",I489=""),"",MIN(D489,H489*I489))</f>
        <v/>
      </c>
      <c r="K489" s="17" t="str">
        <f aca="false">IF(J489="","",D489-J489)</f>
        <v/>
      </c>
      <c r="L489" s="19" t="str">
        <f aca="false">IF(K489="","",IF(K489&lt;=0,"Ömrünü doldurdu","Kullanımda"))</f>
        <v/>
      </c>
    </row>
    <row r="490" customFormat="false" ht="15" hidden="false" customHeight="false" outlineLevel="0" collapsed="false">
      <c r="A490" s="12"/>
      <c r="B490" s="13"/>
      <c r="C490" s="14"/>
      <c r="D490" s="15"/>
      <c r="E490" s="16"/>
      <c r="F490" s="13"/>
      <c r="G490" s="12"/>
      <c r="H490" s="17" t="str">
        <f aca="false">IF(OR(A490="",E490="",E490=0),"",D490/E490)</f>
        <v/>
      </c>
      <c r="I490" s="18" t="str">
        <f aca="true">IF(OR(A490="",C490=""),"",MAX(0,(TODAY()-C490)/365.25))</f>
        <v/>
      </c>
      <c r="J490" s="17" t="str">
        <f aca="false">IF(OR(H490="",I490=""),"",MIN(D490,H490*I490))</f>
        <v/>
      </c>
      <c r="K490" s="17" t="str">
        <f aca="false">IF(J490="","",D490-J490)</f>
        <v/>
      </c>
      <c r="L490" s="19" t="str">
        <f aca="false">IF(K490="","",IF(K490&lt;=0,"Ömrünü doldurdu","Kullanımda"))</f>
        <v/>
      </c>
    </row>
    <row r="491" customFormat="false" ht="15" hidden="false" customHeight="false" outlineLevel="0" collapsed="false">
      <c r="A491" s="12"/>
      <c r="B491" s="13"/>
      <c r="C491" s="14"/>
      <c r="D491" s="15"/>
      <c r="E491" s="16"/>
      <c r="F491" s="13"/>
      <c r="G491" s="12"/>
      <c r="H491" s="17" t="str">
        <f aca="false">IF(OR(A491="",E491="",E491=0),"",D491/E491)</f>
        <v/>
      </c>
      <c r="I491" s="18" t="str">
        <f aca="true">IF(OR(A491="",C491=""),"",MAX(0,(TODAY()-C491)/365.25))</f>
        <v/>
      </c>
      <c r="J491" s="17" t="str">
        <f aca="false">IF(OR(H491="",I491=""),"",MIN(D491,H491*I491))</f>
        <v/>
      </c>
      <c r="K491" s="17" t="str">
        <f aca="false">IF(J491="","",D491-J491)</f>
        <v/>
      </c>
      <c r="L491" s="19" t="str">
        <f aca="false">IF(K491="","",IF(K491&lt;=0,"Ömrünü doldurdu","Kullanımda"))</f>
        <v/>
      </c>
    </row>
    <row r="492" customFormat="false" ht="15" hidden="false" customHeight="false" outlineLevel="0" collapsed="false">
      <c r="A492" s="12"/>
      <c r="B492" s="13"/>
      <c r="C492" s="14"/>
      <c r="D492" s="15"/>
      <c r="E492" s="16"/>
      <c r="F492" s="13"/>
      <c r="G492" s="12"/>
      <c r="H492" s="17" t="str">
        <f aca="false">IF(OR(A492="",E492="",E492=0),"",D492/E492)</f>
        <v/>
      </c>
      <c r="I492" s="18" t="str">
        <f aca="true">IF(OR(A492="",C492=""),"",MAX(0,(TODAY()-C492)/365.25))</f>
        <v/>
      </c>
      <c r="J492" s="17" t="str">
        <f aca="false">IF(OR(H492="",I492=""),"",MIN(D492,H492*I492))</f>
        <v/>
      </c>
      <c r="K492" s="17" t="str">
        <f aca="false">IF(J492="","",D492-J492)</f>
        <v/>
      </c>
      <c r="L492" s="19" t="str">
        <f aca="false">IF(K492="","",IF(K492&lt;=0,"Ömrünü doldurdu","Kullanımda"))</f>
        <v/>
      </c>
    </row>
    <row r="493" customFormat="false" ht="15" hidden="false" customHeight="false" outlineLevel="0" collapsed="false">
      <c r="A493" s="12"/>
      <c r="B493" s="13"/>
      <c r="C493" s="14"/>
      <c r="D493" s="15"/>
      <c r="E493" s="16"/>
      <c r="F493" s="13"/>
      <c r="G493" s="12"/>
      <c r="H493" s="17" t="str">
        <f aca="false">IF(OR(A493="",E493="",E493=0),"",D493/E493)</f>
        <v/>
      </c>
      <c r="I493" s="18" t="str">
        <f aca="true">IF(OR(A493="",C493=""),"",MAX(0,(TODAY()-C493)/365.25))</f>
        <v/>
      </c>
      <c r="J493" s="17" t="str">
        <f aca="false">IF(OR(H493="",I493=""),"",MIN(D493,H493*I493))</f>
        <v/>
      </c>
      <c r="K493" s="17" t="str">
        <f aca="false">IF(J493="","",D493-J493)</f>
        <v/>
      </c>
      <c r="L493" s="19" t="str">
        <f aca="false">IF(K493="","",IF(K493&lt;=0,"Ömrünü doldurdu","Kullanımda"))</f>
        <v/>
      </c>
    </row>
    <row r="494" customFormat="false" ht="15" hidden="false" customHeight="false" outlineLevel="0" collapsed="false">
      <c r="A494" s="12"/>
      <c r="B494" s="13"/>
      <c r="C494" s="14"/>
      <c r="D494" s="15"/>
      <c r="E494" s="16"/>
      <c r="F494" s="13"/>
      <c r="G494" s="12"/>
      <c r="H494" s="17" t="str">
        <f aca="false">IF(OR(A494="",E494="",E494=0),"",D494/E494)</f>
        <v/>
      </c>
      <c r="I494" s="18" t="str">
        <f aca="true">IF(OR(A494="",C494=""),"",MAX(0,(TODAY()-C494)/365.25))</f>
        <v/>
      </c>
      <c r="J494" s="17" t="str">
        <f aca="false">IF(OR(H494="",I494=""),"",MIN(D494,H494*I494))</f>
        <v/>
      </c>
      <c r="K494" s="17" t="str">
        <f aca="false">IF(J494="","",D494-J494)</f>
        <v/>
      </c>
      <c r="L494" s="19" t="str">
        <f aca="false">IF(K494="","",IF(K494&lt;=0,"Ömrünü doldurdu","Kullanımda"))</f>
        <v/>
      </c>
    </row>
    <row r="495" customFormat="false" ht="15" hidden="false" customHeight="false" outlineLevel="0" collapsed="false">
      <c r="A495" s="12"/>
      <c r="B495" s="13"/>
      <c r="C495" s="14"/>
      <c r="D495" s="15"/>
      <c r="E495" s="16"/>
      <c r="F495" s="13"/>
      <c r="G495" s="12"/>
      <c r="H495" s="17" t="str">
        <f aca="false">IF(OR(A495="",E495="",E495=0),"",D495/E495)</f>
        <v/>
      </c>
      <c r="I495" s="18" t="str">
        <f aca="true">IF(OR(A495="",C495=""),"",MAX(0,(TODAY()-C495)/365.25))</f>
        <v/>
      </c>
      <c r="J495" s="17" t="str">
        <f aca="false">IF(OR(H495="",I495=""),"",MIN(D495,H495*I495))</f>
        <v/>
      </c>
      <c r="K495" s="17" t="str">
        <f aca="false">IF(J495="","",D495-J495)</f>
        <v/>
      </c>
      <c r="L495" s="19" t="str">
        <f aca="false">IF(K495="","",IF(K495&lt;=0,"Ömrünü doldurdu","Kullanımda"))</f>
        <v/>
      </c>
    </row>
    <row r="496" customFormat="false" ht="15" hidden="false" customHeight="false" outlineLevel="0" collapsed="false">
      <c r="A496" s="12"/>
      <c r="B496" s="13"/>
      <c r="C496" s="14"/>
      <c r="D496" s="15"/>
      <c r="E496" s="16"/>
      <c r="F496" s="13"/>
      <c r="G496" s="12"/>
      <c r="H496" s="17" t="str">
        <f aca="false">IF(OR(A496="",E496="",E496=0),"",D496/E496)</f>
        <v/>
      </c>
      <c r="I496" s="18" t="str">
        <f aca="true">IF(OR(A496="",C496=""),"",MAX(0,(TODAY()-C496)/365.25))</f>
        <v/>
      </c>
      <c r="J496" s="17" t="str">
        <f aca="false">IF(OR(H496="",I496=""),"",MIN(D496,H496*I496))</f>
        <v/>
      </c>
      <c r="K496" s="17" t="str">
        <f aca="false">IF(J496="","",D496-J496)</f>
        <v/>
      </c>
      <c r="L496" s="19" t="str">
        <f aca="false">IF(K496="","",IF(K496&lt;=0,"Ömrünü doldurdu","Kullanımda"))</f>
        <v/>
      </c>
    </row>
    <row r="497" customFormat="false" ht="15" hidden="false" customHeight="false" outlineLevel="0" collapsed="false">
      <c r="A497" s="12"/>
      <c r="B497" s="13"/>
      <c r="C497" s="14"/>
      <c r="D497" s="15"/>
      <c r="E497" s="16"/>
      <c r="F497" s="13"/>
      <c r="G497" s="12"/>
      <c r="H497" s="17" t="str">
        <f aca="false">IF(OR(A497="",E497="",E497=0),"",D497/E497)</f>
        <v/>
      </c>
      <c r="I497" s="18" t="str">
        <f aca="true">IF(OR(A497="",C497=""),"",MAX(0,(TODAY()-C497)/365.25))</f>
        <v/>
      </c>
      <c r="J497" s="17" t="str">
        <f aca="false">IF(OR(H497="",I497=""),"",MIN(D497,H497*I497))</f>
        <v/>
      </c>
      <c r="K497" s="17" t="str">
        <f aca="false">IF(J497="","",D497-J497)</f>
        <v/>
      </c>
      <c r="L497" s="19" t="str">
        <f aca="false">IF(K497="","",IF(K497&lt;=0,"Ömrünü doldurdu","Kullanımda"))</f>
        <v/>
      </c>
    </row>
    <row r="498" customFormat="false" ht="15" hidden="false" customHeight="false" outlineLevel="0" collapsed="false">
      <c r="A498" s="12"/>
      <c r="B498" s="13"/>
      <c r="C498" s="14"/>
      <c r="D498" s="15"/>
      <c r="E498" s="16"/>
      <c r="F498" s="13"/>
      <c r="G498" s="12"/>
      <c r="H498" s="17" t="str">
        <f aca="false">IF(OR(A498="",E498="",E498=0),"",D498/E498)</f>
        <v/>
      </c>
      <c r="I498" s="18" t="str">
        <f aca="true">IF(OR(A498="",C498=""),"",MAX(0,(TODAY()-C498)/365.25))</f>
        <v/>
      </c>
      <c r="J498" s="17" t="str">
        <f aca="false">IF(OR(H498="",I498=""),"",MIN(D498,H498*I498))</f>
        <v/>
      </c>
      <c r="K498" s="17" t="str">
        <f aca="false">IF(J498="","",D498-J498)</f>
        <v/>
      </c>
      <c r="L498" s="19" t="str">
        <f aca="false">IF(K498="","",IF(K498&lt;=0,"Ömrünü doldurdu","Kullanımda"))</f>
        <v/>
      </c>
    </row>
    <row r="499" customFormat="false" ht="15" hidden="false" customHeight="false" outlineLevel="0" collapsed="false">
      <c r="A499" s="12"/>
      <c r="B499" s="13"/>
      <c r="C499" s="14"/>
      <c r="D499" s="15"/>
      <c r="E499" s="16"/>
      <c r="F499" s="13"/>
      <c r="G499" s="12"/>
      <c r="H499" s="17" t="str">
        <f aca="false">IF(OR(A499="",E499="",E499=0),"",D499/E499)</f>
        <v/>
      </c>
      <c r="I499" s="18" t="str">
        <f aca="true">IF(OR(A499="",C499=""),"",MAX(0,(TODAY()-C499)/365.25))</f>
        <v/>
      </c>
      <c r="J499" s="17" t="str">
        <f aca="false">IF(OR(H499="",I499=""),"",MIN(D499,H499*I499))</f>
        <v/>
      </c>
      <c r="K499" s="17" t="str">
        <f aca="false">IF(J499="","",D499-J499)</f>
        <v/>
      </c>
      <c r="L499" s="19" t="str">
        <f aca="false">IF(K499="","",IF(K499&lt;=0,"Ömrünü doldurdu","Kullanımda"))</f>
        <v/>
      </c>
    </row>
    <row r="500" customFormat="false" ht="15" hidden="false" customHeight="false" outlineLevel="0" collapsed="false">
      <c r="A500" s="12"/>
      <c r="B500" s="13"/>
      <c r="C500" s="14"/>
      <c r="D500" s="15"/>
      <c r="E500" s="16"/>
      <c r="F500" s="13"/>
      <c r="G500" s="12"/>
      <c r="H500" s="17" t="str">
        <f aca="false">IF(OR(A500="",E500="",E500=0),"",D500/E500)</f>
        <v/>
      </c>
      <c r="I500" s="18" t="str">
        <f aca="true">IF(OR(A500="",C500=""),"",MAX(0,(TODAY()-C500)/365.25))</f>
        <v/>
      </c>
      <c r="J500" s="17" t="str">
        <f aca="false">IF(OR(H500="",I500=""),"",MIN(D500,H500*I500))</f>
        <v/>
      </c>
      <c r="K500" s="17" t="str">
        <f aca="false">IF(J500="","",D500-J500)</f>
        <v/>
      </c>
      <c r="L500" s="19" t="str">
        <f aca="false">IF(K500="","",IF(K500&lt;=0,"Ömrünü doldurdu","Kullanımda"))</f>
        <v/>
      </c>
    </row>
    <row r="501" customFormat="false" ht="15" hidden="false" customHeight="false" outlineLevel="0" collapsed="false">
      <c r="A501" s="12"/>
      <c r="B501" s="13"/>
      <c r="C501" s="14"/>
      <c r="D501" s="15"/>
      <c r="E501" s="16"/>
      <c r="F501" s="13"/>
      <c r="G501" s="12"/>
      <c r="H501" s="17" t="str">
        <f aca="false">IF(OR(A501="",E501="",E501=0),"",D501/E501)</f>
        <v/>
      </c>
      <c r="I501" s="18" t="str">
        <f aca="true">IF(OR(A501="",C501=""),"",MAX(0,(TODAY()-C501)/365.25))</f>
        <v/>
      </c>
      <c r="J501" s="17" t="str">
        <f aca="false">IF(OR(H501="",I501=""),"",MIN(D501,H501*I501))</f>
        <v/>
      </c>
      <c r="K501" s="17" t="str">
        <f aca="false">IF(J501="","",D501-J501)</f>
        <v/>
      </c>
      <c r="L501" s="19" t="str">
        <f aca="false">IF(K501="","",IF(K501&lt;=0,"Ömrünü doldurdu","Kullanımda"))</f>
        <v/>
      </c>
    </row>
    <row r="502" customFormat="false" ht="15" hidden="false" customHeight="false" outlineLevel="0" collapsed="false">
      <c r="A502" s="12"/>
      <c r="B502" s="13"/>
      <c r="C502" s="14"/>
      <c r="D502" s="15"/>
      <c r="E502" s="16"/>
      <c r="F502" s="13"/>
      <c r="G502" s="12"/>
      <c r="H502" s="17" t="str">
        <f aca="false">IF(OR(A502="",E502="",E502=0),"",D502/E502)</f>
        <v/>
      </c>
      <c r="I502" s="18" t="str">
        <f aca="true">IF(OR(A502="",C502=""),"",MAX(0,(TODAY()-C502)/365.25))</f>
        <v/>
      </c>
      <c r="J502" s="17" t="str">
        <f aca="false">IF(OR(H502="",I502=""),"",MIN(D502,H502*I502))</f>
        <v/>
      </c>
      <c r="K502" s="17" t="str">
        <f aca="false">IF(J502="","",D502-J502)</f>
        <v/>
      </c>
      <c r="L502" s="19" t="str">
        <f aca="false">IF(K502="","",IF(K502&lt;=0,"Ömrünü doldurdu","Kullanımda"))</f>
        <v/>
      </c>
    </row>
    <row r="503" customFormat="false" ht="15" hidden="false" customHeight="false" outlineLevel="0" collapsed="false">
      <c r="A503" s="12"/>
      <c r="B503" s="13"/>
      <c r="C503" s="14"/>
      <c r="D503" s="15"/>
      <c r="E503" s="16"/>
      <c r="F503" s="13"/>
      <c r="G503" s="12"/>
      <c r="H503" s="17" t="str">
        <f aca="false">IF(OR(A503="",E503="",E503=0),"",D503/E503)</f>
        <v/>
      </c>
      <c r="I503" s="18" t="str">
        <f aca="true">IF(OR(A503="",C503=""),"",MAX(0,(TODAY()-C503)/365.25))</f>
        <v/>
      </c>
      <c r="J503" s="17" t="str">
        <f aca="false">IF(OR(H503="",I503=""),"",MIN(D503,H503*I503))</f>
        <v/>
      </c>
      <c r="K503" s="17" t="str">
        <f aca="false">IF(J503="","",D503-J503)</f>
        <v/>
      </c>
      <c r="L503" s="19" t="str">
        <f aca="false">IF(K503="","",IF(K503&lt;=0,"Ömrünü doldurdu","Kullanımda"))</f>
        <v/>
      </c>
    </row>
    <row r="504" customFormat="false" ht="15" hidden="false" customHeight="false" outlineLevel="0" collapsed="false">
      <c r="A504" s="12"/>
      <c r="B504" s="13"/>
      <c r="C504" s="14"/>
      <c r="D504" s="15"/>
      <c r="E504" s="16"/>
      <c r="F504" s="13"/>
      <c r="G504" s="12"/>
      <c r="H504" s="17" t="str">
        <f aca="false">IF(OR(A504="",E504="",E504=0),"",D504/E504)</f>
        <v/>
      </c>
      <c r="I504" s="18" t="str">
        <f aca="true">IF(OR(A504="",C504=""),"",MAX(0,(TODAY()-C504)/365.25))</f>
        <v/>
      </c>
      <c r="J504" s="17" t="str">
        <f aca="false">IF(OR(H504="",I504=""),"",MIN(D504,H504*I504))</f>
        <v/>
      </c>
      <c r="K504" s="17" t="str">
        <f aca="false">IF(J504="","",D504-J504)</f>
        <v/>
      </c>
      <c r="L504" s="19" t="str">
        <f aca="false">IF(K504="","",IF(K504&lt;=0,"Ömrünü doldurdu","Kullanımda"))</f>
        <v/>
      </c>
    </row>
  </sheetData>
  <conditionalFormatting sqref="L5:L504">
    <cfRule type="cellIs" priority="2" operator="equal" aboveAverage="0" equalAverage="0" bottom="0" percent="0" rank="0" text="" dxfId="0">
      <formula>"Ömrünü doldurdu"</formula>
    </cfRule>
  </conditionalFormatting>
  <dataValidations count="4">
    <dataValidation allowBlank="true" error="Listeden seç." errorStyle="stop" errorTitle="Kontrol" operator="between" showDropDown="false" showErrorMessage="true" showInputMessage="false" sqref="B5:B504" type="list">
      <formula1>Listeler!$A$5:$A$34</formula1>
      <formula2>0</formula2>
    </dataValidation>
    <dataValidation allowBlank="true" error="Geçerli bir tarih gir (örnek: 05.10.2026)." errorStyle="stop" errorTitle="Kontrol" operator="greaterThan" showDropDown="false" showErrorMessage="true" showInputMessage="false" sqref="C5:C504" type="date">
      <formula1>36526</formula1>
      <formula2>0</formula2>
    </dataValidation>
    <dataValidation allowBlank="true" error="Sıfır ya da daha büyük bir sayı gir." errorStyle="stop" errorTitle="Kontrol" operator="greaterThanOrEqual" showDropDown="false" showErrorMessage="true" showInputMessage="false" sqref="D5:E504" type="decimal">
      <formula1>0</formula1>
      <formula2>0</formula2>
    </dataValidation>
    <dataValidation allowBlank="true" error="Listeden seç." errorStyle="stop" errorTitle="Kontrol" operator="between" showDropDown="false" showErrorMessage="true" showInputMessage="false" sqref="F5:F504" type="list">
      <formula1>Listeler!$B$5:$B$34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43"/>
    <pageSetUpPr fitToPage="true"/>
  </sheetPr>
  <dimension ref="A1:F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8"/>
    <col collapsed="false" customWidth="true" hidden="false" outlineLevel="0" max="7" min="3" style="0" width="16"/>
    <col collapsed="false" customWidth="true" hidden="false" outlineLevel="0" max="8" min="8" style="0" width="3"/>
    <col collapsed="false" customWidth="true" hidden="false" outlineLevel="0" max="9" min="9" style="0" width="26"/>
    <col collapsed="false" customWidth="true" hidden="false" outlineLevel="0" max="12" min="10" style="0" width="15"/>
  </cols>
  <sheetData>
    <row r="1" customFormat="false" ht="19.7" hidden="false" customHeight="false" outlineLevel="0" collapsed="false">
      <c r="A1" s="8" t="s">
        <v>47</v>
      </c>
    </row>
    <row r="2" customFormat="false" ht="15" hidden="false" customHeight="false" outlineLevel="0" collapsed="false">
      <c r="A2" s="9" t="s">
        <v>48</v>
      </c>
    </row>
    <row r="5" customFormat="false" ht="30" hidden="false" customHeight="true" outlineLevel="0" collapsed="false">
      <c r="B5" s="20" t="s">
        <v>24</v>
      </c>
      <c r="C5" s="20" t="s">
        <v>49</v>
      </c>
      <c r="D5" s="20" t="s">
        <v>50</v>
      </c>
      <c r="E5" s="20" t="s">
        <v>51</v>
      </c>
      <c r="F5" s="20" t="s">
        <v>52</v>
      </c>
    </row>
    <row r="6" customFormat="false" ht="27.75" hidden="false" customHeight="true" outlineLevel="0" collapsed="false">
      <c r="B6" s="21" t="n">
        <f aca="false">COUNTA(Demirbaşlar!$A$5:$A$504)</f>
        <v>3</v>
      </c>
      <c r="C6" s="22" t="n">
        <f aca="false">SUM(Demirbaşlar!$D$5:$D$504)</f>
        <v>268000</v>
      </c>
      <c r="D6" s="22" t="n">
        <f aca="false">SUM(Demirbaşlar!$K$5:$K$504)</f>
        <v>150020.533880904</v>
      </c>
      <c r="E6" s="22" t="n">
        <f aca="false">SUMIFS(Demirbaşlar!$H$5:$H$504,Demirbaşlar!$L$5:$L$504,"Kullanımda")</f>
        <v>35000</v>
      </c>
      <c r="F6" s="21" t="n">
        <f aca="false">COUNTIF(Demirbaşlar!$L$5:$L$504,"Ömrünü doldurdu")</f>
        <v>1</v>
      </c>
    </row>
    <row r="8" customFormat="false" ht="15" hidden="false" customHeight="false" outlineLevel="0" collapsed="false">
      <c r="B8" s="23" t="s">
        <v>53</v>
      </c>
    </row>
    <row r="9" customFormat="false" ht="21.75" hidden="false" customHeight="true" outlineLevel="0" collapsed="false">
      <c r="B9" s="10" t="s">
        <v>25</v>
      </c>
      <c r="C9" s="10" t="s">
        <v>54</v>
      </c>
      <c r="D9" s="10" t="s">
        <v>27</v>
      </c>
      <c r="E9" s="10" t="s">
        <v>34</v>
      </c>
    </row>
    <row r="10" customFormat="false" ht="15" hidden="false" customHeight="false" outlineLevel="0" collapsed="false">
      <c r="B10" s="24" t="str">
        <f aca="false">IF(Listeler!A5="","",Listeler!A5)</f>
        <v>Bilgisayar</v>
      </c>
      <c r="C10" s="25" t="n">
        <f aca="false">IF(B10="","",COUNTIF(Demirbaşlar!$B$5:$B$504,B10))</f>
        <v>1</v>
      </c>
      <c r="D10" s="17" t="n">
        <f aca="false">IF(B10="","",SUMIFS(Demirbaşlar!$D$5:$D$504,Demirbaşlar!$B$5:$B$504,B10))</f>
        <v>60000</v>
      </c>
      <c r="E10" s="17" t="n">
        <f aca="false">IF(B10="","",SUMIFS(Demirbaşlar!$K$5:$K$504,Demirbaşlar!$B$5:$B$504,B10))</f>
        <v>30020.5338809035</v>
      </c>
    </row>
    <row r="11" customFormat="false" ht="15" hidden="false" customHeight="false" outlineLevel="0" collapsed="false">
      <c r="B11" s="26" t="str">
        <f aca="false">IF(Listeler!A6="","",Listeler!A6)</f>
        <v>Makine</v>
      </c>
      <c r="C11" s="27" t="n">
        <f aca="false">IF(B11="","",COUNTIF(Demirbaşlar!$B$5:$B$504,B11))</f>
        <v>1</v>
      </c>
      <c r="D11" s="28" t="n">
        <f aca="false">IF(B11="","",SUMIFS(Demirbaşlar!$D$5:$D$504,Demirbaşlar!$B$5:$B$504,B11))</f>
        <v>200000</v>
      </c>
      <c r="E11" s="28" t="n">
        <f aca="false">IF(B11="","",SUMIFS(Demirbaşlar!$K$5:$K$504,Demirbaşlar!$B$5:$B$504,B11))</f>
        <v>120000</v>
      </c>
    </row>
    <row r="12" customFormat="false" ht="15" hidden="false" customHeight="false" outlineLevel="0" collapsed="false">
      <c r="B12" s="24" t="str">
        <f aca="false">IF(Listeler!A7="","",Listeler!A7)</f>
        <v>Mobilya</v>
      </c>
      <c r="C12" s="25" t="n">
        <f aca="false">IF(B12="","",COUNTIF(Demirbaşlar!$B$5:$B$504,B12))</f>
        <v>1</v>
      </c>
      <c r="D12" s="17" t="n">
        <f aca="false">IF(B12="","",SUMIFS(Demirbaşlar!$D$5:$D$504,Demirbaşlar!$B$5:$B$504,B12))</f>
        <v>8000</v>
      </c>
      <c r="E12" s="17" t="n">
        <f aca="false">IF(B12="","",SUMIFS(Demirbaşlar!$K$5:$K$504,Demirbaşlar!$B$5:$B$504,B12))</f>
        <v>0</v>
      </c>
    </row>
    <row r="13" customFormat="false" ht="15" hidden="false" customHeight="false" outlineLevel="0" collapsed="false">
      <c r="B13" s="26" t="str">
        <f aca="false">IF(Listeler!A8="","",Listeler!A8)</f>
        <v>Araç</v>
      </c>
      <c r="C13" s="27" t="n">
        <f aca="false">IF(B13="","",COUNTIF(Demirbaşlar!$B$5:$B$504,B13))</f>
        <v>0</v>
      </c>
      <c r="D13" s="28" t="n">
        <f aca="false">IF(B13="","",SUMIFS(Demirbaşlar!$D$5:$D$504,Demirbaşlar!$B$5:$B$504,B13))</f>
        <v>0</v>
      </c>
      <c r="E13" s="28" t="n">
        <f aca="false">IF(B13="","",SUMIFS(Demirbaşlar!$K$5:$K$504,Demirbaşlar!$B$5:$B$504,B13))</f>
        <v>0</v>
      </c>
    </row>
    <row r="14" customFormat="false" ht="15" hidden="false" customHeight="false" outlineLevel="0" collapsed="false">
      <c r="B14" s="24" t="str">
        <f aca="false">IF(Listeler!A9="","",Listeler!A9)</f>
        <v>Telefon</v>
      </c>
      <c r="C14" s="25" t="n">
        <f aca="false">IF(B14="","",COUNTIF(Demirbaşlar!$B$5:$B$504,B14))</f>
        <v>0</v>
      </c>
      <c r="D14" s="17" t="n">
        <f aca="false">IF(B14="","",SUMIFS(Demirbaşlar!$D$5:$D$504,Demirbaşlar!$B$5:$B$504,B14))</f>
        <v>0</v>
      </c>
      <c r="E14" s="17" t="n">
        <f aca="false">IF(B14="","",SUMIFS(Demirbaşlar!$K$5:$K$504,Demirbaşlar!$B$5:$B$504,B14))</f>
        <v>0</v>
      </c>
    </row>
    <row r="15" customFormat="false" ht="15" hidden="false" customHeight="false" outlineLevel="0" collapsed="false">
      <c r="B15" s="26" t="str">
        <f aca="false">IF(Listeler!A10="","",Listeler!A10)</f>
        <v>Diğer</v>
      </c>
      <c r="C15" s="27" t="n">
        <f aca="false">IF(B15="","",COUNTIF(Demirbaşlar!$B$5:$B$504,B15))</f>
        <v>0</v>
      </c>
      <c r="D15" s="28" t="n">
        <f aca="false">IF(B15="","",SUMIFS(Demirbaşlar!$D$5:$D$504,Demirbaşlar!$B$5:$B$504,B15))</f>
        <v>0</v>
      </c>
      <c r="E15" s="28" t="n">
        <f aca="false">IF(B15="","",SUMIFS(Demirbaşlar!$K$5:$K$504,Demirbaşlar!$B$5:$B$504,B15))</f>
        <v>0</v>
      </c>
    </row>
    <row r="16" customFormat="false" ht="15" hidden="false" customHeight="false" outlineLevel="0" collapsed="false">
      <c r="B16" s="24" t="str">
        <f aca="false">IF(Listeler!A11="","",Listeler!A11)</f>
        <v/>
      </c>
      <c r="C16" s="25" t="str">
        <f aca="false">IF(B16="","",COUNTIF(Demirbaşlar!$B$5:$B$504,B16))</f>
        <v/>
      </c>
      <c r="D16" s="17" t="str">
        <f aca="false">IF(B16="","",SUMIFS(Demirbaşlar!$D$5:$D$504,Demirbaşlar!$B$5:$B$504,B16))</f>
        <v/>
      </c>
      <c r="E16" s="17" t="str">
        <f aca="false">IF(B16="","",SUMIFS(Demirbaşlar!$K$5:$K$504,Demirbaşlar!$B$5:$B$504,B16))</f>
        <v/>
      </c>
    </row>
    <row r="17" customFormat="false" ht="15" hidden="false" customHeight="false" outlineLevel="0" collapsed="false">
      <c r="B17" s="26" t="str">
        <f aca="false">IF(Listeler!A12="","",Listeler!A12)</f>
        <v/>
      </c>
      <c r="C17" s="27" t="str">
        <f aca="false">IF(B17="","",COUNTIF(Demirbaşlar!$B$5:$B$504,B17))</f>
        <v/>
      </c>
      <c r="D17" s="28" t="str">
        <f aca="false">IF(B17="","",SUMIFS(Demirbaşlar!$D$5:$D$504,Demirbaşlar!$B$5:$B$504,B17))</f>
        <v/>
      </c>
      <c r="E17" s="28" t="str">
        <f aca="false">IF(B17="","",SUMIFS(Demirbaşlar!$K$5:$K$504,Demirbaşlar!$B$5:$B$504,B17))</f>
        <v/>
      </c>
    </row>
    <row r="18" customFormat="false" ht="15" hidden="false" customHeight="false" outlineLevel="0" collapsed="false">
      <c r="B18" s="24" t="str">
        <f aca="false">IF(Listeler!A13="","",Listeler!A13)</f>
        <v/>
      </c>
      <c r="C18" s="25" t="str">
        <f aca="false">IF(B18="","",COUNTIF(Demirbaşlar!$B$5:$B$504,B18))</f>
        <v/>
      </c>
      <c r="D18" s="17" t="str">
        <f aca="false">IF(B18="","",SUMIFS(Demirbaşlar!$D$5:$D$504,Demirbaşlar!$B$5:$B$504,B18))</f>
        <v/>
      </c>
      <c r="E18" s="17" t="str">
        <f aca="false">IF(B18="","",SUMIFS(Demirbaşlar!$K$5:$K$504,Demirbaşlar!$B$5:$B$504,B18))</f>
        <v/>
      </c>
    </row>
    <row r="19" customFormat="false" ht="15" hidden="false" customHeight="false" outlineLevel="0" collapsed="false">
      <c r="B19" s="26" t="str">
        <f aca="false">IF(Listeler!A14="","",Listeler!A14)</f>
        <v/>
      </c>
      <c r="C19" s="27" t="str">
        <f aca="false">IF(B19="","",COUNTIF(Demirbaşlar!$B$5:$B$504,B19))</f>
        <v/>
      </c>
      <c r="D19" s="28" t="str">
        <f aca="false">IF(B19="","",SUMIFS(Demirbaşlar!$D$5:$D$504,Demirbaşlar!$B$5:$B$504,B19))</f>
        <v/>
      </c>
      <c r="E19" s="28" t="str">
        <f aca="false">IF(B19="","",SUMIFS(Demirbaşlar!$K$5:$K$504,Demirbaşlar!$B$5:$B$504,B19))</f>
        <v/>
      </c>
    </row>
    <row r="21" customFormat="false" ht="15" hidden="false" customHeight="false" outlineLevel="0" collapsed="false">
      <c r="B21" s="23" t="s">
        <v>55</v>
      </c>
    </row>
    <row r="22" customFormat="false" ht="21.75" hidden="false" customHeight="true" outlineLevel="0" collapsed="false">
      <c r="B22" s="10" t="s">
        <v>29</v>
      </c>
      <c r="C22" s="10" t="s">
        <v>54</v>
      </c>
      <c r="D22" s="10" t="s">
        <v>27</v>
      </c>
    </row>
    <row r="23" customFormat="false" ht="15" hidden="false" customHeight="false" outlineLevel="0" collapsed="false">
      <c r="B23" s="24" t="str">
        <f aca="false">IF(Listeler!B5="","",Listeler!B5)</f>
        <v>Ortak kullanım</v>
      </c>
      <c r="C23" s="25" t="n">
        <f aca="false">IF(B23="","",COUNTIF(Demirbaşlar!$F$5:$F$504,B23))</f>
        <v>1</v>
      </c>
      <c r="D23" s="17" t="n">
        <f aca="false">IF(B23="","",SUMIFS(Demirbaşlar!$D$5:$D$504,Demirbaşlar!$F$5:$F$504,B23))</f>
        <v>200000</v>
      </c>
    </row>
    <row r="24" customFormat="false" ht="15" hidden="false" customHeight="false" outlineLevel="0" collapsed="false">
      <c r="B24" s="26" t="str">
        <f aca="false">IF(Listeler!B6="","",Listeler!B6)</f>
        <v>Kişi Alfa</v>
      </c>
      <c r="C24" s="27" t="n">
        <f aca="false">IF(B24="","",COUNTIF(Demirbaşlar!$F$5:$F$504,B24))</f>
        <v>1</v>
      </c>
      <c r="D24" s="28" t="n">
        <f aca="false">IF(B24="","",SUMIFS(Demirbaşlar!$D$5:$D$504,Demirbaşlar!$F$5:$F$504,B24))</f>
        <v>60000</v>
      </c>
    </row>
    <row r="25" customFormat="false" ht="15" hidden="false" customHeight="false" outlineLevel="0" collapsed="false">
      <c r="B25" s="24" t="str">
        <f aca="false">IF(Listeler!B7="","",Listeler!B7)</f>
        <v>Kişi Beta</v>
      </c>
      <c r="C25" s="25" t="n">
        <f aca="false">IF(B25="","",COUNTIF(Demirbaşlar!$F$5:$F$504,B25))</f>
        <v>1</v>
      </c>
      <c r="D25" s="17" t="n">
        <f aca="false">IF(B25="","",SUMIFS(Demirbaşlar!$D$5:$D$504,Demirbaşlar!$F$5:$F$504,B25))</f>
        <v>8000</v>
      </c>
    </row>
    <row r="26" customFormat="false" ht="15" hidden="false" customHeight="false" outlineLevel="0" collapsed="false">
      <c r="B26" s="26" t="str">
        <f aca="false">IF(Listeler!B8="","",Listeler!B8)</f>
        <v/>
      </c>
      <c r="C26" s="27" t="str">
        <f aca="false">IF(B26="","",COUNTIF(Demirbaşlar!$F$5:$F$504,B26))</f>
        <v/>
      </c>
      <c r="D26" s="28" t="str">
        <f aca="false">IF(B26="","",SUMIFS(Demirbaşlar!$D$5:$D$504,Demirbaşlar!$F$5:$F$504,B26))</f>
        <v/>
      </c>
    </row>
    <row r="27" customFormat="false" ht="15" hidden="false" customHeight="false" outlineLevel="0" collapsed="false">
      <c r="B27" s="24" t="str">
        <f aca="false">IF(Listeler!B9="","",Listeler!B9)</f>
        <v/>
      </c>
      <c r="C27" s="25" t="str">
        <f aca="false">IF(B27="","",COUNTIF(Demirbaşlar!$F$5:$F$504,B27))</f>
        <v/>
      </c>
      <c r="D27" s="17" t="str">
        <f aca="false">IF(B27="","",SUMIFS(Demirbaşlar!$D$5:$D$504,Demirbaşlar!$F$5:$F$504,B27))</f>
        <v/>
      </c>
    </row>
    <row r="28" customFormat="false" ht="15" hidden="false" customHeight="false" outlineLevel="0" collapsed="false">
      <c r="B28" s="26" t="str">
        <f aca="false">IF(Listeler!B10="","",Listeler!B10)</f>
        <v/>
      </c>
      <c r="C28" s="27" t="str">
        <f aca="false">IF(B28="","",COUNTIF(Demirbaşlar!$F$5:$F$504,B28))</f>
        <v/>
      </c>
      <c r="D28" s="28" t="str">
        <f aca="false">IF(B28="","",SUMIFS(Demirbaşlar!$D$5:$D$504,Demirbaşlar!$F$5:$F$504,B28))</f>
        <v/>
      </c>
    </row>
    <row r="29" customFormat="false" ht="15" hidden="false" customHeight="false" outlineLevel="0" collapsed="false">
      <c r="B29" s="24" t="str">
        <f aca="false">IF(Listeler!B11="","",Listeler!B11)</f>
        <v/>
      </c>
      <c r="C29" s="25" t="str">
        <f aca="false">IF(B29="","",COUNTIF(Demirbaşlar!$F$5:$F$504,B29))</f>
        <v/>
      </c>
      <c r="D29" s="17" t="str">
        <f aca="false">IF(B29="","",SUMIFS(Demirbaşlar!$D$5:$D$504,Demirbaşlar!$F$5:$F$504,B29))</f>
        <v/>
      </c>
    </row>
    <row r="30" customFormat="false" ht="15" hidden="false" customHeight="false" outlineLevel="0" collapsed="false">
      <c r="B30" s="26" t="str">
        <f aca="false">IF(Listeler!B12="","",Listeler!B12)</f>
        <v/>
      </c>
      <c r="C30" s="27" t="str">
        <f aca="false">IF(B30="","",COUNTIF(Demirbaşlar!$F$5:$F$504,B30))</f>
        <v/>
      </c>
      <c r="D30" s="28" t="str">
        <f aca="false">IF(B30="","",SUMIFS(Demirbaşlar!$D$5:$D$504,Demirbaşlar!$F$5:$F$504,B30))</f>
        <v/>
      </c>
    </row>
    <row r="31" customFormat="false" ht="15" hidden="false" customHeight="false" outlineLevel="0" collapsed="false">
      <c r="B31" s="24" t="str">
        <f aca="false">IF(Listeler!B13="","",Listeler!B13)</f>
        <v/>
      </c>
      <c r="C31" s="25" t="str">
        <f aca="false">IF(B31="","",COUNTIF(Demirbaşlar!$F$5:$F$504,B31))</f>
        <v/>
      </c>
      <c r="D31" s="17" t="str">
        <f aca="false">IF(B31="","",SUMIFS(Demirbaşlar!$D$5:$D$504,Demirbaşlar!$F$5:$F$504,B31))</f>
        <v/>
      </c>
    </row>
    <row r="32" customFormat="false" ht="15" hidden="false" customHeight="false" outlineLevel="0" collapsed="false">
      <c r="B32" s="26" t="str">
        <f aca="false">IF(Listeler!B14="","",Listeler!B14)</f>
        <v/>
      </c>
      <c r="C32" s="27" t="str">
        <f aca="false">IF(B32="","",COUNTIF(Demirbaşlar!$F$5:$F$504,B32))</f>
        <v/>
      </c>
      <c r="D32" s="28" t="str">
        <f aca="false">IF(B32="","",SUMIFS(Demirbaşlar!$D$5:$D$504,Demirbaşlar!$F$5:$F$504,B32))</f>
        <v/>
      </c>
    </row>
    <row r="33" customFormat="false" ht="15" hidden="false" customHeight="false" outlineLevel="0" collapsed="false">
      <c r="B33" s="24" t="str">
        <f aca="false">IF(Listeler!B15="","",Listeler!B15)</f>
        <v/>
      </c>
      <c r="C33" s="25" t="str">
        <f aca="false">IF(B33="","",COUNTIF(Demirbaşlar!$F$5:$F$504,B33))</f>
        <v/>
      </c>
      <c r="D33" s="17" t="str">
        <f aca="false">IF(B33="","",SUMIFS(Demirbaşlar!$D$5:$D$504,Demirbaşlar!$F$5:$F$504,B33))</f>
        <v/>
      </c>
    </row>
    <row r="34" customFormat="false" ht="15" hidden="false" customHeight="false" outlineLevel="0" collapsed="false">
      <c r="B34" s="26" t="str">
        <f aca="false">IF(Listeler!B16="","",Listeler!B16)</f>
        <v/>
      </c>
      <c r="C34" s="27" t="str">
        <f aca="false">IF(B34="","",COUNTIF(Demirbaşlar!$F$5:$F$504,B34))</f>
        <v/>
      </c>
      <c r="D34" s="28" t="str">
        <f aca="false">IF(B34="","",SUMIFS(Demirbaşlar!$D$5:$D$504,Demirbaşlar!$F$5:$F$504,B34))</f>
        <v/>
      </c>
    </row>
    <row r="35" customFormat="false" ht="15" hidden="false" customHeight="false" outlineLevel="0" collapsed="false">
      <c r="B35" s="24" t="str">
        <f aca="false">IF(Listeler!B17="","",Listeler!B17)</f>
        <v/>
      </c>
      <c r="C35" s="25" t="str">
        <f aca="false">IF(B35="","",COUNTIF(Demirbaşlar!$F$5:$F$504,B35))</f>
        <v/>
      </c>
      <c r="D35" s="17" t="str">
        <f aca="false">IF(B35="","",SUMIFS(Demirbaşlar!$D$5:$D$504,Demirbaşlar!$F$5:$F$504,B35))</f>
        <v/>
      </c>
    </row>
    <row r="36" customFormat="false" ht="15" hidden="false" customHeight="false" outlineLevel="0" collapsed="false">
      <c r="B36" s="26" t="str">
        <f aca="false">IF(Listeler!B18="","",Listeler!B18)</f>
        <v/>
      </c>
      <c r="C36" s="27" t="str">
        <f aca="false">IF(B36="","",COUNTIF(Demirbaşlar!$F$5:$F$504,B36))</f>
        <v/>
      </c>
      <c r="D36" s="28" t="str">
        <f aca="false">IF(B36="","",SUMIFS(Demirbaşlar!$D$5:$D$504,Demirbaşlar!$F$5:$F$504,B36))</f>
        <v/>
      </c>
    </row>
    <row r="37" customFormat="false" ht="15" hidden="false" customHeight="false" outlineLevel="0" collapsed="false">
      <c r="B37" s="24" t="str">
        <f aca="false">IF(Listeler!B19="","",Listeler!B19)</f>
        <v/>
      </c>
      <c r="C37" s="25" t="str">
        <f aca="false">IF(B37="","",COUNTIF(Demirbaşlar!$F$5:$F$504,B37))</f>
        <v/>
      </c>
      <c r="D37" s="17" t="str">
        <f aca="false">IF(B37="","",SUMIFS(Demirbaşlar!$D$5:$D$504,Demirbaşlar!$F$5:$F$504,B37))</f>
        <v/>
      </c>
    </row>
    <row r="38" customFormat="false" ht="15" hidden="false" customHeight="false" outlineLevel="0" collapsed="false">
      <c r="B38" s="26" t="str">
        <f aca="false">IF(Listeler!B20="","",Listeler!B20)</f>
        <v/>
      </c>
      <c r="C38" s="27" t="str">
        <f aca="false">IF(B38="","",COUNTIF(Demirbaşlar!$F$5:$F$504,B38))</f>
        <v/>
      </c>
      <c r="D38" s="28" t="str">
        <f aca="false">IF(B38="","",SUMIFS(Demirbaşlar!$D$5:$D$504,Demirbaşlar!$F$5:$F$504,B38))</f>
        <v/>
      </c>
    </row>
    <row r="39" customFormat="false" ht="15" hidden="false" customHeight="false" outlineLevel="0" collapsed="false">
      <c r="B39" s="24" t="str">
        <f aca="false">IF(Listeler!B21="","",Listeler!B21)</f>
        <v/>
      </c>
      <c r="C39" s="25" t="str">
        <f aca="false">IF(B39="","",COUNTIF(Demirbaşlar!$F$5:$F$504,B39))</f>
        <v/>
      </c>
      <c r="D39" s="17" t="str">
        <f aca="false">IF(B39="","",SUMIFS(Demirbaşlar!$D$5:$D$504,Demirbaşlar!$F$5:$F$504,B39))</f>
        <v/>
      </c>
    </row>
    <row r="40" customFormat="false" ht="15" hidden="false" customHeight="false" outlineLevel="0" collapsed="false">
      <c r="B40" s="26" t="str">
        <f aca="false">IF(Listeler!B22="","",Listeler!B22)</f>
        <v/>
      </c>
      <c r="C40" s="27" t="str">
        <f aca="false">IF(B40="","",COUNTIF(Demirbaşlar!$F$5:$F$504,B40))</f>
        <v/>
      </c>
      <c r="D40" s="28" t="str">
        <f aca="false">IF(B40="","",SUMIFS(Demirbaşlar!$D$5:$D$504,Demirbaşlar!$F$5:$F$504,B40))</f>
        <v/>
      </c>
    </row>
    <row r="41" customFormat="false" ht="15" hidden="false" customHeight="false" outlineLevel="0" collapsed="false">
      <c r="B41" s="24" t="str">
        <f aca="false">IF(Listeler!B23="","",Listeler!B23)</f>
        <v/>
      </c>
      <c r="C41" s="25" t="str">
        <f aca="false">IF(B41="","",COUNTIF(Demirbaşlar!$F$5:$F$504,B41))</f>
        <v/>
      </c>
      <c r="D41" s="17" t="str">
        <f aca="false">IF(B41="","",SUMIFS(Demirbaşlar!$D$5:$D$504,Demirbaşlar!$F$5:$F$504,B41))</f>
        <v/>
      </c>
    </row>
    <row r="42" customFormat="false" ht="15" hidden="false" customHeight="false" outlineLevel="0" collapsed="false">
      <c r="B42" s="26" t="str">
        <f aca="false">IF(Listeler!B24="","",Listeler!B24)</f>
        <v/>
      </c>
      <c r="C42" s="27" t="str">
        <f aca="false">IF(B42="","",COUNTIF(Demirbaşlar!$F$5:$F$504,B42))</f>
        <v/>
      </c>
      <c r="D42" s="28" t="str">
        <f aca="false">IF(B42="","",SUMIFS(Demirbaşlar!$D$5:$D$504,Demirbaşlar!$F$5:$F$504,B42))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43"/>
    <pageSetUpPr fitToPage="true"/>
  </sheetPr>
  <dimension ref="A1:B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4"/>
  </cols>
  <sheetData>
    <row r="1" customFormat="false" ht="19.7" hidden="false" customHeight="false" outlineLevel="0" collapsed="false">
      <c r="A1" s="8" t="s">
        <v>56</v>
      </c>
    </row>
    <row r="2" customFormat="false" ht="15" hidden="false" customHeight="false" outlineLevel="0" collapsed="false">
      <c r="A2" s="9" t="s">
        <v>57</v>
      </c>
    </row>
    <row r="4" customFormat="false" ht="21.75" hidden="false" customHeight="true" outlineLevel="0" collapsed="false">
      <c r="A4" s="10" t="s">
        <v>25</v>
      </c>
      <c r="B4" s="10" t="s">
        <v>29</v>
      </c>
    </row>
    <row r="5" customFormat="false" ht="15" hidden="false" customHeight="false" outlineLevel="0" collapsed="false">
      <c r="A5" s="12" t="s">
        <v>37</v>
      </c>
      <c r="B5" s="12" t="s">
        <v>42</v>
      </c>
    </row>
    <row r="6" customFormat="false" ht="15" hidden="false" customHeight="false" outlineLevel="0" collapsed="false">
      <c r="A6" s="12" t="s">
        <v>41</v>
      </c>
      <c r="B6" s="12" t="s">
        <v>38</v>
      </c>
    </row>
    <row r="7" customFormat="false" ht="15" hidden="false" customHeight="false" outlineLevel="0" collapsed="false">
      <c r="A7" s="12" t="s">
        <v>45</v>
      </c>
      <c r="B7" s="12" t="s">
        <v>46</v>
      </c>
    </row>
    <row r="8" customFormat="false" ht="15" hidden="false" customHeight="false" outlineLevel="0" collapsed="false">
      <c r="A8" s="12" t="s">
        <v>58</v>
      </c>
      <c r="B8" s="12"/>
    </row>
    <row r="9" customFormat="false" ht="15" hidden="false" customHeight="false" outlineLevel="0" collapsed="false">
      <c r="A9" s="12" t="s">
        <v>59</v>
      </c>
      <c r="B9" s="12"/>
    </row>
    <row r="10" customFormat="false" ht="15" hidden="false" customHeight="false" outlineLevel="0" collapsed="false">
      <c r="A10" s="12" t="s">
        <v>60</v>
      </c>
      <c r="B10" s="12"/>
    </row>
    <row r="11" customFormat="false" ht="15" hidden="false" customHeight="false" outlineLevel="0" collapsed="false">
      <c r="A11" s="12"/>
      <c r="B11" s="12"/>
    </row>
    <row r="12" customFormat="false" ht="15" hidden="false" customHeight="false" outlineLevel="0" collapsed="false">
      <c r="A12" s="12"/>
      <c r="B12" s="12"/>
    </row>
    <row r="13" customFormat="false" ht="15" hidden="false" customHeight="false" outlineLevel="0" collapsed="false">
      <c r="A13" s="12"/>
      <c r="B13" s="12"/>
    </row>
    <row r="14" customFormat="false" ht="15" hidden="false" customHeight="false" outlineLevel="0" collapsed="false">
      <c r="A14" s="12"/>
      <c r="B14" s="12"/>
    </row>
    <row r="15" customFormat="false" ht="15" hidden="false" customHeight="false" outlineLevel="0" collapsed="false">
      <c r="A15" s="12"/>
      <c r="B15" s="12"/>
    </row>
    <row r="16" customFormat="false" ht="15" hidden="false" customHeight="false" outlineLevel="0" collapsed="false">
      <c r="A16" s="12"/>
      <c r="B16" s="12"/>
    </row>
    <row r="17" customFormat="false" ht="15" hidden="false" customHeight="false" outlineLevel="0" collapsed="false">
      <c r="A17" s="12"/>
      <c r="B17" s="12"/>
    </row>
    <row r="18" customFormat="false" ht="15" hidden="false" customHeight="false" outlineLevel="0" collapsed="false">
      <c r="A18" s="12"/>
      <c r="B18" s="12"/>
    </row>
    <row r="19" customFormat="false" ht="15" hidden="false" customHeight="false" outlineLevel="0" collapsed="false">
      <c r="A19" s="12"/>
      <c r="B19" s="12"/>
    </row>
    <row r="20" customFormat="false" ht="15" hidden="false" customHeight="false" outlineLevel="0" collapsed="false">
      <c r="A20" s="12"/>
      <c r="B20" s="12"/>
    </row>
    <row r="21" customFormat="false" ht="15" hidden="false" customHeight="false" outlineLevel="0" collapsed="false">
      <c r="A21" s="12"/>
      <c r="B21" s="12"/>
    </row>
    <row r="22" customFormat="false" ht="15" hidden="false" customHeight="false" outlineLevel="0" collapsed="false">
      <c r="A22" s="12"/>
      <c r="B22" s="12"/>
    </row>
    <row r="23" customFormat="false" ht="15" hidden="false" customHeight="false" outlineLevel="0" collapsed="false">
      <c r="A23" s="12"/>
      <c r="B23" s="12"/>
    </row>
    <row r="24" customFormat="false" ht="15" hidden="false" customHeight="false" outlineLevel="0" collapsed="false">
      <c r="A24" s="12"/>
      <c r="B24" s="12"/>
    </row>
    <row r="25" customFormat="false" ht="15" hidden="false" customHeight="false" outlineLevel="0" collapsed="false">
      <c r="A25" s="12"/>
      <c r="B25" s="12"/>
    </row>
    <row r="26" customFormat="false" ht="15" hidden="false" customHeight="false" outlineLevel="0" collapsed="false">
      <c r="A26" s="12"/>
      <c r="B26" s="12"/>
    </row>
    <row r="27" customFormat="false" ht="15" hidden="false" customHeight="false" outlineLevel="0" collapsed="false">
      <c r="A27" s="12"/>
      <c r="B27" s="12"/>
    </row>
    <row r="28" customFormat="false" ht="15" hidden="false" customHeight="false" outlineLevel="0" collapsed="false">
      <c r="A28" s="12"/>
      <c r="B28" s="12"/>
    </row>
    <row r="29" customFormat="false" ht="15" hidden="false" customHeight="false" outlineLevel="0" collapsed="false">
      <c r="A29" s="12"/>
      <c r="B29" s="12"/>
    </row>
    <row r="30" customFormat="false" ht="15" hidden="false" customHeight="false" outlineLevel="0" collapsed="false">
      <c r="A30" s="12"/>
      <c r="B30" s="12"/>
    </row>
    <row r="31" customFormat="false" ht="15" hidden="false" customHeight="false" outlineLevel="0" collapsed="false">
      <c r="A31" s="12"/>
      <c r="B31" s="12"/>
    </row>
    <row r="32" customFormat="false" ht="15" hidden="false" customHeight="false" outlineLevel="0" collapsed="false">
      <c r="A32" s="12"/>
      <c r="B32" s="12"/>
    </row>
    <row r="33" customFormat="false" ht="15" hidden="false" customHeight="false" outlineLevel="0" collapsed="false">
      <c r="A33" s="12"/>
      <c r="B33" s="12"/>
    </row>
    <row r="34" customFormat="false" ht="15" hidden="false" customHeight="false" outlineLevel="0" collapsed="false">
      <c r="A34" s="12"/>
      <c r="B34" s="1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43"/>
    <pageSetUpPr fitToPage="true"/>
  </sheetPr>
  <dimension ref="B1:C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96"/>
  </cols>
  <sheetData>
    <row r="1" customFormat="false" ht="19.7" hidden="false" customHeight="false" outlineLevel="0" collapsed="false">
      <c r="B1" s="8" t="s">
        <v>61</v>
      </c>
    </row>
    <row r="2" customFormat="false" ht="30" hidden="false" customHeight="true" outlineLevel="0" collapsed="false">
      <c r="B2" s="29" t="s">
        <v>62</v>
      </c>
      <c r="C2" s="29"/>
    </row>
    <row r="3" customFormat="false" ht="31.5" hidden="false" customHeight="true" outlineLevel="0" collapsed="false">
      <c r="B3" s="30" t="s">
        <v>63</v>
      </c>
      <c r="C3" s="30"/>
    </row>
    <row r="5" customFormat="false" ht="15" hidden="false" customHeight="false" outlineLevel="0" collapsed="false">
      <c r="B5" s="31" t="s">
        <v>64</v>
      </c>
      <c r="C5" s="31" t="s">
        <v>65</v>
      </c>
    </row>
    <row r="6" customFormat="false" ht="31.5" hidden="false" customHeight="true" outlineLevel="0" collapsed="false">
      <c r="B6" s="32" t="s">
        <v>66</v>
      </c>
      <c r="C6" s="33" t="s">
        <v>67</v>
      </c>
    </row>
    <row r="7" customFormat="false" ht="31.5" hidden="false" customHeight="true" outlineLevel="0" collapsed="false">
      <c r="B7" s="34" t="s">
        <v>68</v>
      </c>
      <c r="C7" s="35" t="s">
        <v>69</v>
      </c>
    </row>
    <row r="8" customFormat="false" ht="31.5" hidden="false" customHeight="true" outlineLevel="0" collapsed="false">
      <c r="B8" s="32" t="s">
        <v>70</v>
      </c>
      <c r="C8" s="33" t="s">
        <v>71</v>
      </c>
    </row>
    <row r="9" customFormat="false" ht="31.5" hidden="false" customHeight="true" outlineLevel="0" collapsed="false">
      <c r="B9" s="34" t="s">
        <v>72</v>
      </c>
      <c r="C9" s="35" t="s">
        <v>73</v>
      </c>
    </row>
  </sheetData>
  <mergeCells count="2">
    <mergeCell ref="B2:C2"/>
    <mergeCell ref="B3:C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2026-10-04T22:00:10Z</dcterms:created>
  <dc:creator>openpyxl</dc:creator>
  <dc:description/>
  <dc:language>en-US</dc:language>
  <cp:lastModifiedBy/>
  <dcterms:modified xsi:type="dcterms:W3CDTF">2026-10-04T22:00:11Z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