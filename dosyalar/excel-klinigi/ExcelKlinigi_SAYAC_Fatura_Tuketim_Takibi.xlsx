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aşla" sheetId="1" state="visible" r:id="rId3"/>
    <sheet name="Faturalar" sheetId="2" state="visible" r:id="rId4"/>
    <sheet name="Özet" sheetId="3" state="visible" r:id="rId5"/>
    <sheet name="Listeler" sheetId="4" state="visible" r:id="rId6"/>
    <sheet name="AI Komutları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<sst xmlns="http://schemas.openxmlformats.org/spreadsheetml/2006/main" count="91" uniqueCount="77">
  <si>
    <t xml:space="preserve">EXCEL KLİNİĞİ</t>
  </si>
  <si>
    <t xml:space="preserve">SAYAÇ  |  Fatura ve tüketim takibi</t>
  </si>
  <si>
    <t xml:space="preserve">Elektrik, su, doğalgaz: ne kadar tükettin, birimi kaça geldi, geçen yılın aynı ayına göre ne değişti.</t>
  </si>
  <si>
    <t xml:space="preserve">NASIL KULLANILIR</t>
  </si>
  <si>
    <t xml:space="preserve">1. Listeler</t>
  </si>
  <si>
    <t xml:space="preserve">Aboneliklerini yaz.</t>
  </si>
  <si>
    <t xml:space="preserve">2. Faturalar</t>
  </si>
  <si>
    <t xml:space="preserve">Her faturanın tarihini, tutarını ve varsa ilk ve son endeksini gir.</t>
  </si>
  <si>
    <t xml:space="preserve">3. Özet</t>
  </si>
  <si>
    <t xml:space="preserve">Aylık tutarlar, yıl toplamı ve abonelik bazında tüketim.</t>
  </si>
  <si>
    <t xml:space="preserve">BİLMEN GEREKENLER</t>
  </si>
  <si>
    <t xml:space="preserve">Geçen yıl karşılaştırması</t>
  </si>
  <si>
    <t xml:space="preserve">Aynı aboneliğin bir yıl önceki aynı ayına ait fatura varsa gösterilir.</t>
  </si>
  <si>
    <t xml:space="preserve">Aylık tablo</t>
  </si>
  <si>
    <t xml:space="preserve">İlk üç sütun Elektrik, Su ve Doğalgaz adlarına göre toplar; abonelik adını değiştirirsen o sütun boş kalır, Tümü sütunu çalışmaya devam eder.</t>
  </si>
  <si>
    <t xml:space="preserve">Kapasite</t>
  </si>
  <si>
    <t xml:space="preserve">Faturalar: 600 satır.</t>
  </si>
  <si>
    <t xml:space="preserve">RENKLER</t>
  </si>
  <si>
    <t xml:space="preserve">Sarı hücre</t>
  </si>
  <si>
    <t xml:space="preserve">Senin dolduracağın hücre. İçindeki örnekleri silip kendi bilgini yaz.</t>
  </si>
  <si>
    <t xml:space="preserve">Beyaz hücre, açık başlık</t>
  </si>
  <si>
    <t xml:space="preserve">Formül. Değiştirme, kendiliğinden hesaplanır.</t>
  </si>
  <si>
    <t xml:space="preserve">Faturalar</t>
  </si>
  <si>
    <t xml:space="preserve">Her faturayı bir satır yaz. Endeksleri yazarsan tüketim ve birim maliyet hesaplanır.</t>
  </si>
  <si>
    <t xml:space="preserve">Fatura ayı (tarih)</t>
  </si>
  <si>
    <t xml:space="preserve">Abonelik</t>
  </si>
  <si>
    <t xml:space="preserve">İlk endeks</t>
  </si>
  <si>
    <t xml:space="preserve">Son endeks</t>
  </si>
  <si>
    <t xml:space="preserve">Tutar (₺)</t>
  </si>
  <si>
    <t xml:space="preserve">Tüketim</t>
  </si>
  <si>
    <t xml:space="preserve">Birim maliyet (₺)</t>
  </si>
  <si>
    <t xml:space="preserve">Geçen yıl aynı ay (₺)</t>
  </si>
  <si>
    <t xml:space="preserve">Değişim</t>
  </si>
  <si>
    <t xml:space="preserve">Elektrik</t>
  </si>
  <si>
    <t xml:space="preserve">Su</t>
  </si>
  <si>
    <t xml:space="preserve">Doğalgaz</t>
  </si>
  <si>
    <t xml:space="preserve">İnternet</t>
  </si>
  <si>
    <t xml:space="preserve">Özet</t>
  </si>
  <si>
    <t xml:space="preserve">Bu sayfada yalnızca yılı değiştir.</t>
  </si>
  <si>
    <t xml:space="preserve">Yıl</t>
  </si>
  <si>
    <t xml:space="preserve">Yıl toplamı</t>
  </si>
  <si>
    <t xml:space="preserve">Aylık ortalama</t>
  </si>
  <si>
    <t xml:space="preserve">Aboneliğe göre (seçili yıl)</t>
  </si>
  <si>
    <t xml:space="preserve">Ay</t>
  </si>
  <si>
    <t xml:space="preserve">Elektrik (₺)</t>
  </si>
  <si>
    <t xml:space="preserve">Su (₺)</t>
  </si>
  <si>
    <t xml:space="preserve">Doğalgaz (₺)</t>
  </si>
  <si>
    <t xml:space="preserve">Tümü (₺)</t>
  </si>
  <si>
    <t xml:space="preserve">Fatura sayısı</t>
  </si>
  <si>
    <t xml:space="preserve">Ocak</t>
  </si>
  <si>
    <t xml:space="preserve">Şubat</t>
  </si>
  <si>
    <t xml:space="preserve">Mart</t>
  </si>
  <si>
    <t xml:space="preserve">Nisan</t>
  </si>
  <si>
    <t xml:space="preserve">Mayıs</t>
  </si>
  <si>
    <t xml:space="preserve">Haziran</t>
  </si>
  <si>
    <t xml:space="preserve">Temmuz</t>
  </si>
  <si>
    <t xml:space="preserve">Ağustos</t>
  </si>
  <si>
    <t xml:space="preserve">Eylül</t>
  </si>
  <si>
    <t xml:space="preserve">Ekim</t>
  </si>
  <si>
    <t xml:space="preserve">Kasım</t>
  </si>
  <si>
    <t xml:space="preserve">Aralık</t>
  </si>
  <si>
    <t xml:space="preserve">TOPLAM</t>
  </si>
  <si>
    <t xml:space="preserve">Listeler</t>
  </si>
  <si>
    <t xml:space="preserve">Açılır listelerde çıkan seçenekler. Sarı hücrelere kendi seçeneklerini yaz.</t>
  </si>
  <si>
    <t xml:space="preserve">Yapay Zeka Komutları</t>
  </si>
  <si>
    <t xml:space="preserve">İlgili sayfada başlık satırıyla birlikte kayıtlarını seç, kopyala, kullandığın yapay zeka asistanına yapıştır ve altına komutu ekle.</t>
  </si>
  <si>
    <t xml:space="preserve">Dikkat: Abone ve tesisat numaralarını paylaşma. Yapay zekanın verdiği rakamları dosyadaki özet sayfasıyla karşılaştır.</t>
  </si>
  <si>
    <t xml:space="preserve">Ne için</t>
  </si>
  <si>
    <t xml:space="preserve">Komut (kopyala, yapıştır)</t>
  </si>
  <si>
    <t xml:space="preserve">Artış nedeni</t>
  </si>
  <si>
    <t xml:space="preserve">[Faturalar sayfası] Tutarı geçen yıla göre en çok artan faturaları bul; artış tüketimden mi birim fiyattan mı geliyor?</t>
  </si>
  <si>
    <t xml:space="preserve">Tasarruf</t>
  </si>
  <si>
    <t xml:space="preserve">Elektrik tüketimimi düşürmek için evde uygulanabilir beş öneri ver.</t>
  </si>
  <si>
    <t xml:space="preserve">Kış bütçesi</t>
  </si>
  <si>
    <t xml:space="preserve">[Özet sayfası] Geçmiş aylara bakarak kış ayları için aylık ne kadar ayırmalıyım?</t>
  </si>
  <si>
    <t xml:space="preserve">Kontrol</t>
  </si>
  <si>
    <t xml:space="preserve">[Faturalar sayfası] Son endeksi ilk endeksten küçük ya da tüketimi olağan dışı olan satır var mı?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</si>
</sst>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dd\.mm\.yyyy"/>
    <numFmt numFmtId="166" formatCode="#,##0.0"/>
    <numFmt numFmtId="167" formatCode="#,##0.00&quot; ₺&quot;"/>
    <numFmt numFmtId="168" formatCode="0.00"/>
    <numFmt numFmtId="169" formatCode="#,##0.00&quot; ₺&quot;;[RED]\-#,##0.00&quot; ₺&quot;;\-"/>
    <numFmt numFmtId="170" formatCode="0%;[RED]\-0%;\-"/>
    <numFmt numFmtId="171" formatCode="0"/>
    <numFmt numFmtId="172" formatCode="#,##0;[RED]\-#,##0;\-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20"/>
      <color rgb="FF1F6F43"/>
      <name val="Arial"/>
      <family val="0"/>
      <charset val="1"/>
    </font>
    <font>
      <sz val="10"/>
      <color rgb="FF475467"/>
      <name val="Arial"/>
      <family val="0"/>
      <charset val="1"/>
    </font>
    <font>
      <b val="true"/>
      <sz val="10"/>
      <color rgb="FF1F6F43"/>
      <name val="Arial"/>
      <family val="0"/>
      <charset val="1"/>
    </font>
    <font>
      <b val="true"/>
      <sz val="10"/>
      <color rgb="FF1B1F23"/>
      <name val="Arial"/>
      <family val="0"/>
      <charset val="1"/>
    </font>
    <font>
      <sz val="10"/>
      <color rgb="FF1B1F23"/>
      <name val="Arial"/>
      <family val="0"/>
      <charset val="1"/>
    </font>
    <font>
      <b val="true"/>
      <sz val="16"/>
      <color rgb="FF1F6F43"/>
      <name val="Arial"/>
      <family val="0"/>
      <charset val="1"/>
    </font>
    <font>
      <i val="true"/>
      <sz val="9"/>
      <color rgb="FF47546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1B1F23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2"/>
      <color rgb="FF1B1F23"/>
      <name val="Arial"/>
      <family val="0"/>
      <charset val="1"/>
    </font>
    <font>
      <b val="true"/>
      <sz val="11"/>
      <color rgb="FF1F6F43"/>
      <name val="Arial"/>
      <family val="0"/>
      <charset val="1"/>
    </font>
    <font>
      <b val="true"/>
      <sz val="10"/>
      <color rgb="FFB42318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6F43"/>
        <bgColor rgb="FF3B8A5E"/>
      </patternFill>
    </fill>
    <fill>
      <patternFill patternType="solid">
        <fgColor rgb="FFE8F5EE"/>
        <bgColor rgb="FFF3F4F6"/>
      </patternFill>
    </fill>
    <fill>
      <patternFill patternType="solid">
        <fgColor rgb="FFFFF9DB"/>
        <bgColor rgb="FFF3F4F6"/>
      </patternFill>
    </fill>
    <fill>
      <patternFill patternType="solid">
        <fgColor rgb="FF3B8A5E"/>
        <bgColor rgb="FF1F6F43"/>
      </patternFill>
    </fill>
    <fill>
      <patternFill patternType="solid">
        <fgColor rgb="FFFFFFFF"/>
        <bgColor rgb="FFF3F4F6"/>
      </patternFill>
    </fill>
    <fill>
      <patternFill patternType="solid">
        <fgColor rgb="FFF3F4F6"/>
        <bgColor rgb="FFE8F5EE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top" textRotation="0" wrapText="true" indent="1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9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3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general" vertical="bottom" textRotation="0" wrapText="false" indent="1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4" fontId="9" fillId="7" borderId="1" xfId="0" applyFont="true" applyBorder="true" applyAlignment="true" applyProtection="false">
      <alignment horizontal="general" vertical="center" textRotation="0" wrapText="true" indent="1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43"/>
      <rgbColor rgb="FFC0C0C0"/>
      <rgbColor rgb="FF808080"/>
      <rgbColor rgb="FF9999FF"/>
      <rgbColor rgb="FF993366"/>
      <rgbColor rgb="FFFFF9DB"/>
      <rgbColor rgb="FFE8F5EE"/>
      <rgbColor rgb="FF660066"/>
      <rgbColor rgb="FFFF8080"/>
      <rgbColor rgb="FF0066CC"/>
      <rgbColor rgb="FFD0D5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4F6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75467"/>
      <rgbColor rgb="FF969696"/>
      <rgbColor rgb="FF003366"/>
      <rgbColor rgb="FF3B8A5E"/>
      <rgbColor rgb="FF003300"/>
      <rgbColor rgb="FF333300"/>
      <rgbColor rgb="FFB42318"/>
      <rgbColor rgb="FF993366"/>
      <rgbColor rgb="FF333399"/>
      <rgbColor rgb="FF1B1F2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2:C1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4"/>
    <col collapsed="false" customWidth="true" hidden="false" outlineLevel="0" max="3" min="3" style="0" width="88"/>
  </cols>
  <sheetData>
    <row r="2" customFormat="false" ht="24" hidden="false" customHeight="true" outlineLevel="0" collapsed="false">
      <c r="B2" s="1" t="s">
        <v>0</v>
      </c>
      <c r="C2" s="1"/>
    </row>
    <row r="3" customFormat="false" ht="36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3"/>
    </row>
    <row r="6" customFormat="false" ht="19.5" hidden="false" customHeight="true" outlineLevel="0" collapsed="false">
      <c r="B6" s="4" t="s">
        <v>3</v>
      </c>
      <c r="C6" s="4"/>
    </row>
    <row r="7" customFormat="false" ht="18" hidden="false" customHeight="true" outlineLevel="0" collapsed="false">
      <c r="B7" s="5" t="s">
        <v>4</v>
      </c>
      <c r="C7" s="6" t="s">
        <v>5</v>
      </c>
    </row>
    <row r="8" customFormat="false" ht="18" hidden="false" customHeight="true" outlineLevel="0" collapsed="false">
      <c r="B8" s="5" t="s">
        <v>6</v>
      </c>
      <c r="C8" s="6" t="s">
        <v>7</v>
      </c>
    </row>
    <row r="9" customFormat="false" ht="18" hidden="false" customHeight="true" outlineLevel="0" collapsed="false">
      <c r="B9" s="5" t="s">
        <v>8</v>
      </c>
      <c r="C9" s="6" t="s">
        <v>9</v>
      </c>
    </row>
    <row r="11" customFormat="false" ht="19.5" hidden="false" customHeight="true" outlineLevel="0" collapsed="false">
      <c r="B11" s="4" t="s">
        <v>10</v>
      </c>
      <c r="C11" s="4"/>
    </row>
    <row r="12" customFormat="false" ht="18" hidden="false" customHeight="true" outlineLevel="0" collapsed="false">
      <c r="B12" s="5" t="s">
        <v>11</v>
      </c>
      <c r="C12" s="6" t="s">
        <v>12</v>
      </c>
    </row>
    <row r="13" customFormat="false" ht="30" hidden="false" customHeight="true" outlineLevel="0" collapsed="false">
      <c r="B13" s="5" t="s">
        <v>13</v>
      </c>
      <c r="C13" s="6" t="s">
        <v>14</v>
      </c>
    </row>
    <row r="14" customFormat="false" ht="18" hidden="false" customHeight="true" outlineLevel="0" collapsed="false">
      <c r="B14" s="5" t="s">
        <v>15</v>
      </c>
      <c r="C14" s="6" t="s">
        <v>16</v>
      </c>
    </row>
    <row r="16" customFormat="false" ht="19.5" hidden="false" customHeight="true" outlineLevel="0" collapsed="false">
      <c r="B16" s="4" t="s">
        <v>17</v>
      </c>
      <c r="C16" s="4"/>
    </row>
    <row r="17" customFormat="false" ht="18" hidden="false" customHeight="true" outlineLevel="0" collapsed="false">
      <c r="B17" s="7" t="s">
        <v>18</v>
      </c>
      <c r="C17" s="6" t="s">
        <v>19</v>
      </c>
    </row>
    <row r="18" customFormat="false" ht="18" hidden="false" customHeight="true" outlineLevel="0" collapsed="false">
      <c r="B18" s="5" t="s">
        <v>20</v>
      </c>
      <c r="C18" s="6" t="s">
        <v>21</v>
      </c>
    </row>
  </sheetData>
  <mergeCells count="6">
    <mergeCell ref="B2:C2"/>
    <mergeCell ref="B3:C3"/>
    <mergeCell ref="B4:C4"/>
    <mergeCell ref="B6:C6"/>
    <mergeCell ref="B11:C11"/>
    <mergeCell ref="B16:C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I6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5"/>
    <col collapsed="false" customWidth="true" hidden="false" outlineLevel="0" max="7" min="3" style="0" width="14"/>
    <col collapsed="false" customWidth="true" hidden="false" outlineLevel="0" max="8" min="8" style="0" width="17"/>
    <col collapsed="false" customWidth="true" hidden="false" outlineLevel="0" max="9" min="9" style="0" width="14"/>
  </cols>
  <sheetData>
    <row r="1" customFormat="false" ht="19.7" hidden="false" customHeight="false" outlineLevel="0" collapsed="false">
      <c r="A1" s="8" t="s">
        <v>22</v>
      </c>
    </row>
    <row r="2" customFormat="false" ht="15" hidden="false" customHeight="false" outlineLevel="0" collapsed="false">
      <c r="A2" s="9" t="s">
        <v>23</v>
      </c>
    </row>
    <row r="4" customFormat="false" ht="27.75" hidden="false" customHeight="true" outlineLevel="0" collapsed="false">
      <c r="A4" s="10" t="s">
        <v>24</v>
      </c>
      <c r="B4" s="10" t="s">
        <v>25</v>
      </c>
      <c r="C4" s="10" t="s">
        <v>26</v>
      </c>
      <c r="D4" s="10" t="s">
        <v>27</v>
      </c>
      <c r="E4" s="10" t="s">
        <v>28</v>
      </c>
      <c r="F4" s="11" t="s">
        <v>29</v>
      </c>
      <c r="G4" s="11" t="s">
        <v>30</v>
      </c>
      <c r="H4" s="11" t="s">
        <v>31</v>
      </c>
      <c r="I4" s="11" t="s">
        <v>32</v>
      </c>
    </row>
    <row r="5" customFormat="false" ht="15" hidden="false" customHeight="false" outlineLevel="0" collapsed="false">
      <c r="A5" s="12" t="n">
        <v>45915</v>
      </c>
      <c r="B5" s="13" t="s">
        <v>33</v>
      </c>
      <c r="C5" s="14" t="n">
        <v>700</v>
      </c>
      <c r="D5" s="14" t="n">
        <v>940</v>
      </c>
      <c r="E5" s="15" t="n">
        <v>1200</v>
      </c>
      <c r="F5" s="16" t="n">
        <f aca="false">IF(OR(C5="",D5=""),"",D5-C5)</f>
        <v>240</v>
      </c>
      <c r="G5" s="17" t="n">
        <f aca="false">IF(OR(F5="",F5=0),"",E5/F5)</f>
        <v>5</v>
      </c>
      <c r="H5" s="18" t="str">
        <f aca="false">IF(OR(A5="",B5=""),"",IF(SUMIFS($E$5:$E$604,$B$5:$B$604,B5,$A$5:$A$604,"&gt;="&amp;DATE(YEAR(A5)-1,MONTH(A5),1),$A$5:$A$604,"&lt;"&amp;DATE(YEAR(A5)-1,MONTH(A5)+1,1))=0,"",SUMIFS($E$5:$E$604,$B$5:$B$604,B5,$A$5:$A$604,"&gt;="&amp;DATE(YEAR(A5)-1,MONTH(A5),1),$A$5:$A$604,"&lt;"&amp;DATE(YEAR(A5)-1,MONTH(A5)+1,1))))</f>
        <v/>
      </c>
      <c r="I5" s="19" t="str">
        <f aca="false">IF(OR(H5="",E5=""),"",E5/H5-1)</f>
        <v/>
      </c>
    </row>
    <row r="6" customFormat="false" ht="15" hidden="false" customHeight="false" outlineLevel="0" collapsed="false">
      <c r="A6" s="12" t="n">
        <v>46249</v>
      </c>
      <c r="B6" s="13" t="s">
        <v>33</v>
      </c>
      <c r="C6" s="14" t="n">
        <v>3400</v>
      </c>
      <c r="D6" s="14" t="n">
        <v>3720</v>
      </c>
      <c r="E6" s="15" t="n">
        <v>1650</v>
      </c>
      <c r="F6" s="16" t="n">
        <f aca="false">IF(OR(C6="",D6=""),"",D6-C6)</f>
        <v>320</v>
      </c>
      <c r="G6" s="17" t="n">
        <f aca="false">IF(OR(F6="",F6=0),"",E6/F6)</f>
        <v>5.15625</v>
      </c>
      <c r="H6" s="18" t="str">
        <f aca="false">IF(OR(A6="",B6=""),"",IF(SUMIFS($E$5:$E$604,$B$5:$B$604,B6,$A$5:$A$604,"&gt;="&amp;DATE(YEAR(A6)-1,MONTH(A6),1),$A$5:$A$604,"&lt;"&amp;DATE(YEAR(A6)-1,MONTH(A6)+1,1))=0,"",SUMIFS($E$5:$E$604,$B$5:$B$604,B6,$A$5:$A$604,"&gt;="&amp;DATE(YEAR(A6)-1,MONTH(A6),1),$A$5:$A$604,"&lt;"&amp;DATE(YEAR(A6)-1,MONTH(A6)+1,1))))</f>
        <v/>
      </c>
      <c r="I6" s="19" t="str">
        <f aca="false">IF(OR(H6="",E6=""),"",E6/H6-1)</f>
        <v/>
      </c>
    </row>
    <row r="7" customFormat="false" ht="15" hidden="false" customHeight="false" outlineLevel="0" collapsed="false">
      <c r="A7" s="12" t="n">
        <v>46280</v>
      </c>
      <c r="B7" s="13" t="s">
        <v>33</v>
      </c>
      <c r="C7" s="14" t="n">
        <v>3720</v>
      </c>
      <c r="D7" s="14" t="n">
        <v>4020</v>
      </c>
      <c r="E7" s="15" t="n">
        <v>1500</v>
      </c>
      <c r="F7" s="16" t="n">
        <f aca="false">IF(OR(C7="",D7=""),"",D7-C7)</f>
        <v>300</v>
      </c>
      <c r="G7" s="17" t="n">
        <f aca="false">IF(OR(F7="",F7=0),"",E7/F7)</f>
        <v>5</v>
      </c>
      <c r="H7" s="18" t="n">
        <f aca="false">IF(OR(A7="",B7=""),"",IF(SUMIFS($E$5:$E$604,$B$5:$B$604,B7,$A$5:$A$604,"&gt;="&amp;DATE(YEAR(A7)-1,MONTH(A7),1),$A$5:$A$604,"&lt;"&amp;DATE(YEAR(A7)-1,MONTH(A7)+1,1))=0,"",SUMIFS($E$5:$E$604,$B$5:$B$604,B7,$A$5:$A$604,"&gt;="&amp;DATE(YEAR(A7)-1,MONTH(A7),1),$A$5:$A$604,"&lt;"&amp;DATE(YEAR(A7)-1,MONTH(A7)+1,1))))</f>
        <v>1200</v>
      </c>
      <c r="I7" s="19" t="n">
        <f aca="false">IF(OR(H7="",E7=""),"",E7/H7-1)</f>
        <v>0.25</v>
      </c>
    </row>
    <row r="8" customFormat="false" ht="15" hidden="false" customHeight="false" outlineLevel="0" collapsed="false">
      <c r="A8" s="12" t="n">
        <v>46285</v>
      </c>
      <c r="B8" s="13" t="s">
        <v>34</v>
      </c>
      <c r="C8" s="14" t="n">
        <v>210</v>
      </c>
      <c r="D8" s="14" t="n">
        <v>224</v>
      </c>
      <c r="E8" s="15" t="n">
        <v>560</v>
      </c>
      <c r="F8" s="16" t="n">
        <f aca="false">IF(OR(C8="",D8=""),"",D8-C8)</f>
        <v>14</v>
      </c>
      <c r="G8" s="17" t="n">
        <f aca="false">IF(OR(F8="",F8=0),"",E8/F8)</f>
        <v>40</v>
      </c>
      <c r="H8" s="18" t="str">
        <f aca="false">IF(OR(A8="",B8=""),"",IF(SUMIFS($E$5:$E$604,$B$5:$B$604,B8,$A$5:$A$604,"&gt;="&amp;DATE(YEAR(A8)-1,MONTH(A8),1),$A$5:$A$604,"&lt;"&amp;DATE(YEAR(A8)-1,MONTH(A8)+1,1))=0,"",SUMIFS($E$5:$E$604,$B$5:$B$604,B8,$A$5:$A$604,"&gt;="&amp;DATE(YEAR(A8)-1,MONTH(A8),1),$A$5:$A$604,"&lt;"&amp;DATE(YEAR(A8)-1,MONTH(A8)+1,1))))</f>
        <v/>
      </c>
      <c r="I8" s="19" t="str">
        <f aca="false">IF(OR(H8="",E8=""),"",E8/H8-1)</f>
        <v/>
      </c>
    </row>
    <row r="9" customFormat="false" ht="15" hidden="false" customHeight="false" outlineLevel="0" collapsed="false">
      <c r="A9" s="12" t="n">
        <v>46290</v>
      </c>
      <c r="B9" s="13" t="s">
        <v>35</v>
      </c>
      <c r="C9" s="14" t="n">
        <v>1500</v>
      </c>
      <c r="D9" s="14" t="n">
        <v>1535</v>
      </c>
      <c r="E9" s="15" t="n">
        <v>420</v>
      </c>
      <c r="F9" s="16" t="n">
        <f aca="false">IF(OR(C9="",D9=""),"",D9-C9)</f>
        <v>35</v>
      </c>
      <c r="G9" s="17" t="n">
        <f aca="false">IF(OR(F9="",F9=0),"",E9/F9)</f>
        <v>12</v>
      </c>
      <c r="H9" s="18" t="str">
        <f aca="false">IF(OR(A9="",B9=""),"",IF(SUMIFS($E$5:$E$604,$B$5:$B$604,B9,$A$5:$A$604,"&gt;="&amp;DATE(YEAR(A9)-1,MONTH(A9),1),$A$5:$A$604,"&lt;"&amp;DATE(YEAR(A9)-1,MONTH(A9)+1,1))=0,"",SUMIFS($E$5:$E$604,$B$5:$B$604,B9,$A$5:$A$604,"&gt;="&amp;DATE(YEAR(A9)-1,MONTH(A9),1),$A$5:$A$604,"&lt;"&amp;DATE(YEAR(A9)-1,MONTH(A9)+1,1))))</f>
        <v/>
      </c>
      <c r="I9" s="19" t="str">
        <f aca="false">IF(OR(H9="",E9=""),"",E9/H9-1)</f>
        <v/>
      </c>
    </row>
    <row r="10" customFormat="false" ht="15" hidden="false" customHeight="false" outlineLevel="0" collapsed="false">
      <c r="A10" s="12" t="n">
        <v>46293</v>
      </c>
      <c r="B10" s="13" t="s">
        <v>36</v>
      </c>
      <c r="C10" s="14"/>
      <c r="D10" s="14"/>
      <c r="E10" s="15" t="n">
        <v>650</v>
      </c>
      <c r="F10" s="16" t="str">
        <f aca="false">IF(OR(C10="",D10=""),"",D10-C10)</f>
        <v/>
      </c>
      <c r="G10" s="17" t="str">
        <f aca="false">IF(OR(F10="",F10=0),"",E10/F10)</f>
        <v/>
      </c>
      <c r="H10" s="18" t="str">
        <f aca="false">IF(OR(A10="",B10=""),"",IF(SUMIFS($E$5:$E$604,$B$5:$B$604,B10,$A$5:$A$604,"&gt;="&amp;DATE(YEAR(A10)-1,MONTH(A10),1),$A$5:$A$604,"&lt;"&amp;DATE(YEAR(A10)-1,MONTH(A10)+1,1))=0,"",SUMIFS($E$5:$E$604,$B$5:$B$604,B10,$A$5:$A$604,"&gt;="&amp;DATE(YEAR(A10)-1,MONTH(A10),1),$A$5:$A$604,"&lt;"&amp;DATE(YEAR(A10)-1,MONTH(A10)+1,1))))</f>
        <v/>
      </c>
      <c r="I10" s="19" t="str">
        <f aca="false">IF(OR(H10="",E10=""),"",E10/H10-1)</f>
        <v/>
      </c>
    </row>
    <row r="11" customFormat="false" ht="15" hidden="false" customHeight="false" outlineLevel="0" collapsed="false">
      <c r="A11" s="12"/>
      <c r="B11" s="13"/>
      <c r="C11" s="14"/>
      <c r="D11" s="14"/>
      <c r="E11" s="15"/>
      <c r="F11" s="16" t="str">
        <f aca="false">IF(OR(C11="",D11=""),"",D11-C11)</f>
        <v/>
      </c>
      <c r="G11" s="17" t="str">
        <f aca="false">IF(OR(F11="",F11=0),"",E11/F11)</f>
        <v/>
      </c>
      <c r="H11" s="18" t="str">
        <f aca="false">IF(OR(A11="",B11=""),"",IF(SUMIFS($E$5:$E$604,$B$5:$B$604,B11,$A$5:$A$604,"&gt;="&amp;DATE(YEAR(A11)-1,MONTH(A11),1),$A$5:$A$604,"&lt;"&amp;DATE(YEAR(A11)-1,MONTH(A11)+1,1))=0,"",SUMIFS($E$5:$E$604,$B$5:$B$604,B11,$A$5:$A$604,"&gt;="&amp;DATE(YEAR(A11)-1,MONTH(A11),1),$A$5:$A$604,"&lt;"&amp;DATE(YEAR(A11)-1,MONTH(A11)+1,1))))</f>
        <v/>
      </c>
      <c r="I11" s="19" t="str">
        <f aca="false">IF(OR(H11="",E11=""),"",E11/H11-1)</f>
        <v/>
      </c>
    </row>
    <row r="12" customFormat="false" ht="15" hidden="false" customHeight="false" outlineLevel="0" collapsed="false">
      <c r="A12" s="12"/>
      <c r="B12" s="13"/>
      <c r="C12" s="14"/>
      <c r="D12" s="14"/>
      <c r="E12" s="15"/>
      <c r="F12" s="16" t="str">
        <f aca="false">IF(OR(C12="",D12=""),"",D12-C12)</f>
        <v/>
      </c>
      <c r="G12" s="17" t="str">
        <f aca="false">IF(OR(F12="",F12=0),"",E12/F12)</f>
        <v/>
      </c>
      <c r="H12" s="18" t="str">
        <f aca="false">IF(OR(A12="",B12=""),"",IF(SUMIFS($E$5:$E$604,$B$5:$B$604,B12,$A$5:$A$604,"&gt;="&amp;DATE(YEAR(A12)-1,MONTH(A12),1),$A$5:$A$604,"&lt;"&amp;DATE(YEAR(A12)-1,MONTH(A12)+1,1))=0,"",SUMIFS($E$5:$E$604,$B$5:$B$604,B12,$A$5:$A$604,"&gt;="&amp;DATE(YEAR(A12)-1,MONTH(A12),1),$A$5:$A$604,"&lt;"&amp;DATE(YEAR(A12)-1,MONTH(A12)+1,1))))</f>
        <v/>
      </c>
      <c r="I12" s="19" t="str">
        <f aca="false">IF(OR(H12="",E12=""),"",E12/H12-1)</f>
        <v/>
      </c>
    </row>
    <row r="13" customFormat="false" ht="15" hidden="false" customHeight="false" outlineLevel="0" collapsed="false">
      <c r="A13" s="12"/>
      <c r="B13" s="13"/>
      <c r="C13" s="14"/>
      <c r="D13" s="14"/>
      <c r="E13" s="15"/>
      <c r="F13" s="16" t="str">
        <f aca="false">IF(OR(C13="",D13=""),"",D13-C13)</f>
        <v/>
      </c>
      <c r="G13" s="17" t="str">
        <f aca="false">IF(OR(F13="",F13=0),"",E13/F13)</f>
        <v/>
      </c>
      <c r="H13" s="18" t="str">
        <f aca="false">IF(OR(A13="",B13=""),"",IF(SUMIFS($E$5:$E$604,$B$5:$B$604,B13,$A$5:$A$604,"&gt;="&amp;DATE(YEAR(A13)-1,MONTH(A13),1),$A$5:$A$604,"&lt;"&amp;DATE(YEAR(A13)-1,MONTH(A13)+1,1))=0,"",SUMIFS($E$5:$E$604,$B$5:$B$604,B13,$A$5:$A$604,"&gt;="&amp;DATE(YEAR(A13)-1,MONTH(A13),1),$A$5:$A$604,"&lt;"&amp;DATE(YEAR(A13)-1,MONTH(A13)+1,1))))</f>
        <v/>
      </c>
      <c r="I13" s="19" t="str">
        <f aca="false">IF(OR(H13="",E13=""),"",E13/H13-1)</f>
        <v/>
      </c>
    </row>
    <row r="14" customFormat="false" ht="15" hidden="false" customHeight="false" outlineLevel="0" collapsed="false">
      <c r="A14" s="12"/>
      <c r="B14" s="13"/>
      <c r="C14" s="14"/>
      <c r="D14" s="14"/>
      <c r="E14" s="15"/>
      <c r="F14" s="16" t="str">
        <f aca="false">IF(OR(C14="",D14=""),"",D14-C14)</f>
        <v/>
      </c>
      <c r="G14" s="17" t="str">
        <f aca="false">IF(OR(F14="",F14=0),"",E14/F14)</f>
        <v/>
      </c>
      <c r="H14" s="18" t="str">
        <f aca="false">IF(OR(A14="",B14=""),"",IF(SUMIFS($E$5:$E$604,$B$5:$B$604,B14,$A$5:$A$604,"&gt;="&amp;DATE(YEAR(A14)-1,MONTH(A14),1),$A$5:$A$604,"&lt;"&amp;DATE(YEAR(A14)-1,MONTH(A14)+1,1))=0,"",SUMIFS($E$5:$E$604,$B$5:$B$604,B14,$A$5:$A$604,"&gt;="&amp;DATE(YEAR(A14)-1,MONTH(A14),1),$A$5:$A$604,"&lt;"&amp;DATE(YEAR(A14)-1,MONTH(A14)+1,1))))</f>
        <v/>
      </c>
      <c r="I14" s="19" t="str">
        <f aca="false">IF(OR(H14="",E14=""),"",E14/H14-1)</f>
        <v/>
      </c>
    </row>
    <row r="15" customFormat="false" ht="15" hidden="false" customHeight="false" outlineLevel="0" collapsed="false">
      <c r="A15" s="12"/>
      <c r="B15" s="13"/>
      <c r="C15" s="14"/>
      <c r="D15" s="14"/>
      <c r="E15" s="15"/>
      <c r="F15" s="16" t="str">
        <f aca="false">IF(OR(C15="",D15=""),"",D15-C15)</f>
        <v/>
      </c>
      <c r="G15" s="17" t="str">
        <f aca="false">IF(OR(F15="",F15=0),"",E15/F15)</f>
        <v/>
      </c>
      <c r="H15" s="18" t="str">
        <f aca="false">IF(OR(A15="",B15=""),"",IF(SUMIFS($E$5:$E$604,$B$5:$B$604,B15,$A$5:$A$604,"&gt;="&amp;DATE(YEAR(A15)-1,MONTH(A15),1),$A$5:$A$604,"&lt;"&amp;DATE(YEAR(A15)-1,MONTH(A15)+1,1))=0,"",SUMIFS($E$5:$E$604,$B$5:$B$604,B15,$A$5:$A$604,"&gt;="&amp;DATE(YEAR(A15)-1,MONTH(A15),1),$A$5:$A$604,"&lt;"&amp;DATE(YEAR(A15)-1,MONTH(A15)+1,1))))</f>
        <v/>
      </c>
      <c r="I15" s="19" t="str">
        <f aca="false">IF(OR(H15="",E15=""),"",E15/H15-1)</f>
        <v/>
      </c>
    </row>
    <row r="16" customFormat="false" ht="15" hidden="false" customHeight="false" outlineLevel="0" collapsed="false">
      <c r="A16" s="12"/>
      <c r="B16" s="13"/>
      <c r="C16" s="14"/>
      <c r="D16" s="14"/>
      <c r="E16" s="15"/>
      <c r="F16" s="16" t="str">
        <f aca="false">IF(OR(C16="",D16=""),"",D16-C16)</f>
        <v/>
      </c>
      <c r="G16" s="17" t="str">
        <f aca="false">IF(OR(F16="",F16=0),"",E16/F16)</f>
        <v/>
      </c>
      <c r="H16" s="18" t="str">
        <f aca="false">IF(OR(A16="",B16=""),"",IF(SUMIFS($E$5:$E$604,$B$5:$B$604,B16,$A$5:$A$604,"&gt;="&amp;DATE(YEAR(A16)-1,MONTH(A16),1),$A$5:$A$604,"&lt;"&amp;DATE(YEAR(A16)-1,MONTH(A16)+1,1))=0,"",SUMIFS($E$5:$E$604,$B$5:$B$604,B16,$A$5:$A$604,"&gt;="&amp;DATE(YEAR(A16)-1,MONTH(A16),1),$A$5:$A$604,"&lt;"&amp;DATE(YEAR(A16)-1,MONTH(A16)+1,1))))</f>
        <v/>
      </c>
      <c r="I16" s="19" t="str">
        <f aca="false">IF(OR(H16="",E16=""),"",E16/H16-1)</f>
        <v/>
      </c>
    </row>
    <row r="17" customFormat="false" ht="15" hidden="false" customHeight="false" outlineLevel="0" collapsed="false">
      <c r="A17" s="12"/>
      <c r="B17" s="13"/>
      <c r="C17" s="14"/>
      <c r="D17" s="14"/>
      <c r="E17" s="15"/>
      <c r="F17" s="16" t="str">
        <f aca="false">IF(OR(C17="",D17=""),"",D17-C17)</f>
        <v/>
      </c>
      <c r="G17" s="17" t="str">
        <f aca="false">IF(OR(F17="",F17=0),"",E17/F17)</f>
        <v/>
      </c>
      <c r="H17" s="18" t="str">
        <f aca="false">IF(OR(A17="",B17=""),"",IF(SUMIFS($E$5:$E$604,$B$5:$B$604,B17,$A$5:$A$604,"&gt;="&amp;DATE(YEAR(A17)-1,MONTH(A17),1),$A$5:$A$604,"&lt;"&amp;DATE(YEAR(A17)-1,MONTH(A17)+1,1))=0,"",SUMIFS($E$5:$E$604,$B$5:$B$604,B17,$A$5:$A$604,"&gt;="&amp;DATE(YEAR(A17)-1,MONTH(A17),1),$A$5:$A$604,"&lt;"&amp;DATE(YEAR(A17)-1,MONTH(A17)+1,1))))</f>
        <v/>
      </c>
      <c r="I17" s="19" t="str">
        <f aca="false">IF(OR(H17="",E17=""),"",E17/H17-1)</f>
        <v/>
      </c>
    </row>
    <row r="18" customFormat="false" ht="15" hidden="false" customHeight="false" outlineLevel="0" collapsed="false">
      <c r="A18" s="12"/>
      <c r="B18" s="13"/>
      <c r="C18" s="14"/>
      <c r="D18" s="14"/>
      <c r="E18" s="15"/>
      <c r="F18" s="16" t="str">
        <f aca="false">IF(OR(C18="",D18=""),"",D18-C18)</f>
        <v/>
      </c>
      <c r="G18" s="17" t="str">
        <f aca="false">IF(OR(F18="",F18=0),"",E18/F18)</f>
        <v/>
      </c>
      <c r="H18" s="18" t="str">
        <f aca="false">IF(OR(A18="",B18=""),"",IF(SUMIFS($E$5:$E$604,$B$5:$B$604,B18,$A$5:$A$604,"&gt;="&amp;DATE(YEAR(A18)-1,MONTH(A18),1),$A$5:$A$604,"&lt;"&amp;DATE(YEAR(A18)-1,MONTH(A18)+1,1))=0,"",SUMIFS($E$5:$E$604,$B$5:$B$604,B18,$A$5:$A$604,"&gt;="&amp;DATE(YEAR(A18)-1,MONTH(A18),1),$A$5:$A$604,"&lt;"&amp;DATE(YEAR(A18)-1,MONTH(A18)+1,1))))</f>
        <v/>
      </c>
      <c r="I18" s="19" t="str">
        <f aca="false">IF(OR(H18="",E18=""),"",E18/H18-1)</f>
        <v/>
      </c>
    </row>
    <row r="19" customFormat="false" ht="15" hidden="false" customHeight="false" outlineLevel="0" collapsed="false">
      <c r="A19" s="12"/>
      <c r="B19" s="13"/>
      <c r="C19" s="14"/>
      <c r="D19" s="14"/>
      <c r="E19" s="15"/>
      <c r="F19" s="16" t="str">
        <f aca="false">IF(OR(C19="",D19=""),"",D19-C19)</f>
        <v/>
      </c>
      <c r="G19" s="17" t="str">
        <f aca="false">IF(OR(F19="",F19=0),"",E19/F19)</f>
        <v/>
      </c>
      <c r="H19" s="18" t="str">
        <f aca="false">IF(OR(A19="",B19=""),"",IF(SUMIFS($E$5:$E$604,$B$5:$B$604,B19,$A$5:$A$604,"&gt;="&amp;DATE(YEAR(A19)-1,MONTH(A19),1),$A$5:$A$604,"&lt;"&amp;DATE(YEAR(A19)-1,MONTH(A19)+1,1))=0,"",SUMIFS($E$5:$E$604,$B$5:$B$604,B19,$A$5:$A$604,"&gt;="&amp;DATE(YEAR(A19)-1,MONTH(A19),1),$A$5:$A$604,"&lt;"&amp;DATE(YEAR(A19)-1,MONTH(A19)+1,1))))</f>
        <v/>
      </c>
      <c r="I19" s="19" t="str">
        <f aca="false">IF(OR(H19="",E19=""),"",E19/H19-1)</f>
        <v/>
      </c>
    </row>
    <row r="20" customFormat="false" ht="15" hidden="false" customHeight="false" outlineLevel="0" collapsed="false">
      <c r="A20" s="12"/>
      <c r="B20" s="13"/>
      <c r="C20" s="14"/>
      <c r="D20" s="14"/>
      <c r="E20" s="15"/>
      <c r="F20" s="16" t="str">
        <f aca="false">IF(OR(C20="",D20=""),"",D20-C20)</f>
        <v/>
      </c>
      <c r="G20" s="17" t="str">
        <f aca="false">IF(OR(F20="",F20=0),"",E20/F20)</f>
        <v/>
      </c>
      <c r="H20" s="18" t="str">
        <f aca="false">IF(OR(A20="",B20=""),"",IF(SUMIFS($E$5:$E$604,$B$5:$B$604,B20,$A$5:$A$604,"&gt;="&amp;DATE(YEAR(A20)-1,MONTH(A20),1),$A$5:$A$604,"&lt;"&amp;DATE(YEAR(A20)-1,MONTH(A20)+1,1))=0,"",SUMIFS($E$5:$E$604,$B$5:$B$604,B20,$A$5:$A$604,"&gt;="&amp;DATE(YEAR(A20)-1,MONTH(A20),1),$A$5:$A$604,"&lt;"&amp;DATE(YEAR(A20)-1,MONTH(A20)+1,1))))</f>
        <v/>
      </c>
      <c r="I20" s="19" t="str">
        <f aca="false">IF(OR(H20="",E20=""),"",E20/H20-1)</f>
        <v/>
      </c>
    </row>
    <row r="21" customFormat="false" ht="15" hidden="false" customHeight="false" outlineLevel="0" collapsed="false">
      <c r="A21" s="12"/>
      <c r="B21" s="13"/>
      <c r="C21" s="14"/>
      <c r="D21" s="14"/>
      <c r="E21" s="15"/>
      <c r="F21" s="16" t="str">
        <f aca="false">IF(OR(C21="",D21=""),"",D21-C21)</f>
        <v/>
      </c>
      <c r="G21" s="17" t="str">
        <f aca="false">IF(OR(F21="",F21=0),"",E21/F21)</f>
        <v/>
      </c>
      <c r="H21" s="18" t="str">
        <f aca="false">IF(OR(A21="",B21=""),"",IF(SUMIFS($E$5:$E$604,$B$5:$B$604,B21,$A$5:$A$604,"&gt;="&amp;DATE(YEAR(A21)-1,MONTH(A21),1),$A$5:$A$604,"&lt;"&amp;DATE(YEAR(A21)-1,MONTH(A21)+1,1))=0,"",SUMIFS($E$5:$E$604,$B$5:$B$604,B21,$A$5:$A$604,"&gt;="&amp;DATE(YEAR(A21)-1,MONTH(A21),1),$A$5:$A$604,"&lt;"&amp;DATE(YEAR(A21)-1,MONTH(A21)+1,1))))</f>
        <v/>
      </c>
      <c r="I21" s="19" t="str">
        <f aca="false">IF(OR(H21="",E21=""),"",E21/H21-1)</f>
        <v/>
      </c>
    </row>
    <row r="22" customFormat="false" ht="15" hidden="false" customHeight="false" outlineLevel="0" collapsed="false">
      <c r="A22" s="12"/>
      <c r="B22" s="13"/>
      <c r="C22" s="14"/>
      <c r="D22" s="14"/>
      <c r="E22" s="15"/>
      <c r="F22" s="16" t="str">
        <f aca="false">IF(OR(C22="",D22=""),"",D22-C22)</f>
        <v/>
      </c>
      <c r="G22" s="17" t="str">
        <f aca="false">IF(OR(F22="",F22=0),"",E22/F22)</f>
        <v/>
      </c>
      <c r="H22" s="18" t="str">
        <f aca="false">IF(OR(A22="",B22=""),"",IF(SUMIFS($E$5:$E$604,$B$5:$B$604,B22,$A$5:$A$604,"&gt;="&amp;DATE(YEAR(A22)-1,MONTH(A22),1),$A$5:$A$604,"&lt;"&amp;DATE(YEAR(A22)-1,MONTH(A22)+1,1))=0,"",SUMIFS($E$5:$E$604,$B$5:$B$604,B22,$A$5:$A$604,"&gt;="&amp;DATE(YEAR(A22)-1,MONTH(A22),1),$A$5:$A$604,"&lt;"&amp;DATE(YEAR(A22)-1,MONTH(A22)+1,1))))</f>
        <v/>
      </c>
      <c r="I22" s="19" t="str">
        <f aca="false">IF(OR(H22="",E22=""),"",E22/H22-1)</f>
        <v/>
      </c>
    </row>
    <row r="23" customFormat="false" ht="15" hidden="false" customHeight="false" outlineLevel="0" collapsed="false">
      <c r="A23" s="12"/>
      <c r="B23" s="13"/>
      <c r="C23" s="14"/>
      <c r="D23" s="14"/>
      <c r="E23" s="15"/>
      <c r="F23" s="16" t="str">
        <f aca="false">IF(OR(C23="",D23=""),"",D23-C23)</f>
        <v/>
      </c>
      <c r="G23" s="17" t="str">
        <f aca="false">IF(OR(F23="",F23=0),"",E23/F23)</f>
        <v/>
      </c>
      <c r="H23" s="18" t="str">
        <f aca="false">IF(OR(A23="",B23=""),"",IF(SUMIFS($E$5:$E$604,$B$5:$B$604,B23,$A$5:$A$604,"&gt;="&amp;DATE(YEAR(A23)-1,MONTH(A23),1),$A$5:$A$604,"&lt;"&amp;DATE(YEAR(A23)-1,MONTH(A23)+1,1))=0,"",SUMIFS($E$5:$E$604,$B$5:$B$604,B23,$A$5:$A$604,"&gt;="&amp;DATE(YEAR(A23)-1,MONTH(A23),1),$A$5:$A$604,"&lt;"&amp;DATE(YEAR(A23)-1,MONTH(A23)+1,1))))</f>
        <v/>
      </c>
      <c r="I23" s="19" t="str">
        <f aca="false">IF(OR(H23="",E23=""),"",E23/H23-1)</f>
        <v/>
      </c>
    </row>
    <row r="24" customFormat="false" ht="15" hidden="false" customHeight="false" outlineLevel="0" collapsed="false">
      <c r="A24" s="12"/>
      <c r="B24" s="13"/>
      <c r="C24" s="14"/>
      <c r="D24" s="14"/>
      <c r="E24" s="15"/>
      <c r="F24" s="16" t="str">
        <f aca="false">IF(OR(C24="",D24=""),"",D24-C24)</f>
        <v/>
      </c>
      <c r="G24" s="17" t="str">
        <f aca="false">IF(OR(F24="",F24=0),"",E24/F24)</f>
        <v/>
      </c>
      <c r="H24" s="18" t="str">
        <f aca="false">IF(OR(A24="",B24=""),"",IF(SUMIFS($E$5:$E$604,$B$5:$B$604,B24,$A$5:$A$604,"&gt;="&amp;DATE(YEAR(A24)-1,MONTH(A24),1),$A$5:$A$604,"&lt;"&amp;DATE(YEAR(A24)-1,MONTH(A24)+1,1))=0,"",SUMIFS($E$5:$E$604,$B$5:$B$604,B24,$A$5:$A$604,"&gt;="&amp;DATE(YEAR(A24)-1,MONTH(A24),1),$A$5:$A$604,"&lt;"&amp;DATE(YEAR(A24)-1,MONTH(A24)+1,1))))</f>
        <v/>
      </c>
      <c r="I24" s="19" t="str">
        <f aca="false">IF(OR(H24="",E24=""),"",E24/H24-1)</f>
        <v/>
      </c>
    </row>
    <row r="25" customFormat="false" ht="15" hidden="false" customHeight="false" outlineLevel="0" collapsed="false">
      <c r="A25" s="12"/>
      <c r="B25" s="13"/>
      <c r="C25" s="14"/>
      <c r="D25" s="14"/>
      <c r="E25" s="15"/>
      <c r="F25" s="16" t="str">
        <f aca="false">IF(OR(C25="",D25=""),"",D25-C25)</f>
        <v/>
      </c>
      <c r="G25" s="17" t="str">
        <f aca="false">IF(OR(F25="",F25=0),"",E25/F25)</f>
        <v/>
      </c>
      <c r="H25" s="18" t="str">
        <f aca="false">IF(OR(A25="",B25=""),"",IF(SUMIFS($E$5:$E$604,$B$5:$B$604,B25,$A$5:$A$604,"&gt;="&amp;DATE(YEAR(A25)-1,MONTH(A25),1),$A$5:$A$604,"&lt;"&amp;DATE(YEAR(A25)-1,MONTH(A25)+1,1))=0,"",SUMIFS($E$5:$E$604,$B$5:$B$604,B25,$A$5:$A$604,"&gt;="&amp;DATE(YEAR(A25)-1,MONTH(A25),1),$A$5:$A$604,"&lt;"&amp;DATE(YEAR(A25)-1,MONTH(A25)+1,1))))</f>
        <v/>
      </c>
      <c r="I25" s="19" t="str">
        <f aca="false">IF(OR(H25="",E25=""),"",E25/H25-1)</f>
        <v/>
      </c>
    </row>
    <row r="26" customFormat="false" ht="15" hidden="false" customHeight="false" outlineLevel="0" collapsed="false">
      <c r="A26" s="12"/>
      <c r="B26" s="13"/>
      <c r="C26" s="14"/>
      <c r="D26" s="14"/>
      <c r="E26" s="15"/>
      <c r="F26" s="16" t="str">
        <f aca="false">IF(OR(C26="",D26=""),"",D26-C26)</f>
        <v/>
      </c>
      <c r="G26" s="17" t="str">
        <f aca="false">IF(OR(F26="",F26=0),"",E26/F26)</f>
        <v/>
      </c>
      <c r="H26" s="18" t="str">
        <f aca="false">IF(OR(A26="",B26=""),"",IF(SUMIFS($E$5:$E$604,$B$5:$B$604,B26,$A$5:$A$604,"&gt;="&amp;DATE(YEAR(A26)-1,MONTH(A26),1),$A$5:$A$604,"&lt;"&amp;DATE(YEAR(A26)-1,MONTH(A26)+1,1))=0,"",SUMIFS($E$5:$E$604,$B$5:$B$604,B26,$A$5:$A$604,"&gt;="&amp;DATE(YEAR(A26)-1,MONTH(A26),1),$A$5:$A$604,"&lt;"&amp;DATE(YEAR(A26)-1,MONTH(A26)+1,1))))</f>
        <v/>
      </c>
      <c r="I26" s="19" t="str">
        <f aca="false">IF(OR(H26="",E26=""),"",E26/H26-1)</f>
        <v/>
      </c>
    </row>
    <row r="27" customFormat="false" ht="15" hidden="false" customHeight="false" outlineLevel="0" collapsed="false">
      <c r="A27" s="12"/>
      <c r="B27" s="13"/>
      <c r="C27" s="14"/>
      <c r="D27" s="14"/>
      <c r="E27" s="15"/>
      <c r="F27" s="16" t="str">
        <f aca="false">IF(OR(C27="",D27=""),"",D27-C27)</f>
        <v/>
      </c>
      <c r="G27" s="17" t="str">
        <f aca="false">IF(OR(F27="",F27=0),"",E27/F27)</f>
        <v/>
      </c>
      <c r="H27" s="18" t="str">
        <f aca="false">IF(OR(A27="",B27=""),"",IF(SUMIFS($E$5:$E$604,$B$5:$B$604,B27,$A$5:$A$604,"&gt;="&amp;DATE(YEAR(A27)-1,MONTH(A27),1),$A$5:$A$604,"&lt;"&amp;DATE(YEAR(A27)-1,MONTH(A27)+1,1))=0,"",SUMIFS($E$5:$E$604,$B$5:$B$604,B27,$A$5:$A$604,"&gt;="&amp;DATE(YEAR(A27)-1,MONTH(A27),1),$A$5:$A$604,"&lt;"&amp;DATE(YEAR(A27)-1,MONTH(A27)+1,1))))</f>
        <v/>
      </c>
      <c r="I27" s="19" t="str">
        <f aca="false">IF(OR(H27="",E27=""),"",E27/H27-1)</f>
        <v/>
      </c>
    </row>
    <row r="28" customFormat="false" ht="15" hidden="false" customHeight="false" outlineLevel="0" collapsed="false">
      <c r="A28" s="12"/>
      <c r="B28" s="13"/>
      <c r="C28" s="14"/>
      <c r="D28" s="14"/>
      <c r="E28" s="15"/>
      <c r="F28" s="16" t="str">
        <f aca="false">IF(OR(C28="",D28=""),"",D28-C28)</f>
        <v/>
      </c>
      <c r="G28" s="17" t="str">
        <f aca="false">IF(OR(F28="",F28=0),"",E28/F28)</f>
        <v/>
      </c>
      <c r="H28" s="18" t="str">
        <f aca="false">IF(OR(A28="",B28=""),"",IF(SUMIFS($E$5:$E$604,$B$5:$B$604,B28,$A$5:$A$604,"&gt;="&amp;DATE(YEAR(A28)-1,MONTH(A28),1),$A$5:$A$604,"&lt;"&amp;DATE(YEAR(A28)-1,MONTH(A28)+1,1))=0,"",SUMIFS($E$5:$E$604,$B$5:$B$604,B28,$A$5:$A$604,"&gt;="&amp;DATE(YEAR(A28)-1,MONTH(A28),1),$A$5:$A$604,"&lt;"&amp;DATE(YEAR(A28)-1,MONTH(A28)+1,1))))</f>
        <v/>
      </c>
      <c r="I28" s="19" t="str">
        <f aca="false">IF(OR(H28="",E28=""),"",E28/H28-1)</f>
        <v/>
      </c>
    </row>
    <row r="29" customFormat="false" ht="15" hidden="false" customHeight="false" outlineLevel="0" collapsed="false">
      <c r="A29" s="12"/>
      <c r="B29" s="13"/>
      <c r="C29" s="14"/>
      <c r="D29" s="14"/>
      <c r="E29" s="15"/>
      <c r="F29" s="16" t="str">
        <f aca="false">IF(OR(C29="",D29=""),"",D29-C29)</f>
        <v/>
      </c>
      <c r="G29" s="17" t="str">
        <f aca="false">IF(OR(F29="",F29=0),"",E29/F29)</f>
        <v/>
      </c>
      <c r="H29" s="18" t="str">
        <f aca="false">IF(OR(A29="",B29=""),"",IF(SUMIFS($E$5:$E$604,$B$5:$B$604,B29,$A$5:$A$604,"&gt;="&amp;DATE(YEAR(A29)-1,MONTH(A29),1),$A$5:$A$604,"&lt;"&amp;DATE(YEAR(A29)-1,MONTH(A29)+1,1))=0,"",SUMIFS($E$5:$E$604,$B$5:$B$604,B29,$A$5:$A$604,"&gt;="&amp;DATE(YEAR(A29)-1,MONTH(A29),1),$A$5:$A$604,"&lt;"&amp;DATE(YEAR(A29)-1,MONTH(A29)+1,1))))</f>
        <v/>
      </c>
      <c r="I29" s="19" t="str">
        <f aca="false">IF(OR(H29="",E29=""),"",E29/H29-1)</f>
        <v/>
      </c>
    </row>
    <row r="30" customFormat="false" ht="15" hidden="false" customHeight="false" outlineLevel="0" collapsed="false">
      <c r="A30" s="12"/>
      <c r="B30" s="13"/>
      <c r="C30" s="14"/>
      <c r="D30" s="14"/>
      <c r="E30" s="15"/>
      <c r="F30" s="16" t="str">
        <f aca="false">IF(OR(C30="",D30=""),"",D30-C30)</f>
        <v/>
      </c>
      <c r="G30" s="17" t="str">
        <f aca="false">IF(OR(F30="",F30=0),"",E30/F30)</f>
        <v/>
      </c>
      <c r="H30" s="18" t="str">
        <f aca="false">IF(OR(A30="",B30=""),"",IF(SUMIFS($E$5:$E$604,$B$5:$B$604,B30,$A$5:$A$604,"&gt;="&amp;DATE(YEAR(A30)-1,MONTH(A30),1),$A$5:$A$604,"&lt;"&amp;DATE(YEAR(A30)-1,MONTH(A30)+1,1))=0,"",SUMIFS($E$5:$E$604,$B$5:$B$604,B30,$A$5:$A$604,"&gt;="&amp;DATE(YEAR(A30)-1,MONTH(A30),1),$A$5:$A$604,"&lt;"&amp;DATE(YEAR(A30)-1,MONTH(A30)+1,1))))</f>
        <v/>
      </c>
      <c r="I30" s="19" t="str">
        <f aca="false">IF(OR(H30="",E30=""),"",E30/H30-1)</f>
        <v/>
      </c>
    </row>
    <row r="31" customFormat="false" ht="15" hidden="false" customHeight="false" outlineLevel="0" collapsed="false">
      <c r="A31" s="12"/>
      <c r="B31" s="13"/>
      <c r="C31" s="14"/>
      <c r="D31" s="14"/>
      <c r="E31" s="15"/>
      <c r="F31" s="16" t="str">
        <f aca="false">IF(OR(C31="",D31=""),"",D31-C31)</f>
        <v/>
      </c>
      <c r="G31" s="17" t="str">
        <f aca="false">IF(OR(F31="",F31=0),"",E31/F31)</f>
        <v/>
      </c>
      <c r="H31" s="18" t="str">
        <f aca="false">IF(OR(A31="",B31=""),"",IF(SUMIFS($E$5:$E$604,$B$5:$B$604,B31,$A$5:$A$604,"&gt;="&amp;DATE(YEAR(A31)-1,MONTH(A31),1),$A$5:$A$604,"&lt;"&amp;DATE(YEAR(A31)-1,MONTH(A31)+1,1))=0,"",SUMIFS($E$5:$E$604,$B$5:$B$604,B31,$A$5:$A$604,"&gt;="&amp;DATE(YEAR(A31)-1,MONTH(A31),1),$A$5:$A$604,"&lt;"&amp;DATE(YEAR(A31)-1,MONTH(A31)+1,1))))</f>
        <v/>
      </c>
      <c r="I31" s="19" t="str">
        <f aca="false">IF(OR(H31="",E31=""),"",E31/H31-1)</f>
        <v/>
      </c>
    </row>
    <row r="32" customFormat="false" ht="15" hidden="false" customHeight="false" outlineLevel="0" collapsed="false">
      <c r="A32" s="12"/>
      <c r="B32" s="13"/>
      <c r="C32" s="14"/>
      <c r="D32" s="14"/>
      <c r="E32" s="15"/>
      <c r="F32" s="16" t="str">
        <f aca="false">IF(OR(C32="",D32=""),"",D32-C32)</f>
        <v/>
      </c>
      <c r="G32" s="17" t="str">
        <f aca="false">IF(OR(F32="",F32=0),"",E32/F32)</f>
        <v/>
      </c>
      <c r="H32" s="18" t="str">
        <f aca="false">IF(OR(A32="",B32=""),"",IF(SUMIFS($E$5:$E$604,$B$5:$B$604,B32,$A$5:$A$604,"&gt;="&amp;DATE(YEAR(A32)-1,MONTH(A32),1),$A$5:$A$604,"&lt;"&amp;DATE(YEAR(A32)-1,MONTH(A32)+1,1))=0,"",SUMIFS($E$5:$E$604,$B$5:$B$604,B32,$A$5:$A$604,"&gt;="&amp;DATE(YEAR(A32)-1,MONTH(A32),1),$A$5:$A$604,"&lt;"&amp;DATE(YEAR(A32)-1,MONTH(A32)+1,1))))</f>
        <v/>
      </c>
      <c r="I32" s="19" t="str">
        <f aca="false">IF(OR(H32="",E32=""),"",E32/H32-1)</f>
        <v/>
      </c>
    </row>
    <row r="33" customFormat="false" ht="15" hidden="false" customHeight="false" outlineLevel="0" collapsed="false">
      <c r="A33" s="12"/>
      <c r="B33" s="13"/>
      <c r="C33" s="14"/>
      <c r="D33" s="14"/>
      <c r="E33" s="15"/>
      <c r="F33" s="16" t="str">
        <f aca="false">IF(OR(C33="",D33=""),"",D33-C33)</f>
        <v/>
      </c>
      <c r="G33" s="17" t="str">
        <f aca="false">IF(OR(F33="",F33=0),"",E33/F33)</f>
        <v/>
      </c>
      <c r="H33" s="18" t="str">
        <f aca="false">IF(OR(A33="",B33=""),"",IF(SUMIFS($E$5:$E$604,$B$5:$B$604,B33,$A$5:$A$604,"&gt;="&amp;DATE(YEAR(A33)-1,MONTH(A33),1),$A$5:$A$604,"&lt;"&amp;DATE(YEAR(A33)-1,MONTH(A33)+1,1))=0,"",SUMIFS($E$5:$E$604,$B$5:$B$604,B33,$A$5:$A$604,"&gt;="&amp;DATE(YEAR(A33)-1,MONTH(A33),1),$A$5:$A$604,"&lt;"&amp;DATE(YEAR(A33)-1,MONTH(A33)+1,1))))</f>
        <v/>
      </c>
      <c r="I33" s="19" t="str">
        <f aca="false">IF(OR(H33="",E33=""),"",E33/H33-1)</f>
        <v/>
      </c>
    </row>
    <row r="34" customFormat="false" ht="15" hidden="false" customHeight="false" outlineLevel="0" collapsed="false">
      <c r="A34" s="12"/>
      <c r="B34" s="13"/>
      <c r="C34" s="14"/>
      <c r="D34" s="14"/>
      <c r="E34" s="15"/>
      <c r="F34" s="16" t="str">
        <f aca="false">IF(OR(C34="",D34=""),"",D34-C34)</f>
        <v/>
      </c>
      <c r="G34" s="17" t="str">
        <f aca="false">IF(OR(F34="",F34=0),"",E34/F34)</f>
        <v/>
      </c>
      <c r="H34" s="18" t="str">
        <f aca="false">IF(OR(A34="",B34=""),"",IF(SUMIFS($E$5:$E$604,$B$5:$B$604,B34,$A$5:$A$604,"&gt;="&amp;DATE(YEAR(A34)-1,MONTH(A34),1),$A$5:$A$604,"&lt;"&amp;DATE(YEAR(A34)-1,MONTH(A34)+1,1))=0,"",SUMIFS($E$5:$E$604,$B$5:$B$604,B34,$A$5:$A$604,"&gt;="&amp;DATE(YEAR(A34)-1,MONTH(A34),1),$A$5:$A$604,"&lt;"&amp;DATE(YEAR(A34)-1,MONTH(A34)+1,1))))</f>
        <v/>
      </c>
      <c r="I34" s="19" t="str">
        <f aca="false">IF(OR(H34="",E34=""),"",E34/H34-1)</f>
        <v/>
      </c>
    </row>
    <row r="35" customFormat="false" ht="15" hidden="false" customHeight="false" outlineLevel="0" collapsed="false">
      <c r="A35" s="12"/>
      <c r="B35" s="13"/>
      <c r="C35" s="14"/>
      <c r="D35" s="14"/>
      <c r="E35" s="15"/>
      <c r="F35" s="16" t="str">
        <f aca="false">IF(OR(C35="",D35=""),"",D35-C35)</f>
        <v/>
      </c>
      <c r="G35" s="17" t="str">
        <f aca="false">IF(OR(F35="",F35=0),"",E35/F35)</f>
        <v/>
      </c>
      <c r="H35" s="18" t="str">
        <f aca="false">IF(OR(A35="",B35=""),"",IF(SUMIFS($E$5:$E$604,$B$5:$B$604,B35,$A$5:$A$604,"&gt;="&amp;DATE(YEAR(A35)-1,MONTH(A35),1),$A$5:$A$604,"&lt;"&amp;DATE(YEAR(A35)-1,MONTH(A35)+1,1))=0,"",SUMIFS($E$5:$E$604,$B$5:$B$604,B35,$A$5:$A$604,"&gt;="&amp;DATE(YEAR(A35)-1,MONTH(A35),1),$A$5:$A$604,"&lt;"&amp;DATE(YEAR(A35)-1,MONTH(A35)+1,1))))</f>
        <v/>
      </c>
      <c r="I35" s="19" t="str">
        <f aca="false">IF(OR(H35="",E35=""),"",E35/H35-1)</f>
        <v/>
      </c>
    </row>
    <row r="36" customFormat="false" ht="15" hidden="false" customHeight="false" outlineLevel="0" collapsed="false">
      <c r="A36" s="12"/>
      <c r="B36" s="13"/>
      <c r="C36" s="14"/>
      <c r="D36" s="14"/>
      <c r="E36" s="15"/>
      <c r="F36" s="16" t="str">
        <f aca="false">IF(OR(C36="",D36=""),"",D36-C36)</f>
        <v/>
      </c>
      <c r="G36" s="17" t="str">
        <f aca="false">IF(OR(F36="",F36=0),"",E36/F36)</f>
        <v/>
      </c>
      <c r="H36" s="18" t="str">
        <f aca="false">IF(OR(A36="",B36=""),"",IF(SUMIFS($E$5:$E$604,$B$5:$B$604,B36,$A$5:$A$604,"&gt;="&amp;DATE(YEAR(A36)-1,MONTH(A36),1),$A$5:$A$604,"&lt;"&amp;DATE(YEAR(A36)-1,MONTH(A36)+1,1))=0,"",SUMIFS($E$5:$E$604,$B$5:$B$604,B36,$A$5:$A$604,"&gt;="&amp;DATE(YEAR(A36)-1,MONTH(A36),1),$A$5:$A$604,"&lt;"&amp;DATE(YEAR(A36)-1,MONTH(A36)+1,1))))</f>
        <v/>
      </c>
      <c r="I36" s="19" t="str">
        <f aca="false">IF(OR(H36="",E36=""),"",E36/H36-1)</f>
        <v/>
      </c>
    </row>
    <row r="37" customFormat="false" ht="15" hidden="false" customHeight="false" outlineLevel="0" collapsed="false">
      <c r="A37" s="12"/>
      <c r="B37" s="13"/>
      <c r="C37" s="14"/>
      <c r="D37" s="14"/>
      <c r="E37" s="15"/>
      <c r="F37" s="16" t="str">
        <f aca="false">IF(OR(C37="",D37=""),"",D37-C37)</f>
        <v/>
      </c>
      <c r="G37" s="17" t="str">
        <f aca="false">IF(OR(F37="",F37=0),"",E37/F37)</f>
        <v/>
      </c>
      <c r="H37" s="18" t="str">
        <f aca="false">IF(OR(A37="",B37=""),"",IF(SUMIFS($E$5:$E$604,$B$5:$B$604,B37,$A$5:$A$604,"&gt;="&amp;DATE(YEAR(A37)-1,MONTH(A37),1),$A$5:$A$604,"&lt;"&amp;DATE(YEAR(A37)-1,MONTH(A37)+1,1))=0,"",SUMIFS($E$5:$E$604,$B$5:$B$604,B37,$A$5:$A$604,"&gt;="&amp;DATE(YEAR(A37)-1,MONTH(A37),1),$A$5:$A$604,"&lt;"&amp;DATE(YEAR(A37)-1,MONTH(A37)+1,1))))</f>
        <v/>
      </c>
      <c r="I37" s="19" t="str">
        <f aca="false">IF(OR(H37="",E37=""),"",E37/H37-1)</f>
        <v/>
      </c>
    </row>
    <row r="38" customFormat="false" ht="15" hidden="false" customHeight="false" outlineLevel="0" collapsed="false">
      <c r="A38" s="12"/>
      <c r="B38" s="13"/>
      <c r="C38" s="14"/>
      <c r="D38" s="14"/>
      <c r="E38" s="15"/>
      <c r="F38" s="16" t="str">
        <f aca="false">IF(OR(C38="",D38=""),"",D38-C38)</f>
        <v/>
      </c>
      <c r="G38" s="17" t="str">
        <f aca="false">IF(OR(F38="",F38=0),"",E38/F38)</f>
        <v/>
      </c>
      <c r="H38" s="18" t="str">
        <f aca="false">IF(OR(A38="",B38=""),"",IF(SUMIFS($E$5:$E$604,$B$5:$B$604,B38,$A$5:$A$604,"&gt;="&amp;DATE(YEAR(A38)-1,MONTH(A38),1),$A$5:$A$604,"&lt;"&amp;DATE(YEAR(A38)-1,MONTH(A38)+1,1))=0,"",SUMIFS($E$5:$E$604,$B$5:$B$604,B38,$A$5:$A$604,"&gt;="&amp;DATE(YEAR(A38)-1,MONTH(A38),1),$A$5:$A$604,"&lt;"&amp;DATE(YEAR(A38)-1,MONTH(A38)+1,1))))</f>
        <v/>
      </c>
      <c r="I38" s="19" t="str">
        <f aca="false">IF(OR(H38="",E38=""),"",E38/H38-1)</f>
        <v/>
      </c>
    </row>
    <row r="39" customFormat="false" ht="15" hidden="false" customHeight="false" outlineLevel="0" collapsed="false">
      <c r="A39" s="12"/>
      <c r="B39" s="13"/>
      <c r="C39" s="14"/>
      <c r="D39" s="14"/>
      <c r="E39" s="15"/>
      <c r="F39" s="16" t="str">
        <f aca="false">IF(OR(C39="",D39=""),"",D39-C39)</f>
        <v/>
      </c>
      <c r="G39" s="17" t="str">
        <f aca="false">IF(OR(F39="",F39=0),"",E39/F39)</f>
        <v/>
      </c>
      <c r="H39" s="18" t="str">
        <f aca="false">IF(OR(A39="",B39=""),"",IF(SUMIFS($E$5:$E$604,$B$5:$B$604,B39,$A$5:$A$604,"&gt;="&amp;DATE(YEAR(A39)-1,MONTH(A39),1),$A$5:$A$604,"&lt;"&amp;DATE(YEAR(A39)-1,MONTH(A39)+1,1))=0,"",SUMIFS($E$5:$E$604,$B$5:$B$604,B39,$A$5:$A$604,"&gt;="&amp;DATE(YEAR(A39)-1,MONTH(A39),1),$A$5:$A$604,"&lt;"&amp;DATE(YEAR(A39)-1,MONTH(A39)+1,1))))</f>
        <v/>
      </c>
      <c r="I39" s="19" t="str">
        <f aca="false">IF(OR(H39="",E39=""),"",E39/H39-1)</f>
        <v/>
      </c>
    </row>
    <row r="40" customFormat="false" ht="15" hidden="false" customHeight="false" outlineLevel="0" collapsed="false">
      <c r="A40" s="12"/>
      <c r="B40" s="13"/>
      <c r="C40" s="14"/>
      <c r="D40" s="14"/>
      <c r="E40" s="15"/>
      <c r="F40" s="16" t="str">
        <f aca="false">IF(OR(C40="",D40=""),"",D40-C40)</f>
        <v/>
      </c>
      <c r="G40" s="17" t="str">
        <f aca="false">IF(OR(F40="",F40=0),"",E40/F40)</f>
        <v/>
      </c>
      <c r="H40" s="18" t="str">
        <f aca="false">IF(OR(A40="",B40=""),"",IF(SUMIFS($E$5:$E$604,$B$5:$B$604,B40,$A$5:$A$604,"&gt;="&amp;DATE(YEAR(A40)-1,MONTH(A40),1),$A$5:$A$604,"&lt;"&amp;DATE(YEAR(A40)-1,MONTH(A40)+1,1))=0,"",SUMIFS($E$5:$E$604,$B$5:$B$604,B40,$A$5:$A$604,"&gt;="&amp;DATE(YEAR(A40)-1,MONTH(A40),1),$A$5:$A$604,"&lt;"&amp;DATE(YEAR(A40)-1,MONTH(A40)+1,1))))</f>
        <v/>
      </c>
      <c r="I40" s="19" t="str">
        <f aca="false">IF(OR(H40="",E40=""),"",E40/H40-1)</f>
        <v/>
      </c>
    </row>
    <row r="41" customFormat="false" ht="15" hidden="false" customHeight="false" outlineLevel="0" collapsed="false">
      <c r="A41" s="12"/>
      <c r="B41" s="13"/>
      <c r="C41" s="14"/>
      <c r="D41" s="14"/>
      <c r="E41" s="15"/>
      <c r="F41" s="16" t="str">
        <f aca="false">IF(OR(C41="",D41=""),"",D41-C41)</f>
        <v/>
      </c>
      <c r="G41" s="17" t="str">
        <f aca="false">IF(OR(F41="",F41=0),"",E41/F41)</f>
        <v/>
      </c>
      <c r="H41" s="18" t="str">
        <f aca="false">IF(OR(A41="",B41=""),"",IF(SUMIFS($E$5:$E$604,$B$5:$B$604,B41,$A$5:$A$604,"&gt;="&amp;DATE(YEAR(A41)-1,MONTH(A41),1),$A$5:$A$604,"&lt;"&amp;DATE(YEAR(A41)-1,MONTH(A41)+1,1))=0,"",SUMIFS($E$5:$E$604,$B$5:$B$604,B41,$A$5:$A$604,"&gt;="&amp;DATE(YEAR(A41)-1,MONTH(A41),1),$A$5:$A$604,"&lt;"&amp;DATE(YEAR(A41)-1,MONTH(A41)+1,1))))</f>
        <v/>
      </c>
      <c r="I41" s="19" t="str">
        <f aca="false">IF(OR(H41="",E41=""),"",E41/H41-1)</f>
        <v/>
      </c>
    </row>
    <row r="42" customFormat="false" ht="15" hidden="false" customHeight="false" outlineLevel="0" collapsed="false">
      <c r="A42" s="12"/>
      <c r="B42" s="13"/>
      <c r="C42" s="14"/>
      <c r="D42" s="14"/>
      <c r="E42" s="15"/>
      <c r="F42" s="16" t="str">
        <f aca="false">IF(OR(C42="",D42=""),"",D42-C42)</f>
        <v/>
      </c>
      <c r="G42" s="17" t="str">
        <f aca="false">IF(OR(F42="",F42=0),"",E42/F42)</f>
        <v/>
      </c>
      <c r="H42" s="18" t="str">
        <f aca="false">IF(OR(A42="",B42=""),"",IF(SUMIFS($E$5:$E$604,$B$5:$B$604,B42,$A$5:$A$604,"&gt;="&amp;DATE(YEAR(A42)-1,MONTH(A42),1),$A$5:$A$604,"&lt;"&amp;DATE(YEAR(A42)-1,MONTH(A42)+1,1))=0,"",SUMIFS($E$5:$E$604,$B$5:$B$604,B42,$A$5:$A$604,"&gt;="&amp;DATE(YEAR(A42)-1,MONTH(A42),1),$A$5:$A$604,"&lt;"&amp;DATE(YEAR(A42)-1,MONTH(A42)+1,1))))</f>
        <v/>
      </c>
      <c r="I42" s="19" t="str">
        <f aca="false">IF(OR(H42="",E42=""),"",E42/H42-1)</f>
        <v/>
      </c>
    </row>
    <row r="43" customFormat="false" ht="15" hidden="false" customHeight="false" outlineLevel="0" collapsed="false">
      <c r="A43" s="12"/>
      <c r="B43" s="13"/>
      <c r="C43" s="14"/>
      <c r="D43" s="14"/>
      <c r="E43" s="15"/>
      <c r="F43" s="16" t="str">
        <f aca="false">IF(OR(C43="",D43=""),"",D43-C43)</f>
        <v/>
      </c>
      <c r="G43" s="17" t="str">
        <f aca="false">IF(OR(F43="",F43=0),"",E43/F43)</f>
        <v/>
      </c>
      <c r="H43" s="18" t="str">
        <f aca="false">IF(OR(A43="",B43=""),"",IF(SUMIFS($E$5:$E$604,$B$5:$B$604,B43,$A$5:$A$604,"&gt;="&amp;DATE(YEAR(A43)-1,MONTH(A43),1),$A$5:$A$604,"&lt;"&amp;DATE(YEAR(A43)-1,MONTH(A43)+1,1))=0,"",SUMIFS($E$5:$E$604,$B$5:$B$604,B43,$A$5:$A$604,"&gt;="&amp;DATE(YEAR(A43)-1,MONTH(A43),1),$A$5:$A$604,"&lt;"&amp;DATE(YEAR(A43)-1,MONTH(A43)+1,1))))</f>
        <v/>
      </c>
      <c r="I43" s="19" t="str">
        <f aca="false">IF(OR(H43="",E43=""),"",E43/H43-1)</f>
        <v/>
      </c>
    </row>
    <row r="44" customFormat="false" ht="15" hidden="false" customHeight="false" outlineLevel="0" collapsed="false">
      <c r="A44" s="12"/>
      <c r="B44" s="13"/>
      <c r="C44" s="14"/>
      <c r="D44" s="14"/>
      <c r="E44" s="15"/>
      <c r="F44" s="16" t="str">
        <f aca="false">IF(OR(C44="",D44=""),"",D44-C44)</f>
        <v/>
      </c>
      <c r="G44" s="17" t="str">
        <f aca="false">IF(OR(F44="",F44=0),"",E44/F44)</f>
        <v/>
      </c>
      <c r="H44" s="18" t="str">
        <f aca="false">IF(OR(A44="",B44=""),"",IF(SUMIFS($E$5:$E$604,$B$5:$B$604,B44,$A$5:$A$604,"&gt;="&amp;DATE(YEAR(A44)-1,MONTH(A44),1),$A$5:$A$604,"&lt;"&amp;DATE(YEAR(A44)-1,MONTH(A44)+1,1))=0,"",SUMIFS($E$5:$E$604,$B$5:$B$604,B44,$A$5:$A$604,"&gt;="&amp;DATE(YEAR(A44)-1,MONTH(A44),1),$A$5:$A$604,"&lt;"&amp;DATE(YEAR(A44)-1,MONTH(A44)+1,1))))</f>
        <v/>
      </c>
      <c r="I44" s="19" t="str">
        <f aca="false">IF(OR(H44="",E44=""),"",E44/H44-1)</f>
        <v/>
      </c>
    </row>
    <row r="45" customFormat="false" ht="15" hidden="false" customHeight="false" outlineLevel="0" collapsed="false">
      <c r="A45" s="12"/>
      <c r="B45" s="13"/>
      <c r="C45" s="14"/>
      <c r="D45" s="14"/>
      <c r="E45" s="15"/>
      <c r="F45" s="16" t="str">
        <f aca="false">IF(OR(C45="",D45=""),"",D45-C45)</f>
        <v/>
      </c>
      <c r="G45" s="17" t="str">
        <f aca="false">IF(OR(F45="",F45=0),"",E45/F45)</f>
        <v/>
      </c>
      <c r="H45" s="18" t="str">
        <f aca="false">IF(OR(A45="",B45=""),"",IF(SUMIFS($E$5:$E$604,$B$5:$B$604,B45,$A$5:$A$604,"&gt;="&amp;DATE(YEAR(A45)-1,MONTH(A45),1),$A$5:$A$604,"&lt;"&amp;DATE(YEAR(A45)-1,MONTH(A45)+1,1))=0,"",SUMIFS($E$5:$E$604,$B$5:$B$604,B45,$A$5:$A$604,"&gt;="&amp;DATE(YEAR(A45)-1,MONTH(A45),1),$A$5:$A$604,"&lt;"&amp;DATE(YEAR(A45)-1,MONTH(A45)+1,1))))</f>
        <v/>
      </c>
      <c r="I45" s="19" t="str">
        <f aca="false">IF(OR(H45="",E45=""),"",E45/H45-1)</f>
        <v/>
      </c>
    </row>
    <row r="46" customFormat="false" ht="15" hidden="false" customHeight="false" outlineLevel="0" collapsed="false">
      <c r="A46" s="12"/>
      <c r="B46" s="13"/>
      <c r="C46" s="14"/>
      <c r="D46" s="14"/>
      <c r="E46" s="15"/>
      <c r="F46" s="16" t="str">
        <f aca="false">IF(OR(C46="",D46=""),"",D46-C46)</f>
        <v/>
      </c>
      <c r="G46" s="17" t="str">
        <f aca="false">IF(OR(F46="",F46=0),"",E46/F46)</f>
        <v/>
      </c>
      <c r="H46" s="18" t="str">
        <f aca="false">IF(OR(A46="",B46=""),"",IF(SUMIFS($E$5:$E$604,$B$5:$B$604,B46,$A$5:$A$604,"&gt;="&amp;DATE(YEAR(A46)-1,MONTH(A46),1),$A$5:$A$604,"&lt;"&amp;DATE(YEAR(A46)-1,MONTH(A46)+1,1))=0,"",SUMIFS($E$5:$E$604,$B$5:$B$604,B46,$A$5:$A$604,"&gt;="&amp;DATE(YEAR(A46)-1,MONTH(A46),1),$A$5:$A$604,"&lt;"&amp;DATE(YEAR(A46)-1,MONTH(A46)+1,1))))</f>
        <v/>
      </c>
      <c r="I46" s="19" t="str">
        <f aca="false">IF(OR(H46="",E46=""),"",E46/H46-1)</f>
        <v/>
      </c>
    </row>
    <row r="47" customFormat="false" ht="15" hidden="false" customHeight="false" outlineLevel="0" collapsed="false">
      <c r="A47" s="12"/>
      <c r="B47" s="13"/>
      <c r="C47" s="14"/>
      <c r="D47" s="14"/>
      <c r="E47" s="15"/>
      <c r="F47" s="16" t="str">
        <f aca="false">IF(OR(C47="",D47=""),"",D47-C47)</f>
        <v/>
      </c>
      <c r="G47" s="17" t="str">
        <f aca="false">IF(OR(F47="",F47=0),"",E47/F47)</f>
        <v/>
      </c>
      <c r="H47" s="18" t="str">
        <f aca="false">IF(OR(A47="",B47=""),"",IF(SUMIFS($E$5:$E$604,$B$5:$B$604,B47,$A$5:$A$604,"&gt;="&amp;DATE(YEAR(A47)-1,MONTH(A47),1),$A$5:$A$604,"&lt;"&amp;DATE(YEAR(A47)-1,MONTH(A47)+1,1))=0,"",SUMIFS($E$5:$E$604,$B$5:$B$604,B47,$A$5:$A$604,"&gt;="&amp;DATE(YEAR(A47)-1,MONTH(A47),1),$A$5:$A$604,"&lt;"&amp;DATE(YEAR(A47)-1,MONTH(A47)+1,1))))</f>
        <v/>
      </c>
      <c r="I47" s="19" t="str">
        <f aca="false">IF(OR(H47="",E47=""),"",E47/H47-1)</f>
        <v/>
      </c>
    </row>
    <row r="48" customFormat="false" ht="15" hidden="false" customHeight="false" outlineLevel="0" collapsed="false">
      <c r="A48" s="12"/>
      <c r="B48" s="13"/>
      <c r="C48" s="14"/>
      <c r="D48" s="14"/>
      <c r="E48" s="15"/>
      <c r="F48" s="16" t="str">
        <f aca="false">IF(OR(C48="",D48=""),"",D48-C48)</f>
        <v/>
      </c>
      <c r="G48" s="17" t="str">
        <f aca="false">IF(OR(F48="",F48=0),"",E48/F48)</f>
        <v/>
      </c>
      <c r="H48" s="18" t="str">
        <f aca="false">IF(OR(A48="",B48=""),"",IF(SUMIFS($E$5:$E$604,$B$5:$B$604,B48,$A$5:$A$604,"&gt;="&amp;DATE(YEAR(A48)-1,MONTH(A48),1),$A$5:$A$604,"&lt;"&amp;DATE(YEAR(A48)-1,MONTH(A48)+1,1))=0,"",SUMIFS($E$5:$E$604,$B$5:$B$604,B48,$A$5:$A$604,"&gt;="&amp;DATE(YEAR(A48)-1,MONTH(A48),1),$A$5:$A$604,"&lt;"&amp;DATE(YEAR(A48)-1,MONTH(A48)+1,1))))</f>
        <v/>
      </c>
      <c r="I48" s="19" t="str">
        <f aca="false">IF(OR(H48="",E48=""),"",E48/H48-1)</f>
        <v/>
      </c>
    </row>
    <row r="49" customFormat="false" ht="15" hidden="false" customHeight="false" outlineLevel="0" collapsed="false">
      <c r="A49" s="12"/>
      <c r="B49" s="13"/>
      <c r="C49" s="14"/>
      <c r="D49" s="14"/>
      <c r="E49" s="15"/>
      <c r="F49" s="16" t="str">
        <f aca="false">IF(OR(C49="",D49=""),"",D49-C49)</f>
        <v/>
      </c>
      <c r="G49" s="17" t="str">
        <f aca="false">IF(OR(F49="",F49=0),"",E49/F49)</f>
        <v/>
      </c>
      <c r="H49" s="18" t="str">
        <f aca="false">IF(OR(A49="",B49=""),"",IF(SUMIFS($E$5:$E$604,$B$5:$B$604,B49,$A$5:$A$604,"&gt;="&amp;DATE(YEAR(A49)-1,MONTH(A49),1),$A$5:$A$604,"&lt;"&amp;DATE(YEAR(A49)-1,MONTH(A49)+1,1))=0,"",SUMIFS($E$5:$E$604,$B$5:$B$604,B49,$A$5:$A$604,"&gt;="&amp;DATE(YEAR(A49)-1,MONTH(A49),1),$A$5:$A$604,"&lt;"&amp;DATE(YEAR(A49)-1,MONTH(A49)+1,1))))</f>
        <v/>
      </c>
      <c r="I49" s="19" t="str">
        <f aca="false">IF(OR(H49="",E49=""),"",E49/H49-1)</f>
        <v/>
      </c>
    </row>
    <row r="50" customFormat="false" ht="15" hidden="false" customHeight="false" outlineLevel="0" collapsed="false">
      <c r="A50" s="12"/>
      <c r="B50" s="13"/>
      <c r="C50" s="14"/>
      <c r="D50" s="14"/>
      <c r="E50" s="15"/>
      <c r="F50" s="16" t="str">
        <f aca="false">IF(OR(C50="",D50=""),"",D50-C50)</f>
        <v/>
      </c>
      <c r="G50" s="17" t="str">
        <f aca="false">IF(OR(F50="",F50=0),"",E50/F50)</f>
        <v/>
      </c>
      <c r="H50" s="18" t="str">
        <f aca="false">IF(OR(A50="",B50=""),"",IF(SUMIFS($E$5:$E$604,$B$5:$B$604,B50,$A$5:$A$604,"&gt;="&amp;DATE(YEAR(A50)-1,MONTH(A50),1),$A$5:$A$604,"&lt;"&amp;DATE(YEAR(A50)-1,MONTH(A50)+1,1))=0,"",SUMIFS($E$5:$E$604,$B$5:$B$604,B50,$A$5:$A$604,"&gt;="&amp;DATE(YEAR(A50)-1,MONTH(A50),1),$A$5:$A$604,"&lt;"&amp;DATE(YEAR(A50)-1,MONTH(A50)+1,1))))</f>
        <v/>
      </c>
      <c r="I50" s="19" t="str">
        <f aca="false">IF(OR(H50="",E50=""),"",E50/H50-1)</f>
        <v/>
      </c>
    </row>
    <row r="51" customFormat="false" ht="15" hidden="false" customHeight="false" outlineLevel="0" collapsed="false">
      <c r="A51" s="12"/>
      <c r="B51" s="13"/>
      <c r="C51" s="14"/>
      <c r="D51" s="14"/>
      <c r="E51" s="15"/>
      <c r="F51" s="16" t="str">
        <f aca="false">IF(OR(C51="",D51=""),"",D51-C51)</f>
        <v/>
      </c>
      <c r="G51" s="17" t="str">
        <f aca="false">IF(OR(F51="",F51=0),"",E51/F51)</f>
        <v/>
      </c>
      <c r="H51" s="18" t="str">
        <f aca="false">IF(OR(A51="",B51=""),"",IF(SUMIFS($E$5:$E$604,$B$5:$B$604,B51,$A$5:$A$604,"&gt;="&amp;DATE(YEAR(A51)-1,MONTH(A51),1),$A$5:$A$604,"&lt;"&amp;DATE(YEAR(A51)-1,MONTH(A51)+1,1))=0,"",SUMIFS($E$5:$E$604,$B$5:$B$604,B51,$A$5:$A$604,"&gt;="&amp;DATE(YEAR(A51)-1,MONTH(A51),1),$A$5:$A$604,"&lt;"&amp;DATE(YEAR(A51)-1,MONTH(A51)+1,1))))</f>
        <v/>
      </c>
      <c r="I51" s="19" t="str">
        <f aca="false">IF(OR(H51="",E51=""),"",E51/H51-1)</f>
        <v/>
      </c>
    </row>
    <row r="52" customFormat="false" ht="15" hidden="false" customHeight="false" outlineLevel="0" collapsed="false">
      <c r="A52" s="12"/>
      <c r="B52" s="13"/>
      <c r="C52" s="14"/>
      <c r="D52" s="14"/>
      <c r="E52" s="15"/>
      <c r="F52" s="16" t="str">
        <f aca="false">IF(OR(C52="",D52=""),"",D52-C52)</f>
        <v/>
      </c>
      <c r="G52" s="17" t="str">
        <f aca="false">IF(OR(F52="",F52=0),"",E52/F52)</f>
        <v/>
      </c>
      <c r="H52" s="18" t="str">
        <f aca="false">IF(OR(A52="",B52=""),"",IF(SUMIFS($E$5:$E$604,$B$5:$B$604,B52,$A$5:$A$604,"&gt;="&amp;DATE(YEAR(A52)-1,MONTH(A52),1),$A$5:$A$604,"&lt;"&amp;DATE(YEAR(A52)-1,MONTH(A52)+1,1))=0,"",SUMIFS($E$5:$E$604,$B$5:$B$604,B52,$A$5:$A$604,"&gt;="&amp;DATE(YEAR(A52)-1,MONTH(A52),1),$A$5:$A$604,"&lt;"&amp;DATE(YEAR(A52)-1,MONTH(A52)+1,1))))</f>
        <v/>
      </c>
      <c r="I52" s="19" t="str">
        <f aca="false">IF(OR(H52="",E52=""),"",E52/H52-1)</f>
        <v/>
      </c>
    </row>
    <row r="53" customFormat="false" ht="15" hidden="false" customHeight="false" outlineLevel="0" collapsed="false">
      <c r="A53" s="12"/>
      <c r="B53" s="13"/>
      <c r="C53" s="14"/>
      <c r="D53" s="14"/>
      <c r="E53" s="15"/>
      <c r="F53" s="16" t="str">
        <f aca="false">IF(OR(C53="",D53=""),"",D53-C53)</f>
        <v/>
      </c>
      <c r="G53" s="17" t="str">
        <f aca="false">IF(OR(F53="",F53=0),"",E53/F53)</f>
        <v/>
      </c>
      <c r="H53" s="18" t="str">
        <f aca="false">IF(OR(A53="",B53=""),"",IF(SUMIFS($E$5:$E$604,$B$5:$B$604,B53,$A$5:$A$604,"&gt;="&amp;DATE(YEAR(A53)-1,MONTH(A53),1),$A$5:$A$604,"&lt;"&amp;DATE(YEAR(A53)-1,MONTH(A53)+1,1))=0,"",SUMIFS($E$5:$E$604,$B$5:$B$604,B53,$A$5:$A$604,"&gt;="&amp;DATE(YEAR(A53)-1,MONTH(A53),1),$A$5:$A$604,"&lt;"&amp;DATE(YEAR(A53)-1,MONTH(A53)+1,1))))</f>
        <v/>
      </c>
      <c r="I53" s="19" t="str">
        <f aca="false">IF(OR(H53="",E53=""),"",E53/H53-1)</f>
        <v/>
      </c>
    </row>
    <row r="54" customFormat="false" ht="15" hidden="false" customHeight="false" outlineLevel="0" collapsed="false">
      <c r="A54" s="12"/>
      <c r="B54" s="13"/>
      <c r="C54" s="14"/>
      <c r="D54" s="14"/>
      <c r="E54" s="15"/>
      <c r="F54" s="16" t="str">
        <f aca="false">IF(OR(C54="",D54=""),"",D54-C54)</f>
        <v/>
      </c>
      <c r="G54" s="17" t="str">
        <f aca="false">IF(OR(F54="",F54=0),"",E54/F54)</f>
        <v/>
      </c>
      <c r="H54" s="18" t="str">
        <f aca="false">IF(OR(A54="",B54=""),"",IF(SUMIFS($E$5:$E$604,$B$5:$B$604,B54,$A$5:$A$604,"&gt;="&amp;DATE(YEAR(A54)-1,MONTH(A54),1),$A$5:$A$604,"&lt;"&amp;DATE(YEAR(A54)-1,MONTH(A54)+1,1))=0,"",SUMIFS($E$5:$E$604,$B$5:$B$604,B54,$A$5:$A$604,"&gt;="&amp;DATE(YEAR(A54)-1,MONTH(A54),1),$A$5:$A$604,"&lt;"&amp;DATE(YEAR(A54)-1,MONTH(A54)+1,1))))</f>
        <v/>
      </c>
      <c r="I54" s="19" t="str">
        <f aca="false">IF(OR(H54="",E54=""),"",E54/H54-1)</f>
        <v/>
      </c>
    </row>
    <row r="55" customFormat="false" ht="15" hidden="false" customHeight="false" outlineLevel="0" collapsed="false">
      <c r="A55" s="12"/>
      <c r="B55" s="13"/>
      <c r="C55" s="14"/>
      <c r="D55" s="14"/>
      <c r="E55" s="15"/>
      <c r="F55" s="16" t="str">
        <f aca="false">IF(OR(C55="",D55=""),"",D55-C55)</f>
        <v/>
      </c>
      <c r="G55" s="17" t="str">
        <f aca="false">IF(OR(F55="",F55=0),"",E55/F55)</f>
        <v/>
      </c>
      <c r="H55" s="18" t="str">
        <f aca="false">IF(OR(A55="",B55=""),"",IF(SUMIFS($E$5:$E$604,$B$5:$B$604,B55,$A$5:$A$604,"&gt;="&amp;DATE(YEAR(A55)-1,MONTH(A55),1),$A$5:$A$604,"&lt;"&amp;DATE(YEAR(A55)-1,MONTH(A55)+1,1))=0,"",SUMIFS($E$5:$E$604,$B$5:$B$604,B55,$A$5:$A$604,"&gt;="&amp;DATE(YEAR(A55)-1,MONTH(A55),1),$A$5:$A$604,"&lt;"&amp;DATE(YEAR(A55)-1,MONTH(A55)+1,1))))</f>
        <v/>
      </c>
      <c r="I55" s="19" t="str">
        <f aca="false">IF(OR(H55="",E55=""),"",E55/H55-1)</f>
        <v/>
      </c>
    </row>
    <row r="56" customFormat="false" ht="15" hidden="false" customHeight="false" outlineLevel="0" collapsed="false">
      <c r="A56" s="12"/>
      <c r="B56" s="13"/>
      <c r="C56" s="14"/>
      <c r="D56" s="14"/>
      <c r="E56" s="15"/>
      <c r="F56" s="16" t="str">
        <f aca="false">IF(OR(C56="",D56=""),"",D56-C56)</f>
        <v/>
      </c>
      <c r="G56" s="17" t="str">
        <f aca="false">IF(OR(F56="",F56=0),"",E56/F56)</f>
        <v/>
      </c>
      <c r="H56" s="18" t="str">
        <f aca="false">IF(OR(A56="",B56=""),"",IF(SUMIFS($E$5:$E$604,$B$5:$B$604,B56,$A$5:$A$604,"&gt;="&amp;DATE(YEAR(A56)-1,MONTH(A56),1),$A$5:$A$604,"&lt;"&amp;DATE(YEAR(A56)-1,MONTH(A56)+1,1))=0,"",SUMIFS($E$5:$E$604,$B$5:$B$604,B56,$A$5:$A$604,"&gt;="&amp;DATE(YEAR(A56)-1,MONTH(A56),1),$A$5:$A$604,"&lt;"&amp;DATE(YEAR(A56)-1,MONTH(A56)+1,1))))</f>
        <v/>
      </c>
      <c r="I56" s="19" t="str">
        <f aca="false">IF(OR(H56="",E56=""),"",E56/H56-1)</f>
        <v/>
      </c>
    </row>
    <row r="57" customFormat="false" ht="15" hidden="false" customHeight="false" outlineLevel="0" collapsed="false">
      <c r="A57" s="12"/>
      <c r="B57" s="13"/>
      <c r="C57" s="14"/>
      <c r="D57" s="14"/>
      <c r="E57" s="15"/>
      <c r="F57" s="16" t="str">
        <f aca="false">IF(OR(C57="",D57=""),"",D57-C57)</f>
        <v/>
      </c>
      <c r="G57" s="17" t="str">
        <f aca="false">IF(OR(F57="",F57=0),"",E57/F57)</f>
        <v/>
      </c>
      <c r="H57" s="18" t="str">
        <f aca="false">IF(OR(A57="",B57=""),"",IF(SUMIFS($E$5:$E$604,$B$5:$B$604,B57,$A$5:$A$604,"&gt;="&amp;DATE(YEAR(A57)-1,MONTH(A57),1),$A$5:$A$604,"&lt;"&amp;DATE(YEAR(A57)-1,MONTH(A57)+1,1))=0,"",SUMIFS($E$5:$E$604,$B$5:$B$604,B57,$A$5:$A$604,"&gt;="&amp;DATE(YEAR(A57)-1,MONTH(A57),1),$A$5:$A$604,"&lt;"&amp;DATE(YEAR(A57)-1,MONTH(A57)+1,1))))</f>
        <v/>
      </c>
      <c r="I57" s="19" t="str">
        <f aca="false">IF(OR(H57="",E57=""),"",E57/H57-1)</f>
        <v/>
      </c>
    </row>
    <row r="58" customFormat="false" ht="15" hidden="false" customHeight="false" outlineLevel="0" collapsed="false">
      <c r="A58" s="12"/>
      <c r="B58" s="13"/>
      <c r="C58" s="14"/>
      <c r="D58" s="14"/>
      <c r="E58" s="15"/>
      <c r="F58" s="16" t="str">
        <f aca="false">IF(OR(C58="",D58=""),"",D58-C58)</f>
        <v/>
      </c>
      <c r="G58" s="17" t="str">
        <f aca="false">IF(OR(F58="",F58=0),"",E58/F58)</f>
        <v/>
      </c>
      <c r="H58" s="18" t="str">
        <f aca="false">IF(OR(A58="",B58=""),"",IF(SUMIFS($E$5:$E$604,$B$5:$B$604,B58,$A$5:$A$604,"&gt;="&amp;DATE(YEAR(A58)-1,MONTH(A58),1),$A$5:$A$604,"&lt;"&amp;DATE(YEAR(A58)-1,MONTH(A58)+1,1))=0,"",SUMIFS($E$5:$E$604,$B$5:$B$604,B58,$A$5:$A$604,"&gt;="&amp;DATE(YEAR(A58)-1,MONTH(A58),1),$A$5:$A$604,"&lt;"&amp;DATE(YEAR(A58)-1,MONTH(A58)+1,1))))</f>
        <v/>
      </c>
      <c r="I58" s="19" t="str">
        <f aca="false">IF(OR(H58="",E58=""),"",E58/H58-1)</f>
        <v/>
      </c>
    </row>
    <row r="59" customFormat="false" ht="15" hidden="false" customHeight="false" outlineLevel="0" collapsed="false">
      <c r="A59" s="12"/>
      <c r="B59" s="13"/>
      <c r="C59" s="14"/>
      <c r="D59" s="14"/>
      <c r="E59" s="15"/>
      <c r="F59" s="16" t="str">
        <f aca="false">IF(OR(C59="",D59=""),"",D59-C59)</f>
        <v/>
      </c>
      <c r="G59" s="17" t="str">
        <f aca="false">IF(OR(F59="",F59=0),"",E59/F59)</f>
        <v/>
      </c>
      <c r="H59" s="18" t="str">
        <f aca="false">IF(OR(A59="",B59=""),"",IF(SUMIFS($E$5:$E$604,$B$5:$B$604,B59,$A$5:$A$604,"&gt;="&amp;DATE(YEAR(A59)-1,MONTH(A59),1),$A$5:$A$604,"&lt;"&amp;DATE(YEAR(A59)-1,MONTH(A59)+1,1))=0,"",SUMIFS($E$5:$E$604,$B$5:$B$604,B59,$A$5:$A$604,"&gt;="&amp;DATE(YEAR(A59)-1,MONTH(A59),1),$A$5:$A$604,"&lt;"&amp;DATE(YEAR(A59)-1,MONTH(A59)+1,1))))</f>
        <v/>
      </c>
      <c r="I59" s="19" t="str">
        <f aca="false">IF(OR(H59="",E59=""),"",E59/H59-1)</f>
        <v/>
      </c>
    </row>
    <row r="60" customFormat="false" ht="15" hidden="false" customHeight="false" outlineLevel="0" collapsed="false">
      <c r="A60" s="12"/>
      <c r="B60" s="13"/>
      <c r="C60" s="14"/>
      <c r="D60" s="14"/>
      <c r="E60" s="15"/>
      <c r="F60" s="16" t="str">
        <f aca="false">IF(OR(C60="",D60=""),"",D60-C60)</f>
        <v/>
      </c>
      <c r="G60" s="17" t="str">
        <f aca="false">IF(OR(F60="",F60=0),"",E60/F60)</f>
        <v/>
      </c>
      <c r="H60" s="18" t="str">
        <f aca="false">IF(OR(A60="",B60=""),"",IF(SUMIFS($E$5:$E$604,$B$5:$B$604,B60,$A$5:$A$604,"&gt;="&amp;DATE(YEAR(A60)-1,MONTH(A60),1),$A$5:$A$604,"&lt;"&amp;DATE(YEAR(A60)-1,MONTH(A60)+1,1))=0,"",SUMIFS($E$5:$E$604,$B$5:$B$604,B60,$A$5:$A$604,"&gt;="&amp;DATE(YEAR(A60)-1,MONTH(A60),1),$A$5:$A$604,"&lt;"&amp;DATE(YEAR(A60)-1,MONTH(A60)+1,1))))</f>
        <v/>
      </c>
      <c r="I60" s="19" t="str">
        <f aca="false">IF(OR(H60="",E60=""),"",E60/H60-1)</f>
        <v/>
      </c>
    </row>
    <row r="61" customFormat="false" ht="15" hidden="false" customHeight="false" outlineLevel="0" collapsed="false">
      <c r="A61" s="12"/>
      <c r="B61" s="13"/>
      <c r="C61" s="14"/>
      <c r="D61" s="14"/>
      <c r="E61" s="15"/>
      <c r="F61" s="16" t="str">
        <f aca="false">IF(OR(C61="",D61=""),"",D61-C61)</f>
        <v/>
      </c>
      <c r="G61" s="17" t="str">
        <f aca="false">IF(OR(F61="",F61=0),"",E61/F61)</f>
        <v/>
      </c>
      <c r="H61" s="18" t="str">
        <f aca="false">IF(OR(A61="",B61=""),"",IF(SUMIFS($E$5:$E$604,$B$5:$B$604,B61,$A$5:$A$604,"&gt;="&amp;DATE(YEAR(A61)-1,MONTH(A61),1),$A$5:$A$604,"&lt;"&amp;DATE(YEAR(A61)-1,MONTH(A61)+1,1))=0,"",SUMIFS($E$5:$E$604,$B$5:$B$604,B61,$A$5:$A$604,"&gt;="&amp;DATE(YEAR(A61)-1,MONTH(A61),1),$A$5:$A$604,"&lt;"&amp;DATE(YEAR(A61)-1,MONTH(A61)+1,1))))</f>
        <v/>
      </c>
      <c r="I61" s="19" t="str">
        <f aca="false">IF(OR(H61="",E61=""),"",E61/H61-1)</f>
        <v/>
      </c>
    </row>
    <row r="62" customFormat="false" ht="15" hidden="false" customHeight="false" outlineLevel="0" collapsed="false">
      <c r="A62" s="12"/>
      <c r="B62" s="13"/>
      <c r="C62" s="14"/>
      <c r="D62" s="14"/>
      <c r="E62" s="15"/>
      <c r="F62" s="16" t="str">
        <f aca="false">IF(OR(C62="",D62=""),"",D62-C62)</f>
        <v/>
      </c>
      <c r="G62" s="17" t="str">
        <f aca="false">IF(OR(F62="",F62=0),"",E62/F62)</f>
        <v/>
      </c>
      <c r="H62" s="18" t="str">
        <f aca="false">IF(OR(A62="",B62=""),"",IF(SUMIFS($E$5:$E$604,$B$5:$B$604,B62,$A$5:$A$604,"&gt;="&amp;DATE(YEAR(A62)-1,MONTH(A62),1),$A$5:$A$604,"&lt;"&amp;DATE(YEAR(A62)-1,MONTH(A62)+1,1))=0,"",SUMIFS($E$5:$E$604,$B$5:$B$604,B62,$A$5:$A$604,"&gt;="&amp;DATE(YEAR(A62)-1,MONTH(A62),1),$A$5:$A$604,"&lt;"&amp;DATE(YEAR(A62)-1,MONTH(A62)+1,1))))</f>
        <v/>
      </c>
      <c r="I62" s="19" t="str">
        <f aca="false">IF(OR(H62="",E62=""),"",E62/H62-1)</f>
        <v/>
      </c>
    </row>
    <row r="63" customFormat="false" ht="15" hidden="false" customHeight="false" outlineLevel="0" collapsed="false">
      <c r="A63" s="12"/>
      <c r="B63" s="13"/>
      <c r="C63" s="14"/>
      <c r="D63" s="14"/>
      <c r="E63" s="15"/>
      <c r="F63" s="16" t="str">
        <f aca="false">IF(OR(C63="",D63=""),"",D63-C63)</f>
        <v/>
      </c>
      <c r="G63" s="17" t="str">
        <f aca="false">IF(OR(F63="",F63=0),"",E63/F63)</f>
        <v/>
      </c>
      <c r="H63" s="18" t="str">
        <f aca="false">IF(OR(A63="",B63=""),"",IF(SUMIFS($E$5:$E$604,$B$5:$B$604,B63,$A$5:$A$604,"&gt;="&amp;DATE(YEAR(A63)-1,MONTH(A63),1),$A$5:$A$604,"&lt;"&amp;DATE(YEAR(A63)-1,MONTH(A63)+1,1))=0,"",SUMIFS($E$5:$E$604,$B$5:$B$604,B63,$A$5:$A$604,"&gt;="&amp;DATE(YEAR(A63)-1,MONTH(A63),1),$A$5:$A$604,"&lt;"&amp;DATE(YEAR(A63)-1,MONTH(A63)+1,1))))</f>
        <v/>
      </c>
      <c r="I63" s="19" t="str">
        <f aca="false">IF(OR(H63="",E63=""),"",E63/H63-1)</f>
        <v/>
      </c>
    </row>
    <row r="64" customFormat="false" ht="15" hidden="false" customHeight="false" outlineLevel="0" collapsed="false">
      <c r="A64" s="12"/>
      <c r="B64" s="13"/>
      <c r="C64" s="14"/>
      <c r="D64" s="14"/>
      <c r="E64" s="15"/>
      <c r="F64" s="16" t="str">
        <f aca="false">IF(OR(C64="",D64=""),"",D64-C64)</f>
        <v/>
      </c>
      <c r="G64" s="17" t="str">
        <f aca="false">IF(OR(F64="",F64=0),"",E64/F64)</f>
        <v/>
      </c>
      <c r="H64" s="18" t="str">
        <f aca="false">IF(OR(A64="",B64=""),"",IF(SUMIFS($E$5:$E$604,$B$5:$B$604,B64,$A$5:$A$604,"&gt;="&amp;DATE(YEAR(A64)-1,MONTH(A64),1),$A$5:$A$604,"&lt;"&amp;DATE(YEAR(A64)-1,MONTH(A64)+1,1))=0,"",SUMIFS($E$5:$E$604,$B$5:$B$604,B64,$A$5:$A$604,"&gt;="&amp;DATE(YEAR(A64)-1,MONTH(A64),1),$A$5:$A$604,"&lt;"&amp;DATE(YEAR(A64)-1,MONTH(A64)+1,1))))</f>
        <v/>
      </c>
      <c r="I64" s="19" t="str">
        <f aca="false">IF(OR(H64="",E64=""),"",E64/H64-1)</f>
        <v/>
      </c>
    </row>
    <row r="65" customFormat="false" ht="15" hidden="false" customHeight="false" outlineLevel="0" collapsed="false">
      <c r="A65" s="12"/>
      <c r="B65" s="13"/>
      <c r="C65" s="14"/>
      <c r="D65" s="14"/>
      <c r="E65" s="15"/>
      <c r="F65" s="16" t="str">
        <f aca="false">IF(OR(C65="",D65=""),"",D65-C65)</f>
        <v/>
      </c>
      <c r="G65" s="17" t="str">
        <f aca="false">IF(OR(F65="",F65=0),"",E65/F65)</f>
        <v/>
      </c>
      <c r="H65" s="18" t="str">
        <f aca="false">IF(OR(A65="",B65=""),"",IF(SUMIFS($E$5:$E$604,$B$5:$B$604,B65,$A$5:$A$604,"&gt;="&amp;DATE(YEAR(A65)-1,MONTH(A65),1),$A$5:$A$604,"&lt;"&amp;DATE(YEAR(A65)-1,MONTH(A65)+1,1))=0,"",SUMIFS($E$5:$E$604,$B$5:$B$604,B65,$A$5:$A$604,"&gt;="&amp;DATE(YEAR(A65)-1,MONTH(A65),1),$A$5:$A$604,"&lt;"&amp;DATE(YEAR(A65)-1,MONTH(A65)+1,1))))</f>
        <v/>
      </c>
      <c r="I65" s="19" t="str">
        <f aca="false">IF(OR(H65="",E65=""),"",E65/H65-1)</f>
        <v/>
      </c>
    </row>
    <row r="66" customFormat="false" ht="15" hidden="false" customHeight="false" outlineLevel="0" collapsed="false">
      <c r="A66" s="12"/>
      <c r="B66" s="13"/>
      <c r="C66" s="14"/>
      <c r="D66" s="14"/>
      <c r="E66" s="15"/>
      <c r="F66" s="16" t="str">
        <f aca="false">IF(OR(C66="",D66=""),"",D66-C66)</f>
        <v/>
      </c>
      <c r="G66" s="17" t="str">
        <f aca="false">IF(OR(F66="",F66=0),"",E66/F66)</f>
        <v/>
      </c>
      <c r="H66" s="18" t="str">
        <f aca="false">IF(OR(A66="",B66=""),"",IF(SUMIFS($E$5:$E$604,$B$5:$B$604,B66,$A$5:$A$604,"&gt;="&amp;DATE(YEAR(A66)-1,MONTH(A66),1),$A$5:$A$604,"&lt;"&amp;DATE(YEAR(A66)-1,MONTH(A66)+1,1))=0,"",SUMIFS($E$5:$E$604,$B$5:$B$604,B66,$A$5:$A$604,"&gt;="&amp;DATE(YEAR(A66)-1,MONTH(A66),1),$A$5:$A$604,"&lt;"&amp;DATE(YEAR(A66)-1,MONTH(A66)+1,1))))</f>
        <v/>
      </c>
      <c r="I66" s="19" t="str">
        <f aca="false">IF(OR(H66="",E66=""),"",E66/H66-1)</f>
        <v/>
      </c>
    </row>
    <row r="67" customFormat="false" ht="15" hidden="false" customHeight="false" outlineLevel="0" collapsed="false">
      <c r="A67" s="12"/>
      <c r="B67" s="13"/>
      <c r="C67" s="14"/>
      <c r="D67" s="14"/>
      <c r="E67" s="15"/>
      <c r="F67" s="16" t="str">
        <f aca="false">IF(OR(C67="",D67=""),"",D67-C67)</f>
        <v/>
      </c>
      <c r="G67" s="17" t="str">
        <f aca="false">IF(OR(F67="",F67=0),"",E67/F67)</f>
        <v/>
      </c>
      <c r="H67" s="18" t="str">
        <f aca="false">IF(OR(A67="",B67=""),"",IF(SUMIFS($E$5:$E$604,$B$5:$B$604,B67,$A$5:$A$604,"&gt;="&amp;DATE(YEAR(A67)-1,MONTH(A67),1),$A$5:$A$604,"&lt;"&amp;DATE(YEAR(A67)-1,MONTH(A67)+1,1))=0,"",SUMIFS($E$5:$E$604,$B$5:$B$604,B67,$A$5:$A$604,"&gt;="&amp;DATE(YEAR(A67)-1,MONTH(A67),1),$A$5:$A$604,"&lt;"&amp;DATE(YEAR(A67)-1,MONTH(A67)+1,1))))</f>
        <v/>
      </c>
      <c r="I67" s="19" t="str">
        <f aca="false">IF(OR(H67="",E67=""),"",E67/H67-1)</f>
        <v/>
      </c>
    </row>
    <row r="68" customFormat="false" ht="15" hidden="false" customHeight="false" outlineLevel="0" collapsed="false">
      <c r="A68" s="12"/>
      <c r="B68" s="13"/>
      <c r="C68" s="14"/>
      <c r="D68" s="14"/>
      <c r="E68" s="15"/>
      <c r="F68" s="16" t="str">
        <f aca="false">IF(OR(C68="",D68=""),"",D68-C68)</f>
        <v/>
      </c>
      <c r="G68" s="17" t="str">
        <f aca="false">IF(OR(F68="",F68=0),"",E68/F68)</f>
        <v/>
      </c>
      <c r="H68" s="18" t="str">
        <f aca="false">IF(OR(A68="",B68=""),"",IF(SUMIFS($E$5:$E$604,$B$5:$B$604,B68,$A$5:$A$604,"&gt;="&amp;DATE(YEAR(A68)-1,MONTH(A68),1),$A$5:$A$604,"&lt;"&amp;DATE(YEAR(A68)-1,MONTH(A68)+1,1))=0,"",SUMIFS($E$5:$E$604,$B$5:$B$604,B68,$A$5:$A$604,"&gt;="&amp;DATE(YEAR(A68)-1,MONTH(A68),1),$A$5:$A$604,"&lt;"&amp;DATE(YEAR(A68)-1,MONTH(A68)+1,1))))</f>
        <v/>
      </c>
      <c r="I68" s="19" t="str">
        <f aca="false">IF(OR(H68="",E68=""),"",E68/H68-1)</f>
        <v/>
      </c>
    </row>
    <row r="69" customFormat="false" ht="15" hidden="false" customHeight="false" outlineLevel="0" collapsed="false">
      <c r="A69" s="12"/>
      <c r="B69" s="13"/>
      <c r="C69" s="14"/>
      <c r="D69" s="14"/>
      <c r="E69" s="15"/>
      <c r="F69" s="16" t="str">
        <f aca="false">IF(OR(C69="",D69=""),"",D69-C69)</f>
        <v/>
      </c>
      <c r="G69" s="17" t="str">
        <f aca="false">IF(OR(F69="",F69=0),"",E69/F69)</f>
        <v/>
      </c>
      <c r="H69" s="18" t="str">
        <f aca="false">IF(OR(A69="",B69=""),"",IF(SUMIFS($E$5:$E$604,$B$5:$B$604,B69,$A$5:$A$604,"&gt;="&amp;DATE(YEAR(A69)-1,MONTH(A69),1),$A$5:$A$604,"&lt;"&amp;DATE(YEAR(A69)-1,MONTH(A69)+1,1))=0,"",SUMIFS($E$5:$E$604,$B$5:$B$604,B69,$A$5:$A$604,"&gt;="&amp;DATE(YEAR(A69)-1,MONTH(A69),1),$A$5:$A$604,"&lt;"&amp;DATE(YEAR(A69)-1,MONTH(A69)+1,1))))</f>
        <v/>
      </c>
      <c r="I69" s="19" t="str">
        <f aca="false">IF(OR(H69="",E69=""),"",E69/H69-1)</f>
        <v/>
      </c>
    </row>
    <row r="70" customFormat="false" ht="15" hidden="false" customHeight="false" outlineLevel="0" collapsed="false">
      <c r="A70" s="12"/>
      <c r="B70" s="13"/>
      <c r="C70" s="14"/>
      <c r="D70" s="14"/>
      <c r="E70" s="15"/>
      <c r="F70" s="16" t="str">
        <f aca="false">IF(OR(C70="",D70=""),"",D70-C70)</f>
        <v/>
      </c>
      <c r="G70" s="17" t="str">
        <f aca="false">IF(OR(F70="",F70=0),"",E70/F70)</f>
        <v/>
      </c>
      <c r="H70" s="18" t="str">
        <f aca="false">IF(OR(A70="",B70=""),"",IF(SUMIFS($E$5:$E$604,$B$5:$B$604,B70,$A$5:$A$604,"&gt;="&amp;DATE(YEAR(A70)-1,MONTH(A70),1),$A$5:$A$604,"&lt;"&amp;DATE(YEAR(A70)-1,MONTH(A70)+1,1))=0,"",SUMIFS($E$5:$E$604,$B$5:$B$604,B70,$A$5:$A$604,"&gt;="&amp;DATE(YEAR(A70)-1,MONTH(A70),1),$A$5:$A$604,"&lt;"&amp;DATE(YEAR(A70)-1,MONTH(A70)+1,1))))</f>
        <v/>
      </c>
      <c r="I70" s="19" t="str">
        <f aca="false">IF(OR(H70="",E70=""),"",E70/H70-1)</f>
        <v/>
      </c>
    </row>
    <row r="71" customFormat="false" ht="15" hidden="false" customHeight="false" outlineLevel="0" collapsed="false">
      <c r="A71" s="12"/>
      <c r="B71" s="13"/>
      <c r="C71" s="14"/>
      <c r="D71" s="14"/>
      <c r="E71" s="15"/>
      <c r="F71" s="16" t="str">
        <f aca="false">IF(OR(C71="",D71=""),"",D71-C71)</f>
        <v/>
      </c>
      <c r="G71" s="17" t="str">
        <f aca="false">IF(OR(F71="",F71=0),"",E71/F71)</f>
        <v/>
      </c>
      <c r="H71" s="18" t="str">
        <f aca="false">IF(OR(A71="",B71=""),"",IF(SUMIFS($E$5:$E$604,$B$5:$B$604,B71,$A$5:$A$604,"&gt;="&amp;DATE(YEAR(A71)-1,MONTH(A71),1),$A$5:$A$604,"&lt;"&amp;DATE(YEAR(A71)-1,MONTH(A71)+1,1))=0,"",SUMIFS($E$5:$E$604,$B$5:$B$604,B71,$A$5:$A$604,"&gt;="&amp;DATE(YEAR(A71)-1,MONTH(A71),1),$A$5:$A$604,"&lt;"&amp;DATE(YEAR(A71)-1,MONTH(A71)+1,1))))</f>
        <v/>
      </c>
      <c r="I71" s="19" t="str">
        <f aca="false">IF(OR(H71="",E71=""),"",E71/H71-1)</f>
        <v/>
      </c>
    </row>
    <row r="72" customFormat="false" ht="15" hidden="false" customHeight="false" outlineLevel="0" collapsed="false">
      <c r="A72" s="12"/>
      <c r="B72" s="13"/>
      <c r="C72" s="14"/>
      <c r="D72" s="14"/>
      <c r="E72" s="15"/>
      <c r="F72" s="16" t="str">
        <f aca="false">IF(OR(C72="",D72=""),"",D72-C72)</f>
        <v/>
      </c>
      <c r="G72" s="17" t="str">
        <f aca="false">IF(OR(F72="",F72=0),"",E72/F72)</f>
        <v/>
      </c>
      <c r="H72" s="18" t="str">
        <f aca="false">IF(OR(A72="",B72=""),"",IF(SUMIFS($E$5:$E$604,$B$5:$B$604,B72,$A$5:$A$604,"&gt;="&amp;DATE(YEAR(A72)-1,MONTH(A72),1),$A$5:$A$604,"&lt;"&amp;DATE(YEAR(A72)-1,MONTH(A72)+1,1))=0,"",SUMIFS($E$5:$E$604,$B$5:$B$604,B72,$A$5:$A$604,"&gt;="&amp;DATE(YEAR(A72)-1,MONTH(A72),1),$A$5:$A$604,"&lt;"&amp;DATE(YEAR(A72)-1,MONTH(A72)+1,1))))</f>
        <v/>
      </c>
      <c r="I72" s="19" t="str">
        <f aca="false">IF(OR(H72="",E72=""),"",E72/H72-1)</f>
        <v/>
      </c>
    </row>
    <row r="73" customFormat="false" ht="15" hidden="false" customHeight="false" outlineLevel="0" collapsed="false">
      <c r="A73" s="12"/>
      <c r="B73" s="13"/>
      <c r="C73" s="14"/>
      <c r="D73" s="14"/>
      <c r="E73" s="15"/>
      <c r="F73" s="16" t="str">
        <f aca="false">IF(OR(C73="",D73=""),"",D73-C73)</f>
        <v/>
      </c>
      <c r="G73" s="17" t="str">
        <f aca="false">IF(OR(F73="",F73=0),"",E73/F73)</f>
        <v/>
      </c>
      <c r="H73" s="18" t="str">
        <f aca="false">IF(OR(A73="",B73=""),"",IF(SUMIFS($E$5:$E$604,$B$5:$B$604,B73,$A$5:$A$604,"&gt;="&amp;DATE(YEAR(A73)-1,MONTH(A73),1),$A$5:$A$604,"&lt;"&amp;DATE(YEAR(A73)-1,MONTH(A73)+1,1))=0,"",SUMIFS($E$5:$E$604,$B$5:$B$604,B73,$A$5:$A$604,"&gt;="&amp;DATE(YEAR(A73)-1,MONTH(A73),1),$A$5:$A$604,"&lt;"&amp;DATE(YEAR(A73)-1,MONTH(A73)+1,1))))</f>
        <v/>
      </c>
      <c r="I73" s="19" t="str">
        <f aca="false">IF(OR(H73="",E73=""),"",E73/H73-1)</f>
        <v/>
      </c>
    </row>
    <row r="74" customFormat="false" ht="15" hidden="false" customHeight="false" outlineLevel="0" collapsed="false">
      <c r="A74" s="12"/>
      <c r="B74" s="13"/>
      <c r="C74" s="14"/>
      <c r="D74" s="14"/>
      <c r="E74" s="15"/>
      <c r="F74" s="16" t="str">
        <f aca="false">IF(OR(C74="",D74=""),"",D74-C74)</f>
        <v/>
      </c>
      <c r="G74" s="17" t="str">
        <f aca="false">IF(OR(F74="",F74=0),"",E74/F74)</f>
        <v/>
      </c>
      <c r="H74" s="18" t="str">
        <f aca="false">IF(OR(A74="",B74=""),"",IF(SUMIFS($E$5:$E$604,$B$5:$B$604,B74,$A$5:$A$604,"&gt;="&amp;DATE(YEAR(A74)-1,MONTH(A74),1),$A$5:$A$604,"&lt;"&amp;DATE(YEAR(A74)-1,MONTH(A74)+1,1))=0,"",SUMIFS($E$5:$E$604,$B$5:$B$604,B74,$A$5:$A$604,"&gt;="&amp;DATE(YEAR(A74)-1,MONTH(A74),1),$A$5:$A$604,"&lt;"&amp;DATE(YEAR(A74)-1,MONTH(A74)+1,1))))</f>
        <v/>
      </c>
      <c r="I74" s="19" t="str">
        <f aca="false">IF(OR(H74="",E74=""),"",E74/H74-1)</f>
        <v/>
      </c>
    </row>
    <row r="75" customFormat="false" ht="15" hidden="false" customHeight="false" outlineLevel="0" collapsed="false">
      <c r="A75" s="12"/>
      <c r="B75" s="13"/>
      <c r="C75" s="14"/>
      <c r="D75" s="14"/>
      <c r="E75" s="15"/>
      <c r="F75" s="16" t="str">
        <f aca="false">IF(OR(C75="",D75=""),"",D75-C75)</f>
        <v/>
      </c>
      <c r="G75" s="17" t="str">
        <f aca="false">IF(OR(F75="",F75=0),"",E75/F75)</f>
        <v/>
      </c>
      <c r="H75" s="18" t="str">
        <f aca="false">IF(OR(A75="",B75=""),"",IF(SUMIFS($E$5:$E$604,$B$5:$B$604,B75,$A$5:$A$604,"&gt;="&amp;DATE(YEAR(A75)-1,MONTH(A75),1),$A$5:$A$604,"&lt;"&amp;DATE(YEAR(A75)-1,MONTH(A75)+1,1))=0,"",SUMIFS($E$5:$E$604,$B$5:$B$604,B75,$A$5:$A$604,"&gt;="&amp;DATE(YEAR(A75)-1,MONTH(A75),1),$A$5:$A$604,"&lt;"&amp;DATE(YEAR(A75)-1,MONTH(A75)+1,1))))</f>
        <v/>
      </c>
      <c r="I75" s="19" t="str">
        <f aca="false">IF(OR(H75="",E75=""),"",E75/H75-1)</f>
        <v/>
      </c>
    </row>
    <row r="76" customFormat="false" ht="15" hidden="false" customHeight="false" outlineLevel="0" collapsed="false">
      <c r="A76" s="12"/>
      <c r="B76" s="13"/>
      <c r="C76" s="14"/>
      <c r="D76" s="14"/>
      <c r="E76" s="15"/>
      <c r="F76" s="16" t="str">
        <f aca="false">IF(OR(C76="",D76=""),"",D76-C76)</f>
        <v/>
      </c>
      <c r="G76" s="17" t="str">
        <f aca="false">IF(OR(F76="",F76=0),"",E76/F76)</f>
        <v/>
      </c>
      <c r="H76" s="18" t="str">
        <f aca="false">IF(OR(A76="",B76=""),"",IF(SUMIFS($E$5:$E$604,$B$5:$B$604,B76,$A$5:$A$604,"&gt;="&amp;DATE(YEAR(A76)-1,MONTH(A76),1),$A$5:$A$604,"&lt;"&amp;DATE(YEAR(A76)-1,MONTH(A76)+1,1))=0,"",SUMIFS($E$5:$E$604,$B$5:$B$604,B76,$A$5:$A$604,"&gt;="&amp;DATE(YEAR(A76)-1,MONTH(A76),1),$A$5:$A$604,"&lt;"&amp;DATE(YEAR(A76)-1,MONTH(A76)+1,1))))</f>
        <v/>
      </c>
      <c r="I76" s="19" t="str">
        <f aca="false">IF(OR(H76="",E76=""),"",E76/H76-1)</f>
        <v/>
      </c>
    </row>
    <row r="77" customFormat="false" ht="15" hidden="false" customHeight="false" outlineLevel="0" collapsed="false">
      <c r="A77" s="12"/>
      <c r="B77" s="13"/>
      <c r="C77" s="14"/>
      <c r="D77" s="14"/>
      <c r="E77" s="15"/>
      <c r="F77" s="16" t="str">
        <f aca="false">IF(OR(C77="",D77=""),"",D77-C77)</f>
        <v/>
      </c>
      <c r="G77" s="17" t="str">
        <f aca="false">IF(OR(F77="",F77=0),"",E77/F77)</f>
        <v/>
      </c>
      <c r="H77" s="18" t="str">
        <f aca="false">IF(OR(A77="",B77=""),"",IF(SUMIFS($E$5:$E$604,$B$5:$B$604,B77,$A$5:$A$604,"&gt;="&amp;DATE(YEAR(A77)-1,MONTH(A77),1),$A$5:$A$604,"&lt;"&amp;DATE(YEAR(A77)-1,MONTH(A77)+1,1))=0,"",SUMIFS($E$5:$E$604,$B$5:$B$604,B77,$A$5:$A$604,"&gt;="&amp;DATE(YEAR(A77)-1,MONTH(A77),1),$A$5:$A$604,"&lt;"&amp;DATE(YEAR(A77)-1,MONTH(A77)+1,1))))</f>
        <v/>
      </c>
      <c r="I77" s="19" t="str">
        <f aca="false">IF(OR(H77="",E77=""),"",E77/H77-1)</f>
        <v/>
      </c>
    </row>
    <row r="78" customFormat="false" ht="15" hidden="false" customHeight="false" outlineLevel="0" collapsed="false">
      <c r="A78" s="12"/>
      <c r="B78" s="13"/>
      <c r="C78" s="14"/>
      <c r="D78" s="14"/>
      <c r="E78" s="15"/>
      <c r="F78" s="16" t="str">
        <f aca="false">IF(OR(C78="",D78=""),"",D78-C78)</f>
        <v/>
      </c>
      <c r="G78" s="17" t="str">
        <f aca="false">IF(OR(F78="",F78=0),"",E78/F78)</f>
        <v/>
      </c>
      <c r="H78" s="18" t="str">
        <f aca="false">IF(OR(A78="",B78=""),"",IF(SUMIFS($E$5:$E$604,$B$5:$B$604,B78,$A$5:$A$604,"&gt;="&amp;DATE(YEAR(A78)-1,MONTH(A78),1),$A$5:$A$604,"&lt;"&amp;DATE(YEAR(A78)-1,MONTH(A78)+1,1))=0,"",SUMIFS($E$5:$E$604,$B$5:$B$604,B78,$A$5:$A$604,"&gt;="&amp;DATE(YEAR(A78)-1,MONTH(A78),1),$A$5:$A$604,"&lt;"&amp;DATE(YEAR(A78)-1,MONTH(A78)+1,1))))</f>
        <v/>
      </c>
      <c r="I78" s="19" t="str">
        <f aca="false">IF(OR(H78="",E78=""),"",E78/H78-1)</f>
        <v/>
      </c>
    </row>
    <row r="79" customFormat="false" ht="15" hidden="false" customHeight="false" outlineLevel="0" collapsed="false">
      <c r="A79" s="12"/>
      <c r="B79" s="13"/>
      <c r="C79" s="14"/>
      <c r="D79" s="14"/>
      <c r="E79" s="15"/>
      <c r="F79" s="16" t="str">
        <f aca="false">IF(OR(C79="",D79=""),"",D79-C79)</f>
        <v/>
      </c>
      <c r="G79" s="17" t="str">
        <f aca="false">IF(OR(F79="",F79=0),"",E79/F79)</f>
        <v/>
      </c>
      <c r="H79" s="18" t="str">
        <f aca="false">IF(OR(A79="",B79=""),"",IF(SUMIFS($E$5:$E$604,$B$5:$B$604,B79,$A$5:$A$604,"&gt;="&amp;DATE(YEAR(A79)-1,MONTH(A79),1),$A$5:$A$604,"&lt;"&amp;DATE(YEAR(A79)-1,MONTH(A79)+1,1))=0,"",SUMIFS($E$5:$E$604,$B$5:$B$604,B79,$A$5:$A$604,"&gt;="&amp;DATE(YEAR(A79)-1,MONTH(A79),1),$A$5:$A$604,"&lt;"&amp;DATE(YEAR(A79)-1,MONTH(A79)+1,1))))</f>
        <v/>
      </c>
      <c r="I79" s="19" t="str">
        <f aca="false">IF(OR(H79="",E79=""),"",E79/H79-1)</f>
        <v/>
      </c>
    </row>
    <row r="80" customFormat="false" ht="15" hidden="false" customHeight="false" outlineLevel="0" collapsed="false">
      <c r="A80" s="12"/>
      <c r="B80" s="13"/>
      <c r="C80" s="14"/>
      <c r="D80" s="14"/>
      <c r="E80" s="15"/>
      <c r="F80" s="16" t="str">
        <f aca="false">IF(OR(C80="",D80=""),"",D80-C80)</f>
        <v/>
      </c>
      <c r="G80" s="17" t="str">
        <f aca="false">IF(OR(F80="",F80=0),"",E80/F80)</f>
        <v/>
      </c>
      <c r="H80" s="18" t="str">
        <f aca="false">IF(OR(A80="",B80=""),"",IF(SUMIFS($E$5:$E$604,$B$5:$B$604,B80,$A$5:$A$604,"&gt;="&amp;DATE(YEAR(A80)-1,MONTH(A80),1),$A$5:$A$604,"&lt;"&amp;DATE(YEAR(A80)-1,MONTH(A80)+1,1))=0,"",SUMIFS($E$5:$E$604,$B$5:$B$604,B80,$A$5:$A$604,"&gt;="&amp;DATE(YEAR(A80)-1,MONTH(A80),1),$A$5:$A$604,"&lt;"&amp;DATE(YEAR(A80)-1,MONTH(A80)+1,1))))</f>
        <v/>
      </c>
      <c r="I80" s="19" t="str">
        <f aca="false">IF(OR(H80="",E80=""),"",E80/H80-1)</f>
        <v/>
      </c>
    </row>
    <row r="81" customFormat="false" ht="15" hidden="false" customHeight="false" outlineLevel="0" collapsed="false">
      <c r="A81" s="12"/>
      <c r="B81" s="13"/>
      <c r="C81" s="14"/>
      <c r="D81" s="14"/>
      <c r="E81" s="15"/>
      <c r="F81" s="16" t="str">
        <f aca="false">IF(OR(C81="",D81=""),"",D81-C81)</f>
        <v/>
      </c>
      <c r="G81" s="17" t="str">
        <f aca="false">IF(OR(F81="",F81=0),"",E81/F81)</f>
        <v/>
      </c>
      <c r="H81" s="18" t="str">
        <f aca="false">IF(OR(A81="",B81=""),"",IF(SUMIFS($E$5:$E$604,$B$5:$B$604,B81,$A$5:$A$604,"&gt;="&amp;DATE(YEAR(A81)-1,MONTH(A81),1),$A$5:$A$604,"&lt;"&amp;DATE(YEAR(A81)-1,MONTH(A81)+1,1))=0,"",SUMIFS($E$5:$E$604,$B$5:$B$604,B81,$A$5:$A$604,"&gt;="&amp;DATE(YEAR(A81)-1,MONTH(A81),1),$A$5:$A$604,"&lt;"&amp;DATE(YEAR(A81)-1,MONTH(A81)+1,1))))</f>
        <v/>
      </c>
      <c r="I81" s="19" t="str">
        <f aca="false">IF(OR(H81="",E81=""),"",E81/H81-1)</f>
        <v/>
      </c>
    </row>
    <row r="82" customFormat="false" ht="15" hidden="false" customHeight="false" outlineLevel="0" collapsed="false">
      <c r="A82" s="12"/>
      <c r="B82" s="13"/>
      <c r="C82" s="14"/>
      <c r="D82" s="14"/>
      <c r="E82" s="15"/>
      <c r="F82" s="16" t="str">
        <f aca="false">IF(OR(C82="",D82=""),"",D82-C82)</f>
        <v/>
      </c>
      <c r="G82" s="17" t="str">
        <f aca="false">IF(OR(F82="",F82=0),"",E82/F82)</f>
        <v/>
      </c>
      <c r="H82" s="18" t="str">
        <f aca="false">IF(OR(A82="",B82=""),"",IF(SUMIFS($E$5:$E$604,$B$5:$B$604,B82,$A$5:$A$604,"&gt;="&amp;DATE(YEAR(A82)-1,MONTH(A82),1),$A$5:$A$604,"&lt;"&amp;DATE(YEAR(A82)-1,MONTH(A82)+1,1))=0,"",SUMIFS($E$5:$E$604,$B$5:$B$604,B82,$A$5:$A$604,"&gt;="&amp;DATE(YEAR(A82)-1,MONTH(A82),1),$A$5:$A$604,"&lt;"&amp;DATE(YEAR(A82)-1,MONTH(A82)+1,1))))</f>
        <v/>
      </c>
      <c r="I82" s="19" t="str">
        <f aca="false">IF(OR(H82="",E82=""),"",E82/H82-1)</f>
        <v/>
      </c>
    </row>
    <row r="83" customFormat="false" ht="15" hidden="false" customHeight="false" outlineLevel="0" collapsed="false">
      <c r="A83" s="12"/>
      <c r="B83" s="13"/>
      <c r="C83" s="14"/>
      <c r="D83" s="14"/>
      <c r="E83" s="15"/>
      <c r="F83" s="16" t="str">
        <f aca="false">IF(OR(C83="",D83=""),"",D83-C83)</f>
        <v/>
      </c>
      <c r="G83" s="17" t="str">
        <f aca="false">IF(OR(F83="",F83=0),"",E83/F83)</f>
        <v/>
      </c>
      <c r="H83" s="18" t="str">
        <f aca="false">IF(OR(A83="",B83=""),"",IF(SUMIFS($E$5:$E$604,$B$5:$B$604,B83,$A$5:$A$604,"&gt;="&amp;DATE(YEAR(A83)-1,MONTH(A83),1),$A$5:$A$604,"&lt;"&amp;DATE(YEAR(A83)-1,MONTH(A83)+1,1))=0,"",SUMIFS($E$5:$E$604,$B$5:$B$604,B83,$A$5:$A$604,"&gt;="&amp;DATE(YEAR(A83)-1,MONTH(A83),1),$A$5:$A$604,"&lt;"&amp;DATE(YEAR(A83)-1,MONTH(A83)+1,1))))</f>
        <v/>
      </c>
      <c r="I83" s="19" t="str">
        <f aca="false">IF(OR(H83="",E83=""),"",E83/H83-1)</f>
        <v/>
      </c>
    </row>
    <row r="84" customFormat="false" ht="15" hidden="false" customHeight="false" outlineLevel="0" collapsed="false">
      <c r="A84" s="12"/>
      <c r="B84" s="13"/>
      <c r="C84" s="14"/>
      <c r="D84" s="14"/>
      <c r="E84" s="15"/>
      <c r="F84" s="16" t="str">
        <f aca="false">IF(OR(C84="",D84=""),"",D84-C84)</f>
        <v/>
      </c>
      <c r="G84" s="17" t="str">
        <f aca="false">IF(OR(F84="",F84=0),"",E84/F84)</f>
        <v/>
      </c>
      <c r="H84" s="18" t="str">
        <f aca="false">IF(OR(A84="",B84=""),"",IF(SUMIFS($E$5:$E$604,$B$5:$B$604,B84,$A$5:$A$604,"&gt;="&amp;DATE(YEAR(A84)-1,MONTH(A84),1),$A$5:$A$604,"&lt;"&amp;DATE(YEAR(A84)-1,MONTH(A84)+1,1))=0,"",SUMIFS($E$5:$E$604,$B$5:$B$604,B84,$A$5:$A$604,"&gt;="&amp;DATE(YEAR(A84)-1,MONTH(A84),1),$A$5:$A$604,"&lt;"&amp;DATE(YEAR(A84)-1,MONTH(A84)+1,1))))</f>
        <v/>
      </c>
      <c r="I84" s="19" t="str">
        <f aca="false">IF(OR(H84="",E84=""),"",E84/H84-1)</f>
        <v/>
      </c>
    </row>
    <row r="85" customFormat="false" ht="15" hidden="false" customHeight="false" outlineLevel="0" collapsed="false">
      <c r="A85" s="12"/>
      <c r="B85" s="13"/>
      <c r="C85" s="14"/>
      <c r="D85" s="14"/>
      <c r="E85" s="15"/>
      <c r="F85" s="16" t="str">
        <f aca="false">IF(OR(C85="",D85=""),"",D85-C85)</f>
        <v/>
      </c>
      <c r="G85" s="17" t="str">
        <f aca="false">IF(OR(F85="",F85=0),"",E85/F85)</f>
        <v/>
      </c>
      <c r="H85" s="18" t="str">
        <f aca="false">IF(OR(A85="",B85=""),"",IF(SUMIFS($E$5:$E$604,$B$5:$B$604,B85,$A$5:$A$604,"&gt;="&amp;DATE(YEAR(A85)-1,MONTH(A85),1),$A$5:$A$604,"&lt;"&amp;DATE(YEAR(A85)-1,MONTH(A85)+1,1))=0,"",SUMIFS($E$5:$E$604,$B$5:$B$604,B85,$A$5:$A$604,"&gt;="&amp;DATE(YEAR(A85)-1,MONTH(A85),1),$A$5:$A$604,"&lt;"&amp;DATE(YEAR(A85)-1,MONTH(A85)+1,1))))</f>
        <v/>
      </c>
      <c r="I85" s="19" t="str">
        <f aca="false">IF(OR(H85="",E85=""),"",E85/H85-1)</f>
        <v/>
      </c>
    </row>
    <row r="86" customFormat="false" ht="15" hidden="false" customHeight="false" outlineLevel="0" collapsed="false">
      <c r="A86" s="12"/>
      <c r="B86" s="13"/>
      <c r="C86" s="14"/>
      <c r="D86" s="14"/>
      <c r="E86" s="15"/>
      <c r="F86" s="16" t="str">
        <f aca="false">IF(OR(C86="",D86=""),"",D86-C86)</f>
        <v/>
      </c>
      <c r="G86" s="17" t="str">
        <f aca="false">IF(OR(F86="",F86=0),"",E86/F86)</f>
        <v/>
      </c>
      <c r="H86" s="18" t="str">
        <f aca="false">IF(OR(A86="",B86=""),"",IF(SUMIFS($E$5:$E$604,$B$5:$B$604,B86,$A$5:$A$604,"&gt;="&amp;DATE(YEAR(A86)-1,MONTH(A86),1),$A$5:$A$604,"&lt;"&amp;DATE(YEAR(A86)-1,MONTH(A86)+1,1))=0,"",SUMIFS($E$5:$E$604,$B$5:$B$604,B86,$A$5:$A$604,"&gt;="&amp;DATE(YEAR(A86)-1,MONTH(A86),1),$A$5:$A$604,"&lt;"&amp;DATE(YEAR(A86)-1,MONTH(A86)+1,1))))</f>
        <v/>
      </c>
      <c r="I86" s="19" t="str">
        <f aca="false">IF(OR(H86="",E86=""),"",E86/H86-1)</f>
        <v/>
      </c>
    </row>
    <row r="87" customFormat="false" ht="15" hidden="false" customHeight="false" outlineLevel="0" collapsed="false">
      <c r="A87" s="12"/>
      <c r="B87" s="13"/>
      <c r="C87" s="14"/>
      <c r="D87" s="14"/>
      <c r="E87" s="15"/>
      <c r="F87" s="16" t="str">
        <f aca="false">IF(OR(C87="",D87=""),"",D87-C87)</f>
        <v/>
      </c>
      <c r="G87" s="17" t="str">
        <f aca="false">IF(OR(F87="",F87=0),"",E87/F87)</f>
        <v/>
      </c>
      <c r="H87" s="18" t="str">
        <f aca="false">IF(OR(A87="",B87=""),"",IF(SUMIFS($E$5:$E$604,$B$5:$B$604,B87,$A$5:$A$604,"&gt;="&amp;DATE(YEAR(A87)-1,MONTH(A87),1),$A$5:$A$604,"&lt;"&amp;DATE(YEAR(A87)-1,MONTH(A87)+1,1))=0,"",SUMIFS($E$5:$E$604,$B$5:$B$604,B87,$A$5:$A$604,"&gt;="&amp;DATE(YEAR(A87)-1,MONTH(A87),1),$A$5:$A$604,"&lt;"&amp;DATE(YEAR(A87)-1,MONTH(A87)+1,1))))</f>
        <v/>
      </c>
      <c r="I87" s="19" t="str">
        <f aca="false">IF(OR(H87="",E87=""),"",E87/H87-1)</f>
        <v/>
      </c>
    </row>
    <row r="88" customFormat="false" ht="15" hidden="false" customHeight="false" outlineLevel="0" collapsed="false">
      <c r="A88" s="12"/>
      <c r="B88" s="13"/>
      <c r="C88" s="14"/>
      <c r="D88" s="14"/>
      <c r="E88" s="15"/>
      <c r="F88" s="16" t="str">
        <f aca="false">IF(OR(C88="",D88=""),"",D88-C88)</f>
        <v/>
      </c>
      <c r="G88" s="17" t="str">
        <f aca="false">IF(OR(F88="",F88=0),"",E88/F88)</f>
        <v/>
      </c>
      <c r="H88" s="18" t="str">
        <f aca="false">IF(OR(A88="",B88=""),"",IF(SUMIFS($E$5:$E$604,$B$5:$B$604,B88,$A$5:$A$604,"&gt;="&amp;DATE(YEAR(A88)-1,MONTH(A88),1),$A$5:$A$604,"&lt;"&amp;DATE(YEAR(A88)-1,MONTH(A88)+1,1))=0,"",SUMIFS($E$5:$E$604,$B$5:$B$604,B88,$A$5:$A$604,"&gt;="&amp;DATE(YEAR(A88)-1,MONTH(A88),1),$A$5:$A$604,"&lt;"&amp;DATE(YEAR(A88)-1,MONTH(A88)+1,1))))</f>
        <v/>
      </c>
      <c r="I88" s="19" t="str">
        <f aca="false">IF(OR(H88="",E88=""),"",E88/H88-1)</f>
        <v/>
      </c>
    </row>
    <row r="89" customFormat="false" ht="15" hidden="false" customHeight="false" outlineLevel="0" collapsed="false">
      <c r="A89" s="12"/>
      <c r="B89" s="13"/>
      <c r="C89" s="14"/>
      <c r="D89" s="14"/>
      <c r="E89" s="15"/>
      <c r="F89" s="16" t="str">
        <f aca="false">IF(OR(C89="",D89=""),"",D89-C89)</f>
        <v/>
      </c>
      <c r="G89" s="17" t="str">
        <f aca="false">IF(OR(F89="",F89=0),"",E89/F89)</f>
        <v/>
      </c>
      <c r="H89" s="18" t="str">
        <f aca="false">IF(OR(A89="",B89=""),"",IF(SUMIFS($E$5:$E$604,$B$5:$B$604,B89,$A$5:$A$604,"&gt;="&amp;DATE(YEAR(A89)-1,MONTH(A89),1),$A$5:$A$604,"&lt;"&amp;DATE(YEAR(A89)-1,MONTH(A89)+1,1))=0,"",SUMIFS($E$5:$E$604,$B$5:$B$604,B89,$A$5:$A$604,"&gt;="&amp;DATE(YEAR(A89)-1,MONTH(A89),1),$A$5:$A$604,"&lt;"&amp;DATE(YEAR(A89)-1,MONTH(A89)+1,1))))</f>
        <v/>
      </c>
      <c r="I89" s="19" t="str">
        <f aca="false">IF(OR(H89="",E89=""),"",E89/H89-1)</f>
        <v/>
      </c>
    </row>
    <row r="90" customFormat="false" ht="15" hidden="false" customHeight="false" outlineLevel="0" collapsed="false">
      <c r="A90" s="12"/>
      <c r="B90" s="13"/>
      <c r="C90" s="14"/>
      <c r="D90" s="14"/>
      <c r="E90" s="15"/>
      <c r="F90" s="16" t="str">
        <f aca="false">IF(OR(C90="",D90=""),"",D90-C90)</f>
        <v/>
      </c>
      <c r="G90" s="17" t="str">
        <f aca="false">IF(OR(F90="",F90=0),"",E90/F90)</f>
        <v/>
      </c>
      <c r="H90" s="18" t="str">
        <f aca="false">IF(OR(A90="",B90=""),"",IF(SUMIFS($E$5:$E$604,$B$5:$B$604,B90,$A$5:$A$604,"&gt;="&amp;DATE(YEAR(A90)-1,MONTH(A90),1),$A$5:$A$604,"&lt;"&amp;DATE(YEAR(A90)-1,MONTH(A90)+1,1))=0,"",SUMIFS($E$5:$E$604,$B$5:$B$604,B90,$A$5:$A$604,"&gt;="&amp;DATE(YEAR(A90)-1,MONTH(A90),1),$A$5:$A$604,"&lt;"&amp;DATE(YEAR(A90)-1,MONTH(A90)+1,1))))</f>
        <v/>
      </c>
      <c r="I90" s="19" t="str">
        <f aca="false">IF(OR(H90="",E90=""),"",E90/H90-1)</f>
        <v/>
      </c>
    </row>
    <row r="91" customFormat="false" ht="15" hidden="false" customHeight="false" outlineLevel="0" collapsed="false">
      <c r="A91" s="12"/>
      <c r="B91" s="13"/>
      <c r="C91" s="14"/>
      <c r="D91" s="14"/>
      <c r="E91" s="15"/>
      <c r="F91" s="16" t="str">
        <f aca="false">IF(OR(C91="",D91=""),"",D91-C91)</f>
        <v/>
      </c>
      <c r="G91" s="17" t="str">
        <f aca="false">IF(OR(F91="",F91=0),"",E91/F91)</f>
        <v/>
      </c>
      <c r="H91" s="18" t="str">
        <f aca="false">IF(OR(A91="",B91=""),"",IF(SUMIFS($E$5:$E$604,$B$5:$B$604,B91,$A$5:$A$604,"&gt;="&amp;DATE(YEAR(A91)-1,MONTH(A91),1),$A$5:$A$604,"&lt;"&amp;DATE(YEAR(A91)-1,MONTH(A91)+1,1))=0,"",SUMIFS($E$5:$E$604,$B$5:$B$604,B91,$A$5:$A$604,"&gt;="&amp;DATE(YEAR(A91)-1,MONTH(A91),1),$A$5:$A$604,"&lt;"&amp;DATE(YEAR(A91)-1,MONTH(A91)+1,1))))</f>
        <v/>
      </c>
      <c r="I91" s="19" t="str">
        <f aca="false">IF(OR(H91="",E91=""),"",E91/H91-1)</f>
        <v/>
      </c>
    </row>
    <row r="92" customFormat="false" ht="15" hidden="false" customHeight="false" outlineLevel="0" collapsed="false">
      <c r="A92" s="12"/>
      <c r="B92" s="13"/>
      <c r="C92" s="14"/>
      <c r="D92" s="14"/>
      <c r="E92" s="15"/>
      <c r="F92" s="16" t="str">
        <f aca="false">IF(OR(C92="",D92=""),"",D92-C92)</f>
        <v/>
      </c>
      <c r="G92" s="17" t="str">
        <f aca="false">IF(OR(F92="",F92=0),"",E92/F92)</f>
        <v/>
      </c>
      <c r="H92" s="18" t="str">
        <f aca="false">IF(OR(A92="",B92=""),"",IF(SUMIFS($E$5:$E$604,$B$5:$B$604,B92,$A$5:$A$604,"&gt;="&amp;DATE(YEAR(A92)-1,MONTH(A92),1),$A$5:$A$604,"&lt;"&amp;DATE(YEAR(A92)-1,MONTH(A92)+1,1))=0,"",SUMIFS($E$5:$E$604,$B$5:$B$604,B92,$A$5:$A$604,"&gt;="&amp;DATE(YEAR(A92)-1,MONTH(A92),1),$A$5:$A$604,"&lt;"&amp;DATE(YEAR(A92)-1,MONTH(A92)+1,1))))</f>
        <v/>
      </c>
      <c r="I92" s="19" t="str">
        <f aca="false">IF(OR(H92="",E92=""),"",E92/H92-1)</f>
        <v/>
      </c>
    </row>
    <row r="93" customFormat="false" ht="15" hidden="false" customHeight="false" outlineLevel="0" collapsed="false">
      <c r="A93" s="12"/>
      <c r="B93" s="13"/>
      <c r="C93" s="14"/>
      <c r="D93" s="14"/>
      <c r="E93" s="15"/>
      <c r="F93" s="16" t="str">
        <f aca="false">IF(OR(C93="",D93=""),"",D93-C93)</f>
        <v/>
      </c>
      <c r="G93" s="17" t="str">
        <f aca="false">IF(OR(F93="",F93=0),"",E93/F93)</f>
        <v/>
      </c>
      <c r="H93" s="18" t="str">
        <f aca="false">IF(OR(A93="",B93=""),"",IF(SUMIFS($E$5:$E$604,$B$5:$B$604,B93,$A$5:$A$604,"&gt;="&amp;DATE(YEAR(A93)-1,MONTH(A93),1),$A$5:$A$604,"&lt;"&amp;DATE(YEAR(A93)-1,MONTH(A93)+1,1))=0,"",SUMIFS($E$5:$E$604,$B$5:$B$604,B93,$A$5:$A$604,"&gt;="&amp;DATE(YEAR(A93)-1,MONTH(A93),1),$A$5:$A$604,"&lt;"&amp;DATE(YEAR(A93)-1,MONTH(A93)+1,1))))</f>
        <v/>
      </c>
      <c r="I93" s="19" t="str">
        <f aca="false">IF(OR(H93="",E93=""),"",E93/H93-1)</f>
        <v/>
      </c>
    </row>
    <row r="94" customFormat="false" ht="15" hidden="false" customHeight="false" outlineLevel="0" collapsed="false">
      <c r="A94" s="12"/>
      <c r="B94" s="13"/>
      <c r="C94" s="14"/>
      <c r="D94" s="14"/>
      <c r="E94" s="15"/>
      <c r="F94" s="16" t="str">
        <f aca="false">IF(OR(C94="",D94=""),"",D94-C94)</f>
        <v/>
      </c>
      <c r="G94" s="17" t="str">
        <f aca="false">IF(OR(F94="",F94=0),"",E94/F94)</f>
        <v/>
      </c>
      <c r="H94" s="18" t="str">
        <f aca="false">IF(OR(A94="",B94=""),"",IF(SUMIFS($E$5:$E$604,$B$5:$B$604,B94,$A$5:$A$604,"&gt;="&amp;DATE(YEAR(A94)-1,MONTH(A94),1),$A$5:$A$604,"&lt;"&amp;DATE(YEAR(A94)-1,MONTH(A94)+1,1))=0,"",SUMIFS($E$5:$E$604,$B$5:$B$604,B94,$A$5:$A$604,"&gt;="&amp;DATE(YEAR(A94)-1,MONTH(A94),1),$A$5:$A$604,"&lt;"&amp;DATE(YEAR(A94)-1,MONTH(A94)+1,1))))</f>
        <v/>
      </c>
      <c r="I94" s="19" t="str">
        <f aca="false">IF(OR(H94="",E94=""),"",E94/H94-1)</f>
        <v/>
      </c>
    </row>
    <row r="95" customFormat="false" ht="15" hidden="false" customHeight="false" outlineLevel="0" collapsed="false">
      <c r="A95" s="12"/>
      <c r="B95" s="13"/>
      <c r="C95" s="14"/>
      <c r="D95" s="14"/>
      <c r="E95" s="15"/>
      <c r="F95" s="16" t="str">
        <f aca="false">IF(OR(C95="",D95=""),"",D95-C95)</f>
        <v/>
      </c>
      <c r="G95" s="17" t="str">
        <f aca="false">IF(OR(F95="",F95=0),"",E95/F95)</f>
        <v/>
      </c>
      <c r="H95" s="18" t="str">
        <f aca="false">IF(OR(A95="",B95=""),"",IF(SUMIFS($E$5:$E$604,$B$5:$B$604,B95,$A$5:$A$604,"&gt;="&amp;DATE(YEAR(A95)-1,MONTH(A95),1),$A$5:$A$604,"&lt;"&amp;DATE(YEAR(A95)-1,MONTH(A95)+1,1))=0,"",SUMIFS($E$5:$E$604,$B$5:$B$604,B95,$A$5:$A$604,"&gt;="&amp;DATE(YEAR(A95)-1,MONTH(A95),1),$A$5:$A$604,"&lt;"&amp;DATE(YEAR(A95)-1,MONTH(A95)+1,1))))</f>
        <v/>
      </c>
      <c r="I95" s="19" t="str">
        <f aca="false">IF(OR(H95="",E95=""),"",E95/H95-1)</f>
        <v/>
      </c>
    </row>
    <row r="96" customFormat="false" ht="15" hidden="false" customHeight="false" outlineLevel="0" collapsed="false">
      <c r="A96" s="12"/>
      <c r="B96" s="13"/>
      <c r="C96" s="14"/>
      <c r="D96" s="14"/>
      <c r="E96" s="15"/>
      <c r="F96" s="16" t="str">
        <f aca="false">IF(OR(C96="",D96=""),"",D96-C96)</f>
        <v/>
      </c>
      <c r="G96" s="17" t="str">
        <f aca="false">IF(OR(F96="",F96=0),"",E96/F96)</f>
        <v/>
      </c>
      <c r="H96" s="18" t="str">
        <f aca="false">IF(OR(A96="",B96=""),"",IF(SUMIFS($E$5:$E$604,$B$5:$B$604,B96,$A$5:$A$604,"&gt;="&amp;DATE(YEAR(A96)-1,MONTH(A96),1),$A$5:$A$604,"&lt;"&amp;DATE(YEAR(A96)-1,MONTH(A96)+1,1))=0,"",SUMIFS($E$5:$E$604,$B$5:$B$604,B96,$A$5:$A$604,"&gt;="&amp;DATE(YEAR(A96)-1,MONTH(A96),1),$A$5:$A$604,"&lt;"&amp;DATE(YEAR(A96)-1,MONTH(A96)+1,1))))</f>
        <v/>
      </c>
      <c r="I96" s="19" t="str">
        <f aca="false">IF(OR(H96="",E96=""),"",E96/H96-1)</f>
        <v/>
      </c>
    </row>
    <row r="97" customFormat="false" ht="15" hidden="false" customHeight="false" outlineLevel="0" collapsed="false">
      <c r="A97" s="12"/>
      <c r="B97" s="13"/>
      <c r="C97" s="14"/>
      <c r="D97" s="14"/>
      <c r="E97" s="15"/>
      <c r="F97" s="16" t="str">
        <f aca="false">IF(OR(C97="",D97=""),"",D97-C97)</f>
        <v/>
      </c>
      <c r="G97" s="17" t="str">
        <f aca="false">IF(OR(F97="",F97=0),"",E97/F97)</f>
        <v/>
      </c>
      <c r="H97" s="18" t="str">
        <f aca="false">IF(OR(A97="",B97=""),"",IF(SUMIFS($E$5:$E$604,$B$5:$B$604,B97,$A$5:$A$604,"&gt;="&amp;DATE(YEAR(A97)-1,MONTH(A97),1),$A$5:$A$604,"&lt;"&amp;DATE(YEAR(A97)-1,MONTH(A97)+1,1))=0,"",SUMIFS($E$5:$E$604,$B$5:$B$604,B97,$A$5:$A$604,"&gt;="&amp;DATE(YEAR(A97)-1,MONTH(A97),1),$A$5:$A$604,"&lt;"&amp;DATE(YEAR(A97)-1,MONTH(A97)+1,1))))</f>
        <v/>
      </c>
      <c r="I97" s="19" t="str">
        <f aca="false">IF(OR(H97="",E97=""),"",E97/H97-1)</f>
        <v/>
      </c>
    </row>
    <row r="98" customFormat="false" ht="15" hidden="false" customHeight="false" outlineLevel="0" collapsed="false">
      <c r="A98" s="12"/>
      <c r="B98" s="13"/>
      <c r="C98" s="14"/>
      <c r="D98" s="14"/>
      <c r="E98" s="15"/>
      <c r="F98" s="16" t="str">
        <f aca="false">IF(OR(C98="",D98=""),"",D98-C98)</f>
        <v/>
      </c>
      <c r="G98" s="17" t="str">
        <f aca="false">IF(OR(F98="",F98=0),"",E98/F98)</f>
        <v/>
      </c>
      <c r="H98" s="18" t="str">
        <f aca="false">IF(OR(A98="",B98=""),"",IF(SUMIFS($E$5:$E$604,$B$5:$B$604,B98,$A$5:$A$604,"&gt;="&amp;DATE(YEAR(A98)-1,MONTH(A98),1),$A$5:$A$604,"&lt;"&amp;DATE(YEAR(A98)-1,MONTH(A98)+1,1))=0,"",SUMIFS($E$5:$E$604,$B$5:$B$604,B98,$A$5:$A$604,"&gt;="&amp;DATE(YEAR(A98)-1,MONTH(A98),1),$A$5:$A$604,"&lt;"&amp;DATE(YEAR(A98)-1,MONTH(A98)+1,1))))</f>
        <v/>
      </c>
      <c r="I98" s="19" t="str">
        <f aca="false">IF(OR(H98="",E98=""),"",E98/H98-1)</f>
        <v/>
      </c>
    </row>
    <row r="99" customFormat="false" ht="15" hidden="false" customHeight="false" outlineLevel="0" collapsed="false">
      <c r="A99" s="12"/>
      <c r="B99" s="13"/>
      <c r="C99" s="14"/>
      <c r="D99" s="14"/>
      <c r="E99" s="15"/>
      <c r="F99" s="16" t="str">
        <f aca="false">IF(OR(C99="",D99=""),"",D99-C99)</f>
        <v/>
      </c>
      <c r="G99" s="17" t="str">
        <f aca="false">IF(OR(F99="",F99=0),"",E99/F99)</f>
        <v/>
      </c>
      <c r="H99" s="18" t="str">
        <f aca="false">IF(OR(A99="",B99=""),"",IF(SUMIFS($E$5:$E$604,$B$5:$B$604,B99,$A$5:$A$604,"&gt;="&amp;DATE(YEAR(A99)-1,MONTH(A99),1),$A$5:$A$604,"&lt;"&amp;DATE(YEAR(A99)-1,MONTH(A99)+1,1))=0,"",SUMIFS($E$5:$E$604,$B$5:$B$604,B99,$A$5:$A$604,"&gt;="&amp;DATE(YEAR(A99)-1,MONTH(A99),1),$A$5:$A$604,"&lt;"&amp;DATE(YEAR(A99)-1,MONTH(A99)+1,1))))</f>
        <v/>
      </c>
      <c r="I99" s="19" t="str">
        <f aca="false">IF(OR(H99="",E99=""),"",E99/H99-1)</f>
        <v/>
      </c>
    </row>
    <row r="100" customFormat="false" ht="15" hidden="false" customHeight="false" outlineLevel="0" collapsed="false">
      <c r="A100" s="12"/>
      <c r="B100" s="13"/>
      <c r="C100" s="14"/>
      <c r="D100" s="14"/>
      <c r="E100" s="15"/>
      <c r="F100" s="16" t="str">
        <f aca="false">IF(OR(C100="",D100=""),"",D100-C100)</f>
        <v/>
      </c>
      <c r="G100" s="17" t="str">
        <f aca="false">IF(OR(F100="",F100=0),"",E100/F100)</f>
        <v/>
      </c>
      <c r="H100" s="18" t="str">
        <f aca="false">IF(OR(A100="",B100=""),"",IF(SUMIFS($E$5:$E$604,$B$5:$B$604,B100,$A$5:$A$604,"&gt;="&amp;DATE(YEAR(A100)-1,MONTH(A100),1),$A$5:$A$604,"&lt;"&amp;DATE(YEAR(A100)-1,MONTH(A100)+1,1))=0,"",SUMIFS($E$5:$E$604,$B$5:$B$604,B100,$A$5:$A$604,"&gt;="&amp;DATE(YEAR(A100)-1,MONTH(A100),1),$A$5:$A$604,"&lt;"&amp;DATE(YEAR(A100)-1,MONTH(A100)+1,1))))</f>
        <v/>
      </c>
      <c r="I100" s="19" t="str">
        <f aca="false">IF(OR(H100="",E100=""),"",E100/H100-1)</f>
        <v/>
      </c>
    </row>
    <row r="101" customFormat="false" ht="15" hidden="false" customHeight="false" outlineLevel="0" collapsed="false">
      <c r="A101" s="12"/>
      <c r="B101" s="13"/>
      <c r="C101" s="14"/>
      <c r="D101" s="14"/>
      <c r="E101" s="15"/>
      <c r="F101" s="16" t="str">
        <f aca="false">IF(OR(C101="",D101=""),"",D101-C101)</f>
        <v/>
      </c>
      <c r="G101" s="17" t="str">
        <f aca="false">IF(OR(F101="",F101=0),"",E101/F101)</f>
        <v/>
      </c>
      <c r="H101" s="18" t="str">
        <f aca="false">IF(OR(A101="",B101=""),"",IF(SUMIFS($E$5:$E$604,$B$5:$B$604,B101,$A$5:$A$604,"&gt;="&amp;DATE(YEAR(A101)-1,MONTH(A101),1),$A$5:$A$604,"&lt;"&amp;DATE(YEAR(A101)-1,MONTH(A101)+1,1))=0,"",SUMIFS($E$5:$E$604,$B$5:$B$604,B101,$A$5:$A$604,"&gt;="&amp;DATE(YEAR(A101)-1,MONTH(A101),1),$A$5:$A$604,"&lt;"&amp;DATE(YEAR(A101)-1,MONTH(A101)+1,1))))</f>
        <v/>
      </c>
      <c r="I101" s="19" t="str">
        <f aca="false">IF(OR(H101="",E101=""),"",E101/H101-1)</f>
        <v/>
      </c>
    </row>
    <row r="102" customFormat="false" ht="15" hidden="false" customHeight="false" outlineLevel="0" collapsed="false">
      <c r="A102" s="12"/>
      <c r="B102" s="13"/>
      <c r="C102" s="14"/>
      <c r="D102" s="14"/>
      <c r="E102" s="15"/>
      <c r="F102" s="16" t="str">
        <f aca="false">IF(OR(C102="",D102=""),"",D102-C102)</f>
        <v/>
      </c>
      <c r="G102" s="17" t="str">
        <f aca="false">IF(OR(F102="",F102=0),"",E102/F102)</f>
        <v/>
      </c>
      <c r="H102" s="18" t="str">
        <f aca="false">IF(OR(A102="",B102=""),"",IF(SUMIFS($E$5:$E$604,$B$5:$B$604,B102,$A$5:$A$604,"&gt;="&amp;DATE(YEAR(A102)-1,MONTH(A102),1),$A$5:$A$604,"&lt;"&amp;DATE(YEAR(A102)-1,MONTH(A102)+1,1))=0,"",SUMIFS($E$5:$E$604,$B$5:$B$604,B102,$A$5:$A$604,"&gt;="&amp;DATE(YEAR(A102)-1,MONTH(A102),1),$A$5:$A$604,"&lt;"&amp;DATE(YEAR(A102)-1,MONTH(A102)+1,1))))</f>
        <v/>
      </c>
      <c r="I102" s="19" t="str">
        <f aca="false">IF(OR(H102="",E102=""),"",E102/H102-1)</f>
        <v/>
      </c>
    </row>
    <row r="103" customFormat="false" ht="15" hidden="false" customHeight="false" outlineLevel="0" collapsed="false">
      <c r="A103" s="12"/>
      <c r="B103" s="13"/>
      <c r="C103" s="14"/>
      <c r="D103" s="14"/>
      <c r="E103" s="15"/>
      <c r="F103" s="16" t="str">
        <f aca="false">IF(OR(C103="",D103=""),"",D103-C103)</f>
        <v/>
      </c>
      <c r="G103" s="17" t="str">
        <f aca="false">IF(OR(F103="",F103=0),"",E103/F103)</f>
        <v/>
      </c>
      <c r="H103" s="18" t="str">
        <f aca="false">IF(OR(A103="",B103=""),"",IF(SUMIFS($E$5:$E$604,$B$5:$B$604,B103,$A$5:$A$604,"&gt;="&amp;DATE(YEAR(A103)-1,MONTH(A103),1),$A$5:$A$604,"&lt;"&amp;DATE(YEAR(A103)-1,MONTH(A103)+1,1))=0,"",SUMIFS($E$5:$E$604,$B$5:$B$604,B103,$A$5:$A$604,"&gt;="&amp;DATE(YEAR(A103)-1,MONTH(A103),1),$A$5:$A$604,"&lt;"&amp;DATE(YEAR(A103)-1,MONTH(A103)+1,1))))</f>
        <v/>
      </c>
      <c r="I103" s="19" t="str">
        <f aca="false">IF(OR(H103="",E103=""),"",E103/H103-1)</f>
        <v/>
      </c>
    </row>
    <row r="104" customFormat="false" ht="15" hidden="false" customHeight="false" outlineLevel="0" collapsed="false">
      <c r="A104" s="12"/>
      <c r="B104" s="13"/>
      <c r="C104" s="14"/>
      <c r="D104" s="14"/>
      <c r="E104" s="15"/>
      <c r="F104" s="16" t="str">
        <f aca="false">IF(OR(C104="",D104=""),"",D104-C104)</f>
        <v/>
      </c>
      <c r="G104" s="17" t="str">
        <f aca="false">IF(OR(F104="",F104=0),"",E104/F104)</f>
        <v/>
      </c>
      <c r="H104" s="18" t="str">
        <f aca="false">IF(OR(A104="",B104=""),"",IF(SUMIFS($E$5:$E$604,$B$5:$B$604,B104,$A$5:$A$604,"&gt;="&amp;DATE(YEAR(A104)-1,MONTH(A104),1),$A$5:$A$604,"&lt;"&amp;DATE(YEAR(A104)-1,MONTH(A104)+1,1))=0,"",SUMIFS($E$5:$E$604,$B$5:$B$604,B104,$A$5:$A$604,"&gt;="&amp;DATE(YEAR(A104)-1,MONTH(A104),1),$A$5:$A$604,"&lt;"&amp;DATE(YEAR(A104)-1,MONTH(A104)+1,1))))</f>
        <v/>
      </c>
      <c r="I104" s="19" t="str">
        <f aca="false">IF(OR(H104="",E104=""),"",E104/H104-1)</f>
        <v/>
      </c>
    </row>
    <row r="105" customFormat="false" ht="15" hidden="false" customHeight="false" outlineLevel="0" collapsed="false">
      <c r="A105" s="12"/>
      <c r="B105" s="13"/>
      <c r="C105" s="14"/>
      <c r="D105" s="14"/>
      <c r="E105" s="15"/>
      <c r="F105" s="16" t="str">
        <f aca="false">IF(OR(C105="",D105=""),"",D105-C105)</f>
        <v/>
      </c>
      <c r="G105" s="17" t="str">
        <f aca="false">IF(OR(F105="",F105=0),"",E105/F105)</f>
        <v/>
      </c>
      <c r="H105" s="18" t="str">
        <f aca="false">IF(OR(A105="",B105=""),"",IF(SUMIFS($E$5:$E$604,$B$5:$B$604,B105,$A$5:$A$604,"&gt;="&amp;DATE(YEAR(A105)-1,MONTH(A105),1),$A$5:$A$604,"&lt;"&amp;DATE(YEAR(A105)-1,MONTH(A105)+1,1))=0,"",SUMIFS($E$5:$E$604,$B$5:$B$604,B105,$A$5:$A$604,"&gt;="&amp;DATE(YEAR(A105)-1,MONTH(A105),1),$A$5:$A$604,"&lt;"&amp;DATE(YEAR(A105)-1,MONTH(A105)+1,1))))</f>
        <v/>
      </c>
      <c r="I105" s="19" t="str">
        <f aca="false">IF(OR(H105="",E105=""),"",E105/H105-1)</f>
        <v/>
      </c>
    </row>
    <row r="106" customFormat="false" ht="15" hidden="false" customHeight="false" outlineLevel="0" collapsed="false">
      <c r="A106" s="12"/>
      <c r="B106" s="13"/>
      <c r="C106" s="14"/>
      <c r="D106" s="14"/>
      <c r="E106" s="15"/>
      <c r="F106" s="16" t="str">
        <f aca="false">IF(OR(C106="",D106=""),"",D106-C106)</f>
        <v/>
      </c>
      <c r="G106" s="17" t="str">
        <f aca="false">IF(OR(F106="",F106=0),"",E106/F106)</f>
        <v/>
      </c>
      <c r="H106" s="18" t="str">
        <f aca="false">IF(OR(A106="",B106=""),"",IF(SUMIFS($E$5:$E$604,$B$5:$B$604,B106,$A$5:$A$604,"&gt;="&amp;DATE(YEAR(A106)-1,MONTH(A106),1),$A$5:$A$604,"&lt;"&amp;DATE(YEAR(A106)-1,MONTH(A106)+1,1))=0,"",SUMIFS($E$5:$E$604,$B$5:$B$604,B106,$A$5:$A$604,"&gt;="&amp;DATE(YEAR(A106)-1,MONTH(A106),1),$A$5:$A$604,"&lt;"&amp;DATE(YEAR(A106)-1,MONTH(A106)+1,1))))</f>
        <v/>
      </c>
      <c r="I106" s="19" t="str">
        <f aca="false">IF(OR(H106="",E106=""),"",E106/H106-1)</f>
        <v/>
      </c>
    </row>
    <row r="107" customFormat="false" ht="15" hidden="false" customHeight="false" outlineLevel="0" collapsed="false">
      <c r="A107" s="12"/>
      <c r="B107" s="13"/>
      <c r="C107" s="14"/>
      <c r="D107" s="14"/>
      <c r="E107" s="15"/>
      <c r="F107" s="16" t="str">
        <f aca="false">IF(OR(C107="",D107=""),"",D107-C107)</f>
        <v/>
      </c>
      <c r="G107" s="17" t="str">
        <f aca="false">IF(OR(F107="",F107=0),"",E107/F107)</f>
        <v/>
      </c>
      <c r="H107" s="18" t="str">
        <f aca="false">IF(OR(A107="",B107=""),"",IF(SUMIFS($E$5:$E$604,$B$5:$B$604,B107,$A$5:$A$604,"&gt;="&amp;DATE(YEAR(A107)-1,MONTH(A107),1),$A$5:$A$604,"&lt;"&amp;DATE(YEAR(A107)-1,MONTH(A107)+1,1))=0,"",SUMIFS($E$5:$E$604,$B$5:$B$604,B107,$A$5:$A$604,"&gt;="&amp;DATE(YEAR(A107)-1,MONTH(A107),1),$A$5:$A$604,"&lt;"&amp;DATE(YEAR(A107)-1,MONTH(A107)+1,1))))</f>
        <v/>
      </c>
      <c r="I107" s="19" t="str">
        <f aca="false">IF(OR(H107="",E107=""),"",E107/H107-1)</f>
        <v/>
      </c>
    </row>
    <row r="108" customFormat="false" ht="15" hidden="false" customHeight="false" outlineLevel="0" collapsed="false">
      <c r="A108" s="12"/>
      <c r="B108" s="13"/>
      <c r="C108" s="14"/>
      <c r="D108" s="14"/>
      <c r="E108" s="15"/>
      <c r="F108" s="16" t="str">
        <f aca="false">IF(OR(C108="",D108=""),"",D108-C108)</f>
        <v/>
      </c>
      <c r="G108" s="17" t="str">
        <f aca="false">IF(OR(F108="",F108=0),"",E108/F108)</f>
        <v/>
      </c>
      <c r="H108" s="18" t="str">
        <f aca="false">IF(OR(A108="",B108=""),"",IF(SUMIFS($E$5:$E$604,$B$5:$B$604,B108,$A$5:$A$604,"&gt;="&amp;DATE(YEAR(A108)-1,MONTH(A108),1),$A$5:$A$604,"&lt;"&amp;DATE(YEAR(A108)-1,MONTH(A108)+1,1))=0,"",SUMIFS($E$5:$E$604,$B$5:$B$604,B108,$A$5:$A$604,"&gt;="&amp;DATE(YEAR(A108)-1,MONTH(A108),1),$A$5:$A$604,"&lt;"&amp;DATE(YEAR(A108)-1,MONTH(A108)+1,1))))</f>
        <v/>
      </c>
      <c r="I108" s="19" t="str">
        <f aca="false">IF(OR(H108="",E108=""),"",E108/H108-1)</f>
        <v/>
      </c>
    </row>
    <row r="109" customFormat="false" ht="15" hidden="false" customHeight="false" outlineLevel="0" collapsed="false">
      <c r="A109" s="12"/>
      <c r="B109" s="13"/>
      <c r="C109" s="14"/>
      <c r="D109" s="14"/>
      <c r="E109" s="15"/>
      <c r="F109" s="16" t="str">
        <f aca="false">IF(OR(C109="",D109=""),"",D109-C109)</f>
        <v/>
      </c>
      <c r="G109" s="17" t="str">
        <f aca="false">IF(OR(F109="",F109=0),"",E109/F109)</f>
        <v/>
      </c>
      <c r="H109" s="18" t="str">
        <f aca="false">IF(OR(A109="",B109=""),"",IF(SUMIFS($E$5:$E$604,$B$5:$B$604,B109,$A$5:$A$604,"&gt;="&amp;DATE(YEAR(A109)-1,MONTH(A109),1),$A$5:$A$604,"&lt;"&amp;DATE(YEAR(A109)-1,MONTH(A109)+1,1))=0,"",SUMIFS($E$5:$E$604,$B$5:$B$604,B109,$A$5:$A$604,"&gt;="&amp;DATE(YEAR(A109)-1,MONTH(A109),1),$A$5:$A$604,"&lt;"&amp;DATE(YEAR(A109)-1,MONTH(A109)+1,1))))</f>
        <v/>
      </c>
      <c r="I109" s="19" t="str">
        <f aca="false">IF(OR(H109="",E109=""),"",E109/H109-1)</f>
        <v/>
      </c>
    </row>
    <row r="110" customFormat="false" ht="15" hidden="false" customHeight="false" outlineLevel="0" collapsed="false">
      <c r="A110" s="12"/>
      <c r="B110" s="13"/>
      <c r="C110" s="14"/>
      <c r="D110" s="14"/>
      <c r="E110" s="15"/>
      <c r="F110" s="16" t="str">
        <f aca="false">IF(OR(C110="",D110=""),"",D110-C110)</f>
        <v/>
      </c>
      <c r="G110" s="17" t="str">
        <f aca="false">IF(OR(F110="",F110=0),"",E110/F110)</f>
        <v/>
      </c>
      <c r="H110" s="18" t="str">
        <f aca="false">IF(OR(A110="",B110=""),"",IF(SUMIFS($E$5:$E$604,$B$5:$B$604,B110,$A$5:$A$604,"&gt;="&amp;DATE(YEAR(A110)-1,MONTH(A110),1),$A$5:$A$604,"&lt;"&amp;DATE(YEAR(A110)-1,MONTH(A110)+1,1))=0,"",SUMIFS($E$5:$E$604,$B$5:$B$604,B110,$A$5:$A$604,"&gt;="&amp;DATE(YEAR(A110)-1,MONTH(A110),1),$A$5:$A$604,"&lt;"&amp;DATE(YEAR(A110)-1,MONTH(A110)+1,1))))</f>
        <v/>
      </c>
      <c r="I110" s="19" t="str">
        <f aca="false">IF(OR(H110="",E110=""),"",E110/H110-1)</f>
        <v/>
      </c>
    </row>
    <row r="111" customFormat="false" ht="15" hidden="false" customHeight="false" outlineLevel="0" collapsed="false">
      <c r="A111" s="12"/>
      <c r="B111" s="13"/>
      <c r="C111" s="14"/>
      <c r="D111" s="14"/>
      <c r="E111" s="15"/>
      <c r="F111" s="16" t="str">
        <f aca="false">IF(OR(C111="",D111=""),"",D111-C111)</f>
        <v/>
      </c>
      <c r="G111" s="17" t="str">
        <f aca="false">IF(OR(F111="",F111=0),"",E111/F111)</f>
        <v/>
      </c>
      <c r="H111" s="18" t="str">
        <f aca="false">IF(OR(A111="",B111=""),"",IF(SUMIFS($E$5:$E$604,$B$5:$B$604,B111,$A$5:$A$604,"&gt;="&amp;DATE(YEAR(A111)-1,MONTH(A111),1),$A$5:$A$604,"&lt;"&amp;DATE(YEAR(A111)-1,MONTH(A111)+1,1))=0,"",SUMIFS($E$5:$E$604,$B$5:$B$604,B111,$A$5:$A$604,"&gt;="&amp;DATE(YEAR(A111)-1,MONTH(A111),1),$A$5:$A$604,"&lt;"&amp;DATE(YEAR(A111)-1,MONTH(A111)+1,1))))</f>
        <v/>
      </c>
      <c r="I111" s="19" t="str">
        <f aca="false">IF(OR(H111="",E111=""),"",E111/H111-1)</f>
        <v/>
      </c>
    </row>
    <row r="112" customFormat="false" ht="15" hidden="false" customHeight="false" outlineLevel="0" collapsed="false">
      <c r="A112" s="12"/>
      <c r="B112" s="13"/>
      <c r="C112" s="14"/>
      <c r="D112" s="14"/>
      <c r="E112" s="15"/>
      <c r="F112" s="16" t="str">
        <f aca="false">IF(OR(C112="",D112=""),"",D112-C112)</f>
        <v/>
      </c>
      <c r="G112" s="17" t="str">
        <f aca="false">IF(OR(F112="",F112=0),"",E112/F112)</f>
        <v/>
      </c>
      <c r="H112" s="18" t="str">
        <f aca="false">IF(OR(A112="",B112=""),"",IF(SUMIFS($E$5:$E$604,$B$5:$B$604,B112,$A$5:$A$604,"&gt;="&amp;DATE(YEAR(A112)-1,MONTH(A112),1),$A$5:$A$604,"&lt;"&amp;DATE(YEAR(A112)-1,MONTH(A112)+1,1))=0,"",SUMIFS($E$5:$E$604,$B$5:$B$604,B112,$A$5:$A$604,"&gt;="&amp;DATE(YEAR(A112)-1,MONTH(A112),1),$A$5:$A$604,"&lt;"&amp;DATE(YEAR(A112)-1,MONTH(A112)+1,1))))</f>
        <v/>
      </c>
      <c r="I112" s="19" t="str">
        <f aca="false">IF(OR(H112="",E112=""),"",E112/H112-1)</f>
        <v/>
      </c>
    </row>
    <row r="113" customFormat="false" ht="15" hidden="false" customHeight="false" outlineLevel="0" collapsed="false">
      <c r="A113" s="12"/>
      <c r="B113" s="13"/>
      <c r="C113" s="14"/>
      <c r="D113" s="14"/>
      <c r="E113" s="15"/>
      <c r="F113" s="16" t="str">
        <f aca="false">IF(OR(C113="",D113=""),"",D113-C113)</f>
        <v/>
      </c>
      <c r="G113" s="17" t="str">
        <f aca="false">IF(OR(F113="",F113=0),"",E113/F113)</f>
        <v/>
      </c>
      <c r="H113" s="18" t="str">
        <f aca="false">IF(OR(A113="",B113=""),"",IF(SUMIFS($E$5:$E$604,$B$5:$B$604,B113,$A$5:$A$604,"&gt;="&amp;DATE(YEAR(A113)-1,MONTH(A113),1),$A$5:$A$604,"&lt;"&amp;DATE(YEAR(A113)-1,MONTH(A113)+1,1))=0,"",SUMIFS($E$5:$E$604,$B$5:$B$604,B113,$A$5:$A$604,"&gt;="&amp;DATE(YEAR(A113)-1,MONTH(A113),1),$A$5:$A$604,"&lt;"&amp;DATE(YEAR(A113)-1,MONTH(A113)+1,1))))</f>
        <v/>
      </c>
      <c r="I113" s="19" t="str">
        <f aca="false">IF(OR(H113="",E113=""),"",E113/H113-1)</f>
        <v/>
      </c>
    </row>
    <row r="114" customFormat="false" ht="15" hidden="false" customHeight="false" outlineLevel="0" collapsed="false">
      <c r="A114" s="12"/>
      <c r="B114" s="13"/>
      <c r="C114" s="14"/>
      <c r="D114" s="14"/>
      <c r="E114" s="15"/>
      <c r="F114" s="16" t="str">
        <f aca="false">IF(OR(C114="",D114=""),"",D114-C114)</f>
        <v/>
      </c>
      <c r="G114" s="17" t="str">
        <f aca="false">IF(OR(F114="",F114=0),"",E114/F114)</f>
        <v/>
      </c>
      <c r="H114" s="18" t="str">
        <f aca="false">IF(OR(A114="",B114=""),"",IF(SUMIFS($E$5:$E$604,$B$5:$B$604,B114,$A$5:$A$604,"&gt;="&amp;DATE(YEAR(A114)-1,MONTH(A114),1),$A$5:$A$604,"&lt;"&amp;DATE(YEAR(A114)-1,MONTH(A114)+1,1))=0,"",SUMIFS($E$5:$E$604,$B$5:$B$604,B114,$A$5:$A$604,"&gt;="&amp;DATE(YEAR(A114)-1,MONTH(A114),1),$A$5:$A$604,"&lt;"&amp;DATE(YEAR(A114)-1,MONTH(A114)+1,1))))</f>
        <v/>
      </c>
      <c r="I114" s="19" t="str">
        <f aca="false">IF(OR(H114="",E114=""),"",E114/H114-1)</f>
        <v/>
      </c>
    </row>
    <row r="115" customFormat="false" ht="15" hidden="false" customHeight="false" outlineLevel="0" collapsed="false">
      <c r="A115" s="12"/>
      <c r="B115" s="13"/>
      <c r="C115" s="14"/>
      <c r="D115" s="14"/>
      <c r="E115" s="15"/>
      <c r="F115" s="16" t="str">
        <f aca="false">IF(OR(C115="",D115=""),"",D115-C115)</f>
        <v/>
      </c>
      <c r="G115" s="17" t="str">
        <f aca="false">IF(OR(F115="",F115=0),"",E115/F115)</f>
        <v/>
      </c>
      <c r="H115" s="18" t="str">
        <f aca="false">IF(OR(A115="",B115=""),"",IF(SUMIFS($E$5:$E$604,$B$5:$B$604,B115,$A$5:$A$604,"&gt;="&amp;DATE(YEAR(A115)-1,MONTH(A115),1),$A$5:$A$604,"&lt;"&amp;DATE(YEAR(A115)-1,MONTH(A115)+1,1))=0,"",SUMIFS($E$5:$E$604,$B$5:$B$604,B115,$A$5:$A$604,"&gt;="&amp;DATE(YEAR(A115)-1,MONTH(A115),1),$A$5:$A$604,"&lt;"&amp;DATE(YEAR(A115)-1,MONTH(A115)+1,1))))</f>
        <v/>
      </c>
      <c r="I115" s="19" t="str">
        <f aca="false">IF(OR(H115="",E115=""),"",E115/H115-1)</f>
        <v/>
      </c>
    </row>
    <row r="116" customFormat="false" ht="15" hidden="false" customHeight="false" outlineLevel="0" collapsed="false">
      <c r="A116" s="12"/>
      <c r="B116" s="13"/>
      <c r="C116" s="14"/>
      <c r="D116" s="14"/>
      <c r="E116" s="15"/>
      <c r="F116" s="16" t="str">
        <f aca="false">IF(OR(C116="",D116=""),"",D116-C116)</f>
        <v/>
      </c>
      <c r="G116" s="17" t="str">
        <f aca="false">IF(OR(F116="",F116=0),"",E116/F116)</f>
        <v/>
      </c>
      <c r="H116" s="18" t="str">
        <f aca="false">IF(OR(A116="",B116=""),"",IF(SUMIFS($E$5:$E$604,$B$5:$B$604,B116,$A$5:$A$604,"&gt;="&amp;DATE(YEAR(A116)-1,MONTH(A116),1),$A$5:$A$604,"&lt;"&amp;DATE(YEAR(A116)-1,MONTH(A116)+1,1))=0,"",SUMIFS($E$5:$E$604,$B$5:$B$604,B116,$A$5:$A$604,"&gt;="&amp;DATE(YEAR(A116)-1,MONTH(A116),1),$A$5:$A$604,"&lt;"&amp;DATE(YEAR(A116)-1,MONTH(A116)+1,1))))</f>
        <v/>
      </c>
      <c r="I116" s="19" t="str">
        <f aca="false">IF(OR(H116="",E116=""),"",E116/H116-1)</f>
        <v/>
      </c>
    </row>
    <row r="117" customFormat="false" ht="15" hidden="false" customHeight="false" outlineLevel="0" collapsed="false">
      <c r="A117" s="12"/>
      <c r="B117" s="13"/>
      <c r="C117" s="14"/>
      <c r="D117" s="14"/>
      <c r="E117" s="15"/>
      <c r="F117" s="16" t="str">
        <f aca="false">IF(OR(C117="",D117=""),"",D117-C117)</f>
        <v/>
      </c>
      <c r="G117" s="17" t="str">
        <f aca="false">IF(OR(F117="",F117=0),"",E117/F117)</f>
        <v/>
      </c>
      <c r="H117" s="18" t="str">
        <f aca="false">IF(OR(A117="",B117=""),"",IF(SUMIFS($E$5:$E$604,$B$5:$B$604,B117,$A$5:$A$604,"&gt;="&amp;DATE(YEAR(A117)-1,MONTH(A117),1),$A$5:$A$604,"&lt;"&amp;DATE(YEAR(A117)-1,MONTH(A117)+1,1))=0,"",SUMIFS($E$5:$E$604,$B$5:$B$604,B117,$A$5:$A$604,"&gt;="&amp;DATE(YEAR(A117)-1,MONTH(A117),1),$A$5:$A$604,"&lt;"&amp;DATE(YEAR(A117)-1,MONTH(A117)+1,1))))</f>
        <v/>
      </c>
      <c r="I117" s="19" t="str">
        <f aca="false">IF(OR(H117="",E117=""),"",E117/H117-1)</f>
        <v/>
      </c>
    </row>
    <row r="118" customFormat="false" ht="15" hidden="false" customHeight="false" outlineLevel="0" collapsed="false">
      <c r="A118" s="12"/>
      <c r="B118" s="13"/>
      <c r="C118" s="14"/>
      <c r="D118" s="14"/>
      <c r="E118" s="15"/>
      <c r="F118" s="16" t="str">
        <f aca="false">IF(OR(C118="",D118=""),"",D118-C118)</f>
        <v/>
      </c>
      <c r="G118" s="17" t="str">
        <f aca="false">IF(OR(F118="",F118=0),"",E118/F118)</f>
        <v/>
      </c>
      <c r="H118" s="18" t="str">
        <f aca="false">IF(OR(A118="",B118=""),"",IF(SUMIFS($E$5:$E$604,$B$5:$B$604,B118,$A$5:$A$604,"&gt;="&amp;DATE(YEAR(A118)-1,MONTH(A118),1),$A$5:$A$604,"&lt;"&amp;DATE(YEAR(A118)-1,MONTH(A118)+1,1))=0,"",SUMIFS($E$5:$E$604,$B$5:$B$604,B118,$A$5:$A$604,"&gt;="&amp;DATE(YEAR(A118)-1,MONTH(A118),1),$A$5:$A$604,"&lt;"&amp;DATE(YEAR(A118)-1,MONTH(A118)+1,1))))</f>
        <v/>
      </c>
      <c r="I118" s="19" t="str">
        <f aca="false">IF(OR(H118="",E118=""),"",E118/H118-1)</f>
        <v/>
      </c>
    </row>
    <row r="119" customFormat="false" ht="15" hidden="false" customHeight="false" outlineLevel="0" collapsed="false">
      <c r="A119" s="12"/>
      <c r="B119" s="13"/>
      <c r="C119" s="14"/>
      <c r="D119" s="14"/>
      <c r="E119" s="15"/>
      <c r="F119" s="16" t="str">
        <f aca="false">IF(OR(C119="",D119=""),"",D119-C119)</f>
        <v/>
      </c>
      <c r="G119" s="17" t="str">
        <f aca="false">IF(OR(F119="",F119=0),"",E119/F119)</f>
        <v/>
      </c>
      <c r="H119" s="18" t="str">
        <f aca="false">IF(OR(A119="",B119=""),"",IF(SUMIFS($E$5:$E$604,$B$5:$B$604,B119,$A$5:$A$604,"&gt;="&amp;DATE(YEAR(A119)-1,MONTH(A119),1),$A$5:$A$604,"&lt;"&amp;DATE(YEAR(A119)-1,MONTH(A119)+1,1))=0,"",SUMIFS($E$5:$E$604,$B$5:$B$604,B119,$A$5:$A$604,"&gt;="&amp;DATE(YEAR(A119)-1,MONTH(A119),1),$A$5:$A$604,"&lt;"&amp;DATE(YEAR(A119)-1,MONTH(A119)+1,1))))</f>
        <v/>
      </c>
      <c r="I119" s="19" t="str">
        <f aca="false">IF(OR(H119="",E119=""),"",E119/H119-1)</f>
        <v/>
      </c>
    </row>
    <row r="120" customFormat="false" ht="15" hidden="false" customHeight="false" outlineLevel="0" collapsed="false">
      <c r="A120" s="12"/>
      <c r="B120" s="13"/>
      <c r="C120" s="14"/>
      <c r="D120" s="14"/>
      <c r="E120" s="15"/>
      <c r="F120" s="16" t="str">
        <f aca="false">IF(OR(C120="",D120=""),"",D120-C120)</f>
        <v/>
      </c>
      <c r="G120" s="17" t="str">
        <f aca="false">IF(OR(F120="",F120=0),"",E120/F120)</f>
        <v/>
      </c>
      <c r="H120" s="18" t="str">
        <f aca="false">IF(OR(A120="",B120=""),"",IF(SUMIFS($E$5:$E$604,$B$5:$B$604,B120,$A$5:$A$604,"&gt;="&amp;DATE(YEAR(A120)-1,MONTH(A120),1),$A$5:$A$604,"&lt;"&amp;DATE(YEAR(A120)-1,MONTH(A120)+1,1))=0,"",SUMIFS($E$5:$E$604,$B$5:$B$604,B120,$A$5:$A$604,"&gt;="&amp;DATE(YEAR(A120)-1,MONTH(A120),1),$A$5:$A$604,"&lt;"&amp;DATE(YEAR(A120)-1,MONTH(A120)+1,1))))</f>
        <v/>
      </c>
      <c r="I120" s="19" t="str">
        <f aca="false">IF(OR(H120="",E120=""),"",E120/H120-1)</f>
        <v/>
      </c>
    </row>
    <row r="121" customFormat="false" ht="15" hidden="false" customHeight="false" outlineLevel="0" collapsed="false">
      <c r="A121" s="12"/>
      <c r="B121" s="13"/>
      <c r="C121" s="14"/>
      <c r="D121" s="14"/>
      <c r="E121" s="15"/>
      <c r="F121" s="16" t="str">
        <f aca="false">IF(OR(C121="",D121=""),"",D121-C121)</f>
        <v/>
      </c>
      <c r="G121" s="17" t="str">
        <f aca="false">IF(OR(F121="",F121=0),"",E121/F121)</f>
        <v/>
      </c>
      <c r="H121" s="18" t="str">
        <f aca="false">IF(OR(A121="",B121=""),"",IF(SUMIFS($E$5:$E$604,$B$5:$B$604,B121,$A$5:$A$604,"&gt;="&amp;DATE(YEAR(A121)-1,MONTH(A121),1),$A$5:$A$604,"&lt;"&amp;DATE(YEAR(A121)-1,MONTH(A121)+1,1))=0,"",SUMIFS($E$5:$E$604,$B$5:$B$604,B121,$A$5:$A$604,"&gt;="&amp;DATE(YEAR(A121)-1,MONTH(A121),1),$A$5:$A$604,"&lt;"&amp;DATE(YEAR(A121)-1,MONTH(A121)+1,1))))</f>
        <v/>
      </c>
      <c r="I121" s="19" t="str">
        <f aca="false">IF(OR(H121="",E121=""),"",E121/H121-1)</f>
        <v/>
      </c>
    </row>
    <row r="122" customFormat="false" ht="15" hidden="false" customHeight="false" outlineLevel="0" collapsed="false">
      <c r="A122" s="12"/>
      <c r="B122" s="13"/>
      <c r="C122" s="14"/>
      <c r="D122" s="14"/>
      <c r="E122" s="15"/>
      <c r="F122" s="16" t="str">
        <f aca="false">IF(OR(C122="",D122=""),"",D122-C122)</f>
        <v/>
      </c>
      <c r="G122" s="17" t="str">
        <f aca="false">IF(OR(F122="",F122=0),"",E122/F122)</f>
        <v/>
      </c>
      <c r="H122" s="18" t="str">
        <f aca="false">IF(OR(A122="",B122=""),"",IF(SUMIFS($E$5:$E$604,$B$5:$B$604,B122,$A$5:$A$604,"&gt;="&amp;DATE(YEAR(A122)-1,MONTH(A122),1),$A$5:$A$604,"&lt;"&amp;DATE(YEAR(A122)-1,MONTH(A122)+1,1))=0,"",SUMIFS($E$5:$E$604,$B$5:$B$604,B122,$A$5:$A$604,"&gt;="&amp;DATE(YEAR(A122)-1,MONTH(A122),1),$A$5:$A$604,"&lt;"&amp;DATE(YEAR(A122)-1,MONTH(A122)+1,1))))</f>
        <v/>
      </c>
      <c r="I122" s="19" t="str">
        <f aca="false">IF(OR(H122="",E122=""),"",E122/H122-1)</f>
        <v/>
      </c>
    </row>
    <row r="123" customFormat="false" ht="15" hidden="false" customHeight="false" outlineLevel="0" collapsed="false">
      <c r="A123" s="12"/>
      <c r="B123" s="13"/>
      <c r="C123" s="14"/>
      <c r="D123" s="14"/>
      <c r="E123" s="15"/>
      <c r="F123" s="16" t="str">
        <f aca="false">IF(OR(C123="",D123=""),"",D123-C123)</f>
        <v/>
      </c>
      <c r="G123" s="17" t="str">
        <f aca="false">IF(OR(F123="",F123=0),"",E123/F123)</f>
        <v/>
      </c>
      <c r="H123" s="18" t="str">
        <f aca="false">IF(OR(A123="",B123=""),"",IF(SUMIFS($E$5:$E$604,$B$5:$B$604,B123,$A$5:$A$604,"&gt;="&amp;DATE(YEAR(A123)-1,MONTH(A123),1),$A$5:$A$604,"&lt;"&amp;DATE(YEAR(A123)-1,MONTH(A123)+1,1))=0,"",SUMIFS($E$5:$E$604,$B$5:$B$604,B123,$A$5:$A$604,"&gt;="&amp;DATE(YEAR(A123)-1,MONTH(A123),1),$A$5:$A$604,"&lt;"&amp;DATE(YEAR(A123)-1,MONTH(A123)+1,1))))</f>
        <v/>
      </c>
      <c r="I123" s="19" t="str">
        <f aca="false">IF(OR(H123="",E123=""),"",E123/H123-1)</f>
        <v/>
      </c>
    </row>
    <row r="124" customFormat="false" ht="15" hidden="false" customHeight="false" outlineLevel="0" collapsed="false">
      <c r="A124" s="12"/>
      <c r="B124" s="13"/>
      <c r="C124" s="14"/>
      <c r="D124" s="14"/>
      <c r="E124" s="15"/>
      <c r="F124" s="16" t="str">
        <f aca="false">IF(OR(C124="",D124=""),"",D124-C124)</f>
        <v/>
      </c>
      <c r="G124" s="17" t="str">
        <f aca="false">IF(OR(F124="",F124=0),"",E124/F124)</f>
        <v/>
      </c>
      <c r="H124" s="18" t="str">
        <f aca="false">IF(OR(A124="",B124=""),"",IF(SUMIFS($E$5:$E$604,$B$5:$B$604,B124,$A$5:$A$604,"&gt;="&amp;DATE(YEAR(A124)-1,MONTH(A124),1),$A$5:$A$604,"&lt;"&amp;DATE(YEAR(A124)-1,MONTH(A124)+1,1))=0,"",SUMIFS($E$5:$E$604,$B$5:$B$604,B124,$A$5:$A$604,"&gt;="&amp;DATE(YEAR(A124)-1,MONTH(A124),1),$A$5:$A$604,"&lt;"&amp;DATE(YEAR(A124)-1,MONTH(A124)+1,1))))</f>
        <v/>
      </c>
      <c r="I124" s="19" t="str">
        <f aca="false">IF(OR(H124="",E124=""),"",E124/H124-1)</f>
        <v/>
      </c>
    </row>
    <row r="125" customFormat="false" ht="15" hidden="false" customHeight="false" outlineLevel="0" collapsed="false">
      <c r="A125" s="12"/>
      <c r="B125" s="13"/>
      <c r="C125" s="14"/>
      <c r="D125" s="14"/>
      <c r="E125" s="15"/>
      <c r="F125" s="16" t="str">
        <f aca="false">IF(OR(C125="",D125=""),"",D125-C125)</f>
        <v/>
      </c>
      <c r="G125" s="17" t="str">
        <f aca="false">IF(OR(F125="",F125=0),"",E125/F125)</f>
        <v/>
      </c>
      <c r="H125" s="18" t="str">
        <f aca="false">IF(OR(A125="",B125=""),"",IF(SUMIFS($E$5:$E$604,$B$5:$B$604,B125,$A$5:$A$604,"&gt;="&amp;DATE(YEAR(A125)-1,MONTH(A125),1),$A$5:$A$604,"&lt;"&amp;DATE(YEAR(A125)-1,MONTH(A125)+1,1))=0,"",SUMIFS($E$5:$E$604,$B$5:$B$604,B125,$A$5:$A$604,"&gt;="&amp;DATE(YEAR(A125)-1,MONTH(A125),1),$A$5:$A$604,"&lt;"&amp;DATE(YEAR(A125)-1,MONTH(A125)+1,1))))</f>
        <v/>
      </c>
      <c r="I125" s="19" t="str">
        <f aca="false">IF(OR(H125="",E125=""),"",E125/H125-1)</f>
        <v/>
      </c>
    </row>
    <row r="126" customFormat="false" ht="15" hidden="false" customHeight="false" outlineLevel="0" collapsed="false">
      <c r="A126" s="12"/>
      <c r="B126" s="13"/>
      <c r="C126" s="14"/>
      <c r="D126" s="14"/>
      <c r="E126" s="15"/>
      <c r="F126" s="16" t="str">
        <f aca="false">IF(OR(C126="",D126=""),"",D126-C126)</f>
        <v/>
      </c>
      <c r="G126" s="17" t="str">
        <f aca="false">IF(OR(F126="",F126=0),"",E126/F126)</f>
        <v/>
      </c>
      <c r="H126" s="18" t="str">
        <f aca="false">IF(OR(A126="",B126=""),"",IF(SUMIFS($E$5:$E$604,$B$5:$B$604,B126,$A$5:$A$604,"&gt;="&amp;DATE(YEAR(A126)-1,MONTH(A126),1),$A$5:$A$604,"&lt;"&amp;DATE(YEAR(A126)-1,MONTH(A126)+1,1))=0,"",SUMIFS($E$5:$E$604,$B$5:$B$604,B126,$A$5:$A$604,"&gt;="&amp;DATE(YEAR(A126)-1,MONTH(A126),1),$A$5:$A$604,"&lt;"&amp;DATE(YEAR(A126)-1,MONTH(A126)+1,1))))</f>
        <v/>
      </c>
      <c r="I126" s="19" t="str">
        <f aca="false">IF(OR(H126="",E126=""),"",E126/H126-1)</f>
        <v/>
      </c>
    </row>
    <row r="127" customFormat="false" ht="15" hidden="false" customHeight="false" outlineLevel="0" collapsed="false">
      <c r="A127" s="12"/>
      <c r="B127" s="13"/>
      <c r="C127" s="14"/>
      <c r="D127" s="14"/>
      <c r="E127" s="15"/>
      <c r="F127" s="16" t="str">
        <f aca="false">IF(OR(C127="",D127=""),"",D127-C127)</f>
        <v/>
      </c>
      <c r="G127" s="17" t="str">
        <f aca="false">IF(OR(F127="",F127=0),"",E127/F127)</f>
        <v/>
      </c>
      <c r="H127" s="18" t="str">
        <f aca="false">IF(OR(A127="",B127=""),"",IF(SUMIFS($E$5:$E$604,$B$5:$B$604,B127,$A$5:$A$604,"&gt;="&amp;DATE(YEAR(A127)-1,MONTH(A127),1),$A$5:$A$604,"&lt;"&amp;DATE(YEAR(A127)-1,MONTH(A127)+1,1))=0,"",SUMIFS($E$5:$E$604,$B$5:$B$604,B127,$A$5:$A$604,"&gt;="&amp;DATE(YEAR(A127)-1,MONTH(A127),1),$A$5:$A$604,"&lt;"&amp;DATE(YEAR(A127)-1,MONTH(A127)+1,1))))</f>
        <v/>
      </c>
      <c r="I127" s="19" t="str">
        <f aca="false">IF(OR(H127="",E127=""),"",E127/H127-1)</f>
        <v/>
      </c>
    </row>
    <row r="128" customFormat="false" ht="15" hidden="false" customHeight="false" outlineLevel="0" collapsed="false">
      <c r="A128" s="12"/>
      <c r="B128" s="13"/>
      <c r="C128" s="14"/>
      <c r="D128" s="14"/>
      <c r="E128" s="15"/>
      <c r="F128" s="16" t="str">
        <f aca="false">IF(OR(C128="",D128=""),"",D128-C128)</f>
        <v/>
      </c>
      <c r="G128" s="17" t="str">
        <f aca="false">IF(OR(F128="",F128=0),"",E128/F128)</f>
        <v/>
      </c>
      <c r="H128" s="18" t="str">
        <f aca="false">IF(OR(A128="",B128=""),"",IF(SUMIFS($E$5:$E$604,$B$5:$B$604,B128,$A$5:$A$604,"&gt;="&amp;DATE(YEAR(A128)-1,MONTH(A128),1),$A$5:$A$604,"&lt;"&amp;DATE(YEAR(A128)-1,MONTH(A128)+1,1))=0,"",SUMIFS($E$5:$E$604,$B$5:$B$604,B128,$A$5:$A$604,"&gt;="&amp;DATE(YEAR(A128)-1,MONTH(A128),1),$A$5:$A$604,"&lt;"&amp;DATE(YEAR(A128)-1,MONTH(A128)+1,1))))</f>
        <v/>
      </c>
      <c r="I128" s="19" t="str">
        <f aca="false">IF(OR(H128="",E128=""),"",E128/H128-1)</f>
        <v/>
      </c>
    </row>
    <row r="129" customFormat="false" ht="15" hidden="false" customHeight="false" outlineLevel="0" collapsed="false">
      <c r="A129" s="12"/>
      <c r="B129" s="13"/>
      <c r="C129" s="14"/>
      <c r="D129" s="14"/>
      <c r="E129" s="15"/>
      <c r="F129" s="16" t="str">
        <f aca="false">IF(OR(C129="",D129=""),"",D129-C129)</f>
        <v/>
      </c>
      <c r="G129" s="17" t="str">
        <f aca="false">IF(OR(F129="",F129=0),"",E129/F129)</f>
        <v/>
      </c>
      <c r="H129" s="18" t="str">
        <f aca="false">IF(OR(A129="",B129=""),"",IF(SUMIFS($E$5:$E$604,$B$5:$B$604,B129,$A$5:$A$604,"&gt;="&amp;DATE(YEAR(A129)-1,MONTH(A129),1),$A$5:$A$604,"&lt;"&amp;DATE(YEAR(A129)-1,MONTH(A129)+1,1))=0,"",SUMIFS($E$5:$E$604,$B$5:$B$604,B129,$A$5:$A$604,"&gt;="&amp;DATE(YEAR(A129)-1,MONTH(A129),1),$A$5:$A$604,"&lt;"&amp;DATE(YEAR(A129)-1,MONTH(A129)+1,1))))</f>
        <v/>
      </c>
      <c r="I129" s="19" t="str">
        <f aca="false">IF(OR(H129="",E129=""),"",E129/H129-1)</f>
        <v/>
      </c>
    </row>
    <row r="130" customFormat="false" ht="15" hidden="false" customHeight="false" outlineLevel="0" collapsed="false">
      <c r="A130" s="12"/>
      <c r="B130" s="13"/>
      <c r="C130" s="14"/>
      <c r="D130" s="14"/>
      <c r="E130" s="15"/>
      <c r="F130" s="16" t="str">
        <f aca="false">IF(OR(C130="",D130=""),"",D130-C130)</f>
        <v/>
      </c>
      <c r="G130" s="17" t="str">
        <f aca="false">IF(OR(F130="",F130=0),"",E130/F130)</f>
        <v/>
      </c>
      <c r="H130" s="18" t="str">
        <f aca="false">IF(OR(A130="",B130=""),"",IF(SUMIFS($E$5:$E$604,$B$5:$B$604,B130,$A$5:$A$604,"&gt;="&amp;DATE(YEAR(A130)-1,MONTH(A130),1),$A$5:$A$604,"&lt;"&amp;DATE(YEAR(A130)-1,MONTH(A130)+1,1))=0,"",SUMIFS($E$5:$E$604,$B$5:$B$604,B130,$A$5:$A$604,"&gt;="&amp;DATE(YEAR(A130)-1,MONTH(A130),1),$A$5:$A$604,"&lt;"&amp;DATE(YEAR(A130)-1,MONTH(A130)+1,1))))</f>
        <v/>
      </c>
      <c r="I130" s="19" t="str">
        <f aca="false">IF(OR(H130="",E130=""),"",E130/H130-1)</f>
        <v/>
      </c>
    </row>
    <row r="131" customFormat="false" ht="15" hidden="false" customHeight="false" outlineLevel="0" collapsed="false">
      <c r="A131" s="12"/>
      <c r="B131" s="13"/>
      <c r="C131" s="14"/>
      <c r="D131" s="14"/>
      <c r="E131" s="15"/>
      <c r="F131" s="16" t="str">
        <f aca="false">IF(OR(C131="",D131=""),"",D131-C131)</f>
        <v/>
      </c>
      <c r="G131" s="17" t="str">
        <f aca="false">IF(OR(F131="",F131=0),"",E131/F131)</f>
        <v/>
      </c>
      <c r="H131" s="18" t="str">
        <f aca="false">IF(OR(A131="",B131=""),"",IF(SUMIFS($E$5:$E$604,$B$5:$B$604,B131,$A$5:$A$604,"&gt;="&amp;DATE(YEAR(A131)-1,MONTH(A131),1),$A$5:$A$604,"&lt;"&amp;DATE(YEAR(A131)-1,MONTH(A131)+1,1))=0,"",SUMIFS($E$5:$E$604,$B$5:$B$604,B131,$A$5:$A$604,"&gt;="&amp;DATE(YEAR(A131)-1,MONTH(A131),1),$A$5:$A$604,"&lt;"&amp;DATE(YEAR(A131)-1,MONTH(A131)+1,1))))</f>
        <v/>
      </c>
      <c r="I131" s="19" t="str">
        <f aca="false">IF(OR(H131="",E131=""),"",E131/H131-1)</f>
        <v/>
      </c>
    </row>
    <row r="132" customFormat="false" ht="15" hidden="false" customHeight="false" outlineLevel="0" collapsed="false">
      <c r="A132" s="12"/>
      <c r="B132" s="13"/>
      <c r="C132" s="14"/>
      <c r="D132" s="14"/>
      <c r="E132" s="15"/>
      <c r="F132" s="16" t="str">
        <f aca="false">IF(OR(C132="",D132=""),"",D132-C132)</f>
        <v/>
      </c>
      <c r="G132" s="17" t="str">
        <f aca="false">IF(OR(F132="",F132=0),"",E132/F132)</f>
        <v/>
      </c>
      <c r="H132" s="18" t="str">
        <f aca="false">IF(OR(A132="",B132=""),"",IF(SUMIFS($E$5:$E$604,$B$5:$B$604,B132,$A$5:$A$604,"&gt;="&amp;DATE(YEAR(A132)-1,MONTH(A132),1),$A$5:$A$604,"&lt;"&amp;DATE(YEAR(A132)-1,MONTH(A132)+1,1))=0,"",SUMIFS($E$5:$E$604,$B$5:$B$604,B132,$A$5:$A$604,"&gt;="&amp;DATE(YEAR(A132)-1,MONTH(A132),1),$A$5:$A$604,"&lt;"&amp;DATE(YEAR(A132)-1,MONTH(A132)+1,1))))</f>
        <v/>
      </c>
      <c r="I132" s="19" t="str">
        <f aca="false">IF(OR(H132="",E132=""),"",E132/H132-1)</f>
        <v/>
      </c>
    </row>
    <row r="133" customFormat="false" ht="15" hidden="false" customHeight="false" outlineLevel="0" collapsed="false">
      <c r="A133" s="12"/>
      <c r="B133" s="13"/>
      <c r="C133" s="14"/>
      <c r="D133" s="14"/>
      <c r="E133" s="15"/>
      <c r="F133" s="16" t="str">
        <f aca="false">IF(OR(C133="",D133=""),"",D133-C133)</f>
        <v/>
      </c>
      <c r="G133" s="17" t="str">
        <f aca="false">IF(OR(F133="",F133=0),"",E133/F133)</f>
        <v/>
      </c>
      <c r="H133" s="18" t="str">
        <f aca="false">IF(OR(A133="",B133=""),"",IF(SUMIFS($E$5:$E$604,$B$5:$B$604,B133,$A$5:$A$604,"&gt;="&amp;DATE(YEAR(A133)-1,MONTH(A133),1),$A$5:$A$604,"&lt;"&amp;DATE(YEAR(A133)-1,MONTH(A133)+1,1))=0,"",SUMIFS($E$5:$E$604,$B$5:$B$604,B133,$A$5:$A$604,"&gt;="&amp;DATE(YEAR(A133)-1,MONTH(A133),1),$A$5:$A$604,"&lt;"&amp;DATE(YEAR(A133)-1,MONTH(A133)+1,1))))</f>
        <v/>
      </c>
      <c r="I133" s="19" t="str">
        <f aca="false">IF(OR(H133="",E133=""),"",E133/H133-1)</f>
        <v/>
      </c>
    </row>
    <row r="134" customFormat="false" ht="15" hidden="false" customHeight="false" outlineLevel="0" collapsed="false">
      <c r="A134" s="12"/>
      <c r="B134" s="13"/>
      <c r="C134" s="14"/>
      <c r="D134" s="14"/>
      <c r="E134" s="15"/>
      <c r="F134" s="16" t="str">
        <f aca="false">IF(OR(C134="",D134=""),"",D134-C134)</f>
        <v/>
      </c>
      <c r="G134" s="17" t="str">
        <f aca="false">IF(OR(F134="",F134=0),"",E134/F134)</f>
        <v/>
      </c>
      <c r="H134" s="18" t="str">
        <f aca="false">IF(OR(A134="",B134=""),"",IF(SUMIFS($E$5:$E$604,$B$5:$B$604,B134,$A$5:$A$604,"&gt;="&amp;DATE(YEAR(A134)-1,MONTH(A134),1),$A$5:$A$604,"&lt;"&amp;DATE(YEAR(A134)-1,MONTH(A134)+1,1))=0,"",SUMIFS($E$5:$E$604,$B$5:$B$604,B134,$A$5:$A$604,"&gt;="&amp;DATE(YEAR(A134)-1,MONTH(A134),1),$A$5:$A$604,"&lt;"&amp;DATE(YEAR(A134)-1,MONTH(A134)+1,1))))</f>
        <v/>
      </c>
      <c r="I134" s="19" t="str">
        <f aca="false">IF(OR(H134="",E134=""),"",E134/H134-1)</f>
        <v/>
      </c>
    </row>
    <row r="135" customFormat="false" ht="15" hidden="false" customHeight="false" outlineLevel="0" collapsed="false">
      <c r="A135" s="12"/>
      <c r="B135" s="13"/>
      <c r="C135" s="14"/>
      <c r="D135" s="14"/>
      <c r="E135" s="15"/>
      <c r="F135" s="16" t="str">
        <f aca="false">IF(OR(C135="",D135=""),"",D135-C135)</f>
        <v/>
      </c>
      <c r="G135" s="17" t="str">
        <f aca="false">IF(OR(F135="",F135=0),"",E135/F135)</f>
        <v/>
      </c>
      <c r="H135" s="18" t="str">
        <f aca="false">IF(OR(A135="",B135=""),"",IF(SUMIFS($E$5:$E$604,$B$5:$B$604,B135,$A$5:$A$604,"&gt;="&amp;DATE(YEAR(A135)-1,MONTH(A135),1),$A$5:$A$604,"&lt;"&amp;DATE(YEAR(A135)-1,MONTH(A135)+1,1))=0,"",SUMIFS($E$5:$E$604,$B$5:$B$604,B135,$A$5:$A$604,"&gt;="&amp;DATE(YEAR(A135)-1,MONTH(A135),1),$A$5:$A$604,"&lt;"&amp;DATE(YEAR(A135)-1,MONTH(A135)+1,1))))</f>
        <v/>
      </c>
      <c r="I135" s="19" t="str">
        <f aca="false">IF(OR(H135="",E135=""),"",E135/H135-1)</f>
        <v/>
      </c>
    </row>
    <row r="136" customFormat="false" ht="15" hidden="false" customHeight="false" outlineLevel="0" collapsed="false">
      <c r="A136" s="12"/>
      <c r="B136" s="13"/>
      <c r="C136" s="14"/>
      <c r="D136" s="14"/>
      <c r="E136" s="15"/>
      <c r="F136" s="16" t="str">
        <f aca="false">IF(OR(C136="",D136=""),"",D136-C136)</f>
        <v/>
      </c>
      <c r="G136" s="17" t="str">
        <f aca="false">IF(OR(F136="",F136=0),"",E136/F136)</f>
        <v/>
      </c>
      <c r="H136" s="18" t="str">
        <f aca="false">IF(OR(A136="",B136=""),"",IF(SUMIFS($E$5:$E$604,$B$5:$B$604,B136,$A$5:$A$604,"&gt;="&amp;DATE(YEAR(A136)-1,MONTH(A136),1),$A$5:$A$604,"&lt;"&amp;DATE(YEAR(A136)-1,MONTH(A136)+1,1))=0,"",SUMIFS($E$5:$E$604,$B$5:$B$604,B136,$A$5:$A$604,"&gt;="&amp;DATE(YEAR(A136)-1,MONTH(A136),1),$A$5:$A$604,"&lt;"&amp;DATE(YEAR(A136)-1,MONTH(A136)+1,1))))</f>
        <v/>
      </c>
      <c r="I136" s="19" t="str">
        <f aca="false">IF(OR(H136="",E136=""),"",E136/H136-1)</f>
        <v/>
      </c>
    </row>
    <row r="137" customFormat="false" ht="15" hidden="false" customHeight="false" outlineLevel="0" collapsed="false">
      <c r="A137" s="12"/>
      <c r="B137" s="13"/>
      <c r="C137" s="14"/>
      <c r="D137" s="14"/>
      <c r="E137" s="15"/>
      <c r="F137" s="16" t="str">
        <f aca="false">IF(OR(C137="",D137=""),"",D137-C137)</f>
        <v/>
      </c>
      <c r="G137" s="17" t="str">
        <f aca="false">IF(OR(F137="",F137=0),"",E137/F137)</f>
        <v/>
      </c>
      <c r="H137" s="18" t="str">
        <f aca="false">IF(OR(A137="",B137=""),"",IF(SUMIFS($E$5:$E$604,$B$5:$B$604,B137,$A$5:$A$604,"&gt;="&amp;DATE(YEAR(A137)-1,MONTH(A137),1),$A$5:$A$604,"&lt;"&amp;DATE(YEAR(A137)-1,MONTH(A137)+1,1))=0,"",SUMIFS($E$5:$E$604,$B$5:$B$604,B137,$A$5:$A$604,"&gt;="&amp;DATE(YEAR(A137)-1,MONTH(A137),1),$A$5:$A$604,"&lt;"&amp;DATE(YEAR(A137)-1,MONTH(A137)+1,1))))</f>
        <v/>
      </c>
      <c r="I137" s="19" t="str">
        <f aca="false">IF(OR(H137="",E137=""),"",E137/H137-1)</f>
        <v/>
      </c>
    </row>
    <row r="138" customFormat="false" ht="15" hidden="false" customHeight="false" outlineLevel="0" collapsed="false">
      <c r="A138" s="12"/>
      <c r="B138" s="13"/>
      <c r="C138" s="14"/>
      <c r="D138" s="14"/>
      <c r="E138" s="15"/>
      <c r="F138" s="16" t="str">
        <f aca="false">IF(OR(C138="",D138=""),"",D138-C138)</f>
        <v/>
      </c>
      <c r="G138" s="17" t="str">
        <f aca="false">IF(OR(F138="",F138=0),"",E138/F138)</f>
        <v/>
      </c>
      <c r="H138" s="18" t="str">
        <f aca="false">IF(OR(A138="",B138=""),"",IF(SUMIFS($E$5:$E$604,$B$5:$B$604,B138,$A$5:$A$604,"&gt;="&amp;DATE(YEAR(A138)-1,MONTH(A138),1),$A$5:$A$604,"&lt;"&amp;DATE(YEAR(A138)-1,MONTH(A138)+1,1))=0,"",SUMIFS($E$5:$E$604,$B$5:$B$604,B138,$A$5:$A$604,"&gt;="&amp;DATE(YEAR(A138)-1,MONTH(A138),1),$A$5:$A$604,"&lt;"&amp;DATE(YEAR(A138)-1,MONTH(A138)+1,1))))</f>
        <v/>
      </c>
      <c r="I138" s="19" t="str">
        <f aca="false">IF(OR(H138="",E138=""),"",E138/H138-1)</f>
        <v/>
      </c>
    </row>
    <row r="139" customFormat="false" ht="15" hidden="false" customHeight="false" outlineLevel="0" collapsed="false">
      <c r="A139" s="12"/>
      <c r="B139" s="13"/>
      <c r="C139" s="14"/>
      <c r="D139" s="14"/>
      <c r="E139" s="15"/>
      <c r="F139" s="16" t="str">
        <f aca="false">IF(OR(C139="",D139=""),"",D139-C139)</f>
        <v/>
      </c>
      <c r="G139" s="17" t="str">
        <f aca="false">IF(OR(F139="",F139=0),"",E139/F139)</f>
        <v/>
      </c>
      <c r="H139" s="18" t="str">
        <f aca="false">IF(OR(A139="",B139=""),"",IF(SUMIFS($E$5:$E$604,$B$5:$B$604,B139,$A$5:$A$604,"&gt;="&amp;DATE(YEAR(A139)-1,MONTH(A139),1),$A$5:$A$604,"&lt;"&amp;DATE(YEAR(A139)-1,MONTH(A139)+1,1))=0,"",SUMIFS($E$5:$E$604,$B$5:$B$604,B139,$A$5:$A$604,"&gt;="&amp;DATE(YEAR(A139)-1,MONTH(A139),1),$A$5:$A$604,"&lt;"&amp;DATE(YEAR(A139)-1,MONTH(A139)+1,1))))</f>
        <v/>
      </c>
      <c r="I139" s="19" t="str">
        <f aca="false">IF(OR(H139="",E139=""),"",E139/H139-1)</f>
        <v/>
      </c>
    </row>
    <row r="140" customFormat="false" ht="15" hidden="false" customHeight="false" outlineLevel="0" collapsed="false">
      <c r="A140" s="12"/>
      <c r="B140" s="13"/>
      <c r="C140" s="14"/>
      <c r="D140" s="14"/>
      <c r="E140" s="15"/>
      <c r="F140" s="16" t="str">
        <f aca="false">IF(OR(C140="",D140=""),"",D140-C140)</f>
        <v/>
      </c>
      <c r="G140" s="17" t="str">
        <f aca="false">IF(OR(F140="",F140=0),"",E140/F140)</f>
        <v/>
      </c>
      <c r="H140" s="18" t="str">
        <f aca="false">IF(OR(A140="",B140=""),"",IF(SUMIFS($E$5:$E$604,$B$5:$B$604,B140,$A$5:$A$604,"&gt;="&amp;DATE(YEAR(A140)-1,MONTH(A140),1),$A$5:$A$604,"&lt;"&amp;DATE(YEAR(A140)-1,MONTH(A140)+1,1))=0,"",SUMIFS($E$5:$E$604,$B$5:$B$604,B140,$A$5:$A$604,"&gt;="&amp;DATE(YEAR(A140)-1,MONTH(A140),1),$A$5:$A$604,"&lt;"&amp;DATE(YEAR(A140)-1,MONTH(A140)+1,1))))</f>
        <v/>
      </c>
      <c r="I140" s="19" t="str">
        <f aca="false">IF(OR(H140="",E140=""),"",E140/H140-1)</f>
        <v/>
      </c>
    </row>
    <row r="141" customFormat="false" ht="15" hidden="false" customHeight="false" outlineLevel="0" collapsed="false">
      <c r="A141" s="12"/>
      <c r="B141" s="13"/>
      <c r="C141" s="14"/>
      <c r="D141" s="14"/>
      <c r="E141" s="15"/>
      <c r="F141" s="16" t="str">
        <f aca="false">IF(OR(C141="",D141=""),"",D141-C141)</f>
        <v/>
      </c>
      <c r="G141" s="17" t="str">
        <f aca="false">IF(OR(F141="",F141=0),"",E141/F141)</f>
        <v/>
      </c>
      <c r="H141" s="18" t="str">
        <f aca="false">IF(OR(A141="",B141=""),"",IF(SUMIFS($E$5:$E$604,$B$5:$B$604,B141,$A$5:$A$604,"&gt;="&amp;DATE(YEAR(A141)-1,MONTH(A141),1),$A$5:$A$604,"&lt;"&amp;DATE(YEAR(A141)-1,MONTH(A141)+1,1))=0,"",SUMIFS($E$5:$E$604,$B$5:$B$604,B141,$A$5:$A$604,"&gt;="&amp;DATE(YEAR(A141)-1,MONTH(A141),1),$A$5:$A$604,"&lt;"&amp;DATE(YEAR(A141)-1,MONTH(A141)+1,1))))</f>
        <v/>
      </c>
      <c r="I141" s="19" t="str">
        <f aca="false">IF(OR(H141="",E141=""),"",E141/H141-1)</f>
        <v/>
      </c>
    </row>
    <row r="142" customFormat="false" ht="15" hidden="false" customHeight="false" outlineLevel="0" collapsed="false">
      <c r="A142" s="12"/>
      <c r="B142" s="13"/>
      <c r="C142" s="14"/>
      <c r="D142" s="14"/>
      <c r="E142" s="15"/>
      <c r="F142" s="16" t="str">
        <f aca="false">IF(OR(C142="",D142=""),"",D142-C142)</f>
        <v/>
      </c>
      <c r="G142" s="17" t="str">
        <f aca="false">IF(OR(F142="",F142=0),"",E142/F142)</f>
        <v/>
      </c>
      <c r="H142" s="18" t="str">
        <f aca="false">IF(OR(A142="",B142=""),"",IF(SUMIFS($E$5:$E$604,$B$5:$B$604,B142,$A$5:$A$604,"&gt;="&amp;DATE(YEAR(A142)-1,MONTH(A142),1),$A$5:$A$604,"&lt;"&amp;DATE(YEAR(A142)-1,MONTH(A142)+1,1))=0,"",SUMIFS($E$5:$E$604,$B$5:$B$604,B142,$A$5:$A$604,"&gt;="&amp;DATE(YEAR(A142)-1,MONTH(A142),1),$A$5:$A$604,"&lt;"&amp;DATE(YEAR(A142)-1,MONTH(A142)+1,1))))</f>
        <v/>
      </c>
      <c r="I142" s="19" t="str">
        <f aca="false">IF(OR(H142="",E142=""),"",E142/H142-1)</f>
        <v/>
      </c>
    </row>
    <row r="143" customFormat="false" ht="15" hidden="false" customHeight="false" outlineLevel="0" collapsed="false">
      <c r="A143" s="12"/>
      <c r="B143" s="13"/>
      <c r="C143" s="14"/>
      <c r="D143" s="14"/>
      <c r="E143" s="15"/>
      <c r="F143" s="16" t="str">
        <f aca="false">IF(OR(C143="",D143=""),"",D143-C143)</f>
        <v/>
      </c>
      <c r="G143" s="17" t="str">
        <f aca="false">IF(OR(F143="",F143=0),"",E143/F143)</f>
        <v/>
      </c>
      <c r="H143" s="18" t="str">
        <f aca="false">IF(OR(A143="",B143=""),"",IF(SUMIFS($E$5:$E$604,$B$5:$B$604,B143,$A$5:$A$604,"&gt;="&amp;DATE(YEAR(A143)-1,MONTH(A143),1),$A$5:$A$604,"&lt;"&amp;DATE(YEAR(A143)-1,MONTH(A143)+1,1))=0,"",SUMIFS($E$5:$E$604,$B$5:$B$604,B143,$A$5:$A$604,"&gt;="&amp;DATE(YEAR(A143)-1,MONTH(A143),1),$A$5:$A$604,"&lt;"&amp;DATE(YEAR(A143)-1,MONTH(A143)+1,1))))</f>
        <v/>
      </c>
      <c r="I143" s="19" t="str">
        <f aca="false">IF(OR(H143="",E143=""),"",E143/H143-1)</f>
        <v/>
      </c>
    </row>
    <row r="144" customFormat="false" ht="15" hidden="false" customHeight="false" outlineLevel="0" collapsed="false">
      <c r="A144" s="12"/>
      <c r="B144" s="13"/>
      <c r="C144" s="14"/>
      <c r="D144" s="14"/>
      <c r="E144" s="15"/>
      <c r="F144" s="16" t="str">
        <f aca="false">IF(OR(C144="",D144=""),"",D144-C144)</f>
        <v/>
      </c>
      <c r="G144" s="17" t="str">
        <f aca="false">IF(OR(F144="",F144=0),"",E144/F144)</f>
        <v/>
      </c>
      <c r="H144" s="18" t="str">
        <f aca="false">IF(OR(A144="",B144=""),"",IF(SUMIFS($E$5:$E$604,$B$5:$B$604,B144,$A$5:$A$604,"&gt;="&amp;DATE(YEAR(A144)-1,MONTH(A144),1),$A$5:$A$604,"&lt;"&amp;DATE(YEAR(A144)-1,MONTH(A144)+1,1))=0,"",SUMIFS($E$5:$E$604,$B$5:$B$604,B144,$A$5:$A$604,"&gt;="&amp;DATE(YEAR(A144)-1,MONTH(A144),1),$A$5:$A$604,"&lt;"&amp;DATE(YEAR(A144)-1,MONTH(A144)+1,1))))</f>
        <v/>
      </c>
      <c r="I144" s="19" t="str">
        <f aca="false">IF(OR(H144="",E144=""),"",E144/H144-1)</f>
        <v/>
      </c>
    </row>
    <row r="145" customFormat="false" ht="15" hidden="false" customHeight="false" outlineLevel="0" collapsed="false">
      <c r="A145" s="12"/>
      <c r="B145" s="13"/>
      <c r="C145" s="14"/>
      <c r="D145" s="14"/>
      <c r="E145" s="15"/>
      <c r="F145" s="16" t="str">
        <f aca="false">IF(OR(C145="",D145=""),"",D145-C145)</f>
        <v/>
      </c>
      <c r="G145" s="17" t="str">
        <f aca="false">IF(OR(F145="",F145=0),"",E145/F145)</f>
        <v/>
      </c>
      <c r="H145" s="18" t="str">
        <f aca="false">IF(OR(A145="",B145=""),"",IF(SUMIFS($E$5:$E$604,$B$5:$B$604,B145,$A$5:$A$604,"&gt;="&amp;DATE(YEAR(A145)-1,MONTH(A145),1),$A$5:$A$604,"&lt;"&amp;DATE(YEAR(A145)-1,MONTH(A145)+1,1))=0,"",SUMIFS($E$5:$E$604,$B$5:$B$604,B145,$A$5:$A$604,"&gt;="&amp;DATE(YEAR(A145)-1,MONTH(A145),1),$A$5:$A$604,"&lt;"&amp;DATE(YEAR(A145)-1,MONTH(A145)+1,1))))</f>
        <v/>
      </c>
      <c r="I145" s="19" t="str">
        <f aca="false">IF(OR(H145="",E145=""),"",E145/H145-1)</f>
        <v/>
      </c>
    </row>
    <row r="146" customFormat="false" ht="15" hidden="false" customHeight="false" outlineLevel="0" collapsed="false">
      <c r="A146" s="12"/>
      <c r="B146" s="13"/>
      <c r="C146" s="14"/>
      <c r="D146" s="14"/>
      <c r="E146" s="15"/>
      <c r="F146" s="16" t="str">
        <f aca="false">IF(OR(C146="",D146=""),"",D146-C146)</f>
        <v/>
      </c>
      <c r="G146" s="17" t="str">
        <f aca="false">IF(OR(F146="",F146=0),"",E146/F146)</f>
        <v/>
      </c>
      <c r="H146" s="18" t="str">
        <f aca="false">IF(OR(A146="",B146=""),"",IF(SUMIFS($E$5:$E$604,$B$5:$B$604,B146,$A$5:$A$604,"&gt;="&amp;DATE(YEAR(A146)-1,MONTH(A146),1),$A$5:$A$604,"&lt;"&amp;DATE(YEAR(A146)-1,MONTH(A146)+1,1))=0,"",SUMIFS($E$5:$E$604,$B$5:$B$604,B146,$A$5:$A$604,"&gt;="&amp;DATE(YEAR(A146)-1,MONTH(A146),1),$A$5:$A$604,"&lt;"&amp;DATE(YEAR(A146)-1,MONTH(A146)+1,1))))</f>
        <v/>
      </c>
      <c r="I146" s="19" t="str">
        <f aca="false">IF(OR(H146="",E146=""),"",E146/H146-1)</f>
        <v/>
      </c>
    </row>
    <row r="147" customFormat="false" ht="15" hidden="false" customHeight="false" outlineLevel="0" collapsed="false">
      <c r="A147" s="12"/>
      <c r="B147" s="13"/>
      <c r="C147" s="14"/>
      <c r="D147" s="14"/>
      <c r="E147" s="15"/>
      <c r="F147" s="16" t="str">
        <f aca="false">IF(OR(C147="",D147=""),"",D147-C147)</f>
        <v/>
      </c>
      <c r="G147" s="17" t="str">
        <f aca="false">IF(OR(F147="",F147=0),"",E147/F147)</f>
        <v/>
      </c>
      <c r="H147" s="18" t="str">
        <f aca="false">IF(OR(A147="",B147=""),"",IF(SUMIFS($E$5:$E$604,$B$5:$B$604,B147,$A$5:$A$604,"&gt;="&amp;DATE(YEAR(A147)-1,MONTH(A147),1),$A$5:$A$604,"&lt;"&amp;DATE(YEAR(A147)-1,MONTH(A147)+1,1))=0,"",SUMIFS($E$5:$E$604,$B$5:$B$604,B147,$A$5:$A$604,"&gt;="&amp;DATE(YEAR(A147)-1,MONTH(A147),1),$A$5:$A$604,"&lt;"&amp;DATE(YEAR(A147)-1,MONTH(A147)+1,1))))</f>
        <v/>
      </c>
      <c r="I147" s="19" t="str">
        <f aca="false">IF(OR(H147="",E147=""),"",E147/H147-1)</f>
        <v/>
      </c>
    </row>
    <row r="148" customFormat="false" ht="15" hidden="false" customHeight="false" outlineLevel="0" collapsed="false">
      <c r="A148" s="12"/>
      <c r="B148" s="13"/>
      <c r="C148" s="14"/>
      <c r="D148" s="14"/>
      <c r="E148" s="15"/>
      <c r="F148" s="16" t="str">
        <f aca="false">IF(OR(C148="",D148=""),"",D148-C148)</f>
        <v/>
      </c>
      <c r="G148" s="17" t="str">
        <f aca="false">IF(OR(F148="",F148=0),"",E148/F148)</f>
        <v/>
      </c>
      <c r="H148" s="18" t="str">
        <f aca="false">IF(OR(A148="",B148=""),"",IF(SUMIFS($E$5:$E$604,$B$5:$B$604,B148,$A$5:$A$604,"&gt;="&amp;DATE(YEAR(A148)-1,MONTH(A148),1),$A$5:$A$604,"&lt;"&amp;DATE(YEAR(A148)-1,MONTH(A148)+1,1))=0,"",SUMIFS($E$5:$E$604,$B$5:$B$604,B148,$A$5:$A$604,"&gt;="&amp;DATE(YEAR(A148)-1,MONTH(A148),1),$A$5:$A$604,"&lt;"&amp;DATE(YEAR(A148)-1,MONTH(A148)+1,1))))</f>
        <v/>
      </c>
      <c r="I148" s="19" t="str">
        <f aca="false">IF(OR(H148="",E148=""),"",E148/H148-1)</f>
        <v/>
      </c>
    </row>
    <row r="149" customFormat="false" ht="15" hidden="false" customHeight="false" outlineLevel="0" collapsed="false">
      <c r="A149" s="12"/>
      <c r="B149" s="13"/>
      <c r="C149" s="14"/>
      <c r="D149" s="14"/>
      <c r="E149" s="15"/>
      <c r="F149" s="16" t="str">
        <f aca="false">IF(OR(C149="",D149=""),"",D149-C149)</f>
        <v/>
      </c>
      <c r="G149" s="17" t="str">
        <f aca="false">IF(OR(F149="",F149=0),"",E149/F149)</f>
        <v/>
      </c>
      <c r="H149" s="18" t="str">
        <f aca="false">IF(OR(A149="",B149=""),"",IF(SUMIFS($E$5:$E$604,$B$5:$B$604,B149,$A$5:$A$604,"&gt;="&amp;DATE(YEAR(A149)-1,MONTH(A149),1),$A$5:$A$604,"&lt;"&amp;DATE(YEAR(A149)-1,MONTH(A149)+1,1))=0,"",SUMIFS($E$5:$E$604,$B$5:$B$604,B149,$A$5:$A$604,"&gt;="&amp;DATE(YEAR(A149)-1,MONTH(A149),1),$A$5:$A$604,"&lt;"&amp;DATE(YEAR(A149)-1,MONTH(A149)+1,1))))</f>
        <v/>
      </c>
      <c r="I149" s="19" t="str">
        <f aca="false">IF(OR(H149="",E149=""),"",E149/H149-1)</f>
        <v/>
      </c>
    </row>
    <row r="150" customFormat="false" ht="15" hidden="false" customHeight="false" outlineLevel="0" collapsed="false">
      <c r="A150" s="12"/>
      <c r="B150" s="13"/>
      <c r="C150" s="14"/>
      <c r="D150" s="14"/>
      <c r="E150" s="15"/>
      <c r="F150" s="16" t="str">
        <f aca="false">IF(OR(C150="",D150=""),"",D150-C150)</f>
        <v/>
      </c>
      <c r="G150" s="17" t="str">
        <f aca="false">IF(OR(F150="",F150=0),"",E150/F150)</f>
        <v/>
      </c>
      <c r="H150" s="18" t="str">
        <f aca="false">IF(OR(A150="",B150=""),"",IF(SUMIFS($E$5:$E$604,$B$5:$B$604,B150,$A$5:$A$604,"&gt;="&amp;DATE(YEAR(A150)-1,MONTH(A150),1),$A$5:$A$604,"&lt;"&amp;DATE(YEAR(A150)-1,MONTH(A150)+1,1))=0,"",SUMIFS($E$5:$E$604,$B$5:$B$604,B150,$A$5:$A$604,"&gt;="&amp;DATE(YEAR(A150)-1,MONTH(A150),1),$A$5:$A$604,"&lt;"&amp;DATE(YEAR(A150)-1,MONTH(A150)+1,1))))</f>
        <v/>
      </c>
      <c r="I150" s="19" t="str">
        <f aca="false">IF(OR(H150="",E150=""),"",E150/H150-1)</f>
        <v/>
      </c>
    </row>
    <row r="151" customFormat="false" ht="15" hidden="false" customHeight="false" outlineLevel="0" collapsed="false">
      <c r="A151" s="12"/>
      <c r="B151" s="13"/>
      <c r="C151" s="14"/>
      <c r="D151" s="14"/>
      <c r="E151" s="15"/>
      <c r="F151" s="16" t="str">
        <f aca="false">IF(OR(C151="",D151=""),"",D151-C151)</f>
        <v/>
      </c>
      <c r="G151" s="17" t="str">
        <f aca="false">IF(OR(F151="",F151=0),"",E151/F151)</f>
        <v/>
      </c>
      <c r="H151" s="18" t="str">
        <f aca="false">IF(OR(A151="",B151=""),"",IF(SUMIFS($E$5:$E$604,$B$5:$B$604,B151,$A$5:$A$604,"&gt;="&amp;DATE(YEAR(A151)-1,MONTH(A151),1),$A$5:$A$604,"&lt;"&amp;DATE(YEAR(A151)-1,MONTH(A151)+1,1))=0,"",SUMIFS($E$5:$E$604,$B$5:$B$604,B151,$A$5:$A$604,"&gt;="&amp;DATE(YEAR(A151)-1,MONTH(A151),1),$A$5:$A$604,"&lt;"&amp;DATE(YEAR(A151)-1,MONTH(A151)+1,1))))</f>
        <v/>
      </c>
      <c r="I151" s="19" t="str">
        <f aca="false">IF(OR(H151="",E151=""),"",E151/H151-1)</f>
        <v/>
      </c>
    </row>
    <row r="152" customFormat="false" ht="15" hidden="false" customHeight="false" outlineLevel="0" collapsed="false">
      <c r="A152" s="12"/>
      <c r="B152" s="13"/>
      <c r="C152" s="14"/>
      <c r="D152" s="14"/>
      <c r="E152" s="15"/>
      <c r="F152" s="16" t="str">
        <f aca="false">IF(OR(C152="",D152=""),"",D152-C152)</f>
        <v/>
      </c>
      <c r="G152" s="17" t="str">
        <f aca="false">IF(OR(F152="",F152=0),"",E152/F152)</f>
        <v/>
      </c>
      <c r="H152" s="18" t="str">
        <f aca="false">IF(OR(A152="",B152=""),"",IF(SUMIFS($E$5:$E$604,$B$5:$B$604,B152,$A$5:$A$604,"&gt;="&amp;DATE(YEAR(A152)-1,MONTH(A152),1),$A$5:$A$604,"&lt;"&amp;DATE(YEAR(A152)-1,MONTH(A152)+1,1))=0,"",SUMIFS($E$5:$E$604,$B$5:$B$604,B152,$A$5:$A$604,"&gt;="&amp;DATE(YEAR(A152)-1,MONTH(A152),1),$A$5:$A$604,"&lt;"&amp;DATE(YEAR(A152)-1,MONTH(A152)+1,1))))</f>
        <v/>
      </c>
      <c r="I152" s="19" t="str">
        <f aca="false">IF(OR(H152="",E152=""),"",E152/H152-1)</f>
        <v/>
      </c>
    </row>
    <row r="153" customFormat="false" ht="15" hidden="false" customHeight="false" outlineLevel="0" collapsed="false">
      <c r="A153" s="12"/>
      <c r="B153" s="13"/>
      <c r="C153" s="14"/>
      <c r="D153" s="14"/>
      <c r="E153" s="15"/>
      <c r="F153" s="16" t="str">
        <f aca="false">IF(OR(C153="",D153=""),"",D153-C153)</f>
        <v/>
      </c>
      <c r="G153" s="17" t="str">
        <f aca="false">IF(OR(F153="",F153=0),"",E153/F153)</f>
        <v/>
      </c>
      <c r="H153" s="18" t="str">
        <f aca="false">IF(OR(A153="",B153=""),"",IF(SUMIFS($E$5:$E$604,$B$5:$B$604,B153,$A$5:$A$604,"&gt;="&amp;DATE(YEAR(A153)-1,MONTH(A153),1),$A$5:$A$604,"&lt;"&amp;DATE(YEAR(A153)-1,MONTH(A153)+1,1))=0,"",SUMIFS($E$5:$E$604,$B$5:$B$604,B153,$A$5:$A$604,"&gt;="&amp;DATE(YEAR(A153)-1,MONTH(A153),1),$A$5:$A$604,"&lt;"&amp;DATE(YEAR(A153)-1,MONTH(A153)+1,1))))</f>
        <v/>
      </c>
      <c r="I153" s="19" t="str">
        <f aca="false">IF(OR(H153="",E153=""),"",E153/H153-1)</f>
        <v/>
      </c>
    </row>
    <row r="154" customFormat="false" ht="15" hidden="false" customHeight="false" outlineLevel="0" collapsed="false">
      <c r="A154" s="12"/>
      <c r="B154" s="13"/>
      <c r="C154" s="14"/>
      <c r="D154" s="14"/>
      <c r="E154" s="15"/>
      <c r="F154" s="16" t="str">
        <f aca="false">IF(OR(C154="",D154=""),"",D154-C154)</f>
        <v/>
      </c>
      <c r="G154" s="17" t="str">
        <f aca="false">IF(OR(F154="",F154=0),"",E154/F154)</f>
        <v/>
      </c>
      <c r="H154" s="18" t="str">
        <f aca="false">IF(OR(A154="",B154=""),"",IF(SUMIFS($E$5:$E$604,$B$5:$B$604,B154,$A$5:$A$604,"&gt;="&amp;DATE(YEAR(A154)-1,MONTH(A154),1),$A$5:$A$604,"&lt;"&amp;DATE(YEAR(A154)-1,MONTH(A154)+1,1))=0,"",SUMIFS($E$5:$E$604,$B$5:$B$604,B154,$A$5:$A$604,"&gt;="&amp;DATE(YEAR(A154)-1,MONTH(A154),1),$A$5:$A$604,"&lt;"&amp;DATE(YEAR(A154)-1,MONTH(A154)+1,1))))</f>
        <v/>
      </c>
      <c r="I154" s="19" t="str">
        <f aca="false">IF(OR(H154="",E154=""),"",E154/H154-1)</f>
        <v/>
      </c>
    </row>
    <row r="155" customFormat="false" ht="15" hidden="false" customHeight="false" outlineLevel="0" collapsed="false">
      <c r="A155" s="12"/>
      <c r="B155" s="13"/>
      <c r="C155" s="14"/>
      <c r="D155" s="14"/>
      <c r="E155" s="15"/>
      <c r="F155" s="16" t="str">
        <f aca="false">IF(OR(C155="",D155=""),"",D155-C155)</f>
        <v/>
      </c>
      <c r="G155" s="17" t="str">
        <f aca="false">IF(OR(F155="",F155=0),"",E155/F155)</f>
        <v/>
      </c>
      <c r="H155" s="18" t="str">
        <f aca="false">IF(OR(A155="",B155=""),"",IF(SUMIFS($E$5:$E$604,$B$5:$B$604,B155,$A$5:$A$604,"&gt;="&amp;DATE(YEAR(A155)-1,MONTH(A155),1),$A$5:$A$604,"&lt;"&amp;DATE(YEAR(A155)-1,MONTH(A155)+1,1))=0,"",SUMIFS($E$5:$E$604,$B$5:$B$604,B155,$A$5:$A$604,"&gt;="&amp;DATE(YEAR(A155)-1,MONTH(A155),1),$A$5:$A$604,"&lt;"&amp;DATE(YEAR(A155)-1,MONTH(A155)+1,1))))</f>
        <v/>
      </c>
      <c r="I155" s="19" t="str">
        <f aca="false">IF(OR(H155="",E155=""),"",E155/H155-1)</f>
        <v/>
      </c>
    </row>
    <row r="156" customFormat="false" ht="15" hidden="false" customHeight="false" outlineLevel="0" collapsed="false">
      <c r="A156" s="12"/>
      <c r="B156" s="13"/>
      <c r="C156" s="14"/>
      <c r="D156" s="14"/>
      <c r="E156" s="15"/>
      <c r="F156" s="16" t="str">
        <f aca="false">IF(OR(C156="",D156=""),"",D156-C156)</f>
        <v/>
      </c>
      <c r="G156" s="17" t="str">
        <f aca="false">IF(OR(F156="",F156=0),"",E156/F156)</f>
        <v/>
      </c>
      <c r="H156" s="18" t="str">
        <f aca="false">IF(OR(A156="",B156=""),"",IF(SUMIFS($E$5:$E$604,$B$5:$B$604,B156,$A$5:$A$604,"&gt;="&amp;DATE(YEAR(A156)-1,MONTH(A156),1),$A$5:$A$604,"&lt;"&amp;DATE(YEAR(A156)-1,MONTH(A156)+1,1))=0,"",SUMIFS($E$5:$E$604,$B$5:$B$604,B156,$A$5:$A$604,"&gt;="&amp;DATE(YEAR(A156)-1,MONTH(A156),1),$A$5:$A$604,"&lt;"&amp;DATE(YEAR(A156)-1,MONTH(A156)+1,1))))</f>
        <v/>
      </c>
      <c r="I156" s="19" t="str">
        <f aca="false">IF(OR(H156="",E156=""),"",E156/H156-1)</f>
        <v/>
      </c>
    </row>
    <row r="157" customFormat="false" ht="15" hidden="false" customHeight="false" outlineLevel="0" collapsed="false">
      <c r="A157" s="12"/>
      <c r="B157" s="13"/>
      <c r="C157" s="14"/>
      <c r="D157" s="14"/>
      <c r="E157" s="15"/>
      <c r="F157" s="16" t="str">
        <f aca="false">IF(OR(C157="",D157=""),"",D157-C157)</f>
        <v/>
      </c>
      <c r="G157" s="17" t="str">
        <f aca="false">IF(OR(F157="",F157=0),"",E157/F157)</f>
        <v/>
      </c>
      <c r="H157" s="18" t="str">
        <f aca="false">IF(OR(A157="",B157=""),"",IF(SUMIFS($E$5:$E$604,$B$5:$B$604,B157,$A$5:$A$604,"&gt;="&amp;DATE(YEAR(A157)-1,MONTH(A157),1),$A$5:$A$604,"&lt;"&amp;DATE(YEAR(A157)-1,MONTH(A157)+1,1))=0,"",SUMIFS($E$5:$E$604,$B$5:$B$604,B157,$A$5:$A$604,"&gt;="&amp;DATE(YEAR(A157)-1,MONTH(A157),1),$A$5:$A$604,"&lt;"&amp;DATE(YEAR(A157)-1,MONTH(A157)+1,1))))</f>
        <v/>
      </c>
      <c r="I157" s="19" t="str">
        <f aca="false">IF(OR(H157="",E157=""),"",E157/H157-1)</f>
        <v/>
      </c>
    </row>
    <row r="158" customFormat="false" ht="15" hidden="false" customHeight="false" outlineLevel="0" collapsed="false">
      <c r="A158" s="12"/>
      <c r="B158" s="13"/>
      <c r="C158" s="14"/>
      <c r="D158" s="14"/>
      <c r="E158" s="15"/>
      <c r="F158" s="16" t="str">
        <f aca="false">IF(OR(C158="",D158=""),"",D158-C158)</f>
        <v/>
      </c>
      <c r="G158" s="17" t="str">
        <f aca="false">IF(OR(F158="",F158=0),"",E158/F158)</f>
        <v/>
      </c>
      <c r="H158" s="18" t="str">
        <f aca="false">IF(OR(A158="",B158=""),"",IF(SUMIFS($E$5:$E$604,$B$5:$B$604,B158,$A$5:$A$604,"&gt;="&amp;DATE(YEAR(A158)-1,MONTH(A158),1),$A$5:$A$604,"&lt;"&amp;DATE(YEAR(A158)-1,MONTH(A158)+1,1))=0,"",SUMIFS($E$5:$E$604,$B$5:$B$604,B158,$A$5:$A$604,"&gt;="&amp;DATE(YEAR(A158)-1,MONTH(A158),1),$A$5:$A$604,"&lt;"&amp;DATE(YEAR(A158)-1,MONTH(A158)+1,1))))</f>
        <v/>
      </c>
      <c r="I158" s="19" t="str">
        <f aca="false">IF(OR(H158="",E158=""),"",E158/H158-1)</f>
        <v/>
      </c>
    </row>
    <row r="159" customFormat="false" ht="15" hidden="false" customHeight="false" outlineLevel="0" collapsed="false">
      <c r="A159" s="12"/>
      <c r="B159" s="13"/>
      <c r="C159" s="14"/>
      <c r="D159" s="14"/>
      <c r="E159" s="15"/>
      <c r="F159" s="16" t="str">
        <f aca="false">IF(OR(C159="",D159=""),"",D159-C159)</f>
        <v/>
      </c>
      <c r="G159" s="17" t="str">
        <f aca="false">IF(OR(F159="",F159=0),"",E159/F159)</f>
        <v/>
      </c>
      <c r="H159" s="18" t="str">
        <f aca="false">IF(OR(A159="",B159=""),"",IF(SUMIFS($E$5:$E$604,$B$5:$B$604,B159,$A$5:$A$604,"&gt;="&amp;DATE(YEAR(A159)-1,MONTH(A159),1),$A$5:$A$604,"&lt;"&amp;DATE(YEAR(A159)-1,MONTH(A159)+1,1))=0,"",SUMIFS($E$5:$E$604,$B$5:$B$604,B159,$A$5:$A$604,"&gt;="&amp;DATE(YEAR(A159)-1,MONTH(A159),1),$A$5:$A$604,"&lt;"&amp;DATE(YEAR(A159)-1,MONTH(A159)+1,1))))</f>
        <v/>
      </c>
      <c r="I159" s="19" t="str">
        <f aca="false">IF(OR(H159="",E159=""),"",E159/H159-1)</f>
        <v/>
      </c>
    </row>
    <row r="160" customFormat="false" ht="15" hidden="false" customHeight="false" outlineLevel="0" collapsed="false">
      <c r="A160" s="12"/>
      <c r="B160" s="13"/>
      <c r="C160" s="14"/>
      <c r="D160" s="14"/>
      <c r="E160" s="15"/>
      <c r="F160" s="16" t="str">
        <f aca="false">IF(OR(C160="",D160=""),"",D160-C160)</f>
        <v/>
      </c>
      <c r="G160" s="17" t="str">
        <f aca="false">IF(OR(F160="",F160=0),"",E160/F160)</f>
        <v/>
      </c>
      <c r="H160" s="18" t="str">
        <f aca="false">IF(OR(A160="",B160=""),"",IF(SUMIFS($E$5:$E$604,$B$5:$B$604,B160,$A$5:$A$604,"&gt;="&amp;DATE(YEAR(A160)-1,MONTH(A160),1),$A$5:$A$604,"&lt;"&amp;DATE(YEAR(A160)-1,MONTH(A160)+1,1))=0,"",SUMIFS($E$5:$E$604,$B$5:$B$604,B160,$A$5:$A$604,"&gt;="&amp;DATE(YEAR(A160)-1,MONTH(A160),1),$A$5:$A$604,"&lt;"&amp;DATE(YEAR(A160)-1,MONTH(A160)+1,1))))</f>
        <v/>
      </c>
      <c r="I160" s="19" t="str">
        <f aca="false">IF(OR(H160="",E160=""),"",E160/H160-1)</f>
        <v/>
      </c>
    </row>
    <row r="161" customFormat="false" ht="15" hidden="false" customHeight="false" outlineLevel="0" collapsed="false">
      <c r="A161" s="12"/>
      <c r="B161" s="13"/>
      <c r="C161" s="14"/>
      <c r="D161" s="14"/>
      <c r="E161" s="15"/>
      <c r="F161" s="16" t="str">
        <f aca="false">IF(OR(C161="",D161=""),"",D161-C161)</f>
        <v/>
      </c>
      <c r="G161" s="17" t="str">
        <f aca="false">IF(OR(F161="",F161=0),"",E161/F161)</f>
        <v/>
      </c>
      <c r="H161" s="18" t="str">
        <f aca="false">IF(OR(A161="",B161=""),"",IF(SUMIFS($E$5:$E$604,$B$5:$B$604,B161,$A$5:$A$604,"&gt;="&amp;DATE(YEAR(A161)-1,MONTH(A161),1),$A$5:$A$604,"&lt;"&amp;DATE(YEAR(A161)-1,MONTH(A161)+1,1))=0,"",SUMIFS($E$5:$E$604,$B$5:$B$604,B161,$A$5:$A$604,"&gt;="&amp;DATE(YEAR(A161)-1,MONTH(A161),1),$A$5:$A$604,"&lt;"&amp;DATE(YEAR(A161)-1,MONTH(A161)+1,1))))</f>
        <v/>
      </c>
      <c r="I161" s="19" t="str">
        <f aca="false">IF(OR(H161="",E161=""),"",E161/H161-1)</f>
        <v/>
      </c>
    </row>
    <row r="162" customFormat="false" ht="15" hidden="false" customHeight="false" outlineLevel="0" collapsed="false">
      <c r="A162" s="12"/>
      <c r="B162" s="13"/>
      <c r="C162" s="14"/>
      <c r="D162" s="14"/>
      <c r="E162" s="15"/>
      <c r="F162" s="16" t="str">
        <f aca="false">IF(OR(C162="",D162=""),"",D162-C162)</f>
        <v/>
      </c>
      <c r="G162" s="17" t="str">
        <f aca="false">IF(OR(F162="",F162=0),"",E162/F162)</f>
        <v/>
      </c>
      <c r="H162" s="18" t="str">
        <f aca="false">IF(OR(A162="",B162=""),"",IF(SUMIFS($E$5:$E$604,$B$5:$B$604,B162,$A$5:$A$604,"&gt;="&amp;DATE(YEAR(A162)-1,MONTH(A162),1),$A$5:$A$604,"&lt;"&amp;DATE(YEAR(A162)-1,MONTH(A162)+1,1))=0,"",SUMIFS($E$5:$E$604,$B$5:$B$604,B162,$A$5:$A$604,"&gt;="&amp;DATE(YEAR(A162)-1,MONTH(A162),1),$A$5:$A$604,"&lt;"&amp;DATE(YEAR(A162)-1,MONTH(A162)+1,1))))</f>
        <v/>
      </c>
      <c r="I162" s="19" t="str">
        <f aca="false">IF(OR(H162="",E162=""),"",E162/H162-1)</f>
        <v/>
      </c>
    </row>
    <row r="163" customFormat="false" ht="15" hidden="false" customHeight="false" outlineLevel="0" collapsed="false">
      <c r="A163" s="12"/>
      <c r="B163" s="13"/>
      <c r="C163" s="14"/>
      <c r="D163" s="14"/>
      <c r="E163" s="15"/>
      <c r="F163" s="16" t="str">
        <f aca="false">IF(OR(C163="",D163=""),"",D163-C163)</f>
        <v/>
      </c>
      <c r="G163" s="17" t="str">
        <f aca="false">IF(OR(F163="",F163=0),"",E163/F163)</f>
        <v/>
      </c>
      <c r="H163" s="18" t="str">
        <f aca="false">IF(OR(A163="",B163=""),"",IF(SUMIFS($E$5:$E$604,$B$5:$B$604,B163,$A$5:$A$604,"&gt;="&amp;DATE(YEAR(A163)-1,MONTH(A163),1),$A$5:$A$604,"&lt;"&amp;DATE(YEAR(A163)-1,MONTH(A163)+1,1))=0,"",SUMIFS($E$5:$E$604,$B$5:$B$604,B163,$A$5:$A$604,"&gt;="&amp;DATE(YEAR(A163)-1,MONTH(A163),1),$A$5:$A$604,"&lt;"&amp;DATE(YEAR(A163)-1,MONTH(A163)+1,1))))</f>
        <v/>
      </c>
      <c r="I163" s="19" t="str">
        <f aca="false">IF(OR(H163="",E163=""),"",E163/H163-1)</f>
        <v/>
      </c>
    </row>
    <row r="164" customFormat="false" ht="15" hidden="false" customHeight="false" outlineLevel="0" collapsed="false">
      <c r="A164" s="12"/>
      <c r="B164" s="13"/>
      <c r="C164" s="14"/>
      <c r="D164" s="14"/>
      <c r="E164" s="15"/>
      <c r="F164" s="16" t="str">
        <f aca="false">IF(OR(C164="",D164=""),"",D164-C164)</f>
        <v/>
      </c>
      <c r="G164" s="17" t="str">
        <f aca="false">IF(OR(F164="",F164=0),"",E164/F164)</f>
        <v/>
      </c>
      <c r="H164" s="18" t="str">
        <f aca="false">IF(OR(A164="",B164=""),"",IF(SUMIFS($E$5:$E$604,$B$5:$B$604,B164,$A$5:$A$604,"&gt;="&amp;DATE(YEAR(A164)-1,MONTH(A164),1),$A$5:$A$604,"&lt;"&amp;DATE(YEAR(A164)-1,MONTH(A164)+1,1))=0,"",SUMIFS($E$5:$E$604,$B$5:$B$604,B164,$A$5:$A$604,"&gt;="&amp;DATE(YEAR(A164)-1,MONTH(A164),1),$A$5:$A$604,"&lt;"&amp;DATE(YEAR(A164)-1,MONTH(A164)+1,1))))</f>
        <v/>
      </c>
      <c r="I164" s="19" t="str">
        <f aca="false">IF(OR(H164="",E164=""),"",E164/H164-1)</f>
        <v/>
      </c>
    </row>
    <row r="165" customFormat="false" ht="15" hidden="false" customHeight="false" outlineLevel="0" collapsed="false">
      <c r="A165" s="12"/>
      <c r="B165" s="13"/>
      <c r="C165" s="14"/>
      <c r="D165" s="14"/>
      <c r="E165" s="15"/>
      <c r="F165" s="16" t="str">
        <f aca="false">IF(OR(C165="",D165=""),"",D165-C165)</f>
        <v/>
      </c>
      <c r="G165" s="17" t="str">
        <f aca="false">IF(OR(F165="",F165=0),"",E165/F165)</f>
        <v/>
      </c>
      <c r="H165" s="18" t="str">
        <f aca="false">IF(OR(A165="",B165=""),"",IF(SUMIFS($E$5:$E$604,$B$5:$B$604,B165,$A$5:$A$604,"&gt;="&amp;DATE(YEAR(A165)-1,MONTH(A165),1),$A$5:$A$604,"&lt;"&amp;DATE(YEAR(A165)-1,MONTH(A165)+1,1))=0,"",SUMIFS($E$5:$E$604,$B$5:$B$604,B165,$A$5:$A$604,"&gt;="&amp;DATE(YEAR(A165)-1,MONTH(A165),1),$A$5:$A$604,"&lt;"&amp;DATE(YEAR(A165)-1,MONTH(A165)+1,1))))</f>
        <v/>
      </c>
      <c r="I165" s="19" t="str">
        <f aca="false">IF(OR(H165="",E165=""),"",E165/H165-1)</f>
        <v/>
      </c>
    </row>
    <row r="166" customFormat="false" ht="15" hidden="false" customHeight="false" outlineLevel="0" collapsed="false">
      <c r="A166" s="12"/>
      <c r="B166" s="13"/>
      <c r="C166" s="14"/>
      <c r="D166" s="14"/>
      <c r="E166" s="15"/>
      <c r="F166" s="16" t="str">
        <f aca="false">IF(OR(C166="",D166=""),"",D166-C166)</f>
        <v/>
      </c>
      <c r="G166" s="17" t="str">
        <f aca="false">IF(OR(F166="",F166=0),"",E166/F166)</f>
        <v/>
      </c>
      <c r="H166" s="18" t="str">
        <f aca="false">IF(OR(A166="",B166=""),"",IF(SUMIFS($E$5:$E$604,$B$5:$B$604,B166,$A$5:$A$604,"&gt;="&amp;DATE(YEAR(A166)-1,MONTH(A166),1),$A$5:$A$604,"&lt;"&amp;DATE(YEAR(A166)-1,MONTH(A166)+1,1))=0,"",SUMIFS($E$5:$E$604,$B$5:$B$604,B166,$A$5:$A$604,"&gt;="&amp;DATE(YEAR(A166)-1,MONTH(A166),1),$A$5:$A$604,"&lt;"&amp;DATE(YEAR(A166)-1,MONTH(A166)+1,1))))</f>
        <v/>
      </c>
      <c r="I166" s="19" t="str">
        <f aca="false">IF(OR(H166="",E166=""),"",E166/H166-1)</f>
        <v/>
      </c>
    </row>
    <row r="167" customFormat="false" ht="15" hidden="false" customHeight="false" outlineLevel="0" collapsed="false">
      <c r="A167" s="12"/>
      <c r="B167" s="13"/>
      <c r="C167" s="14"/>
      <c r="D167" s="14"/>
      <c r="E167" s="15"/>
      <c r="F167" s="16" t="str">
        <f aca="false">IF(OR(C167="",D167=""),"",D167-C167)</f>
        <v/>
      </c>
      <c r="G167" s="17" t="str">
        <f aca="false">IF(OR(F167="",F167=0),"",E167/F167)</f>
        <v/>
      </c>
      <c r="H167" s="18" t="str">
        <f aca="false">IF(OR(A167="",B167=""),"",IF(SUMIFS($E$5:$E$604,$B$5:$B$604,B167,$A$5:$A$604,"&gt;="&amp;DATE(YEAR(A167)-1,MONTH(A167),1),$A$5:$A$604,"&lt;"&amp;DATE(YEAR(A167)-1,MONTH(A167)+1,1))=0,"",SUMIFS($E$5:$E$604,$B$5:$B$604,B167,$A$5:$A$604,"&gt;="&amp;DATE(YEAR(A167)-1,MONTH(A167),1),$A$5:$A$604,"&lt;"&amp;DATE(YEAR(A167)-1,MONTH(A167)+1,1))))</f>
        <v/>
      </c>
      <c r="I167" s="19" t="str">
        <f aca="false">IF(OR(H167="",E167=""),"",E167/H167-1)</f>
        <v/>
      </c>
    </row>
    <row r="168" customFormat="false" ht="15" hidden="false" customHeight="false" outlineLevel="0" collapsed="false">
      <c r="A168" s="12"/>
      <c r="B168" s="13"/>
      <c r="C168" s="14"/>
      <c r="D168" s="14"/>
      <c r="E168" s="15"/>
      <c r="F168" s="16" t="str">
        <f aca="false">IF(OR(C168="",D168=""),"",D168-C168)</f>
        <v/>
      </c>
      <c r="G168" s="17" t="str">
        <f aca="false">IF(OR(F168="",F168=0),"",E168/F168)</f>
        <v/>
      </c>
      <c r="H168" s="18" t="str">
        <f aca="false">IF(OR(A168="",B168=""),"",IF(SUMIFS($E$5:$E$604,$B$5:$B$604,B168,$A$5:$A$604,"&gt;="&amp;DATE(YEAR(A168)-1,MONTH(A168),1),$A$5:$A$604,"&lt;"&amp;DATE(YEAR(A168)-1,MONTH(A168)+1,1))=0,"",SUMIFS($E$5:$E$604,$B$5:$B$604,B168,$A$5:$A$604,"&gt;="&amp;DATE(YEAR(A168)-1,MONTH(A168),1),$A$5:$A$604,"&lt;"&amp;DATE(YEAR(A168)-1,MONTH(A168)+1,1))))</f>
        <v/>
      </c>
      <c r="I168" s="19" t="str">
        <f aca="false">IF(OR(H168="",E168=""),"",E168/H168-1)</f>
        <v/>
      </c>
    </row>
    <row r="169" customFormat="false" ht="15" hidden="false" customHeight="false" outlineLevel="0" collapsed="false">
      <c r="A169" s="12"/>
      <c r="B169" s="13"/>
      <c r="C169" s="14"/>
      <c r="D169" s="14"/>
      <c r="E169" s="15"/>
      <c r="F169" s="16" t="str">
        <f aca="false">IF(OR(C169="",D169=""),"",D169-C169)</f>
        <v/>
      </c>
      <c r="G169" s="17" t="str">
        <f aca="false">IF(OR(F169="",F169=0),"",E169/F169)</f>
        <v/>
      </c>
      <c r="H169" s="18" t="str">
        <f aca="false">IF(OR(A169="",B169=""),"",IF(SUMIFS($E$5:$E$604,$B$5:$B$604,B169,$A$5:$A$604,"&gt;="&amp;DATE(YEAR(A169)-1,MONTH(A169),1),$A$5:$A$604,"&lt;"&amp;DATE(YEAR(A169)-1,MONTH(A169)+1,1))=0,"",SUMIFS($E$5:$E$604,$B$5:$B$604,B169,$A$5:$A$604,"&gt;="&amp;DATE(YEAR(A169)-1,MONTH(A169),1),$A$5:$A$604,"&lt;"&amp;DATE(YEAR(A169)-1,MONTH(A169)+1,1))))</f>
        <v/>
      </c>
      <c r="I169" s="19" t="str">
        <f aca="false">IF(OR(H169="",E169=""),"",E169/H169-1)</f>
        <v/>
      </c>
    </row>
    <row r="170" customFormat="false" ht="15" hidden="false" customHeight="false" outlineLevel="0" collapsed="false">
      <c r="A170" s="12"/>
      <c r="B170" s="13"/>
      <c r="C170" s="14"/>
      <c r="D170" s="14"/>
      <c r="E170" s="15"/>
      <c r="F170" s="16" t="str">
        <f aca="false">IF(OR(C170="",D170=""),"",D170-C170)</f>
        <v/>
      </c>
      <c r="G170" s="17" t="str">
        <f aca="false">IF(OR(F170="",F170=0),"",E170/F170)</f>
        <v/>
      </c>
      <c r="H170" s="18" t="str">
        <f aca="false">IF(OR(A170="",B170=""),"",IF(SUMIFS($E$5:$E$604,$B$5:$B$604,B170,$A$5:$A$604,"&gt;="&amp;DATE(YEAR(A170)-1,MONTH(A170),1),$A$5:$A$604,"&lt;"&amp;DATE(YEAR(A170)-1,MONTH(A170)+1,1))=0,"",SUMIFS($E$5:$E$604,$B$5:$B$604,B170,$A$5:$A$604,"&gt;="&amp;DATE(YEAR(A170)-1,MONTH(A170),1),$A$5:$A$604,"&lt;"&amp;DATE(YEAR(A170)-1,MONTH(A170)+1,1))))</f>
        <v/>
      </c>
      <c r="I170" s="19" t="str">
        <f aca="false">IF(OR(H170="",E170=""),"",E170/H170-1)</f>
        <v/>
      </c>
    </row>
    <row r="171" customFormat="false" ht="15" hidden="false" customHeight="false" outlineLevel="0" collapsed="false">
      <c r="A171" s="12"/>
      <c r="B171" s="13"/>
      <c r="C171" s="14"/>
      <c r="D171" s="14"/>
      <c r="E171" s="15"/>
      <c r="F171" s="16" t="str">
        <f aca="false">IF(OR(C171="",D171=""),"",D171-C171)</f>
        <v/>
      </c>
      <c r="G171" s="17" t="str">
        <f aca="false">IF(OR(F171="",F171=0),"",E171/F171)</f>
        <v/>
      </c>
      <c r="H171" s="18" t="str">
        <f aca="false">IF(OR(A171="",B171=""),"",IF(SUMIFS($E$5:$E$604,$B$5:$B$604,B171,$A$5:$A$604,"&gt;="&amp;DATE(YEAR(A171)-1,MONTH(A171),1),$A$5:$A$604,"&lt;"&amp;DATE(YEAR(A171)-1,MONTH(A171)+1,1))=0,"",SUMIFS($E$5:$E$604,$B$5:$B$604,B171,$A$5:$A$604,"&gt;="&amp;DATE(YEAR(A171)-1,MONTH(A171),1),$A$5:$A$604,"&lt;"&amp;DATE(YEAR(A171)-1,MONTH(A171)+1,1))))</f>
        <v/>
      </c>
      <c r="I171" s="19" t="str">
        <f aca="false">IF(OR(H171="",E171=""),"",E171/H171-1)</f>
        <v/>
      </c>
    </row>
    <row r="172" customFormat="false" ht="15" hidden="false" customHeight="false" outlineLevel="0" collapsed="false">
      <c r="A172" s="12"/>
      <c r="B172" s="13"/>
      <c r="C172" s="14"/>
      <c r="D172" s="14"/>
      <c r="E172" s="15"/>
      <c r="F172" s="16" t="str">
        <f aca="false">IF(OR(C172="",D172=""),"",D172-C172)</f>
        <v/>
      </c>
      <c r="G172" s="17" t="str">
        <f aca="false">IF(OR(F172="",F172=0),"",E172/F172)</f>
        <v/>
      </c>
      <c r="H172" s="18" t="str">
        <f aca="false">IF(OR(A172="",B172=""),"",IF(SUMIFS($E$5:$E$604,$B$5:$B$604,B172,$A$5:$A$604,"&gt;="&amp;DATE(YEAR(A172)-1,MONTH(A172),1),$A$5:$A$604,"&lt;"&amp;DATE(YEAR(A172)-1,MONTH(A172)+1,1))=0,"",SUMIFS($E$5:$E$604,$B$5:$B$604,B172,$A$5:$A$604,"&gt;="&amp;DATE(YEAR(A172)-1,MONTH(A172),1),$A$5:$A$604,"&lt;"&amp;DATE(YEAR(A172)-1,MONTH(A172)+1,1))))</f>
        <v/>
      </c>
      <c r="I172" s="19" t="str">
        <f aca="false">IF(OR(H172="",E172=""),"",E172/H172-1)</f>
        <v/>
      </c>
    </row>
    <row r="173" customFormat="false" ht="15" hidden="false" customHeight="false" outlineLevel="0" collapsed="false">
      <c r="A173" s="12"/>
      <c r="B173" s="13"/>
      <c r="C173" s="14"/>
      <c r="D173" s="14"/>
      <c r="E173" s="15"/>
      <c r="F173" s="16" t="str">
        <f aca="false">IF(OR(C173="",D173=""),"",D173-C173)</f>
        <v/>
      </c>
      <c r="G173" s="17" t="str">
        <f aca="false">IF(OR(F173="",F173=0),"",E173/F173)</f>
        <v/>
      </c>
      <c r="H173" s="18" t="str">
        <f aca="false">IF(OR(A173="",B173=""),"",IF(SUMIFS($E$5:$E$604,$B$5:$B$604,B173,$A$5:$A$604,"&gt;="&amp;DATE(YEAR(A173)-1,MONTH(A173),1),$A$5:$A$604,"&lt;"&amp;DATE(YEAR(A173)-1,MONTH(A173)+1,1))=0,"",SUMIFS($E$5:$E$604,$B$5:$B$604,B173,$A$5:$A$604,"&gt;="&amp;DATE(YEAR(A173)-1,MONTH(A173),1),$A$5:$A$604,"&lt;"&amp;DATE(YEAR(A173)-1,MONTH(A173)+1,1))))</f>
        <v/>
      </c>
      <c r="I173" s="19" t="str">
        <f aca="false">IF(OR(H173="",E173=""),"",E173/H173-1)</f>
        <v/>
      </c>
    </row>
    <row r="174" customFormat="false" ht="15" hidden="false" customHeight="false" outlineLevel="0" collapsed="false">
      <c r="A174" s="12"/>
      <c r="B174" s="13"/>
      <c r="C174" s="14"/>
      <c r="D174" s="14"/>
      <c r="E174" s="15"/>
      <c r="F174" s="16" t="str">
        <f aca="false">IF(OR(C174="",D174=""),"",D174-C174)</f>
        <v/>
      </c>
      <c r="G174" s="17" t="str">
        <f aca="false">IF(OR(F174="",F174=0),"",E174/F174)</f>
        <v/>
      </c>
      <c r="H174" s="18" t="str">
        <f aca="false">IF(OR(A174="",B174=""),"",IF(SUMIFS($E$5:$E$604,$B$5:$B$604,B174,$A$5:$A$604,"&gt;="&amp;DATE(YEAR(A174)-1,MONTH(A174),1),$A$5:$A$604,"&lt;"&amp;DATE(YEAR(A174)-1,MONTH(A174)+1,1))=0,"",SUMIFS($E$5:$E$604,$B$5:$B$604,B174,$A$5:$A$604,"&gt;="&amp;DATE(YEAR(A174)-1,MONTH(A174),1),$A$5:$A$604,"&lt;"&amp;DATE(YEAR(A174)-1,MONTH(A174)+1,1))))</f>
        <v/>
      </c>
      <c r="I174" s="19" t="str">
        <f aca="false">IF(OR(H174="",E174=""),"",E174/H174-1)</f>
        <v/>
      </c>
    </row>
    <row r="175" customFormat="false" ht="15" hidden="false" customHeight="false" outlineLevel="0" collapsed="false">
      <c r="A175" s="12"/>
      <c r="B175" s="13"/>
      <c r="C175" s="14"/>
      <c r="D175" s="14"/>
      <c r="E175" s="15"/>
      <c r="F175" s="16" t="str">
        <f aca="false">IF(OR(C175="",D175=""),"",D175-C175)</f>
        <v/>
      </c>
      <c r="G175" s="17" t="str">
        <f aca="false">IF(OR(F175="",F175=0),"",E175/F175)</f>
        <v/>
      </c>
      <c r="H175" s="18" t="str">
        <f aca="false">IF(OR(A175="",B175=""),"",IF(SUMIFS($E$5:$E$604,$B$5:$B$604,B175,$A$5:$A$604,"&gt;="&amp;DATE(YEAR(A175)-1,MONTH(A175),1),$A$5:$A$604,"&lt;"&amp;DATE(YEAR(A175)-1,MONTH(A175)+1,1))=0,"",SUMIFS($E$5:$E$604,$B$5:$B$604,B175,$A$5:$A$604,"&gt;="&amp;DATE(YEAR(A175)-1,MONTH(A175),1),$A$5:$A$604,"&lt;"&amp;DATE(YEAR(A175)-1,MONTH(A175)+1,1))))</f>
        <v/>
      </c>
      <c r="I175" s="19" t="str">
        <f aca="false">IF(OR(H175="",E175=""),"",E175/H175-1)</f>
        <v/>
      </c>
    </row>
    <row r="176" customFormat="false" ht="15" hidden="false" customHeight="false" outlineLevel="0" collapsed="false">
      <c r="A176" s="12"/>
      <c r="B176" s="13"/>
      <c r="C176" s="14"/>
      <c r="D176" s="14"/>
      <c r="E176" s="15"/>
      <c r="F176" s="16" t="str">
        <f aca="false">IF(OR(C176="",D176=""),"",D176-C176)</f>
        <v/>
      </c>
      <c r="G176" s="17" t="str">
        <f aca="false">IF(OR(F176="",F176=0),"",E176/F176)</f>
        <v/>
      </c>
      <c r="H176" s="18" t="str">
        <f aca="false">IF(OR(A176="",B176=""),"",IF(SUMIFS($E$5:$E$604,$B$5:$B$604,B176,$A$5:$A$604,"&gt;="&amp;DATE(YEAR(A176)-1,MONTH(A176),1),$A$5:$A$604,"&lt;"&amp;DATE(YEAR(A176)-1,MONTH(A176)+1,1))=0,"",SUMIFS($E$5:$E$604,$B$5:$B$604,B176,$A$5:$A$604,"&gt;="&amp;DATE(YEAR(A176)-1,MONTH(A176),1),$A$5:$A$604,"&lt;"&amp;DATE(YEAR(A176)-1,MONTH(A176)+1,1))))</f>
        <v/>
      </c>
      <c r="I176" s="19" t="str">
        <f aca="false">IF(OR(H176="",E176=""),"",E176/H176-1)</f>
        <v/>
      </c>
    </row>
    <row r="177" customFormat="false" ht="15" hidden="false" customHeight="false" outlineLevel="0" collapsed="false">
      <c r="A177" s="12"/>
      <c r="B177" s="13"/>
      <c r="C177" s="14"/>
      <c r="D177" s="14"/>
      <c r="E177" s="15"/>
      <c r="F177" s="16" t="str">
        <f aca="false">IF(OR(C177="",D177=""),"",D177-C177)</f>
        <v/>
      </c>
      <c r="G177" s="17" t="str">
        <f aca="false">IF(OR(F177="",F177=0),"",E177/F177)</f>
        <v/>
      </c>
      <c r="H177" s="18" t="str">
        <f aca="false">IF(OR(A177="",B177=""),"",IF(SUMIFS($E$5:$E$604,$B$5:$B$604,B177,$A$5:$A$604,"&gt;="&amp;DATE(YEAR(A177)-1,MONTH(A177),1),$A$5:$A$604,"&lt;"&amp;DATE(YEAR(A177)-1,MONTH(A177)+1,1))=0,"",SUMIFS($E$5:$E$604,$B$5:$B$604,B177,$A$5:$A$604,"&gt;="&amp;DATE(YEAR(A177)-1,MONTH(A177),1),$A$5:$A$604,"&lt;"&amp;DATE(YEAR(A177)-1,MONTH(A177)+1,1))))</f>
        <v/>
      </c>
      <c r="I177" s="19" t="str">
        <f aca="false">IF(OR(H177="",E177=""),"",E177/H177-1)</f>
        <v/>
      </c>
    </row>
    <row r="178" customFormat="false" ht="15" hidden="false" customHeight="false" outlineLevel="0" collapsed="false">
      <c r="A178" s="12"/>
      <c r="B178" s="13"/>
      <c r="C178" s="14"/>
      <c r="D178" s="14"/>
      <c r="E178" s="15"/>
      <c r="F178" s="16" t="str">
        <f aca="false">IF(OR(C178="",D178=""),"",D178-C178)</f>
        <v/>
      </c>
      <c r="G178" s="17" t="str">
        <f aca="false">IF(OR(F178="",F178=0),"",E178/F178)</f>
        <v/>
      </c>
      <c r="H178" s="18" t="str">
        <f aca="false">IF(OR(A178="",B178=""),"",IF(SUMIFS($E$5:$E$604,$B$5:$B$604,B178,$A$5:$A$604,"&gt;="&amp;DATE(YEAR(A178)-1,MONTH(A178),1),$A$5:$A$604,"&lt;"&amp;DATE(YEAR(A178)-1,MONTH(A178)+1,1))=0,"",SUMIFS($E$5:$E$604,$B$5:$B$604,B178,$A$5:$A$604,"&gt;="&amp;DATE(YEAR(A178)-1,MONTH(A178),1),$A$5:$A$604,"&lt;"&amp;DATE(YEAR(A178)-1,MONTH(A178)+1,1))))</f>
        <v/>
      </c>
      <c r="I178" s="19" t="str">
        <f aca="false">IF(OR(H178="",E178=""),"",E178/H178-1)</f>
        <v/>
      </c>
    </row>
    <row r="179" customFormat="false" ht="15" hidden="false" customHeight="false" outlineLevel="0" collapsed="false">
      <c r="A179" s="12"/>
      <c r="B179" s="13"/>
      <c r="C179" s="14"/>
      <c r="D179" s="14"/>
      <c r="E179" s="15"/>
      <c r="F179" s="16" t="str">
        <f aca="false">IF(OR(C179="",D179=""),"",D179-C179)</f>
        <v/>
      </c>
      <c r="G179" s="17" t="str">
        <f aca="false">IF(OR(F179="",F179=0),"",E179/F179)</f>
        <v/>
      </c>
      <c r="H179" s="18" t="str">
        <f aca="false">IF(OR(A179="",B179=""),"",IF(SUMIFS($E$5:$E$604,$B$5:$B$604,B179,$A$5:$A$604,"&gt;="&amp;DATE(YEAR(A179)-1,MONTH(A179),1),$A$5:$A$604,"&lt;"&amp;DATE(YEAR(A179)-1,MONTH(A179)+1,1))=0,"",SUMIFS($E$5:$E$604,$B$5:$B$604,B179,$A$5:$A$604,"&gt;="&amp;DATE(YEAR(A179)-1,MONTH(A179),1),$A$5:$A$604,"&lt;"&amp;DATE(YEAR(A179)-1,MONTH(A179)+1,1))))</f>
        <v/>
      </c>
      <c r="I179" s="19" t="str">
        <f aca="false">IF(OR(H179="",E179=""),"",E179/H179-1)</f>
        <v/>
      </c>
    </row>
    <row r="180" customFormat="false" ht="15" hidden="false" customHeight="false" outlineLevel="0" collapsed="false">
      <c r="A180" s="12"/>
      <c r="B180" s="13"/>
      <c r="C180" s="14"/>
      <c r="D180" s="14"/>
      <c r="E180" s="15"/>
      <c r="F180" s="16" t="str">
        <f aca="false">IF(OR(C180="",D180=""),"",D180-C180)</f>
        <v/>
      </c>
      <c r="G180" s="17" t="str">
        <f aca="false">IF(OR(F180="",F180=0),"",E180/F180)</f>
        <v/>
      </c>
      <c r="H180" s="18" t="str">
        <f aca="false">IF(OR(A180="",B180=""),"",IF(SUMIFS($E$5:$E$604,$B$5:$B$604,B180,$A$5:$A$604,"&gt;="&amp;DATE(YEAR(A180)-1,MONTH(A180),1),$A$5:$A$604,"&lt;"&amp;DATE(YEAR(A180)-1,MONTH(A180)+1,1))=0,"",SUMIFS($E$5:$E$604,$B$5:$B$604,B180,$A$5:$A$604,"&gt;="&amp;DATE(YEAR(A180)-1,MONTH(A180),1),$A$5:$A$604,"&lt;"&amp;DATE(YEAR(A180)-1,MONTH(A180)+1,1))))</f>
        <v/>
      </c>
      <c r="I180" s="19" t="str">
        <f aca="false">IF(OR(H180="",E180=""),"",E180/H180-1)</f>
        <v/>
      </c>
    </row>
    <row r="181" customFormat="false" ht="15" hidden="false" customHeight="false" outlineLevel="0" collapsed="false">
      <c r="A181" s="12"/>
      <c r="B181" s="13"/>
      <c r="C181" s="14"/>
      <c r="D181" s="14"/>
      <c r="E181" s="15"/>
      <c r="F181" s="16" t="str">
        <f aca="false">IF(OR(C181="",D181=""),"",D181-C181)</f>
        <v/>
      </c>
      <c r="G181" s="17" t="str">
        <f aca="false">IF(OR(F181="",F181=0),"",E181/F181)</f>
        <v/>
      </c>
      <c r="H181" s="18" t="str">
        <f aca="false">IF(OR(A181="",B181=""),"",IF(SUMIFS($E$5:$E$604,$B$5:$B$604,B181,$A$5:$A$604,"&gt;="&amp;DATE(YEAR(A181)-1,MONTH(A181),1),$A$5:$A$604,"&lt;"&amp;DATE(YEAR(A181)-1,MONTH(A181)+1,1))=0,"",SUMIFS($E$5:$E$604,$B$5:$B$604,B181,$A$5:$A$604,"&gt;="&amp;DATE(YEAR(A181)-1,MONTH(A181),1),$A$5:$A$604,"&lt;"&amp;DATE(YEAR(A181)-1,MONTH(A181)+1,1))))</f>
        <v/>
      </c>
      <c r="I181" s="19" t="str">
        <f aca="false">IF(OR(H181="",E181=""),"",E181/H181-1)</f>
        <v/>
      </c>
    </row>
    <row r="182" customFormat="false" ht="15" hidden="false" customHeight="false" outlineLevel="0" collapsed="false">
      <c r="A182" s="12"/>
      <c r="B182" s="13"/>
      <c r="C182" s="14"/>
      <c r="D182" s="14"/>
      <c r="E182" s="15"/>
      <c r="F182" s="16" t="str">
        <f aca="false">IF(OR(C182="",D182=""),"",D182-C182)</f>
        <v/>
      </c>
      <c r="G182" s="17" t="str">
        <f aca="false">IF(OR(F182="",F182=0),"",E182/F182)</f>
        <v/>
      </c>
      <c r="H182" s="18" t="str">
        <f aca="false">IF(OR(A182="",B182=""),"",IF(SUMIFS($E$5:$E$604,$B$5:$B$604,B182,$A$5:$A$604,"&gt;="&amp;DATE(YEAR(A182)-1,MONTH(A182),1),$A$5:$A$604,"&lt;"&amp;DATE(YEAR(A182)-1,MONTH(A182)+1,1))=0,"",SUMIFS($E$5:$E$604,$B$5:$B$604,B182,$A$5:$A$604,"&gt;="&amp;DATE(YEAR(A182)-1,MONTH(A182),1),$A$5:$A$604,"&lt;"&amp;DATE(YEAR(A182)-1,MONTH(A182)+1,1))))</f>
        <v/>
      </c>
      <c r="I182" s="19" t="str">
        <f aca="false">IF(OR(H182="",E182=""),"",E182/H182-1)</f>
        <v/>
      </c>
    </row>
    <row r="183" customFormat="false" ht="15" hidden="false" customHeight="false" outlineLevel="0" collapsed="false">
      <c r="A183" s="12"/>
      <c r="B183" s="13"/>
      <c r="C183" s="14"/>
      <c r="D183" s="14"/>
      <c r="E183" s="15"/>
      <c r="F183" s="16" t="str">
        <f aca="false">IF(OR(C183="",D183=""),"",D183-C183)</f>
        <v/>
      </c>
      <c r="G183" s="17" t="str">
        <f aca="false">IF(OR(F183="",F183=0),"",E183/F183)</f>
        <v/>
      </c>
      <c r="H183" s="18" t="str">
        <f aca="false">IF(OR(A183="",B183=""),"",IF(SUMIFS($E$5:$E$604,$B$5:$B$604,B183,$A$5:$A$604,"&gt;="&amp;DATE(YEAR(A183)-1,MONTH(A183),1),$A$5:$A$604,"&lt;"&amp;DATE(YEAR(A183)-1,MONTH(A183)+1,1))=0,"",SUMIFS($E$5:$E$604,$B$5:$B$604,B183,$A$5:$A$604,"&gt;="&amp;DATE(YEAR(A183)-1,MONTH(A183),1),$A$5:$A$604,"&lt;"&amp;DATE(YEAR(A183)-1,MONTH(A183)+1,1))))</f>
        <v/>
      </c>
      <c r="I183" s="19" t="str">
        <f aca="false">IF(OR(H183="",E183=""),"",E183/H183-1)</f>
        <v/>
      </c>
    </row>
    <row r="184" customFormat="false" ht="15" hidden="false" customHeight="false" outlineLevel="0" collapsed="false">
      <c r="A184" s="12"/>
      <c r="B184" s="13"/>
      <c r="C184" s="14"/>
      <c r="D184" s="14"/>
      <c r="E184" s="15"/>
      <c r="F184" s="16" t="str">
        <f aca="false">IF(OR(C184="",D184=""),"",D184-C184)</f>
        <v/>
      </c>
      <c r="G184" s="17" t="str">
        <f aca="false">IF(OR(F184="",F184=0),"",E184/F184)</f>
        <v/>
      </c>
      <c r="H184" s="18" t="str">
        <f aca="false">IF(OR(A184="",B184=""),"",IF(SUMIFS($E$5:$E$604,$B$5:$B$604,B184,$A$5:$A$604,"&gt;="&amp;DATE(YEAR(A184)-1,MONTH(A184),1),$A$5:$A$604,"&lt;"&amp;DATE(YEAR(A184)-1,MONTH(A184)+1,1))=0,"",SUMIFS($E$5:$E$604,$B$5:$B$604,B184,$A$5:$A$604,"&gt;="&amp;DATE(YEAR(A184)-1,MONTH(A184),1),$A$5:$A$604,"&lt;"&amp;DATE(YEAR(A184)-1,MONTH(A184)+1,1))))</f>
        <v/>
      </c>
      <c r="I184" s="19" t="str">
        <f aca="false">IF(OR(H184="",E184=""),"",E184/H184-1)</f>
        <v/>
      </c>
    </row>
    <row r="185" customFormat="false" ht="15" hidden="false" customHeight="false" outlineLevel="0" collapsed="false">
      <c r="A185" s="12"/>
      <c r="B185" s="13"/>
      <c r="C185" s="14"/>
      <c r="D185" s="14"/>
      <c r="E185" s="15"/>
      <c r="F185" s="16" t="str">
        <f aca="false">IF(OR(C185="",D185=""),"",D185-C185)</f>
        <v/>
      </c>
      <c r="G185" s="17" t="str">
        <f aca="false">IF(OR(F185="",F185=0),"",E185/F185)</f>
        <v/>
      </c>
      <c r="H185" s="18" t="str">
        <f aca="false">IF(OR(A185="",B185=""),"",IF(SUMIFS($E$5:$E$604,$B$5:$B$604,B185,$A$5:$A$604,"&gt;="&amp;DATE(YEAR(A185)-1,MONTH(A185),1),$A$5:$A$604,"&lt;"&amp;DATE(YEAR(A185)-1,MONTH(A185)+1,1))=0,"",SUMIFS($E$5:$E$604,$B$5:$B$604,B185,$A$5:$A$604,"&gt;="&amp;DATE(YEAR(A185)-1,MONTH(A185),1),$A$5:$A$604,"&lt;"&amp;DATE(YEAR(A185)-1,MONTH(A185)+1,1))))</f>
        <v/>
      </c>
      <c r="I185" s="19" t="str">
        <f aca="false">IF(OR(H185="",E185=""),"",E185/H185-1)</f>
        <v/>
      </c>
    </row>
    <row r="186" customFormat="false" ht="15" hidden="false" customHeight="false" outlineLevel="0" collapsed="false">
      <c r="A186" s="12"/>
      <c r="B186" s="13"/>
      <c r="C186" s="14"/>
      <c r="D186" s="14"/>
      <c r="E186" s="15"/>
      <c r="F186" s="16" t="str">
        <f aca="false">IF(OR(C186="",D186=""),"",D186-C186)</f>
        <v/>
      </c>
      <c r="G186" s="17" t="str">
        <f aca="false">IF(OR(F186="",F186=0),"",E186/F186)</f>
        <v/>
      </c>
      <c r="H186" s="18" t="str">
        <f aca="false">IF(OR(A186="",B186=""),"",IF(SUMIFS($E$5:$E$604,$B$5:$B$604,B186,$A$5:$A$604,"&gt;="&amp;DATE(YEAR(A186)-1,MONTH(A186),1),$A$5:$A$604,"&lt;"&amp;DATE(YEAR(A186)-1,MONTH(A186)+1,1))=0,"",SUMIFS($E$5:$E$604,$B$5:$B$604,B186,$A$5:$A$604,"&gt;="&amp;DATE(YEAR(A186)-1,MONTH(A186),1),$A$5:$A$604,"&lt;"&amp;DATE(YEAR(A186)-1,MONTH(A186)+1,1))))</f>
        <v/>
      </c>
      <c r="I186" s="19" t="str">
        <f aca="false">IF(OR(H186="",E186=""),"",E186/H186-1)</f>
        <v/>
      </c>
    </row>
    <row r="187" customFormat="false" ht="15" hidden="false" customHeight="false" outlineLevel="0" collapsed="false">
      <c r="A187" s="12"/>
      <c r="B187" s="13"/>
      <c r="C187" s="14"/>
      <c r="D187" s="14"/>
      <c r="E187" s="15"/>
      <c r="F187" s="16" t="str">
        <f aca="false">IF(OR(C187="",D187=""),"",D187-C187)</f>
        <v/>
      </c>
      <c r="G187" s="17" t="str">
        <f aca="false">IF(OR(F187="",F187=0),"",E187/F187)</f>
        <v/>
      </c>
      <c r="H187" s="18" t="str">
        <f aca="false">IF(OR(A187="",B187=""),"",IF(SUMIFS($E$5:$E$604,$B$5:$B$604,B187,$A$5:$A$604,"&gt;="&amp;DATE(YEAR(A187)-1,MONTH(A187),1),$A$5:$A$604,"&lt;"&amp;DATE(YEAR(A187)-1,MONTH(A187)+1,1))=0,"",SUMIFS($E$5:$E$604,$B$5:$B$604,B187,$A$5:$A$604,"&gt;="&amp;DATE(YEAR(A187)-1,MONTH(A187),1),$A$5:$A$604,"&lt;"&amp;DATE(YEAR(A187)-1,MONTH(A187)+1,1))))</f>
        <v/>
      </c>
      <c r="I187" s="19" t="str">
        <f aca="false">IF(OR(H187="",E187=""),"",E187/H187-1)</f>
        <v/>
      </c>
    </row>
    <row r="188" customFormat="false" ht="15" hidden="false" customHeight="false" outlineLevel="0" collapsed="false">
      <c r="A188" s="12"/>
      <c r="B188" s="13"/>
      <c r="C188" s="14"/>
      <c r="D188" s="14"/>
      <c r="E188" s="15"/>
      <c r="F188" s="16" t="str">
        <f aca="false">IF(OR(C188="",D188=""),"",D188-C188)</f>
        <v/>
      </c>
      <c r="G188" s="17" t="str">
        <f aca="false">IF(OR(F188="",F188=0),"",E188/F188)</f>
        <v/>
      </c>
      <c r="H188" s="18" t="str">
        <f aca="false">IF(OR(A188="",B188=""),"",IF(SUMIFS($E$5:$E$604,$B$5:$B$604,B188,$A$5:$A$604,"&gt;="&amp;DATE(YEAR(A188)-1,MONTH(A188),1),$A$5:$A$604,"&lt;"&amp;DATE(YEAR(A188)-1,MONTH(A188)+1,1))=0,"",SUMIFS($E$5:$E$604,$B$5:$B$604,B188,$A$5:$A$604,"&gt;="&amp;DATE(YEAR(A188)-1,MONTH(A188),1),$A$5:$A$604,"&lt;"&amp;DATE(YEAR(A188)-1,MONTH(A188)+1,1))))</f>
        <v/>
      </c>
      <c r="I188" s="19" t="str">
        <f aca="false">IF(OR(H188="",E188=""),"",E188/H188-1)</f>
        <v/>
      </c>
    </row>
    <row r="189" customFormat="false" ht="15" hidden="false" customHeight="false" outlineLevel="0" collapsed="false">
      <c r="A189" s="12"/>
      <c r="B189" s="13"/>
      <c r="C189" s="14"/>
      <c r="D189" s="14"/>
      <c r="E189" s="15"/>
      <c r="F189" s="16" t="str">
        <f aca="false">IF(OR(C189="",D189=""),"",D189-C189)</f>
        <v/>
      </c>
      <c r="G189" s="17" t="str">
        <f aca="false">IF(OR(F189="",F189=0),"",E189/F189)</f>
        <v/>
      </c>
      <c r="H189" s="18" t="str">
        <f aca="false">IF(OR(A189="",B189=""),"",IF(SUMIFS($E$5:$E$604,$B$5:$B$604,B189,$A$5:$A$604,"&gt;="&amp;DATE(YEAR(A189)-1,MONTH(A189),1),$A$5:$A$604,"&lt;"&amp;DATE(YEAR(A189)-1,MONTH(A189)+1,1))=0,"",SUMIFS($E$5:$E$604,$B$5:$B$604,B189,$A$5:$A$604,"&gt;="&amp;DATE(YEAR(A189)-1,MONTH(A189),1),$A$5:$A$604,"&lt;"&amp;DATE(YEAR(A189)-1,MONTH(A189)+1,1))))</f>
        <v/>
      </c>
      <c r="I189" s="19" t="str">
        <f aca="false">IF(OR(H189="",E189=""),"",E189/H189-1)</f>
        <v/>
      </c>
    </row>
    <row r="190" customFormat="false" ht="15" hidden="false" customHeight="false" outlineLevel="0" collapsed="false">
      <c r="A190" s="12"/>
      <c r="B190" s="13"/>
      <c r="C190" s="14"/>
      <c r="D190" s="14"/>
      <c r="E190" s="15"/>
      <c r="F190" s="16" t="str">
        <f aca="false">IF(OR(C190="",D190=""),"",D190-C190)</f>
        <v/>
      </c>
      <c r="G190" s="17" t="str">
        <f aca="false">IF(OR(F190="",F190=0),"",E190/F190)</f>
        <v/>
      </c>
      <c r="H190" s="18" t="str">
        <f aca="false">IF(OR(A190="",B190=""),"",IF(SUMIFS($E$5:$E$604,$B$5:$B$604,B190,$A$5:$A$604,"&gt;="&amp;DATE(YEAR(A190)-1,MONTH(A190),1),$A$5:$A$604,"&lt;"&amp;DATE(YEAR(A190)-1,MONTH(A190)+1,1))=0,"",SUMIFS($E$5:$E$604,$B$5:$B$604,B190,$A$5:$A$604,"&gt;="&amp;DATE(YEAR(A190)-1,MONTH(A190),1),$A$5:$A$604,"&lt;"&amp;DATE(YEAR(A190)-1,MONTH(A190)+1,1))))</f>
        <v/>
      </c>
      <c r="I190" s="19" t="str">
        <f aca="false">IF(OR(H190="",E190=""),"",E190/H190-1)</f>
        <v/>
      </c>
    </row>
    <row r="191" customFormat="false" ht="15" hidden="false" customHeight="false" outlineLevel="0" collapsed="false">
      <c r="A191" s="12"/>
      <c r="B191" s="13"/>
      <c r="C191" s="14"/>
      <c r="D191" s="14"/>
      <c r="E191" s="15"/>
      <c r="F191" s="16" t="str">
        <f aca="false">IF(OR(C191="",D191=""),"",D191-C191)</f>
        <v/>
      </c>
      <c r="G191" s="17" t="str">
        <f aca="false">IF(OR(F191="",F191=0),"",E191/F191)</f>
        <v/>
      </c>
      <c r="H191" s="18" t="str">
        <f aca="false">IF(OR(A191="",B191=""),"",IF(SUMIFS($E$5:$E$604,$B$5:$B$604,B191,$A$5:$A$604,"&gt;="&amp;DATE(YEAR(A191)-1,MONTH(A191),1),$A$5:$A$604,"&lt;"&amp;DATE(YEAR(A191)-1,MONTH(A191)+1,1))=0,"",SUMIFS($E$5:$E$604,$B$5:$B$604,B191,$A$5:$A$604,"&gt;="&amp;DATE(YEAR(A191)-1,MONTH(A191),1),$A$5:$A$604,"&lt;"&amp;DATE(YEAR(A191)-1,MONTH(A191)+1,1))))</f>
        <v/>
      </c>
      <c r="I191" s="19" t="str">
        <f aca="false">IF(OR(H191="",E191=""),"",E191/H191-1)</f>
        <v/>
      </c>
    </row>
    <row r="192" customFormat="false" ht="15" hidden="false" customHeight="false" outlineLevel="0" collapsed="false">
      <c r="A192" s="12"/>
      <c r="B192" s="13"/>
      <c r="C192" s="14"/>
      <c r="D192" s="14"/>
      <c r="E192" s="15"/>
      <c r="F192" s="16" t="str">
        <f aca="false">IF(OR(C192="",D192=""),"",D192-C192)</f>
        <v/>
      </c>
      <c r="G192" s="17" t="str">
        <f aca="false">IF(OR(F192="",F192=0),"",E192/F192)</f>
        <v/>
      </c>
      <c r="H192" s="18" t="str">
        <f aca="false">IF(OR(A192="",B192=""),"",IF(SUMIFS($E$5:$E$604,$B$5:$B$604,B192,$A$5:$A$604,"&gt;="&amp;DATE(YEAR(A192)-1,MONTH(A192),1),$A$5:$A$604,"&lt;"&amp;DATE(YEAR(A192)-1,MONTH(A192)+1,1))=0,"",SUMIFS($E$5:$E$604,$B$5:$B$604,B192,$A$5:$A$604,"&gt;="&amp;DATE(YEAR(A192)-1,MONTH(A192),1),$A$5:$A$604,"&lt;"&amp;DATE(YEAR(A192)-1,MONTH(A192)+1,1))))</f>
        <v/>
      </c>
      <c r="I192" s="19" t="str">
        <f aca="false">IF(OR(H192="",E192=""),"",E192/H192-1)</f>
        <v/>
      </c>
    </row>
    <row r="193" customFormat="false" ht="15" hidden="false" customHeight="false" outlineLevel="0" collapsed="false">
      <c r="A193" s="12"/>
      <c r="B193" s="13"/>
      <c r="C193" s="14"/>
      <c r="D193" s="14"/>
      <c r="E193" s="15"/>
      <c r="F193" s="16" t="str">
        <f aca="false">IF(OR(C193="",D193=""),"",D193-C193)</f>
        <v/>
      </c>
      <c r="G193" s="17" t="str">
        <f aca="false">IF(OR(F193="",F193=0),"",E193/F193)</f>
        <v/>
      </c>
      <c r="H193" s="18" t="str">
        <f aca="false">IF(OR(A193="",B193=""),"",IF(SUMIFS($E$5:$E$604,$B$5:$B$604,B193,$A$5:$A$604,"&gt;="&amp;DATE(YEAR(A193)-1,MONTH(A193),1),$A$5:$A$604,"&lt;"&amp;DATE(YEAR(A193)-1,MONTH(A193)+1,1))=0,"",SUMIFS($E$5:$E$604,$B$5:$B$604,B193,$A$5:$A$604,"&gt;="&amp;DATE(YEAR(A193)-1,MONTH(A193),1),$A$5:$A$604,"&lt;"&amp;DATE(YEAR(A193)-1,MONTH(A193)+1,1))))</f>
        <v/>
      </c>
      <c r="I193" s="19" t="str">
        <f aca="false">IF(OR(H193="",E193=""),"",E193/H193-1)</f>
        <v/>
      </c>
    </row>
    <row r="194" customFormat="false" ht="15" hidden="false" customHeight="false" outlineLevel="0" collapsed="false">
      <c r="A194" s="12"/>
      <c r="B194" s="13"/>
      <c r="C194" s="14"/>
      <c r="D194" s="14"/>
      <c r="E194" s="15"/>
      <c r="F194" s="16" t="str">
        <f aca="false">IF(OR(C194="",D194=""),"",D194-C194)</f>
        <v/>
      </c>
      <c r="G194" s="17" t="str">
        <f aca="false">IF(OR(F194="",F194=0),"",E194/F194)</f>
        <v/>
      </c>
      <c r="H194" s="18" t="str">
        <f aca="false">IF(OR(A194="",B194=""),"",IF(SUMIFS($E$5:$E$604,$B$5:$B$604,B194,$A$5:$A$604,"&gt;="&amp;DATE(YEAR(A194)-1,MONTH(A194),1),$A$5:$A$604,"&lt;"&amp;DATE(YEAR(A194)-1,MONTH(A194)+1,1))=0,"",SUMIFS($E$5:$E$604,$B$5:$B$604,B194,$A$5:$A$604,"&gt;="&amp;DATE(YEAR(A194)-1,MONTH(A194),1),$A$5:$A$604,"&lt;"&amp;DATE(YEAR(A194)-1,MONTH(A194)+1,1))))</f>
        <v/>
      </c>
      <c r="I194" s="19" t="str">
        <f aca="false">IF(OR(H194="",E194=""),"",E194/H194-1)</f>
        <v/>
      </c>
    </row>
    <row r="195" customFormat="false" ht="15" hidden="false" customHeight="false" outlineLevel="0" collapsed="false">
      <c r="A195" s="12"/>
      <c r="B195" s="13"/>
      <c r="C195" s="14"/>
      <c r="D195" s="14"/>
      <c r="E195" s="15"/>
      <c r="F195" s="16" t="str">
        <f aca="false">IF(OR(C195="",D195=""),"",D195-C195)</f>
        <v/>
      </c>
      <c r="G195" s="17" t="str">
        <f aca="false">IF(OR(F195="",F195=0),"",E195/F195)</f>
        <v/>
      </c>
      <c r="H195" s="18" t="str">
        <f aca="false">IF(OR(A195="",B195=""),"",IF(SUMIFS($E$5:$E$604,$B$5:$B$604,B195,$A$5:$A$604,"&gt;="&amp;DATE(YEAR(A195)-1,MONTH(A195),1),$A$5:$A$604,"&lt;"&amp;DATE(YEAR(A195)-1,MONTH(A195)+1,1))=0,"",SUMIFS($E$5:$E$604,$B$5:$B$604,B195,$A$5:$A$604,"&gt;="&amp;DATE(YEAR(A195)-1,MONTH(A195),1),$A$5:$A$604,"&lt;"&amp;DATE(YEAR(A195)-1,MONTH(A195)+1,1))))</f>
        <v/>
      </c>
      <c r="I195" s="19" t="str">
        <f aca="false">IF(OR(H195="",E195=""),"",E195/H195-1)</f>
        <v/>
      </c>
    </row>
    <row r="196" customFormat="false" ht="15" hidden="false" customHeight="false" outlineLevel="0" collapsed="false">
      <c r="A196" s="12"/>
      <c r="B196" s="13"/>
      <c r="C196" s="14"/>
      <c r="D196" s="14"/>
      <c r="E196" s="15"/>
      <c r="F196" s="16" t="str">
        <f aca="false">IF(OR(C196="",D196=""),"",D196-C196)</f>
        <v/>
      </c>
      <c r="G196" s="17" t="str">
        <f aca="false">IF(OR(F196="",F196=0),"",E196/F196)</f>
        <v/>
      </c>
      <c r="H196" s="18" t="str">
        <f aca="false">IF(OR(A196="",B196=""),"",IF(SUMIFS($E$5:$E$604,$B$5:$B$604,B196,$A$5:$A$604,"&gt;="&amp;DATE(YEAR(A196)-1,MONTH(A196),1),$A$5:$A$604,"&lt;"&amp;DATE(YEAR(A196)-1,MONTH(A196)+1,1))=0,"",SUMIFS($E$5:$E$604,$B$5:$B$604,B196,$A$5:$A$604,"&gt;="&amp;DATE(YEAR(A196)-1,MONTH(A196),1),$A$5:$A$604,"&lt;"&amp;DATE(YEAR(A196)-1,MONTH(A196)+1,1))))</f>
        <v/>
      </c>
      <c r="I196" s="19" t="str">
        <f aca="false">IF(OR(H196="",E196=""),"",E196/H196-1)</f>
        <v/>
      </c>
    </row>
    <row r="197" customFormat="false" ht="15" hidden="false" customHeight="false" outlineLevel="0" collapsed="false">
      <c r="A197" s="12"/>
      <c r="B197" s="13"/>
      <c r="C197" s="14"/>
      <c r="D197" s="14"/>
      <c r="E197" s="15"/>
      <c r="F197" s="16" t="str">
        <f aca="false">IF(OR(C197="",D197=""),"",D197-C197)</f>
        <v/>
      </c>
      <c r="G197" s="17" t="str">
        <f aca="false">IF(OR(F197="",F197=0),"",E197/F197)</f>
        <v/>
      </c>
      <c r="H197" s="18" t="str">
        <f aca="false">IF(OR(A197="",B197=""),"",IF(SUMIFS($E$5:$E$604,$B$5:$B$604,B197,$A$5:$A$604,"&gt;="&amp;DATE(YEAR(A197)-1,MONTH(A197),1),$A$5:$A$604,"&lt;"&amp;DATE(YEAR(A197)-1,MONTH(A197)+1,1))=0,"",SUMIFS($E$5:$E$604,$B$5:$B$604,B197,$A$5:$A$604,"&gt;="&amp;DATE(YEAR(A197)-1,MONTH(A197),1),$A$5:$A$604,"&lt;"&amp;DATE(YEAR(A197)-1,MONTH(A197)+1,1))))</f>
        <v/>
      </c>
      <c r="I197" s="19" t="str">
        <f aca="false">IF(OR(H197="",E197=""),"",E197/H197-1)</f>
        <v/>
      </c>
    </row>
    <row r="198" customFormat="false" ht="15" hidden="false" customHeight="false" outlineLevel="0" collapsed="false">
      <c r="A198" s="12"/>
      <c r="B198" s="13"/>
      <c r="C198" s="14"/>
      <c r="D198" s="14"/>
      <c r="E198" s="15"/>
      <c r="F198" s="16" t="str">
        <f aca="false">IF(OR(C198="",D198=""),"",D198-C198)</f>
        <v/>
      </c>
      <c r="G198" s="17" t="str">
        <f aca="false">IF(OR(F198="",F198=0),"",E198/F198)</f>
        <v/>
      </c>
      <c r="H198" s="18" t="str">
        <f aca="false">IF(OR(A198="",B198=""),"",IF(SUMIFS($E$5:$E$604,$B$5:$B$604,B198,$A$5:$A$604,"&gt;="&amp;DATE(YEAR(A198)-1,MONTH(A198),1),$A$5:$A$604,"&lt;"&amp;DATE(YEAR(A198)-1,MONTH(A198)+1,1))=0,"",SUMIFS($E$5:$E$604,$B$5:$B$604,B198,$A$5:$A$604,"&gt;="&amp;DATE(YEAR(A198)-1,MONTH(A198),1),$A$5:$A$604,"&lt;"&amp;DATE(YEAR(A198)-1,MONTH(A198)+1,1))))</f>
        <v/>
      </c>
      <c r="I198" s="19" t="str">
        <f aca="false">IF(OR(H198="",E198=""),"",E198/H198-1)</f>
        <v/>
      </c>
    </row>
    <row r="199" customFormat="false" ht="15" hidden="false" customHeight="false" outlineLevel="0" collapsed="false">
      <c r="A199" s="12"/>
      <c r="B199" s="13"/>
      <c r="C199" s="14"/>
      <c r="D199" s="14"/>
      <c r="E199" s="15"/>
      <c r="F199" s="16" t="str">
        <f aca="false">IF(OR(C199="",D199=""),"",D199-C199)</f>
        <v/>
      </c>
      <c r="G199" s="17" t="str">
        <f aca="false">IF(OR(F199="",F199=0),"",E199/F199)</f>
        <v/>
      </c>
      <c r="H199" s="18" t="str">
        <f aca="false">IF(OR(A199="",B199=""),"",IF(SUMIFS($E$5:$E$604,$B$5:$B$604,B199,$A$5:$A$604,"&gt;="&amp;DATE(YEAR(A199)-1,MONTH(A199),1),$A$5:$A$604,"&lt;"&amp;DATE(YEAR(A199)-1,MONTH(A199)+1,1))=0,"",SUMIFS($E$5:$E$604,$B$5:$B$604,B199,$A$5:$A$604,"&gt;="&amp;DATE(YEAR(A199)-1,MONTH(A199),1),$A$5:$A$604,"&lt;"&amp;DATE(YEAR(A199)-1,MONTH(A199)+1,1))))</f>
        <v/>
      </c>
      <c r="I199" s="19" t="str">
        <f aca="false">IF(OR(H199="",E199=""),"",E199/H199-1)</f>
        <v/>
      </c>
    </row>
    <row r="200" customFormat="false" ht="15" hidden="false" customHeight="false" outlineLevel="0" collapsed="false">
      <c r="A200" s="12"/>
      <c r="B200" s="13"/>
      <c r="C200" s="14"/>
      <c r="D200" s="14"/>
      <c r="E200" s="15"/>
      <c r="F200" s="16" t="str">
        <f aca="false">IF(OR(C200="",D200=""),"",D200-C200)</f>
        <v/>
      </c>
      <c r="G200" s="17" t="str">
        <f aca="false">IF(OR(F200="",F200=0),"",E200/F200)</f>
        <v/>
      </c>
      <c r="H200" s="18" t="str">
        <f aca="false">IF(OR(A200="",B200=""),"",IF(SUMIFS($E$5:$E$604,$B$5:$B$604,B200,$A$5:$A$604,"&gt;="&amp;DATE(YEAR(A200)-1,MONTH(A200),1),$A$5:$A$604,"&lt;"&amp;DATE(YEAR(A200)-1,MONTH(A200)+1,1))=0,"",SUMIFS($E$5:$E$604,$B$5:$B$604,B200,$A$5:$A$604,"&gt;="&amp;DATE(YEAR(A200)-1,MONTH(A200),1),$A$5:$A$604,"&lt;"&amp;DATE(YEAR(A200)-1,MONTH(A200)+1,1))))</f>
        <v/>
      </c>
      <c r="I200" s="19" t="str">
        <f aca="false">IF(OR(H200="",E200=""),"",E200/H200-1)</f>
        <v/>
      </c>
    </row>
    <row r="201" customFormat="false" ht="15" hidden="false" customHeight="false" outlineLevel="0" collapsed="false">
      <c r="A201" s="12"/>
      <c r="B201" s="13"/>
      <c r="C201" s="14"/>
      <c r="D201" s="14"/>
      <c r="E201" s="15"/>
      <c r="F201" s="16" t="str">
        <f aca="false">IF(OR(C201="",D201=""),"",D201-C201)</f>
        <v/>
      </c>
      <c r="G201" s="17" t="str">
        <f aca="false">IF(OR(F201="",F201=0),"",E201/F201)</f>
        <v/>
      </c>
      <c r="H201" s="18" t="str">
        <f aca="false">IF(OR(A201="",B201=""),"",IF(SUMIFS($E$5:$E$604,$B$5:$B$604,B201,$A$5:$A$604,"&gt;="&amp;DATE(YEAR(A201)-1,MONTH(A201),1),$A$5:$A$604,"&lt;"&amp;DATE(YEAR(A201)-1,MONTH(A201)+1,1))=0,"",SUMIFS($E$5:$E$604,$B$5:$B$604,B201,$A$5:$A$604,"&gt;="&amp;DATE(YEAR(A201)-1,MONTH(A201),1),$A$5:$A$604,"&lt;"&amp;DATE(YEAR(A201)-1,MONTH(A201)+1,1))))</f>
        <v/>
      </c>
      <c r="I201" s="19" t="str">
        <f aca="false">IF(OR(H201="",E201=""),"",E201/H201-1)</f>
        <v/>
      </c>
    </row>
    <row r="202" customFormat="false" ht="15" hidden="false" customHeight="false" outlineLevel="0" collapsed="false">
      <c r="A202" s="12"/>
      <c r="B202" s="13"/>
      <c r="C202" s="14"/>
      <c r="D202" s="14"/>
      <c r="E202" s="15"/>
      <c r="F202" s="16" t="str">
        <f aca="false">IF(OR(C202="",D202=""),"",D202-C202)</f>
        <v/>
      </c>
      <c r="G202" s="17" t="str">
        <f aca="false">IF(OR(F202="",F202=0),"",E202/F202)</f>
        <v/>
      </c>
      <c r="H202" s="18" t="str">
        <f aca="false">IF(OR(A202="",B202=""),"",IF(SUMIFS($E$5:$E$604,$B$5:$B$604,B202,$A$5:$A$604,"&gt;="&amp;DATE(YEAR(A202)-1,MONTH(A202),1),$A$5:$A$604,"&lt;"&amp;DATE(YEAR(A202)-1,MONTH(A202)+1,1))=0,"",SUMIFS($E$5:$E$604,$B$5:$B$604,B202,$A$5:$A$604,"&gt;="&amp;DATE(YEAR(A202)-1,MONTH(A202),1),$A$5:$A$604,"&lt;"&amp;DATE(YEAR(A202)-1,MONTH(A202)+1,1))))</f>
        <v/>
      </c>
      <c r="I202" s="19" t="str">
        <f aca="false">IF(OR(H202="",E202=""),"",E202/H202-1)</f>
        <v/>
      </c>
    </row>
    <row r="203" customFormat="false" ht="15" hidden="false" customHeight="false" outlineLevel="0" collapsed="false">
      <c r="A203" s="12"/>
      <c r="B203" s="13"/>
      <c r="C203" s="14"/>
      <c r="D203" s="14"/>
      <c r="E203" s="15"/>
      <c r="F203" s="16" t="str">
        <f aca="false">IF(OR(C203="",D203=""),"",D203-C203)</f>
        <v/>
      </c>
      <c r="G203" s="17" t="str">
        <f aca="false">IF(OR(F203="",F203=0),"",E203/F203)</f>
        <v/>
      </c>
      <c r="H203" s="18" t="str">
        <f aca="false">IF(OR(A203="",B203=""),"",IF(SUMIFS($E$5:$E$604,$B$5:$B$604,B203,$A$5:$A$604,"&gt;="&amp;DATE(YEAR(A203)-1,MONTH(A203),1),$A$5:$A$604,"&lt;"&amp;DATE(YEAR(A203)-1,MONTH(A203)+1,1))=0,"",SUMIFS($E$5:$E$604,$B$5:$B$604,B203,$A$5:$A$604,"&gt;="&amp;DATE(YEAR(A203)-1,MONTH(A203),1),$A$5:$A$604,"&lt;"&amp;DATE(YEAR(A203)-1,MONTH(A203)+1,1))))</f>
        <v/>
      </c>
      <c r="I203" s="19" t="str">
        <f aca="false">IF(OR(H203="",E203=""),"",E203/H203-1)</f>
        <v/>
      </c>
    </row>
    <row r="204" customFormat="false" ht="15" hidden="false" customHeight="false" outlineLevel="0" collapsed="false">
      <c r="A204" s="12"/>
      <c r="B204" s="13"/>
      <c r="C204" s="14"/>
      <c r="D204" s="14"/>
      <c r="E204" s="15"/>
      <c r="F204" s="16" t="str">
        <f aca="false">IF(OR(C204="",D204=""),"",D204-C204)</f>
        <v/>
      </c>
      <c r="G204" s="17" t="str">
        <f aca="false">IF(OR(F204="",F204=0),"",E204/F204)</f>
        <v/>
      </c>
      <c r="H204" s="18" t="str">
        <f aca="false">IF(OR(A204="",B204=""),"",IF(SUMIFS($E$5:$E$604,$B$5:$B$604,B204,$A$5:$A$604,"&gt;="&amp;DATE(YEAR(A204)-1,MONTH(A204),1),$A$5:$A$604,"&lt;"&amp;DATE(YEAR(A204)-1,MONTH(A204)+1,1))=0,"",SUMIFS($E$5:$E$604,$B$5:$B$604,B204,$A$5:$A$604,"&gt;="&amp;DATE(YEAR(A204)-1,MONTH(A204),1),$A$5:$A$604,"&lt;"&amp;DATE(YEAR(A204)-1,MONTH(A204)+1,1))))</f>
        <v/>
      </c>
      <c r="I204" s="19" t="str">
        <f aca="false">IF(OR(H204="",E204=""),"",E204/H204-1)</f>
        <v/>
      </c>
    </row>
    <row r="205" customFormat="false" ht="15" hidden="false" customHeight="false" outlineLevel="0" collapsed="false">
      <c r="A205" s="12"/>
      <c r="B205" s="13"/>
      <c r="C205" s="14"/>
      <c r="D205" s="14"/>
      <c r="E205" s="15"/>
      <c r="F205" s="16" t="str">
        <f aca="false">IF(OR(C205="",D205=""),"",D205-C205)</f>
        <v/>
      </c>
      <c r="G205" s="17" t="str">
        <f aca="false">IF(OR(F205="",F205=0),"",E205/F205)</f>
        <v/>
      </c>
      <c r="H205" s="18" t="str">
        <f aca="false">IF(OR(A205="",B205=""),"",IF(SUMIFS($E$5:$E$604,$B$5:$B$604,B205,$A$5:$A$604,"&gt;="&amp;DATE(YEAR(A205)-1,MONTH(A205),1),$A$5:$A$604,"&lt;"&amp;DATE(YEAR(A205)-1,MONTH(A205)+1,1))=0,"",SUMIFS($E$5:$E$604,$B$5:$B$604,B205,$A$5:$A$604,"&gt;="&amp;DATE(YEAR(A205)-1,MONTH(A205),1),$A$5:$A$604,"&lt;"&amp;DATE(YEAR(A205)-1,MONTH(A205)+1,1))))</f>
        <v/>
      </c>
      <c r="I205" s="19" t="str">
        <f aca="false">IF(OR(H205="",E205=""),"",E205/H205-1)</f>
        <v/>
      </c>
    </row>
    <row r="206" customFormat="false" ht="15" hidden="false" customHeight="false" outlineLevel="0" collapsed="false">
      <c r="A206" s="12"/>
      <c r="B206" s="13"/>
      <c r="C206" s="14"/>
      <c r="D206" s="14"/>
      <c r="E206" s="15"/>
      <c r="F206" s="16" t="str">
        <f aca="false">IF(OR(C206="",D206=""),"",D206-C206)</f>
        <v/>
      </c>
      <c r="G206" s="17" t="str">
        <f aca="false">IF(OR(F206="",F206=0),"",E206/F206)</f>
        <v/>
      </c>
      <c r="H206" s="18" t="str">
        <f aca="false">IF(OR(A206="",B206=""),"",IF(SUMIFS($E$5:$E$604,$B$5:$B$604,B206,$A$5:$A$604,"&gt;="&amp;DATE(YEAR(A206)-1,MONTH(A206),1),$A$5:$A$604,"&lt;"&amp;DATE(YEAR(A206)-1,MONTH(A206)+1,1))=0,"",SUMIFS($E$5:$E$604,$B$5:$B$604,B206,$A$5:$A$604,"&gt;="&amp;DATE(YEAR(A206)-1,MONTH(A206),1),$A$5:$A$604,"&lt;"&amp;DATE(YEAR(A206)-1,MONTH(A206)+1,1))))</f>
        <v/>
      </c>
      <c r="I206" s="19" t="str">
        <f aca="false">IF(OR(H206="",E206=""),"",E206/H206-1)</f>
        <v/>
      </c>
    </row>
    <row r="207" customFormat="false" ht="15" hidden="false" customHeight="false" outlineLevel="0" collapsed="false">
      <c r="A207" s="12"/>
      <c r="B207" s="13"/>
      <c r="C207" s="14"/>
      <c r="D207" s="14"/>
      <c r="E207" s="15"/>
      <c r="F207" s="16" t="str">
        <f aca="false">IF(OR(C207="",D207=""),"",D207-C207)</f>
        <v/>
      </c>
      <c r="G207" s="17" t="str">
        <f aca="false">IF(OR(F207="",F207=0),"",E207/F207)</f>
        <v/>
      </c>
      <c r="H207" s="18" t="str">
        <f aca="false">IF(OR(A207="",B207=""),"",IF(SUMIFS($E$5:$E$604,$B$5:$B$604,B207,$A$5:$A$604,"&gt;="&amp;DATE(YEAR(A207)-1,MONTH(A207),1),$A$5:$A$604,"&lt;"&amp;DATE(YEAR(A207)-1,MONTH(A207)+1,1))=0,"",SUMIFS($E$5:$E$604,$B$5:$B$604,B207,$A$5:$A$604,"&gt;="&amp;DATE(YEAR(A207)-1,MONTH(A207),1),$A$5:$A$604,"&lt;"&amp;DATE(YEAR(A207)-1,MONTH(A207)+1,1))))</f>
        <v/>
      </c>
      <c r="I207" s="19" t="str">
        <f aca="false">IF(OR(H207="",E207=""),"",E207/H207-1)</f>
        <v/>
      </c>
    </row>
    <row r="208" customFormat="false" ht="15" hidden="false" customHeight="false" outlineLevel="0" collapsed="false">
      <c r="A208" s="12"/>
      <c r="B208" s="13"/>
      <c r="C208" s="14"/>
      <c r="D208" s="14"/>
      <c r="E208" s="15"/>
      <c r="F208" s="16" t="str">
        <f aca="false">IF(OR(C208="",D208=""),"",D208-C208)</f>
        <v/>
      </c>
      <c r="G208" s="17" t="str">
        <f aca="false">IF(OR(F208="",F208=0),"",E208/F208)</f>
        <v/>
      </c>
      <c r="H208" s="18" t="str">
        <f aca="false">IF(OR(A208="",B208=""),"",IF(SUMIFS($E$5:$E$604,$B$5:$B$604,B208,$A$5:$A$604,"&gt;="&amp;DATE(YEAR(A208)-1,MONTH(A208),1),$A$5:$A$604,"&lt;"&amp;DATE(YEAR(A208)-1,MONTH(A208)+1,1))=0,"",SUMIFS($E$5:$E$604,$B$5:$B$604,B208,$A$5:$A$604,"&gt;="&amp;DATE(YEAR(A208)-1,MONTH(A208),1),$A$5:$A$604,"&lt;"&amp;DATE(YEAR(A208)-1,MONTH(A208)+1,1))))</f>
        <v/>
      </c>
      <c r="I208" s="19" t="str">
        <f aca="false">IF(OR(H208="",E208=""),"",E208/H208-1)</f>
        <v/>
      </c>
    </row>
    <row r="209" customFormat="false" ht="15" hidden="false" customHeight="false" outlineLevel="0" collapsed="false">
      <c r="A209" s="12"/>
      <c r="B209" s="13"/>
      <c r="C209" s="14"/>
      <c r="D209" s="14"/>
      <c r="E209" s="15"/>
      <c r="F209" s="16" t="str">
        <f aca="false">IF(OR(C209="",D209=""),"",D209-C209)</f>
        <v/>
      </c>
      <c r="G209" s="17" t="str">
        <f aca="false">IF(OR(F209="",F209=0),"",E209/F209)</f>
        <v/>
      </c>
      <c r="H209" s="18" t="str">
        <f aca="false">IF(OR(A209="",B209=""),"",IF(SUMIFS($E$5:$E$604,$B$5:$B$604,B209,$A$5:$A$604,"&gt;="&amp;DATE(YEAR(A209)-1,MONTH(A209),1),$A$5:$A$604,"&lt;"&amp;DATE(YEAR(A209)-1,MONTH(A209)+1,1))=0,"",SUMIFS($E$5:$E$604,$B$5:$B$604,B209,$A$5:$A$604,"&gt;="&amp;DATE(YEAR(A209)-1,MONTH(A209),1),$A$5:$A$604,"&lt;"&amp;DATE(YEAR(A209)-1,MONTH(A209)+1,1))))</f>
        <v/>
      </c>
      <c r="I209" s="19" t="str">
        <f aca="false">IF(OR(H209="",E209=""),"",E209/H209-1)</f>
        <v/>
      </c>
    </row>
    <row r="210" customFormat="false" ht="15" hidden="false" customHeight="false" outlineLevel="0" collapsed="false">
      <c r="A210" s="12"/>
      <c r="B210" s="13"/>
      <c r="C210" s="14"/>
      <c r="D210" s="14"/>
      <c r="E210" s="15"/>
      <c r="F210" s="16" t="str">
        <f aca="false">IF(OR(C210="",D210=""),"",D210-C210)</f>
        <v/>
      </c>
      <c r="G210" s="17" t="str">
        <f aca="false">IF(OR(F210="",F210=0),"",E210/F210)</f>
        <v/>
      </c>
      <c r="H210" s="18" t="str">
        <f aca="false">IF(OR(A210="",B210=""),"",IF(SUMIFS($E$5:$E$604,$B$5:$B$604,B210,$A$5:$A$604,"&gt;="&amp;DATE(YEAR(A210)-1,MONTH(A210),1),$A$5:$A$604,"&lt;"&amp;DATE(YEAR(A210)-1,MONTH(A210)+1,1))=0,"",SUMIFS($E$5:$E$604,$B$5:$B$604,B210,$A$5:$A$604,"&gt;="&amp;DATE(YEAR(A210)-1,MONTH(A210),1),$A$5:$A$604,"&lt;"&amp;DATE(YEAR(A210)-1,MONTH(A210)+1,1))))</f>
        <v/>
      </c>
      <c r="I210" s="19" t="str">
        <f aca="false">IF(OR(H210="",E210=""),"",E210/H210-1)</f>
        <v/>
      </c>
    </row>
    <row r="211" customFormat="false" ht="15" hidden="false" customHeight="false" outlineLevel="0" collapsed="false">
      <c r="A211" s="12"/>
      <c r="B211" s="13"/>
      <c r="C211" s="14"/>
      <c r="D211" s="14"/>
      <c r="E211" s="15"/>
      <c r="F211" s="16" t="str">
        <f aca="false">IF(OR(C211="",D211=""),"",D211-C211)</f>
        <v/>
      </c>
      <c r="G211" s="17" t="str">
        <f aca="false">IF(OR(F211="",F211=0),"",E211/F211)</f>
        <v/>
      </c>
      <c r="H211" s="18" t="str">
        <f aca="false">IF(OR(A211="",B211=""),"",IF(SUMIFS($E$5:$E$604,$B$5:$B$604,B211,$A$5:$A$604,"&gt;="&amp;DATE(YEAR(A211)-1,MONTH(A211),1),$A$5:$A$604,"&lt;"&amp;DATE(YEAR(A211)-1,MONTH(A211)+1,1))=0,"",SUMIFS($E$5:$E$604,$B$5:$B$604,B211,$A$5:$A$604,"&gt;="&amp;DATE(YEAR(A211)-1,MONTH(A211),1),$A$5:$A$604,"&lt;"&amp;DATE(YEAR(A211)-1,MONTH(A211)+1,1))))</f>
        <v/>
      </c>
      <c r="I211" s="19" t="str">
        <f aca="false">IF(OR(H211="",E211=""),"",E211/H211-1)</f>
        <v/>
      </c>
    </row>
    <row r="212" customFormat="false" ht="15" hidden="false" customHeight="false" outlineLevel="0" collapsed="false">
      <c r="A212" s="12"/>
      <c r="B212" s="13"/>
      <c r="C212" s="14"/>
      <c r="D212" s="14"/>
      <c r="E212" s="15"/>
      <c r="F212" s="16" t="str">
        <f aca="false">IF(OR(C212="",D212=""),"",D212-C212)</f>
        <v/>
      </c>
      <c r="G212" s="17" t="str">
        <f aca="false">IF(OR(F212="",F212=0),"",E212/F212)</f>
        <v/>
      </c>
      <c r="H212" s="18" t="str">
        <f aca="false">IF(OR(A212="",B212=""),"",IF(SUMIFS($E$5:$E$604,$B$5:$B$604,B212,$A$5:$A$604,"&gt;="&amp;DATE(YEAR(A212)-1,MONTH(A212),1),$A$5:$A$604,"&lt;"&amp;DATE(YEAR(A212)-1,MONTH(A212)+1,1))=0,"",SUMIFS($E$5:$E$604,$B$5:$B$604,B212,$A$5:$A$604,"&gt;="&amp;DATE(YEAR(A212)-1,MONTH(A212),1),$A$5:$A$604,"&lt;"&amp;DATE(YEAR(A212)-1,MONTH(A212)+1,1))))</f>
        <v/>
      </c>
      <c r="I212" s="19" t="str">
        <f aca="false">IF(OR(H212="",E212=""),"",E212/H212-1)</f>
        <v/>
      </c>
    </row>
    <row r="213" customFormat="false" ht="15" hidden="false" customHeight="false" outlineLevel="0" collapsed="false">
      <c r="A213" s="12"/>
      <c r="B213" s="13"/>
      <c r="C213" s="14"/>
      <c r="D213" s="14"/>
      <c r="E213" s="15"/>
      <c r="F213" s="16" t="str">
        <f aca="false">IF(OR(C213="",D213=""),"",D213-C213)</f>
        <v/>
      </c>
      <c r="G213" s="17" t="str">
        <f aca="false">IF(OR(F213="",F213=0),"",E213/F213)</f>
        <v/>
      </c>
      <c r="H213" s="18" t="str">
        <f aca="false">IF(OR(A213="",B213=""),"",IF(SUMIFS($E$5:$E$604,$B$5:$B$604,B213,$A$5:$A$604,"&gt;="&amp;DATE(YEAR(A213)-1,MONTH(A213),1),$A$5:$A$604,"&lt;"&amp;DATE(YEAR(A213)-1,MONTH(A213)+1,1))=0,"",SUMIFS($E$5:$E$604,$B$5:$B$604,B213,$A$5:$A$604,"&gt;="&amp;DATE(YEAR(A213)-1,MONTH(A213),1),$A$5:$A$604,"&lt;"&amp;DATE(YEAR(A213)-1,MONTH(A213)+1,1))))</f>
        <v/>
      </c>
      <c r="I213" s="19" t="str">
        <f aca="false">IF(OR(H213="",E213=""),"",E213/H213-1)</f>
        <v/>
      </c>
    </row>
    <row r="214" customFormat="false" ht="15" hidden="false" customHeight="false" outlineLevel="0" collapsed="false">
      <c r="A214" s="12"/>
      <c r="B214" s="13"/>
      <c r="C214" s="14"/>
      <c r="D214" s="14"/>
      <c r="E214" s="15"/>
      <c r="F214" s="16" t="str">
        <f aca="false">IF(OR(C214="",D214=""),"",D214-C214)</f>
        <v/>
      </c>
      <c r="G214" s="17" t="str">
        <f aca="false">IF(OR(F214="",F214=0),"",E214/F214)</f>
        <v/>
      </c>
      <c r="H214" s="18" t="str">
        <f aca="false">IF(OR(A214="",B214=""),"",IF(SUMIFS($E$5:$E$604,$B$5:$B$604,B214,$A$5:$A$604,"&gt;="&amp;DATE(YEAR(A214)-1,MONTH(A214),1),$A$5:$A$604,"&lt;"&amp;DATE(YEAR(A214)-1,MONTH(A214)+1,1))=0,"",SUMIFS($E$5:$E$604,$B$5:$B$604,B214,$A$5:$A$604,"&gt;="&amp;DATE(YEAR(A214)-1,MONTH(A214),1),$A$5:$A$604,"&lt;"&amp;DATE(YEAR(A214)-1,MONTH(A214)+1,1))))</f>
        <v/>
      </c>
      <c r="I214" s="19" t="str">
        <f aca="false">IF(OR(H214="",E214=""),"",E214/H214-1)</f>
        <v/>
      </c>
    </row>
    <row r="215" customFormat="false" ht="15" hidden="false" customHeight="false" outlineLevel="0" collapsed="false">
      <c r="A215" s="12"/>
      <c r="B215" s="13"/>
      <c r="C215" s="14"/>
      <c r="D215" s="14"/>
      <c r="E215" s="15"/>
      <c r="F215" s="16" t="str">
        <f aca="false">IF(OR(C215="",D215=""),"",D215-C215)</f>
        <v/>
      </c>
      <c r="G215" s="17" t="str">
        <f aca="false">IF(OR(F215="",F215=0),"",E215/F215)</f>
        <v/>
      </c>
      <c r="H215" s="18" t="str">
        <f aca="false">IF(OR(A215="",B215=""),"",IF(SUMIFS($E$5:$E$604,$B$5:$B$604,B215,$A$5:$A$604,"&gt;="&amp;DATE(YEAR(A215)-1,MONTH(A215),1),$A$5:$A$604,"&lt;"&amp;DATE(YEAR(A215)-1,MONTH(A215)+1,1))=0,"",SUMIFS($E$5:$E$604,$B$5:$B$604,B215,$A$5:$A$604,"&gt;="&amp;DATE(YEAR(A215)-1,MONTH(A215),1),$A$5:$A$604,"&lt;"&amp;DATE(YEAR(A215)-1,MONTH(A215)+1,1))))</f>
        <v/>
      </c>
      <c r="I215" s="19" t="str">
        <f aca="false">IF(OR(H215="",E215=""),"",E215/H215-1)</f>
        <v/>
      </c>
    </row>
    <row r="216" customFormat="false" ht="15" hidden="false" customHeight="false" outlineLevel="0" collapsed="false">
      <c r="A216" s="12"/>
      <c r="B216" s="13"/>
      <c r="C216" s="14"/>
      <c r="D216" s="14"/>
      <c r="E216" s="15"/>
      <c r="F216" s="16" t="str">
        <f aca="false">IF(OR(C216="",D216=""),"",D216-C216)</f>
        <v/>
      </c>
      <c r="G216" s="17" t="str">
        <f aca="false">IF(OR(F216="",F216=0),"",E216/F216)</f>
        <v/>
      </c>
      <c r="H216" s="18" t="str">
        <f aca="false">IF(OR(A216="",B216=""),"",IF(SUMIFS($E$5:$E$604,$B$5:$B$604,B216,$A$5:$A$604,"&gt;="&amp;DATE(YEAR(A216)-1,MONTH(A216),1),$A$5:$A$604,"&lt;"&amp;DATE(YEAR(A216)-1,MONTH(A216)+1,1))=0,"",SUMIFS($E$5:$E$604,$B$5:$B$604,B216,$A$5:$A$604,"&gt;="&amp;DATE(YEAR(A216)-1,MONTH(A216),1),$A$5:$A$604,"&lt;"&amp;DATE(YEAR(A216)-1,MONTH(A216)+1,1))))</f>
        <v/>
      </c>
      <c r="I216" s="19" t="str">
        <f aca="false">IF(OR(H216="",E216=""),"",E216/H216-1)</f>
        <v/>
      </c>
    </row>
    <row r="217" customFormat="false" ht="15" hidden="false" customHeight="false" outlineLevel="0" collapsed="false">
      <c r="A217" s="12"/>
      <c r="B217" s="13"/>
      <c r="C217" s="14"/>
      <c r="D217" s="14"/>
      <c r="E217" s="15"/>
      <c r="F217" s="16" t="str">
        <f aca="false">IF(OR(C217="",D217=""),"",D217-C217)</f>
        <v/>
      </c>
      <c r="G217" s="17" t="str">
        <f aca="false">IF(OR(F217="",F217=0),"",E217/F217)</f>
        <v/>
      </c>
      <c r="H217" s="18" t="str">
        <f aca="false">IF(OR(A217="",B217=""),"",IF(SUMIFS($E$5:$E$604,$B$5:$B$604,B217,$A$5:$A$604,"&gt;="&amp;DATE(YEAR(A217)-1,MONTH(A217),1),$A$5:$A$604,"&lt;"&amp;DATE(YEAR(A217)-1,MONTH(A217)+1,1))=0,"",SUMIFS($E$5:$E$604,$B$5:$B$604,B217,$A$5:$A$604,"&gt;="&amp;DATE(YEAR(A217)-1,MONTH(A217),1),$A$5:$A$604,"&lt;"&amp;DATE(YEAR(A217)-1,MONTH(A217)+1,1))))</f>
        <v/>
      </c>
      <c r="I217" s="19" t="str">
        <f aca="false">IF(OR(H217="",E217=""),"",E217/H217-1)</f>
        <v/>
      </c>
    </row>
    <row r="218" customFormat="false" ht="15" hidden="false" customHeight="false" outlineLevel="0" collapsed="false">
      <c r="A218" s="12"/>
      <c r="B218" s="13"/>
      <c r="C218" s="14"/>
      <c r="D218" s="14"/>
      <c r="E218" s="15"/>
      <c r="F218" s="16" t="str">
        <f aca="false">IF(OR(C218="",D218=""),"",D218-C218)</f>
        <v/>
      </c>
      <c r="G218" s="17" t="str">
        <f aca="false">IF(OR(F218="",F218=0),"",E218/F218)</f>
        <v/>
      </c>
      <c r="H218" s="18" t="str">
        <f aca="false">IF(OR(A218="",B218=""),"",IF(SUMIFS($E$5:$E$604,$B$5:$B$604,B218,$A$5:$A$604,"&gt;="&amp;DATE(YEAR(A218)-1,MONTH(A218),1),$A$5:$A$604,"&lt;"&amp;DATE(YEAR(A218)-1,MONTH(A218)+1,1))=0,"",SUMIFS($E$5:$E$604,$B$5:$B$604,B218,$A$5:$A$604,"&gt;="&amp;DATE(YEAR(A218)-1,MONTH(A218),1),$A$5:$A$604,"&lt;"&amp;DATE(YEAR(A218)-1,MONTH(A218)+1,1))))</f>
        <v/>
      </c>
      <c r="I218" s="19" t="str">
        <f aca="false">IF(OR(H218="",E218=""),"",E218/H218-1)</f>
        <v/>
      </c>
    </row>
    <row r="219" customFormat="false" ht="15" hidden="false" customHeight="false" outlineLevel="0" collapsed="false">
      <c r="A219" s="12"/>
      <c r="B219" s="13"/>
      <c r="C219" s="14"/>
      <c r="D219" s="14"/>
      <c r="E219" s="15"/>
      <c r="F219" s="16" t="str">
        <f aca="false">IF(OR(C219="",D219=""),"",D219-C219)</f>
        <v/>
      </c>
      <c r="G219" s="17" t="str">
        <f aca="false">IF(OR(F219="",F219=0),"",E219/F219)</f>
        <v/>
      </c>
      <c r="H219" s="18" t="str">
        <f aca="false">IF(OR(A219="",B219=""),"",IF(SUMIFS($E$5:$E$604,$B$5:$B$604,B219,$A$5:$A$604,"&gt;="&amp;DATE(YEAR(A219)-1,MONTH(A219),1),$A$5:$A$604,"&lt;"&amp;DATE(YEAR(A219)-1,MONTH(A219)+1,1))=0,"",SUMIFS($E$5:$E$604,$B$5:$B$604,B219,$A$5:$A$604,"&gt;="&amp;DATE(YEAR(A219)-1,MONTH(A219),1),$A$5:$A$604,"&lt;"&amp;DATE(YEAR(A219)-1,MONTH(A219)+1,1))))</f>
        <v/>
      </c>
      <c r="I219" s="19" t="str">
        <f aca="false">IF(OR(H219="",E219=""),"",E219/H219-1)</f>
        <v/>
      </c>
    </row>
    <row r="220" customFormat="false" ht="15" hidden="false" customHeight="false" outlineLevel="0" collapsed="false">
      <c r="A220" s="12"/>
      <c r="B220" s="13"/>
      <c r="C220" s="14"/>
      <c r="D220" s="14"/>
      <c r="E220" s="15"/>
      <c r="F220" s="16" t="str">
        <f aca="false">IF(OR(C220="",D220=""),"",D220-C220)</f>
        <v/>
      </c>
      <c r="G220" s="17" t="str">
        <f aca="false">IF(OR(F220="",F220=0),"",E220/F220)</f>
        <v/>
      </c>
      <c r="H220" s="18" t="str">
        <f aca="false">IF(OR(A220="",B220=""),"",IF(SUMIFS($E$5:$E$604,$B$5:$B$604,B220,$A$5:$A$604,"&gt;="&amp;DATE(YEAR(A220)-1,MONTH(A220),1),$A$5:$A$604,"&lt;"&amp;DATE(YEAR(A220)-1,MONTH(A220)+1,1))=0,"",SUMIFS($E$5:$E$604,$B$5:$B$604,B220,$A$5:$A$604,"&gt;="&amp;DATE(YEAR(A220)-1,MONTH(A220),1),$A$5:$A$604,"&lt;"&amp;DATE(YEAR(A220)-1,MONTH(A220)+1,1))))</f>
        <v/>
      </c>
      <c r="I220" s="19" t="str">
        <f aca="false">IF(OR(H220="",E220=""),"",E220/H220-1)</f>
        <v/>
      </c>
    </row>
    <row r="221" customFormat="false" ht="15" hidden="false" customHeight="false" outlineLevel="0" collapsed="false">
      <c r="A221" s="12"/>
      <c r="B221" s="13"/>
      <c r="C221" s="14"/>
      <c r="D221" s="14"/>
      <c r="E221" s="15"/>
      <c r="F221" s="16" t="str">
        <f aca="false">IF(OR(C221="",D221=""),"",D221-C221)</f>
        <v/>
      </c>
      <c r="G221" s="17" t="str">
        <f aca="false">IF(OR(F221="",F221=0),"",E221/F221)</f>
        <v/>
      </c>
      <c r="H221" s="18" t="str">
        <f aca="false">IF(OR(A221="",B221=""),"",IF(SUMIFS($E$5:$E$604,$B$5:$B$604,B221,$A$5:$A$604,"&gt;="&amp;DATE(YEAR(A221)-1,MONTH(A221),1),$A$5:$A$604,"&lt;"&amp;DATE(YEAR(A221)-1,MONTH(A221)+1,1))=0,"",SUMIFS($E$5:$E$604,$B$5:$B$604,B221,$A$5:$A$604,"&gt;="&amp;DATE(YEAR(A221)-1,MONTH(A221),1),$A$5:$A$604,"&lt;"&amp;DATE(YEAR(A221)-1,MONTH(A221)+1,1))))</f>
        <v/>
      </c>
      <c r="I221" s="19" t="str">
        <f aca="false">IF(OR(H221="",E221=""),"",E221/H221-1)</f>
        <v/>
      </c>
    </row>
    <row r="222" customFormat="false" ht="15" hidden="false" customHeight="false" outlineLevel="0" collapsed="false">
      <c r="A222" s="12"/>
      <c r="B222" s="13"/>
      <c r="C222" s="14"/>
      <c r="D222" s="14"/>
      <c r="E222" s="15"/>
      <c r="F222" s="16" t="str">
        <f aca="false">IF(OR(C222="",D222=""),"",D222-C222)</f>
        <v/>
      </c>
      <c r="G222" s="17" t="str">
        <f aca="false">IF(OR(F222="",F222=0),"",E222/F222)</f>
        <v/>
      </c>
      <c r="H222" s="18" t="str">
        <f aca="false">IF(OR(A222="",B222=""),"",IF(SUMIFS($E$5:$E$604,$B$5:$B$604,B222,$A$5:$A$604,"&gt;="&amp;DATE(YEAR(A222)-1,MONTH(A222),1),$A$5:$A$604,"&lt;"&amp;DATE(YEAR(A222)-1,MONTH(A222)+1,1))=0,"",SUMIFS($E$5:$E$604,$B$5:$B$604,B222,$A$5:$A$604,"&gt;="&amp;DATE(YEAR(A222)-1,MONTH(A222),1),$A$5:$A$604,"&lt;"&amp;DATE(YEAR(A222)-1,MONTH(A222)+1,1))))</f>
        <v/>
      </c>
      <c r="I222" s="19" t="str">
        <f aca="false">IF(OR(H222="",E222=""),"",E222/H222-1)</f>
        <v/>
      </c>
    </row>
    <row r="223" customFormat="false" ht="15" hidden="false" customHeight="false" outlineLevel="0" collapsed="false">
      <c r="A223" s="12"/>
      <c r="B223" s="13"/>
      <c r="C223" s="14"/>
      <c r="D223" s="14"/>
      <c r="E223" s="15"/>
      <c r="F223" s="16" t="str">
        <f aca="false">IF(OR(C223="",D223=""),"",D223-C223)</f>
        <v/>
      </c>
      <c r="G223" s="17" t="str">
        <f aca="false">IF(OR(F223="",F223=0),"",E223/F223)</f>
        <v/>
      </c>
      <c r="H223" s="18" t="str">
        <f aca="false">IF(OR(A223="",B223=""),"",IF(SUMIFS($E$5:$E$604,$B$5:$B$604,B223,$A$5:$A$604,"&gt;="&amp;DATE(YEAR(A223)-1,MONTH(A223),1),$A$5:$A$604,"&lt;"&amp;DATE(YEAR(A223)-1,MONTH(A223)+1,1))=0,"",SUMIFS($E$5:$E$604,$B$5:$B$604,B223,$A$5:$A$604,"&gt;="&amp;DATE(YEAR(A223)-1,MONTH(A223),1),$A$5:$A$604,"&lt;"&amp;DATE(YEAR(A223)-1,MONTH(A223)+1,1))))</f>
        <v/>
      </c>
      <c r="I223" s="19" t="str">
        <f aca="false">IF(OR(H223="",E223=""),"",E223/H223-1)</f>
        <v/>
      </c>
    </row>
    <row r="224" customFormat="false" ht="15" hidden="false" customHeight="false" outlineLevel="0" collapsed="false">
      <c r="A224" s="12"/>
      <c r="B224" s="13"/>
      <c r="C224" s="14"/>
      <c r="D224" s="14"/>
      <c r="E224" s="15"/>
      <c r="F224" s="16" t="str">
        <f aca="false">IF(OR(C224="",D224=""),"",D224-C224)</f>
        <v/>
      </c>
      <c r="G224" s="17" t="str">
        <f aca="false">IF(OR(F224="",F224=0),"",E224/F224)</f>
        <v/>
      </c>
      <c r="H224" s="18" t="str">
        <f aca="false">IF(OR(A224="",B224=""),"",IF(SUMIFS($E$5:$E$604,$B$5:$B$604,B224,$A$5:$A$604,"&gt;="&amp;DATE(YEAR(A224)-1,MONTH(A224),1),$A$5:$A$604,"&lt;"&amp;DATE(YEAR(A224)-1,MONTH(A224)+1,1))=0,"",SUMIFS($E$5:$E$604,$B$5:$B$604,B224,$A$5:$A$604,"&gt;="&amp;DATE(YEAR(A224)-1,MONTH(A224),1),$A$5:$A$604,"&lt;"&amp;DATE(YEAR(A224)-1,MONTH(A224)+1,1))))</f>
        <v/>
      </c>
      <c r="I224" s="19" t="str">
        <f aca="false">IF(OR(H224="",E224=""),"",E224/H224-1)</f>
        <v/>
      </c>
    </row>
    <row r="225" customFormat="false" ht="15" hidden="false" customHeight="false" outlineLevel="0" collapsed="false">
      <c r="A225" s="12"/>
      <c r="B225" s="13"/>
      <c r="C225" s="14"/>
      <c r="D225" s="14"/>
      <c r="E225" s="15"/>
      <c r="F225" s="16" t="str">
        <f aca="false">IF(OR(C225="",D225=""),"",D225-C225)</f>
        <v/>
      </c>
      <c r="G225" s="17" t="str">
        <f aca="false">IF(OR(F225="",F225=0),"",E225/F225)</f>
        <v/>
      </c>
      <c r="H225" s="18" t="str">
        <f aca="false">IF(OR(A225="",B225=""),"",IF(SUMIFS($E$5:$E$604,$B$5:$B$604,B225,$A$5:$A$604,"&gt;="&amp;DATE(YEAR(A225)-1,MONTH(A225),1),$A$5:$A$604,"&lt;"&amp;DATE(YEAR(A225)-1,MONTH(A225)+1,1))=0,"",SUMIFS($E$5:$E$604,$B$5:$B$604,B225,$A$5:$A$604,"&gt;="&amp;DATE(YEAR(A225)-1,MONTH(A225),1),$A$5:$A$604,"&lt;"&amp;DATE(YEAR(A225)-1,MONTH(A225)+1,1))))</f>
        <v/>
      </c>
      <c r="I225" s="19" t="str">
        <f aca="false">IF(OR(H225="",E225=""),"",E225/H225-1)</f>
        <v/>
      </c>
    </row>
    <row r="226" customFormat="false" ht="15" hidden="false" customHeight="false" outlineLevel="0" collapsed="false">
      <c r="A226" s="12"/>
      <c r="B226" s="13"/>
      <c r="C226" s="14"/>
      <c r="D226" s="14"/>
      <c r="E226" s="15"/>
      <c r="F226" s="16" t="str">
        <f aca="false">IF(OR(C226="",D226=""),"",D226-C226)</f>
        <v/>
      </c>
      <c r="G226" s="17" t="str">
        <f aca="false">IF(OR(F226="",F226=0),"",E226/F226)</f>
        <v/>
      </c>
      <c r="H226" s="18" t="str">
        <f aca="false">IF(OR(A226="",B226=""),"",IF(SUMIFS($E$5:$E$604,$B$5:$B$604,B226,$A$5:$A$604,"&gt;="&amp;DATE(YEAR(A226)-1,MONTH(A226),1),$A$5:$A$604,"&lt;"&amp;DATE(YEAR(A226)-1,MONTH(A226)+1,1))=0,"",SUMIFS($E$5:$E$604,$B$5:$B$604,B226,$A$5:$A$604,"&gt;="&amp;DATE(YEAR(A226)-1,MONTH(A226),1),$A$5:$A$604,"&lt;"&amp;DATE(YEAR(A226)-1,MONTH(A226)+1,1))))</f>
        <v/>
      </c>
      <c r="I226" s="19" t="str">
        <f aca="false">IF(OR(H226="",E226=""),"",E226/H226-1)</f>
        <v/>
      </c>
    </row>
    <row r="227" customFormat="false" ht="15" hidden="false" customHeight="false" outlineLevel="0" collapsed="false">
      <c r="A227" s="12"/>
      <c r="B227" s="13"/>
      <c r="C227" s="14"/>
      <c r="D227" s="14"/>
      <c r="E227" s="15"/>
      <c r="F227" s="16" t="str">
        <f aca="false">IF(OR(C227="",D227=""),"",D227-C227)</f>
        <v/>
      </c>
      <c r="G227" s="17" t="str">
        <f aca="false">IF(OR(F227="",F227=0),"",E227/F227)</f>
        <v/>
      </c>
      <c r="H227" s="18" t="str">
        <f aca="false">IF(OR(A227="",B227=""),"",IF(SUMIFS($E$5:$E$604,$B$5:$B$604,B227,$A$5:$A$604,"&gt;="&amp;DATE(YEAR(A227)-1,MONTH(A227),1),$A$5:$A$604,"&lt;"&amp;DATE(YEAR(A227)-1,MONTH(A227)+1,1))=0,"",SUMIFS($E$5:$E$604,$B$5:$B$604,B227,$A$5:$A$604,"&gt;="&amp;DATE(YEAR(A227)-1,MONTH(A227),1),$A$5:$A$604,"&lt;"&amp;DATE(YEAR(A227)-1,MONTH(A227)+1,1))))</f>
        <v/>
      </c>
      <c r="I227" s="19" t="str">
        <f aca="false">IF(OR(H227="",E227=""),"",E227/H227-1)</f>
        <v/>
      </c>
    </row>
    <row r="228" customFormat="false" ht="15" hidden="false" customHeight="false" outlineLevel="0" collapsed="false">
      <c r="A228" s="12"/>
      <c r="B228" s="13"/>
      <c r="C228" s="14"/>
      <c r="D228" s="14"/>
      <c r="E228" s="15"/>
      <c r="F228" s="16" t="str">
        <f aca="false">IF(OR(C228="",D228=""),"",D228-C228)</f>
        <v/>
      </c>
      <c r="G228" s="17" t="str">
        <f aca="false">IF(OR(F228="",F228=0),"",E228/F228)</f>
        <v/>
      </c>
      <c r="H228" s="18" t="str">
        <f aca="false">IF(OR(A228="",B228=""),"",IF(SUMIFS($E$5:$E$604,$B$5:$B$604,B228,$A$5:$A$604,"&gt;="&amp;DATE(YEAR(A228)-1,MONTH(A228),1),$A$5:$A$604,"&lt;"&amp;DATE(YEAR(A228)-1,MONTH(A228)+1,1))=0,"",SUMIFS($E$5:$E$604,$B$5:$B$604,B228,$A$5:$A$604,"&gt;="&amp;DATE(YEAR(A228)-1,MONTH(A228),1),$A$5:$A$604,"&lt;"&amp;DATE(YEAR(A228)-1,MONTH(A228)+1,1))))</f>
        <v/>
      </c>
      <c r="I228" s="19" t="str">
        <f aca="false">IF(OR(H228="",E228=""),"",E228/H228-1)</f>
        <v/>
      </c>
    </row>
    <row r="229" customFormat="false" ht="15" hidden="false" customHeight="false" outlineLevel="0" collapsed="false">
      <c r="A229" s="12"/>
      <c r="B229" s="13"/>
      <c r="C229" s="14"/>
      <c r="D229" s="14"/>
      <c r="E229" s="15"/>
      <c r="F229" s="16" t="str">
        <f aca="false">IF(OR(C229="",D229=""),"",D229-C229)</f>
        <v/>
      </c>
      <c r="G229" s="17" t="str">
        <f aca="false">IF(OR(F229="",F229=0),"",E229/F229)</f>
        <v/>
      </c>
      <c r="H229" s="18" t="str">
        <f aca="false">IF(OR(A229="",B229=""),"",IF(SUMIFS($E$5:$E$604,$B$5:$B$604,B229,$A$5:$A$604,"&gt;="&amp;DATE(YEAR(A229)-1,MONTH(A229),1),$A$5:$A$604,"&lt;"&amp;DATE(YEAR(A229)-1,MONTH(A229)+1,1))=0,"",SUMIFS($E$5:$E$604,$B$5:$B$604,B229,$A$5:$A$604,"&gt;="&amp;DATE(YEAR(A229)-1,MONTH(A229),1),$A$5:$A$604,"&lt;"&amp;DATE(YEAR(A229)-1,MONTH(A229)+1,1))))</f>
        <v/>
      </c>
      <c r="I229" s="19" t="str">
        <f aca="false">IF(OR(H229="",E229=""),"",E229/H229-1)</f>
        <v/>
      </c>
    </row>
    <row r="230" customFormat="false" ht="15" hidden="false" customHeight="false" outlineLevel="0" collapsed="false">
      <c r="A230" s="12"/>
      <c r="B230" s="13"/>
      <c r="C230" s="14"/>
      <c r="D230" s="14"/>
      <c r="E230" s="15"/>
      <c r="F230" s="16" t="str">
        <f aca="false">IF(OR(C230="",D230=""),"",D230-C230)</f>
        <v/>
      </c>
      <c r="G230" s="17" t="str">
        <f aca="false">IF(OR(F230="",F230=0),"",E230/F230)</f>
        <v/>
      </c>
      <c r="H230" s="18" t="str">
        <f aca="false">IF(OR(A230="",B230=""),"",IF(SUMIFS($E$5:$E$604,$B$5:$B$604,B230,$A$5:$A$604,"&gt;="&amp;DATE(YEAR(A230)-1,MONTH(A230),1),$A$5:$A$604,"&lt;"&amp;DATE(YEAR(A230)-1,MONTH(A230)+1,1))=0,"",SUMIFS($E$5:$E$604,$B$5:$B$604,B230,$A$5:$A$604,"&gt;="&amp;DATE(YEAR(A230)-1,MONTH(A230),1),$A$5:$A$604,"&lt;"&amp;DATE(YEAR(A230)-1,MONTH(A230)+1,1))))</f>
        <v/>
      </c>
      <c r="I230" s="19" t="str">
        <f aca="false">IF(OR(H230="",E230=""),"",E230/H230-1)</f>
        <v/>
      </c>
    </row>
    <row r="231" customFormat="false" ht="15" hidden="false" customHeight="false" outlineLevel="0" collapsed="false">
      <c r="A231" s="12"/>
      <c r="B231" s="13"/>
      <c r="C231" s="14"/>
      <c r="D231" s="14"/>
      <c r="E231" s="15"/>
      <c r="F231" s="16" t="str">
        <f aca="false">IF(OR(C231="",D231=""),"",D231-C231)</f>
        <v/>
      </c>
      <c r="G231" s="17" t="str">
        <f aca="false">IF(OR(F231="",F231=0),"",E231/F231)</f>
        <v/>
      </c>
      <c r="H231" s="18" t="str">
        <f aca="false">IF(OR(A231="",B231=""),"",IF(SUMIFS($E$5:$E$604,$B$5:$B$604,B231,$A$5:$A$604,"&gt;="&amp;DATE(YEAR(A231)-1,MONTH(A231),1),$A$5:$A$604,"&lt;"&amp;DATE(YEAR(A231)-1,MONTH(A231)+1,1))=0,"",SUMIFS($E$5:$E$604,$B$5:$B$604,B231,$A$5:$A$604,"&gt;="&amp;DATE(YEAR(A231)-1,MONTH(A231),1),$A$5:$A$604,"&lt;"&amp;DATE(YEAR(A231)-1,MONTH(A231)+1,1))))</f>
        <v/>
      </c>
      <c r="I231" s="19" t="str">
        <f aca="false">IF(OR(H231="",E231=""),"",E231/H231-1)</f>
        <v/>
      </c>
    </row>
    <row r="232" customFormat="false" ht="15" hidden="false" customHeight="false" outlineLevel="0" collapsed="false">
      <c r="A232" s="12"/>
      <c r="B232" s="13"/>
      <c r="C232" s="14"/>
      <c r="D232" s="14"/>
      <c r="E232" s="15"/>
      <c r="F232" s="16" t="str">
        <f aca="false">IF(OR(C232="",D232=""),"",D232-C232)</f>
        <v/>
      </c>
      <c r="G232" s="17" t="str">
        <f aca="false">IF(OR(F232="",F232=0),"",E232/F232)</f>
        <v/>
      </c>
      <c r="H232" s="18" t="str">
        <f aca="false">IF(OR(A232="",B232=""),"",IF(SUMIFS($E$5:$E$604,$B$5:$B$604,B232,$A$5:$A$604,"&gt;="&amp;DATE(YEAR(A232)-1,MONTH(A232),1),$A$5:$A$604,"&lt;"&amp;DATE(YEAR(A232)-1,MONTH(A232)+1,1))=0,"",SUMIFS($E$5:$E$604,$B$5:$B$604,B232,$A$5:$A$604,"&gt;="&amp;DATE(YEAR(A232)-1,MONTH(A232),1),$A$5:$A$604,"&lt;"&amp;DATE(YEAR(A232)-1,MONTH(A232)+1,1))))</f>
        <v/>
      </c>
      <c r="I232" s="19" t="str">
        <f aca="false">IF(OR(H232="",E232=""),"",E232/H232-1)</f>
        <v/>
      </c>
    </row>
    <row r="233" customFormat="false" ht="15" hidden="false" customHeight="false" outlineLevel="0" collapsed="false">
      <c r="A233" s="12"/>
      <c r="B233" s="13"/>
      <c r="C233" s="14"/>
      <c r="D233" s="14"/>
      <c r="E233" s="15"/>
      <c r="F233" s="16" t="str">
        <f aca="false">IF(OR(C233="",D233=""),"",D233-C233)</f>
        <v/>
      </c>
      <c r="G233" s="17" t="str">
        <f aca="false">IF(OR(F233="",F233=0),"",E233/F233)</f>
        <v/>
      </c>
      <c r="H233" s="18" t="str">
        <f aca="false">IF(OR(A233="",B233=""),"",IF(SUMIFS($E$5:$E$604,$B$5:$B$604,B233,$A$5:$A$604,"&gt;="&amp;DATE(YEAR(A233)-1,MONTH(A233),1),$A$5:$A$604,"&lt;"&amp;DATE(YEAR(A233)-1,MONTH(A233)+1,1))=0,"",SUMIFS($E$5:$E$604,$B$5:$B$604,B233,$A$5:$A$604,"&gt;="&amp;DATE(YEAR(A233)-1,MONTH(A233),1),$A$5:$A$604,"&lt;"&amp;DATE(YEAR(A233)-1,MONTH(A233)+1,1))))</f>
        <v/>
      </c>
      <c r="I233" s="19" t="str">
        <f aca="false">IF(OR(H233="",E233=""),"",E233/H233-1)</f>
        <v/>
      </c>
    </row>
    <row r="234" customFormat="false" ht="15" hidden="false" customHeight="false" outlineLevel="0" collapsed="false">
      <c r="A234" s="12"/>
      <c r="B234" s="13"/>
      <c r="C234" s="14"/>
      <c r="D234" s="14"/>
      <c r="E234" s="15"/>
      <c r="F234" s="16" t="str">
        <f aca="false">IF(OR(C234="",D234=""),"",D234-C234)</f>
        <v/>
      </c>
      <c r="G234" s="17" t="str">
        <f aca="false">IF(OR(F234="",F234=0),"",E234/F234)</f>
        <v/>
      </c>
      <c r="H234" s="18" t="str">
        <f aca="false">IF(OR(A234="",B234=""),"",IF(SUMIFS($E$5:$E$604,$B$5:$B$604,B234,$A$5:$A$604,"&gt;="&amp;DATE(YEAR(A234)-1,MONTH(A234),1),$A$5:$A$604,"&lt;"&amp;DATE(YEAR(A234)-1,MONTH(A234)+1,1))=0,"",SUMIFS($E$5:$E$604,$B$5:$B$604,B234,$A$5:$A$604,"&gt;="&amp;DATE(YEAR(A234)-1,MONTH(A234),1),$A$5:$A$604,"&lt;"&amp;DATE(YEAR(A234)-1,MONTH(A234)+1,1))))</f>
        <v/>
      </c>
      <c r="I234" s="19" t="str">
        <f aca="false">IF(OR(H234="",E234=""),"",E234/H234-1)</f>
        <v/>
      </c>
    </row>
    <row r="235" customFormat="false" ht="15" hidden="false" customHeight="false" outlineLevel="0" collapsed="false">
      <c r="A235" s="12"/>
      <c r="B235" s="13"/>
      <c r="C235" s="14"/>
      <c r="D235" s="14"/>
      <c r="E235" s="15"/>
      <c r="F235" s="16" t="str">
        <f aca="false">IF(OR(C235="",D235=""),"",D235-C235)</f>
        <v/>
      </c>
      <c r="G235" s="17" t="str">
        <f aca="false">IF(OR(F235="",F235=0),"",E235/F235)</f>
        <v/>
      </c>
      <c r="H235" s="18" t="str">
        <f aca="false">IF(OR(A235="",B235=""),"",IF(SUMIFS($E$5:$E$604,$B$5:$B$604,B235,$A$5:$A$604,"&gt;="&amp;DATE(YEAR(A235)-1,MONTH(A235),1),$A$5:$A$604,"&lt;"&amp;DATE(YEAR(A235)-1,MONTH(A235)+1,1))=0,"",SUMIFS($E$5:$E$604,$B$5:$B$604,B235,$A$5:$A$604,"&gt;="&amp;DATE(YEAR(A235)-1,MONTH(A235),1),$A$5:$A$604,"&lt;"&amp;DATE(YEAR(A235)-1,MONTH(A235)+1,1))))</f>
        <v/>
      </c>
      <c r="I235" s="19" t="str">
        <f aca="false">IF(OR(H235="",E235=""),"",E235/H235-1)</f>
        <v/>
      </c>
    </row>
    <row r="236" customFormat="false" ht="15" hidden="false" customHeight="false" outlineLevel="0" collapsed="false">
      <c r="A236" s="12"/>
      <c r="B236" s="13"/>
      <c r="C236" s="14"/>
      <c r="D236" s="14"/>
      <c r="E236" s="15"/>
      <c r="F236" s="16" t="str">
        <f aca="false">IF(OR(C236="",D236=""),"",D236-C236)</f>
        <v/>
      </c>
      <c r="G236" s="17" t="str">
        <f aca="false">IF(OR(F236="",F236=0),"",E236/F236)</f>
        <v/>
      </c>
      <c r="H236" s="18" t="str">
        <f aca="false">IF(OR(A236="",B236=""),"",IF(SUMIFS($E$5:$E$604,$B$5:$B$604,B236,$A$5:$A$604,"&gt;="&amp;DATE(YEAR(A236)-1,MONTH(A236),1),$A$5:$A$604,"&lt;"&amp;DATE(YEAR(A236)-1,MONTH(A236)+1,1))=0,"",SUMIFS($E$5:$E$604,$B$5:$B$604,B236,$A$5:$A$604,"&gt;="&amp;DATE(YEAR(A236)-1,MONTH(A236),1),$A$5:$A$604,"&lt;"&amp;DATE(YEAR(A236)-1,MONTH(A236)+1,1))))</f>
        <v/>
      </c>
      <c r="I236" s="19" t="str">
        <f aca="false">IF(OR(H236="",E236=""),"",E236/H236-1)</f>
        <v/>
      </c>
    </row>
    <row r="237" customFormat="false" ht="15" hidden="false" customHeight="false" outlineLevel="0" collapsed="false">
      <c r="A237" s="12"/>
      <c r="B237" s="13"/>
      <c r="C237" s="14"/>
      <c r="D237" s="14"/>
      <c r="E237" s="15"/>
      <c r="F237" s="16" t="str">
        <f aca="false">IF(OR(C237="",D237=""),"",D237-C237)</f>
        <v/>
      </c>
      <c r="G237" s="17" t="str">
        <f aca="false">IF(OR(F237="",F237=0),"",E237/F237)</f>
        <v/>
      </c>
      <c r="H237" s="18" t="str">
        <f aca="false">IF(OR(A237="",B237=""),"",IF(SUMIFS($E$5:$E$604,$B$5:$B$604,B237,$A$5:$A$604,"&gt;="&amp;DATE(YEAR(A237)-1,MONTH(A237),1),$A$5:$A$604,"&lt;"&amp;DATE(YEAR(A237)-1,MONTH(A237)+1,1))=0,"",SUMIFS($E$5:$E$604,$B$5:$B$604,B237,$A$5:$A$604,"&gt;="&amp;DATE(YEAR(A237)-1,MONTH(A237),1),$A$5:$A$604,"&lt;"&amp;DATE(YEAR(A237)-1,MONTH(A237)+1,1))))</f>
        <v/>
      </c>
      <c r="I237" s="19" t="str">
        <f aca="false">IF(OR(H237="",E237=""),"",E237/H237-1)</f>
        <v/>
      </c>
    </row>
    <row r="238" customFormat="false" ht="15" hidden="false" customHeight="false" outlineLevel="0" collapsed="false">
      <c r="A238" s="12"/>
      <c r="B238" s="13"/>
      <c r="C238" s="14"/>
      <c r="D238" s="14"/>
      <c r="E238" s="15"/>
      <c r="F238" s="16" t="str">
        <f aca="false">IF(OR(C238="",D238=""),"",D238-C238)</f>
        <v/>
      </c>
      <c r="G238" s="17" t="str">
        <f aca="false">IF(OR(F238="",F238=0),"",E238/F238)</f>
        <v/>
      </c>
      <c r="H238" s="18" t="str">
        <f aca="false">IF(OR(A238="",B238=""),"",IF(SUMIFS($E$5:$E$604,$B$5:$B$604,B238,$A$5:$A$604,"&gt;="&amp;DATE(YEAR(A238)-1,MONTH(A238),1),$A$5:$A$604,"&lt;"&amp;DATE(YEAR(A238)-1,MONTH(A238)+1,1))=0,"",SUMIFS($E$5:$E$604,$B$5:$B$604,B238,$A$5:$A$604,"&gt;="&amp;DATE(YEAR(A238)-1,MONTH(A238),1),$A$5:$A$604,"&lt;"&amp;DATE(YEAR(A238)-1,MONTH(A238)+1,1))))</f>
        <v/>
      </c>
      <c r="I238" s="19" t="str">
        <f aca="false">IF(OR(H238="",E238=""),"",E238/H238-1)</f>
        <v/>
      </c>
    </row>
    <row r="239" customFormat="false" ht="15" hidden="false" customHeight="false" outlineLevel="0" collapsed="false">
      <c r="A239" s="12"/>
      <c r="B239" s="13"/>
      <c r="C239" s="14"/>
      <c r="D239" s="14"/>
      <c r="E239" s="15"/>
      <c r="F239" s="16" t="str">
        <f aca="false">IF(OR(C239="",D239=""),"",D239-C239)</f>
        <v/>
      </c>
      <c r="G239" s="17" t="str">
        <f aca="false">IF(OR(F239="",F239=0),"",E239/F239)</f>
        <v/>
      </c>
      <c r="H239" s="18" t="str">
        <f aca="false">IF(OR(A239="",B239=""),"",IF(SUMIFS($E$5:$E$604,$B$5:$B$604,B239,$A$5:$A$604,"&gt;="&amp;DATE(YEAR(A239)-1,MONTH(A239),1),$A$5:$A$604,"&lt;"&amp;DATE(YEAR(A239)-1,MONTH(A239)+1,1))=0,"",SUMIFS($E$5:$E$604,$B$5:$B$604,B239,$A$5:$A$604,"&gt;="&amp;DATE(YEAR(A239)-1,MONTH(A239),1),$A$5:$A$604,"&lt;"&amp;DATE(YEAR(A239)-1,MONTH(A239)+1,1))))</f>
        <v/>
      </c>
      <c r="I239" s="19" t="str">
        <f aca="false">IF(OR(H239="",E239=""),"",E239/H239-1)</f>
        <v/>
      </c>
    </row>
    <row r="240" customFormat="false" ht="15" hidden="false" customHeight="false" outlineLevel="0" collapsed="false">
      <c r="A240" s="12"/>
      <c r="B240" s="13"/>
      <c r="C240" s="14"/>
      <c r="D240" s="14"/>
      <c r="E240" s="15"/>
      <c r="F240" s="16" t="str">
        <f aca="false">IF(OR(C240="",D240=""),"",D240-C240)</f>
        <v/>
      </c>
      <c r="G240" s="17" t="str">
        <f aca="false">IF(OR(F240="",F240=0),"",E240/F240)</f>
        <v/>
      </c>
      <c r="H240" s="18" t="str">
        <f aca="false">IF(OR(A240="",B240=""),"",IF(SUMIFS($E$5:$E$604,$B$5:$B$604,B240,$A$5:$A$604,"&gt;="&amp;DATE(YEAR(A240)-1,MONTH(A240),1),$A$5:$A$604,"&lt;"&amp;DATE(YEAR(A240)-1,MONTH(A240)+1,1))=0,"",SUMIFS($E$5:$E$604,$B$5:$B$604,B240,$A$5:$A$604,"&gt;="&amp;DATE(YEAR(A240)-1,MONTH(A240),1),$A$5:$A$604,"&lt;"&amp;DATE(YEAR(A240)-1,MONTH(A240)+1,1))))</f>
        <v/>
      </c>
      <c r="I240" s="19" t="str">
        <f aca="false">IF(OR(H240="",E240=""),"",E240/H240-1)</f>
        <v/>
      </c>
    </row>
    <row r="241" customFormat="false" ht="15" hidden="false" customHeight="false" outlineLevel="0" collapsed="false">
      <c r="A241" s="12"/>
      <c r="B241" s="13"/>
      <c r="C241" s="14"/>
      <c r="D241" s="14"/>
      <c r="E241" s="15"/>
      <c r="F241" s="16" t="str">
        <f aca="false">IF(OR(C241="",D241=""),"",D241-C241)</f>
        <v/>
      </c>
      <c r="G241" s="17" t="str">
        <f aca="false">IF(OR(F241="",F241=0),"",E241/F241)</f>
        <v/>
      </c>
      <c r="H241" s="18" t="str">
        <f aca="false">IF(OR(A241="",B241=""),"",IF(SUMIFS($E$5:$E$604,$B$5:$B$604,B241,$A$5:$A$604,"&gt;="&amp;DATE(YEAR(A241)-1,MONTH(A241),1),$A$5:$A$604,"&lt;"&amp;DATE(YEAR(A241)-1,MONTH(A241)+1,1))=0,"",SUMIFS($E$5:$E$604,$B$5:$B$604,B241,$A$5:$A$604,"&gt;="&amp;DATE(YEAR(A241)-1,MONTH(A241),1),$A$5:$A$604,"&lt;"&amp;DATE(YEAR(A241)-1,MONTH(A241)+1,1))))</f>
        <v/>
      </c>
      <c r="I241" s="19" t="str">
        <f aca="false">IF(OR(H241="",E241=""),"",E241/H241-1)</f>
        <v/>
      </c>
    </row>
    <row r="242" customFormat="false" ht="15" hidden="false" customHeight="false" outlineLevel="0" collapsed="false">
      <c r="A242" s="12"/>
      <c r="B242" s="13"/>
      <c r="C242" s="14"/>
      <c r="D242" s="14"/>
      <c r="E242" s="15"/>
      <c r="F242" s="16" t="str">
        <f aca="false">IF(OR(C242="",D242=""),"",D242-C242)</f>
        <v/>
      </c>
      <c r="G242" s="17" t="str">
        <f aca="false">IF(OR(F242="",F242=0),"",E242/F242)</f>
        <v/>
      </c>
      <c r="H242" s="18" t="str">
        <f aca="false">IF(OR(A242="",B242=""),"",IF(SUMIFS($E$5:$E$604,$B$5:$B$604,B242,$A$5:$A$604,"&gt;="&amp;DATE(YEAR(A242)-1,MONTH(A242),1),$A$5:$A$604,"&lt;"&amp;DATE(YEAR(A242)-1,MONTH(A242)+1,1))=0,"",SUMIFS($E$5:$E$604,$B$5:$B$604,B242,$A$5:$A$604,"&gt;="&amp;DATE(YEAR(A242)-1,MONTH(A242),1),$A$5:$A$604,"&lt;"&amp;DATE(YEAR(A242)-1,MONTH(A242)+1,1))))</f>
        <v/>
      </c>
      <c r="I242" s="19" t="str">
        <f aca="false">IF(OR(H242="",E242=""),"",E242/H242-1)</f>
        <v/>
      </c>
    </row>
    <row r="243" customFormat="false" ht="15" hidden="false" customHeight="false" outlineLevel="0" collapsed="false">
      <c r="A243" s="12"/>
      <c r="B243" s="13"/>
      <c r="C243" s="14"/>
      <c r="D243" s="14"/>
      <c r="E243" s="15"/>
      <c r="F243" s="16" t="str">
        <f aca="false">IF(OR(C243="",D243=""),"",D243-C243)</f>
        <v/>
      </c>
      <c r="G243" s="17" t="str">
        <f aca="false">IF(OR(F243="",F243=0),"",E243/F243)</f>
        <v/>
      </c>
      <c r="H243" s="18" t="str">
        <f aca="false">IF(OR(A243="",B243=""),"",IF(SUMIFS($E$5:$E$604,$B$5:$B$604,B243,$A$5:$A$604,"&gt;="&amp;DATE(YEAR(A243)-1,MONTH(A243),1),$A$5:$A$604,"&lt;"&amp;DATE(YEAR(A243)-1,MONTH(A243)+1,1))=0,"",SUMIFS($E$5:$E$604,$B$5:$B$604,B243,$A$5:$A$604,"&gt;="&amp;DATE(YEAR(A243)-1,MONTH(A243),1),$A$5:$A$604,"&lt;"&amp;DATE(YEAR(A243)-1,MONTH(A243)+1,1))))</f>
        <v/>
      </c>
      <c r="I243" s="19" t="str">
        <f aca="false">IF(OR(H243="",E243=""),"",E243/H243-1)</f>
        <v/>
      </c>
    </row>
    <row r="244" customFormat="false" ht="15" hidden="false" customHeight="false" outlineLevel="0" collapsed="false">
      <c r="A244" s="12"/>
      <c r="B244" s="13"/>
      <c r="C244" s="14"/>
      <c r="D244" s="14"/>
      <c r="E244" s="15"/>
      <c r="F244" s="16" t="str">
        <f aca="false">IF(OR(C244="",D244=""),"",D244-C244)</f>
        <v/>
      </c>
      <c r="G244" s="17" t="str">
        <f aca="false">IF(OR(F244="",F244=0),"",E244/F244)</f>
        <v/>
      </c>
      <c r="H244" s="18" t="str">
        <f aca="false">IF(OR(A244="",B244=""),"",IF(SUMIFS($E$5:$E$604,$B$5:$B$604,B244,$A$5:$A$604,"&gt;="&amp;DATE(YEAR(A244)-1,MONTH(A244),1),$A$5:$A$604,"&lt;"&amp;DATE(YEAR(A244)-1,MONTH(A244)+1,1))=0,"",SUMIFS($E$5:$E$604,$B$5:$B$604,B244,$A$5:$A$604,"&gt;="&amp;DATE(YEAR(A244)-1,MONTH(A244),1),$A$5:$A$604,"&lt;"&amp;DATE(YEAR(A244)-1,MONTH(A244)+1,1))))</f>
        <v/>
      </c>
      <c r="I244" s="19" t="str">
        <f aca="false">IF(OR(H244="",E244=""),"",E244/H244-1)</f>
        <v/>
      </c>
    </row>
    <row r="245" customFormat="false" ht="15" hidden="false" customHeight="false" outlineLevel="0" collapsed="false">
      <c r="A245" s="12"/>
      <c r="B245" s="13"/>
      <c r="C245" s="14"/>
      <c r="D245" s="14"/>
      <c r="E245" s="15"/>
      <c r="F245" s="16" t="str">
        <f aca="false">IF(OR(C245="",D245=""),"",D245-C245)</f>
        <v/>
      </c>
      <c r="G245" s="17" t="str">
        <f aca="false">IF(OR(F245="",F245=0),"",E245/F245)</f>
        <v/>
      </c>
      <c r="H245" s="18" t="str">
        <f aca="false">IF(OR(A245="",B245=""),"",IF(SUMIFS($E$5:$E$604,$B$5:$B$604,B245,$A$5:$A$604,"&gt;="&amp;DATE(YEAR(A245)-1,MONTH(A245),1),$A$5:$A$604,"&lt;"&amp;DATE(YEAR(A245)-1,MONTH(A245)+1,1))=0,"",SUMIFS($E$5:$E$604,$B$5:$B$604,B245,$A$5:$A$604,"&gt;="&amp;DATE(YEAR(A245)-1,MONTH(A245),1),$A$5:$A$604,"&lt;"&amp;DATE(YEAR(A245)-1,MONTH(A245)+1,1))))</f>
        <v/>
      </c>
      <c r="I245" s="19" t="str">
        <f aca="false">IF(OR(H245="",E245=""),"",E245/H245-1)</f>
        <v/>
      </c>
    </row>
    <row r="246" customFormat="false" ht="15" hidden="false" customHeight="false" outlineLevel="0" collapsed="false">
      <c r="A246" s="12"/>
      <c r="B246" s="13"/>
      <c r="C246" s="14"/>
      <c r="D246" s="14"/>
      <c r="E246" s="15"/>
      <c r="F246" s="16" t="str">
        <f aca="false">IF(OR(C246="",D246=""),"",D246-C246)</f>
        <v/>
      </c>
      <c r="G246" s="17" t="str">
        <f aca="false">IF(OR(F246="",F246=0),"",E246/F246)</f>
        <v/>
      </c>
      <c r="H246" s="18" t="str">
        <f aca="false">IF(OR(A246="",B246=""),"",IF(SUMIFS($E$5:$E$604,$B$5:$B$604,B246,$A$5:$A$604,"&gt;="&amp;DATE(YEAR(A246)-1,MONTH(A246),1),$A$5:$A$604,"&lt;"&amp;DATE(YEAR(A246)-1,MONTH(A246)+1,1))=0,"",SUMIFS($E$5:$E$604,$B$5:$B$604,B246,$A$5:$A$604,"&gt;="&amp;DATE(YEAR(A246)-1,MONTH(A246),1),$A$5:$A$604,"&lt;"&amp;DATE(YEAR(A246)-1,MONTH(A246)+1,1))))</f>
        <v/>
      </c>
      <c r="I246" s="19" t="str">
        <f aca="false">IF(OR(H246="",E246=""),"",E246/H246-1)</f>
        <v/>
      </c>
    </row>
    <row r="247" customFormat="false" ht="15" hidden="false" customHeight="false" outlineLevel="0" collapsed="false">
      <c r="A247" s="12"/>
      <c r="B247" s="13"/>
      <c r="C247" s="14"/>
      <c r="D247" s="14"/>
      <c r="E247" s="15"/>
      <c r="F247" s="16" t="str">
        <f aca="false">IF(OR(C247="",D247=""),"",D247-C247)</f>
        <v/>
      </c>
      <c r="G247" s="17" t="str">
        <f aca="false">IF(OR(F247="",F247=0),"",E247/F247)</f>
        <v/>
      </c>
      <c r="H247" s="18" t="str">
        <f aca="false">IF(OR(A247="",B247=""),"",IF(SUMIFS($E$5:$E$604,$B$5:$B$604,B247,$A$5:$A$604,"&gt;="&amp;DATE(YEAR(A247)-1,MONTH(A247),1),$A$5:$A$604,"&lt;"&amp;DATE(YEAR(A247)-1,MONTH(A247)+1,1))=0,"",SUMIFS($E$5:$E$604,$B$5:$B$604,B247,$A$5:$A$604,"&gt;="&amp;DATE(YEAR(A247)-1,MONTH(A247),1),$A$5:$A$604,"&lt;"&amp;DATE(YEAR(A247)-1,MONTH(A247)+1,1))))</f>
        <v/>
      </c>
      <c r="I247" s="19" t="str">
        <f aca="false">IF(OR(H247="",E247=""),"",E247/H247-1)</f>
        <v/>
      </c>
    </row>
    <row r="248" customFormat="false" ht="15" hidden="false" customHeight="false" outlineLevel="0" collapsed="false">
      <c r="A248" s="12"/>
      <c r="B248" s="13"/>
      <c r="C248" s="14"/>
      <c r="D248" s="14"/>
      <c r="E248" s="15"/>
      <c r="F248" s="16" t="str">
        <f aca="false">IF(OR(C248="",D248=""),"",D248-C248)</f>
        <v/>
      </c>
      <c r="G248" s="17" t="str">
        <f aca="false">IF(OR(F248="",F248=0),"",E248/F248)</f>
        <v/>
      </c>
      <c r="H248" s="18" t="str">
        <f aca="false">IF(OR(A248="",B248=""),"",IF(SUMIFS($E$5:$E$604,$B$5:$B$604,B248,$A$5:$A$604,"&gt;="&amp;DATE(YEAR(A248)-1,MONTH(A248),1),$A$5:$A$604,"&lt;"&amp;DATE(YEAR(A248)-1,MONTH(A248)+1,1))=0,"",SUMIFS($E$5:$E$604,$B$5:$B$604,B248,$A$5:$A$604,"&gt;="&amp;DATE(YEAR(A248)-1,MONTH(A248),1),$A$5:$A$604,"&lt;"&amp;DATE(YEAR(A248)-1,MONTH(A248)+1,1))))</f>
        <v/>
      </c>
      <c r="I248" s="19" t="str">
        <f aca="false">IF(OR(H248="",E248=""),"",E248/H248-1)</f>
        <v/>
      </c>
    </row>
    <row r="249" customFormat="false" ht="15" hidden="false" customHeight="false" outlineLevel="0" collapsed="false">
      <c r="A249" s="12"/>
      <c r="B249" s="13"/>
      <c r="C249" s="14"/>
      <c r="D249" s="14"/>
      <c r="E249" s="15"/>
      <c r="F249" s="16" t="str">
        <f aca="false">IF(OR(C249="",D249=""),"",D249-C249)</f>
        <v/>
      </c>
      <c r="G249" s="17" t="str">
        <f aca="false">IF(OR(F249="",F249=0),"",E249/F249)</f>
        <v/>
      </c>
      <c r="H249" s="18" t="str">
        <f aca="false">IF(OR(A249="",B249=""),"",IF(SUMIFS($E$5:$E$604,$B$5:$B$604,B249,$A$5:$A$604,"&gt;="&amp;DATE(YEAR(A249)-1,MONTH(A249),1),$A$5:$A$604,"&lt;"&amp;DATE(YEAR(A249)-1,MONTH(A249)+1,1))=0,"",SUMIFS($E$5:$E$604,$B$5:$B$604,B249,$A$5:$A$604,"&gt;="&amp;DATE(YEAR(A249)-1,MONTH(A249),1),$A$5:$A$604,"&lt;"&amp;DATE(YEAR(A249)-1,MONTH(A249)+1,1))))</f>
        <v/>
      </c>
      <c r="I249" s="19" t="str">
        <f aca="false">IF(OR(H249="",E249=""),"",E249/H249-1)</f>
        <v/>
      </c>
    </row>
    <row r="250" customFormat="false" ht="15" hidden="false" customHeight="false" outlineLevel="0" collapsed="false">
      <c r="A250" s="12"/>
      <c r="B250" s="13"/>
      <c r="C250" s="14"/>
      <c r="D250" s="14"/>
      <c r="E250" s="15"/>
      <c r="F250" s="16" t="str">
        <f aca="false">IF(OR(C250="",D250=""),"",D250-C250)</f>
        <v/>
      </c>
      <c r="G250" s="17" t="str">
        <f aca="false">IF(OR(F250="",F250=0),"",E250/F250)</f>
        <v/>
      </c>
      <c r="H250" s="18" t="str">
        <f aca="false">IF(OR(A250="",B250=""),"",IF(SUMIFS($E$5:$E$604,$B$5:$B$604,B250,$A$5:$A$604,"&gt;="&amp;DATE(YEAR(A250)-1,MONTH(A250),1),$A$5:$A$604,"&lt;"&amp;DATE(YEAR(A250)-1,MONTH(A250)+1,1))=0,"",SUMIFS($E$5:$E$604,$B$5:$B$604,B250,$A$5:$A$604,"&gt;="&amp;DATE(YEAR(A250)-1,MONTH(A250),1),$A$5:$A$604,"&lt;"&amp;DATE(YEAR(A250)-1,MONTH(A250)+1,1))))</f>
        <v/>
      </c>
      <c r="I250" s="19" t="str">
        <f aca="false">IF(OR(H250="",E250=""),"",E250/H250-1)</f>
        <v/>
      </c>
    </row>
    <row r="251" customFormat="false" ht="15" hidden="false" customHeight="false" outlineLevel="0" collapsed="false">
      <c r="A251" s="12"/>
      <c r="B251" s="13"/>
      <c r="C251" s="14"/>
      <c r="D251" s="14"/>
      <c r="E251" s="15"/>
      <c r="F251" s="16" t="str">
        <f aca="false">IF(OR(C251="",D251=""),"",D251-C251)</f>
        <v/>
      </c>
      <c r="G251" s="17" t="str">
        <f aca="false">IF(OR(F251="",F251=0),"",E251/F251)</f>
        <v/>
      </c>
      <c r="H251" s="18" t="str">
        <f aca="false">IF(OR(A251="",B251=""),"",IF(SUMIFS($E$5:$E$604,$B$5:$B$604,B251,$A$5:$A$604,"&gt;="&amp;DATE(YEAR(A251)-1,MONTH(A251),1),$A$5:$A$604,"&lt;"&amp;DATE(YEAR(A251)-1,MONTH(A251)+1,1))=0,"",SUMIFS($E$5:$E$604,$B$5:$B$604,B251,$A$5:$A$604,"&gt;="&amp;DATE(YEAR(A251)-1,MONTH(A251),1),$A$5:$A$604,"&lt;"&amp;DATE(YEAR(A251)-1,MONTH(A251)+1,1))))</f>
        <v/>
      </c>
      <c r="I251" s="19" t="str">
        <f aca="false">IF(OR(H251="",E251=""),"",E251/H251-1)</f>
        <v/>
      </c>
    </row>
    <row r="252" customFormat="false" ht="15" hidden="false" customHeight="false" outlineLevel="0" collapsed="false">
      <c r="A252" s="12"/>
      <c r="B252" s="13"/>
      <c r="C252" s="14"/>
      <c r="D252" s="14"/>
      <c r="E252" s="15"/>
      <c r="F252" s="16" t="str">
        <f aca="false">IF(OR(C252="",D252=""),"",D252-C252)</f>
        <v/>
      </c>
      <c r="G252" s="17" t="str">
        <f aca="false">IF(OR(F252="",F252=0),"",E252/F252)</f>
        <v/>
      </c>
      <c r="H252" s="18" t="str">
        <f aca="false">IF(OR(A252="",B252=""),"",IF(SUMIFS($E$5:$E$604,$B$5:$B$604,B252,$A$5:$A$604,"&gt;="&amp;DATE(YEAR(A252)-1,MONTH(A252),1),$A$5:$A$604,"&lt;"&amp;DATE(YEAR(A252)-1,MONTH(A252)+1,1))=0,"",SUMIFS($E$5:$E$604,$B$5:$B$604,B252,$A$5:$A$604,"&gt;="&amp;DATE(YEAR(A252)-1,MONTH(A252),1),$A$5:$A$604,"&lt;"&amp;DATE(YEAR(A252)-1,MONTH(A252)+1,1))))</f>
        <v/>
      </c>
      <c r="I252" s="19" t="str">
        <f aca="false">IF(OR(H252="",E252=""),"",E252/H252-1)</f>
        <v/>
      </c>
    </row>
    <row r="253" customFormat="false" ht="15" hidden="false" customHeight="false" outlineLevel="0" collapsed="false">
      <c r="A253" s="12"/>
      <c r="B253" s="13"/>
      <c r="C253" s="14"/>
      <c r="D253" s="14"/>
      <c r="E253" s="15"/>
      <c r="F253" s="16" t="str">
        <f aca="false">IF(OR(C253="",D253=""),"",D253-C253)</f>
        <v/>
      </c>
      <c r="G253" s="17" t="str">
        <f aca="false">IF(OR(F253="",F253=0),"",E253/F253)</f>
        <v/>
      </c>
      <c r="H253" s="18" t="str">
        <f aca="false">IF(OR(A253="",B253=""),"",IF(SUMIFS($E$5:$E$604,$B$5:$B$604,B253,$A$5:$A$604,"&gt;="&amp;DATE(YEAR(A253)-1,MONTH(A253),1),$A$5:$A$604,"&lt;"&amp;DATE(YEAR(A253)-1,MONTH(A253)+1,1))=0,"",SUMIFS($E$5:$E$604,$B$5:$B$604,B253,$A$5:$A$604,"&gt;="&amp;DATE(YEAR(A253)-1,MONTH(A253),1),$A$5:$A$604,"&lt;"&amp;DATE(YEAR(A253)-1,MONTH(A253)+1,1))))</f>
        <v/>
      </c>
      <c r="I253" s="19" t="str">
        <f aca="false">IF(OR(H253="",E253=""),"",E253/H253-1)</f>
        <v/>
      </c>
    </row>
    <row r="254" customFormat="false" ht="15" hidden="false" customHeight="false" outlineLevel="0" collapsed="false">
      <c r="A254" s="12"/>
      <c r="B254" s="13"/>
      <c r="C254" s="14"/>
      <c r="D254" s="14"/>
      <c r="E254" s="15"/>
      <c r="F254" s="16" t="str">
        <f aca="false">IF(OR(C254="",D254=""),"",D254-C254)</f>
        <v/>
      </c>
      <c r="G254" s="17" t="str">
        <f aca="false">IF(OR(F254="",F254=0),"",E254/F254)</f>
        <v/>
      </c>
      <c r="H254" s="18" t="str">
        <f aca="false">IF(OR(A254="",B254=""),"",IF(SUMIFS($E$5:$E$604,$B$5:$B$604,B254,$A$5:$A$604,"&gt;="&amp;DATE(YEAR(A254)-1,MONTH(A254),1),$A$5:$A$604,"&lt;"&amp;DATE(YEAR(A254)-1,MONTH(A254)+1,1))=0,"",SUMIFS($E$5:$E$604,$B$5:$B$604,B254,$A$5:$A$604,"&gt;="&amp;DATE(YEAR(A254)-1,MONTH(A254),1),$A$5:$A$604,"&lt;"&amp;DATE(YEAR(A254)-1,MONTH(A254)+1,1))))</f>
        <v/>
      </c>
      <c r="I254" s="19" t="str">
        <f aca="false">IF(OR(H254="",E254=""),"",E254/H254-1)</f>
        <v/>
      </c>
    </row>
    <row r="255" customFormat="false" ht="15" hidden="false" customHeight="false" outlineLevel="0" collapsed="false">
      <c r="A255" s="12"/>
      <c r="B255" s="13"/>
      <c r="C255" s="14"/>
      <c r="D255" s="14"/>
      <c r="E255" s="15"/>
      <c r="F255" s="16" t="str">
        <f aca="false">IF(OR(C255="",D255=""),"",D255-C255)</f>
        <v/>
      </c>
      <c r="G255" s="17" t="str">
        <f aca="false">IF(OR(F255="",F255=0),"",E255/F255)</f>
        <v/>
      </c>
      <c r="H255" s="18" t="str">
        <f aca="false">IF(OR(A255="",B255=""),"",IF(SUMIFS($E$5:$E$604,$B$5:$B$604,B255,$A$5:$A$604,"&gt;="&amp;DATE(YEAR(A255)-1,MONTH(A255),1),$A$5:$A$604,"&lt;"&amp;DATE(YEAR(A255)-1,MONTH(A255)+1,1))=0,"",SUMIFS($E$5:$E$604,$B$5:$B$604,B255,$A$5:$A$604,"&gt;="&amp;DATE(YEAR(A255)-1,MONTH(A255),1),$A$5:$A$604,"&lt;"&amp;DATE(YEAR(A255)-1,MONTH(A255)+1,1))))</f>
        <v/>
      </c>
      <c r="I255" s="19" t="str">
        <f aca="false">IF(OR(H255="",E255=""),"",E255/H255-1)</f>
        <v/>
      </c>
    </row>
    <row r="256" customFormat="false" ht="15" hidden="false" customHeight="false" outlineLevel="0" collapsed="false">
      <c r="A256" s="12"/>
      <c r="B256" s="13"/>
      <c r="C256" s="14"/>
      <c r="D256" s="14"/>
      <c r="E256" s="15"/>
      <c r="F256" s="16" t="str">
        <f aca="false">IF(OR(C256="",D256=""),"",D256-C256)</f>
        <v/>
      </c>
      <c r="G256" s="17" t="str">
        <f aca="false">IF(OR(F256="",F256=0),"",E256/F256)</f>
        <v/>
      </c>
      <c r="H256" s="18" t="str">
        <f aca="false">IF(OR(A256="",B256=""),"",IF(SUMIFS($E$5:$E$604,$B$5:$B$604,B256,$A$5:$A$604,"&gt;="&amp;DATE(YEAR(A256)-1,MONTH(A256),1),$A$5:$A$604,"&lt;"&amp;DATE(YEAR(A256)-1,MONTH(A256)+1,1))=0,"",SUMIFS($E$5:$E$604,$B$5:$B$604,B256,$A$5:$A$604,"&gt;="&amp;DATE(YEAR(A256)-1,MONTH(A256),1),$A$5:$A$604,"&lt;"&amp;DATE(YEAR(A256)-1,MONTH(A256)+1,1))))</f>
        <v/>
      </c>
      <c r="I256" s="19" t="str">
        <f aca="false">IF(OR(H256="",E256=""),"",E256/H256-1)</f>
        <v/>
      </c>
    </row>
    <row r="257" customFormat="false" ht="15" hidden="false" customHeight="false" outlineLevel="0" collapsed="false">
      <c r="A257" s="12"/>
      <c r="B257" s="13"/>
      <c r="C257" s="14"/>
      <c r="D257" s="14"/>
      <c r="E257" s="15"/>
      <c r="F257" s="16" t="str">
        <f aca="false">IF(OR(C257="",D257=""),"",D257-C257)</f>
        <v/>
      </c>
      <c r="G257" s="17" t="str">
        <f aca="false">IF(OR(F257="",F257=0),"",E257/F257)</f>
        <v/>
      </c>
      <c r="H257" s="18" t="str">
        <f aca="false">IF(OR(A257="",B257=""),"",IF(SUMIFS($E$5:$E$604,$B$5:$B$604,B257,$A$5:$A$604,"&gt;="&amp;DATE(YEAR(A257)-1,MONTH(A257),1),$A$5:$A$604,"&lt;"&amp;DATE(YEAR(A257)-1,MONTH(A257)+1,1))=0,"",SUMIFS($E$5:$E$604,$B$5:$B$604,B257,$A$5:$A$604,"&gt;="&amp;DATE(YEAR(A257)-1,MONTH(A257),1),$A$5:$A$604,"&lt;"&amp;DATE(YEAR(A257)-1,MONTH(A257)+1,1))))</f>
        <v/>
      </c>
      <c r="I257" s="19" t="str">
        <f aca="false">IF(OR(H257="",E257=""),"",E257/H257-1)</f>
        <v/>
      </c>
    </row>
    <row r="258" customFormat="false" ht="15" hidden="false" customHeight="false" outlineLevel="0" collapsed="false">
      <c r="A258" s="12"/>
      <c r="B258" s="13"/>
      <c r="C258" s="14"/>
      <c r="D258" s="14"/>
      <c r="E258" s="15"/>
      <c r="F258" s="16" t="str">
        <f aca="false">IF(OR(C258="",D258=""),"",D258-C258)</f>
        <v/>
      </c>
      <c r="G258" s="17" t="str">
        <f aca="false">IF(OR(F258="",F258=0),"",E258/F258)</f>
        <v/>
      </c>
      <c r="H258" s="18" t="str">
        <f aca="false">IF(OR(A258="",B258=""),"",IF(SUMIFS($E$5:$E$604,$B$5:$B$604,B258,$A$5:$A$604,"&gt;="&amp;DATE(YEAR(A258)-1,MONTH(A258),1),$A$5:$A$604,"&lt;"&amp;DATE(YEAR(A258)-1,MONTH(A258)+1,1))=0,"",SUMIFS($E$5:$E$604,$B$5:$B$604,B258,$A$5:$A$604,"&gt;="&amp;DATE(YEAR(A258)-1,MONTH(A258),1),$A$5:$A$604,"&lt;"&amp;DATE(YEAR(A258)-1,MONTH(A258)+1,1))))</f>
        <v/>
      </c>
      <c r="I258" s="19" t="str">
        <f aca="false">IF(OR(H258="",E258=""),"",E258/H258-1)</f>
        <v/>
      </c>
    </row>
    <row r="259" customFormat="false" ht="15" hidden="false" customHeight="false" outlineLevel="0" collapsed="false">
      <c r="A259" s="12"/>
      <c r="B259" s="13"/>
      <c r="C259" s="14"/>
      <c r="D259" s="14"/>
      <c r="E259" s="15"/>
      <c r="F259" s="16" t="str">
        <f aca="false">IF(OR(C259="",D259=""),"",D259-C259)</f>
        <v/>
      </c>
      <c r="G259" s="17" t="str">
        <f aca="false">IF(OR(F259="",F259=0),"",E259/F259)</f>
        <v/>
      </c>
      <c r="H259" s="18" t="str">
        <f aca="false">IF(OR(A259="",B259=""),"",IF(SUMIFS($E$5:$E$604,$B$5:$B$604,B259,$A$5:$A$604,"&gt;="&amp;DATE(YEAR(A259)-1,MONTH(A259),1),$A$5:$A$604,"&lt;"&amp;DATE(YEAR(A259)-1,MONTH(A259)+1,1))=0,"",SUMIFS($E$5:$E$604,$B$5:$B$604,B259,$A$5:$A$604,"&gt;="&amp;DATE(YEAR(A259)-1,MONTH(A259),1),$A$5:$A$604,"&lt;"&amp;DATE(YEAR(A259)-1,MONTH(A259)+1,1))))</f>
        <v/>
      </c>
      <c r="I259" s="19" t="str">
        <f aca="false">IF(OR(H259="",E259=""),"",E259/H259-1)</f>
        <v/>
      </c>
    </row>
    <row r="260" customFormat="false" ht="15" hidden="false" customHeight="false" outlineLevel="0" collapsed="false">
      <c r="A260" s="12"/>
      <c r="B260" s="13"/>
      <c r="C260" s="14"/>
      <c r="D260" s="14"/>
      <c r="E260" s="15"/>
      <c r="F260" s="16" t="str">
        <f aca="false">IF(OR(C260="",D260=""),"",D260-C260)</f>
        <v/>
      </c>
      <c r="G260" s="17" t="str">
        <f aca="false">IF(OR(F260="",F260=0),"",E260/F260)</f>
        <v/>
      </c>
      <c r="H260" s="18" t="str">
        <f aca="false">IF(OR(A260="",B260=""),"",IF(SUMIFS($E$5:$E$604,$B$5:$B$604,B260,$A$5:$A$604,"&gt;="&amp;DATE(YEAR(A260)-1,MONTH(A260),1),$A$5:$A$604,"&lt;"&amp;DATE(YEAR(A260)-1,MONTH(A260)+1,1))=0,"",SUMIFS($E$5:$E$604,$B$5:$B$604,B260,$A$5:$A$604,"&gt;="&amp;DATE(YEAR(A260)-1,MONTH(A260),1),$A$5:$A$604,"&lt;"&amp;DATE(YEAR(A260)-1,MONTH(A260)+1,1))))</f>
        <v/>
      </c>
      <c r="I260" s="19" t="str">
        <f aca="false">IF(OR(H260="",E260=""),"",E260/H260-1)</f>
        <v/>
      </c>
    </row>
    <row r="261" customFormat="false" ht="15" hidden="false" customHeight="false" outlineLevel="0" collapsed="false">
      <c r="A261" s="12"/>
      <c r="B261" s="13"/>
      <c r="C261" s="14"/>
      <c r="D261" s="14"/>
      <c r="E261" s="15"/>
      <c r="F261" s="16" t="str">
        <f aca="false">IF(OR(C261="",D261=""),"",D261-C261)</f>
        <v/>
      </c>
      <c r="G261" s="17" t="str">
        <f aca="false">IF(OR(F261="",F261=0),"",E261/F261)</f>
        <v/>
      </c>
      <c r="H261" s="18" t="str">
        <f aca="false">IF(OR(A261="",B261=""),"",IF(SUMIFS($E$5:$E$604,$B$5:$B$604,B261,$A$5:$A$604,"&gt;="&amp;DATE(YEAR(A261)-1,MONTH(A261),1),$A$5:$A$604,"&lt;"&amp;DATE(YEAR(A261)-1,MONTH(A261)+1,1))=0,"",SUMIFS($E$5:$E$604,$B$5:$B$604,B261,$A$5:$A$604,"&gt;="&amp;DATE(YEAR(A261)-1,MONTH(A261),1),$A$5:$A$604,"&lt;"&amp;DATE(YEAR(A261)-1,MONTH(A261)+1,1))))</f>
        <v/>
      </c>
      <c r="I261" s="19" t="str">
        <f aca="false">IF(OR(H261="",E261=""),"",E261/H261-1)</f>
        <v/>
      </c>
    </row>
    <row r="262" customFormat="false" ht="15" hidden="false" customHeight="false" outlineLevel="0" collapsed="false">
      <c r="A262" s="12"/>
      <c r="B262" s="13"/>
      <c r="C262" s="14"/>
      <c r="D262" s="14"/>
      <c r="E262" s="15"/>
      <c r="F262" s="16" t="str">
        <f aca="false">IF(OR(C262="",D262=""),"",D262-C262)</f>
        <v/>
      </c>
      <c r="G262" s="17" t="str">
        <f aca="false">IF(OR(F262="",F262=0),"",E262/F262)</f>
        <v/>
      </c>
      <c r="H262" s="18" t="str">
        <f aca="false">IF(OR(A262="",B262=""),"",IF(SUMIFS($E$5:$E$604,$B$5:$B$604,B262,$A$5:$A$604,"&gt;="&amp;DATE(YEAR(A262)-1,MONTH(A262),1),$A$5:$A$604,"&lt;"&amp;DATE(YEAR(A262)-1,MONTH(A262)+1,1))=0,"",SUMIFS($E$5:$E$604,$B$5:$B$604,B262,$A$5:$A$604,"&gt;="&amp;DATE(YEAR(A262)-1,MONTH(A262),1),$A$5:$A$604,"&lt;"&amp;DATE(YEAR(A262)-1,MONTH(A262)+1,1))))</f>
        <v/>
      </c>
      <c r="I262" s="19" t="str">
        <f aca="false">IF(OR(H262="",E262=""),"",E262/H262-1)</f>
        <v/>
      </c>
    </row>
    <row r="263" customFormat="false" ht="15" hidden="false" customHeight="false" outlineLevel="0" collapsed="false">
      <c r="A263" s="12"/>
      <c r="B263" s="13"/>
      <c r="C263" s="14"/>
      <c r="D263" s="14"/>
      <c r="E263" s="15"/>
      <c r="F263" s="16" t="str">
        <f aca="false">IF(OR(C263="",D263=""),"",D263-C263)</f>
        <v/>
      </c>
      <c r="G263" s="17" t="str">
        <f aca="false">IF(OR(F263="",F263=0),"",E263/F263)</f>
        <v/>
      </c>
      <c r="H263" s="18" t="str">
        <f aca="false">IF(OR(A263="",B263=""),"",IF(SUMIFS($E$5:$E$604,$B$5:$B$604,B263,$A$5:$A$604,"&gt;="&amp;DATE(YEAR(A263)-1,MONTH(A263),1),$A$5:$A$604,"&lt;"&amp;DATE(YEAR(A263)-1,MONTH(A263)+1,1))=0,"",SUMIFS($E$5:$E$604,$B$5:$B$604,B263,$A$5:$A$604,"&gt;="&amp;DATE(YEAR(A263)-1,MONTH(A263),1),$A$5:$A$604,"&lt;"&amp;DATE(YEAR(A263)-1,MONTH(A263)+1,1))))</f>
        <v/>
      </c>
      <c r="I263" s="19" t="str">
        <f aca="false">IF(OR(H263="",E263=""),"",E263/H263-1)</f>
        <v/>
      </c>
    </row>
    <row r="264" customFormat="false" ht="15" hidden="false" customHeight="false" outlineLevel="0" collapsed="false">
      <c r="A264" s="12"/>
      <c r="B264" s="13"/>
      <c r="C264" s="14"/>
      <c r="D264" s="14"/>
      <c r="E264" s="15"/>
      <c r="F264" s="16" t="str">
        <f aca="false">IF(OR(C264="",D264=""),"",D264-C264)</f>
        <v/>
      </c>
      <c r="G264" s="17" t="str">
        <f aca="false">IF(OR(F264="",F264=0),"",E264/F264)</f>
        <v/>
      </c>
      <c r="H264" s="18" t="str">
        <f aca="false">IF(OR(A264="",B264=""),"",IF(SUMIFS($E$5:$E$604,$B$5:$B$604,B264,$A$5:$A$604,"&gt;="&amp;DATE(YEAR(A264)-1,MONTH(A264),1),$A$5:$A$604,"&lt;"&amp;DATE(YEAR(A264)-1,MONTH(A264)+1,1))=0,"",SUMIFS($E$5:$E$604,$B$5:$B$604,B264,$A$5:$A$604,"&gt;="&amp;DATE(YEAR(A264)-1,MONTH(A264),1),$A$5:$A$604,"&lt;"&amp;DATE(YEAR(A264)-1,MONTH(A264)+1,1))))</f>
        <v/>
      </c>
      <c r="I264" s="19" t="str">
        <f aca="false">IF(OR(H264="",E264=""),"",E264/H264-1)</f>
        <v/>
      </c>
    </row>
    <row r="265" customFormat="false" ht="15" hidden="false" customHeight="false" outlineLevel="0" collapsed="false">
      <c r="A265" s="12"/>
      <c r="B265" s="13"/>
      <c r="C265" s="14"/>
      <c r="D265" s="14"/>
      <c r="E265" s="15"/>
      <c r="F265" s="16" t="str">
        <f aca="false">IF(OR(C265="",D265=""),"",D265-C265)</f>
        <v/>
      </c>
      <c r="G265" s="17" t="str">
        <f aca="false">IF(OR(F265="",F265=0),"",E265/F265)</f>
        <v/>
      </c>
      <c r="H265" s="18" t="str">
        <f aca="false">IF(OR(A265="",B265=""),"",IF(SUMIFS($E$5:$E$604,$B$5:$B$604,B265,$A$5:$A$604,"&gt;="&amp;DATE(YEAR(A265)-1,MONTH(A265),1),$A$5:$A$604,"&lt;"&amp;DATE(YEAR(A265)-1,MONTH(A265)+1,1))=0,"",SUMIFS($E$5:$E$604,$B$5:$B$604,B265,$A$5:$A$604,"&gt;="&amp;DATE(YEAR(A265)-1,MONTH(A265),1),$A$5:$A$604,"&lt;"&amp;DATE(YEAR(A265)-1,MONTH(A265)+1,1))))</f>
        <v/>
      </c>
      <c r="I265" s="19" t="str">
        <f aca="false">IF(OR(H265="",E265=""),"",E265/H265-1)</f>
        <v/>
      </c>
    </row>
    <row r="266" customFormat="false" ht="15" hidden="false" customHeight="false" outlineLevel="0" collapsed="false">
      <c r="A266" s="12"/>
      <c r="B266" s="13"/>
      <c r="C266" s="14"/>
      <c r="D266" s="14"/>
      <c r="E266" s="15"/>
      <c r="F266" s="16" t="str">
        <f aca="false">IF(OR(C266="",D266=""),"",D266-C266)</f>
        <v/>
      </c>
      <c r="G266" s="17" t="str">
        <f aca="false">IF(OR(F266="",F266=0),"",E266/F266)</f>
        <v/>
      </c>
      <c r="H266" s="18" t="str">
        <f aca="false">IF(OR(A266="",B266=""),"",IF(SUMIFS($E$5:$E$604,$B$5:$B$604,B266,$A$5:$A$604,"&gt;="&amp;DATE(YEAR(A266)-1,MONTH(A266),1),$A$5:$A$604,"&lt;"&amp;DATE(YEAR(A266)-1,MONTH(A266)+1,1))=0,"",SUMIFS($E$5:$E$604,$B$5:$B$604,B266,$A$5:$A$604,"&gt;="&amp;DATE(YEAR(A266)-1,MONTH(A266),1),$A$5:$A$604,"&lt;"&amp;DATE(YEAR(A266)-1,MONTH(A266)+1,1))))</f>
        <v/>
      </c>
      <c r="I266" s="19" t="str">
        <f aca="false">IF(OR(H266="",E266=""),"",E266/H266-1)</f>
        <v/>
      </c>
    </row>
    <row r="267" customFormat="false" ht="15" hidden="false" customHeight="false" outlineLevel="0" collapsed="false">
      <c r="A267" s="12"/>
      <c r="B267" s="13"/>
      <c r="C267" s="14"/>
      <c r="D267" s="14"/>
      <c r="E267" s="15"/>
      <c r="F267" s="16" t="str">
        <f aca="false">IF(OR(C267="",D267=""),"",D267-C267)</f>
        <v/>
      </c>
      <c r="G267" s="17" t="str">
        <f aca="false">IF(OR(F267="",F267=0),"",E267/F267)</f>
        <v/>
      </c>
      <c r="H267" s="18" t="str">
        <f aca="false">IF(OR(A267="",B267=""),"",IF(SUMIFS($E$5:$E$604,$B$5:$B$604,B267,$A$5:$A$604,"&gt;="&amp;DATE(YEAR(A267)-1,MONTH(A267),1),$A$5:$A$604,"&lt;"&amp;DATE(YEAR(A267)-1,MONTH(A267)+1,1))=0,"",SUMIFS($E$5:$E$604,$B$5:$B$604,B267,$A$5:$A$604,"&gt;="&amp;DATE(YEAR(A267)-1,MONTH(A267),1),$A$5:$A$604,"&lt;"&amp;DATE(YEAR(A267)-1,MONTH(A267)+1,1))))</f>
        <v/>
      </c>
      <c r="I267" s="19" t="str">
        <f aca="false">IF(OR(H267="",E267=""),"",E267/H267-1)</f>
        <v/>
      </c>
    </row>
    <row r="268" customFormat="false" ht="15" hidden="false" customHeight="false" outlineLevel="0" collapsed="false">
      <c r="A268" s="12"/>
      <c r="B268" s="13"/>
      <c r="C268" s="14"/>
      <c r="D268" s="14"/>
      <c r="E268" s="15"/>
      <c r="F268" s="16" t="str">
        <f aca="false">IF(OR(C268="",D268=""),"",D268-C268)</f>
        <v/>
      </c>
      <c r="G268" s="17" t="str">
        <f aca="false">IF(OR(F268="",F268=0),"",E268/F268)</f>
        <v/>
      </c>
      <c r="H268" s="18" t="str">
        <f aca="false">IF(OR(A268="",B268=""),"",IF(SUMIFS($E$5:$E$604,$B$5:$B$604,B268,$A$5:$A$604,"&gt;="&amp;DATE(YEAR(A268)-1,MONTH(A268),1),$A$5:$A$604,"&lt;"&amp;DATE(YEAR(A268)-1,MONTH(A268)+1,1))=0,"",SUMIFS($E$5:$E$604,$B$5:$B$604,B268,$A$5:$A$604,"&gt;="&amp;DATE(YEAR(A268)-1,MONTH(A268),1),$A$5:$A$604,"&lt;"&amp;DATE(YEAR(A268)-1,MONTH(A268)+1,1))))</f>
        <v/>
      </c>
      <c r="I268" s="19" t="str">
        <f aca="false">IF(OR(H268="",E268=""),"",E268/H268-1)</f>
        <v/>
      </c>
    </row>
    <row r="269" customFormat="false" ht="15" hidden="false" customHeight="false" outlineLevel="0" collapsed="false">
      <c r="A269" s="12"/>
      <c r="B269" s="13"/>
      <c r="C269" s="14"/>
      <c r="D269" s="14"/>
      <c r="E269" s="15"/>
      <c r="F269" s="16" t="str">
        <f aca="false">IF(OR(C269="",D269=""),"",D269-C269)</f>
        <v/>
      </c>
      <c r="G269" s="17" t="str">
        <f aca="false">IF(OR(F269="",F269=0),"",E269/F269)</f>
        <v/>
      </c>
      <c r="H269" s="18" t="str">
        <f aca="false">IF(OR(A269="",B269=""),"",IF(SUMIFS($E$5:$E$604,$B$5:$B$604,B269,$A$5:$A$604,"&gt;="&amp;DATE(YEAR(A269)-1,MONTH(A269),1),$A$5:$A$604,"&lt;"&amp;DATE(YEAR(A269)-1,MONTH(A269)+1,1))=0,"",SUMIFS($E$5:$E$604,$B$5:$B$604,B269,$A$5:$A$604,"&gt;="&amp;DATE(YEAR(A269)-1,MONTH(A269),1),$A$5:$A$604,"&lt;"&amp;DATE(YEAR(A269)-1,MONTH(A269)+1,1))))</f>
        <v/>
      </c>
      <c r="I269" s="19" t="str">
        <f aca="false">IF(OR(H269="",E269=""),"",E269/H269-1)</f>
        <v/>
      </c>
    </row>
    <row r="270" customFormat="false" ht="15" hidden="false" customHeight="false" outlineLevel="0" collapsed="false">
      <c r="A270" s="12"/>
      <c r="B270" s="13"/>
      <c r="C270" s="14"/>
      <c r="D270" s="14"/>
      <c r="E270" s="15"/>
      <c r="F270" s="16" t="str">
        <f aca="false">IF(OR(C270="",D270=""),"",D270-C270)</f>
        <v/>
      </c>
      <c r="G270" s="17" t="str">
        <f aca="false">IF(OR(F270="",F270=0),"",E270/F270)</f>
        <v/>
      </c>
      <c r="H270" s="18" t="str">
        <f aca="false">IF(OR(A270="",B270=""),"",IF(SUMIFS($E$5:$E$604,$B$5:$B$604,B270,$A$5:$A$604,"&gt;="&amp;DATE(YEAR(A270)-1,MONTH(A270),1),$A$5:$A$604,"&lt;"&amp;DATE(YEAR(A270)-1,MONTH(A270)+1,1))=0,"",SUMIFS($E$5:$E$604,$B$5:$B$604,B270,$A$5:$A$604,"&gt;="&amp;DATE(YEAR(A270)-1,MONTH(A270),1),$A$5:$A$604,"&lt;"&amp;DATE(YEAR(A270)-1,MONTH(A270)+1,1))))</f>
        <v/>
      </c>
      <c r="I270" s="19" t="str">
        <f aca="false">IF(OR(H270="",E270=""),"",E270/H270-1)</f>
        <v/>
      </c>
    </row>
    <row r="271" customFormat="false" ht="15" hidden="false" customHeight="false" outlineLevel="0" collapsed="false">
      <c r="A271" s="12"/>
      <c r="B271" s="13"/>
      <c r="C271" s="14"/>
      <c r="D271" s="14"/>
      <c r="E271" s="15"/>
      <c r="F271" s="16" t="str">
        <f aca="false">IF(OR(C271="",D271=""),"",D271-C271)</f>
        <v/>
      </c>
      <c r="G271" s="17" t="str">
        <f aca="false">IF(OR(F271="",F271=0),"",E271/F271)</f>
        <v/>
      </c>
      <c r="H271" s="18" t="str">
        <f aca="false">IF(OR(A271="",B271=""),"",IF(SUMIFS($E$5:$E$604,$B$5:$B$604,B271,$A$5:$A$604,"&gt;="&amp;DATE(YEAR(A271)-1,MONTH(A271),1),$A$5:$A$604,"&lt;"&amp;DATE(YEAR(A271)-1,MONTH(A271)+1,1))=0,"",SUMIFS($E$5:$E$604,$B$5:$B$604,B271,$A$5:$A$604,"&gt;="&amp;DATE(YEAR(A271)-1,MONTH(A271),1),$A$5:$A$604,"&lt;"&amp;DATE(YEAR(A271)-1,MONTH(A271)+1,1))))</f>
        <v/>
      </c>
      <c r="I271" s="19" t="str">
        <f aca="false">IF(OR(H271="",E271=""),"",E271/H271-1)</f>
        <v/>
      </c>
    </row>
    <row r="272" customFormat="false" ht="15" hidden="false" customHeight="false" outlineLevel="0" collapsed="false">
      <c r="A272" s="12"/>
      <c r="B272" s="13"/>
      <c r="C272" s="14"/>
      <c r="D272" s="14"/>
      <c r="E272" s="15"/>
      <c r="F272" s="16" t="str">
        <f aca="false">IF(OR(C272="",D272=""),"",D272-C272)</f>
        <v/>
      </c>
      <c r="G272" s="17" t="str">
        <f aca="false">IF(OR(F272="",F272=0),"",E272/F272)</f>
        <v/>
      </c>
      <c r="H272" s="18" t="str">
        <f aca="false">IF(OR(A272="",B272=""),"",IF(SUMIFS($E$5:$E$604,$B$5:$B$604,B272,$A$5:$A$604,"&gt;="&amp;DATE(YEAR(A272)-1,MONTH(A272),1),$A$5:$A$604,"&lt;"&amp;DATE(YEAR(A272)-1,MONTH(A272)+1,1))=0,"",SUMIFS($E$5:$E$604,$B$5:$B$604,B272,$A$5:$A$604,"&gt;="&amp;DATE(YEAR(A272)-1,MONTH(A272),1),$A$5:$A$604,"&lt;"&amp;DATE(YEAR(A272)-1,MONTH(A272)+1,1))))</f>
        <v/>
      </c>
      <c r="I272" s="19" t="str">
        <f aca="false">IF(OR(H272="",E272=""),"",E272/H272-1)</f>
        <v/>
      </c>
    </row>
    <row r="273" customFormat="false" ht="15" hidden="false" customHeight="false" outlineLevel="0" collapsed="false">
      <c r="A273" s="12"/>
      <c r="B273" s="13"/>
      <c r="C273" s="14"/>
      <c r="D273" s="14"/>
      <c r="E273" s="15"/>
      <c r="F273" s="16" t="str">
        <f aca="false">IF(OR(C273="",D273=""),"",D273-C273)</f>
        <v/>
      </c>
      <c r="G273" s="17" t="str">
        <f aca="false">IF(OR(F273="",F273=0),"",E273/F273)</f>
        <v/>
      </c>
      <c r="H273" s="18" t="str">
        <f aca="false">IF(OR(A273="",B273=""),"",IF(SUMIFS($E$5:$E$604,$B$5:$B$604,B273,$A$5:$A$604,"&gt;="&amp;DATE(YEAR(A273)-1,MONTH(A273),1),$A$5:$A$604,"&lt;"&amp;DATE(YEAR(A273)-1,MONTH(A273)+1,1))=0,"",SUMIFS($E$5:$E$604,$B$5:$B$604,B273,$A$5:$A$604,"&gt;="&amp;DATE(YEAR(A273)-1,MONTH(A273),1),$A$5:$A$604,"&lt;"&amp;DATE(YEAR(A273)-1,MONTH(A273)+1,1))))</f>
        <v/>
      </c>
      <c r="I273" s="19" t="str">
        <f aca="false">IF(OR(H273="",E273=""),"",E273/H273-1)</f>
        <v/>
      </c>
    </row>
    <row r="274" customFormat="false" ht="15" hidden="false" customHeight="false" outlineLevel="0" collapsed="false">
      <c r="A274" s="12"/>
      <c r="B274" s="13"/>
      <c r="C274" s="14"/>
      <c r="D274" s="14"/>
      <c r="E274" s="15"/>
      <c r="F274" s="16" t="str">
        <f aca="false">IF(OR(C274="",D274=""),"",D274-C274)</f>
        <v/>
      </c>
      <c r="G274" s="17" t="str">
        <f aca="false">IF(OR(F274="",F274=0),"",E274/F274)</f>
        <v/>
      </c>
      <c r="H274" s="18" t="str">
        <f aca="false">IF(OR(A274="",B274=""),"",IF(SUMIFS($E$5:$E$604,$B$5:$B$604,B274,$A$5:$A$604,"&gt;="&amp;DATE(YEAR(A274)-1,MONTH(A274),1),$A$5:$A$604,"&lt;"&amp;DATE(YEAR(A274)-1,MONTH(A274)+1,1))=0,"",SUMIFS($E$5:$E$604,$B$5:$B$604,B274,$A$5:$A$604,"&gt;="&amp;DATE(YEAR(A274)-1,MONTH(A274),1),$A$5:$A$604,"&lt;"&amp;DATE(YEAR(A274)-1,MONTH(A274)+1,1))))</f>
        <v/>
      </c>
      <c r="I274" s="19" t="str">
        <f aca="false">IF(OR(H274="",E274=""),"",E274/H274-1)</f>
        <v/>
      </c>
    </row>
    <row r="275" customFormat="false" ht="15" hidden="false" customHeight="false" outlineLevel="0" collapsed="false">
      <c r="A275" s="12"/>
      <c r="B275" s="13"/>
      <c r="C275" s="14"/>
      <c r="D275" s="14"/>
      <c r="E275" s="15"/>
      <c r="F275" s="16" t="str">
        <f aca="false">IF(OR(C275="",D275=""),"",D275-C275)</f>
        <v/>
      </c>
      <c r="G275" s="17" t="str">
        <f aca="false">IF(OR(F275="",F275=0),"",E275/F275)</f>
        <v/>
      </c>
      <c r="H275" s="18" t="str">
        <f aca="false">IF(OR(A275="",B275=""),"",IF(SUMIFS($E$5:$E$604,$B$5:$B$604,B275,$A$5:$A$604,"&gt;="&amp;DATE(YEAR(A275)-1,MONTH(A275),1),$A$5:$A$604,"&lt;"&amp;DATE(YEAR(A275)-1,MONTH(A275)+1,1))=0,"",SUMIFS($E$5:$E$604,$B$5:$B$604,B275,$A$5:$A$604,"&gt;="&amp;DATE(YEAR(A275)-1,MONTH(A275),1),$A$5:$A$604,"&lt;"&amp;DATE(YEAR(A275)-1,MONTH(A275)+1,1))))</f>
        <v/>
      </c>
      <c r="I275" s="19" t="str">
        <f aca="false">IF(OR(H275="",E275=""),"",E275/H275-1)</f>
        <v/>
      </c>
    </row>
    <row r="276" customFormat="false" ht="15" hidden="false" customHeight="false" outlineLevel="0" collapsed="false">
      <c r="A276" s="12"/>
      <c r="B276" s="13"/>
      <c r="C276" s="14"/>
      <c r="D276" s="14"/>
      <c r="E276" s="15"/>
      <c r="F276" s="16" t="str">
        <f aca="false">IF(OR(C276="",D276=""),"",D276-C276)</f>
        <v/>
      </c>
      <c r="G276" s="17" t="str">
        <f aca="false">IF(OR(F276="",F276=0),"",E276/F276)</f>
        <v/>
      </c>
      <c r="H276" s="18" t="str">
        <f aca="false">IF(OR(A276="",B276=""),"",IF(SUMIFS($E$5:$E$604,$B$5:$B$604,B276,$A$5:$A$604,"&gt;="&amp;DATE(YEAR(A276)-1,MONTH(A276),1),$A$5:$A$604,"&lt;"&amp;DATE(YEAR(A276)-1,MONTH(A276)+1,1))=0,"",SUMIFS($E$5:$E$604,$B$5:$B$604,B276,$A$5:$A$604,"&gt;="&amp;DATE(YEAR(A276)-1,MONTH(A276),1),$A$5:$A$604,"&lt;"&amp;DATE(YEAR(A276)-1,MONTH(A276)+1,1))))</f>
        <v/>
      </c>
      <c r="I276" s="19" t="str">
        <f aca="false">IF(OR(H276="",E276=""),"",E276/H276-1)</f>
        <v/>
      </c>
    </row>
    <row r="277" customFormat="false" ht="15" hidden="false" customHeight="false" outlineLevel="0" collapsed="false">
      <c r="A277" s="12"/>
      <c r="B277" s="13"/>
      <c r="C277" s="14"/>
      <c r="D277" s="14"/>
      <c r="E277" s="15"/>
      <c r="F277" s="16" t="str">
        <f aca="false">IF(OR(C277="",D277=""),"",D277-C277)</f>
        <v/>
      </c>
      <c r="G277" s="17" t="str">
        <f aca="false">IF(OR(F277="",F277=0),"",E277/F277)</f>
        <v/>
      </c>
      <c r="H277" s="18" t="str">
        <f aca="false">IF(OR(A277="",B277=""),"",IF(SUMIFS($E$5:$E$604,$B$5:$B$604,B277,$A$5:$A$604,"&gt;="&amp;DATE(YEAR(A277)-1,MONTH(A277),1),$A$5:$A$604,"&lt;"&amp;DATE(YEAR(A277)-1,MONTH(A277)+1,1))=0,"",SUMIFS($E$5:$E$604,$B$5:$B$604,B277,$A$5:$A$604,"&gt;="&amp;DATE(YEAR(A277)-1,MONTH(A277),1),$A$5:$A$604,"&lt;"&amp;DATE(YEAR(A277)-1,MONTH(A277)+1,1))))</f>
        <v/>
      </c>
      <c r="I277" s="19" t="str">
        <f aca="false">IF(OR(H277="",E277=""),"",E277/H277-1)</f>
        <v/>
      </c>
    </row>
    <row r="278" customFormat="false" ht="15" hidden="false" customHeight="false" outlineLevel="0" collapsed="false">
      <c r="A278" s="12"/>
      <c r="B278" s="13"/>
      <c r="C278" s="14"/>
      <c r="D278" s="14"/>
      <c r="E278" s="15"/>
      <c r="F278" s="16" t="str">
        <f aca="false">IF(OR(C278="",D278=""),"",D278-C278)</f>
        <v/>
      </c>
      <c r="G278" s="17" t="str">
        <f aca="false">IF(OR(F278="",F278=0),"",E278/F278)</f>
        <v/>
      </c>
      <c r="H278" s="18" t="str">
        <f aca="false">IF(OR(A278="",B278=""),"",IF(SUMIFS($E$5:$E$604,$B$5:$B$604,B278,$A$5:$A$604,"&gt;="&amp;DATE(YEAR(A278)-1,MONTH(A278),1),$A$5:$A$604,"&lt;"&amp;DATE(YEAR(A278)-1,MONTH(A278)+1,1))=0,"",SUMIFS($E$5:$E$604,$B$5:$B$604,B278,$A$5:$A$604,"&gt;="&amp;DATE(YEAR(A278)-1,MONTH(A278),1),$A$5:$A$604,"&lt;"&amp;DATE(YEAR(A278)-1,MONTH(A278)+1,1))))</f>
        <v/>
      </c>
      <c r="I278" s="19" t="str">
        <f aca="false">IF(OR(H278="",E278=""),"",E278/H278-1)</f>
        <v/>
      </c>
    </row>
    <row r="279" customFormat="false" ht="15" hidden="false" customHeight="false" outlineLevel="0" collapsed="false">
      <c r="A279" s="12"/>
      <c r="B279" s="13"/>
      <c r="C279" s="14"/>
      <c r="D279" s="14"/>
      <c r="E279" s="15"/>
      <c r="F279" s="16" t="str">
        <f aca="false">IF(OR(C279="",D279=""),"",D279-C279)</f>
        <v/>
      </c>
      <c r="G279" s="17" t="str">
        <f aca="false">IF(OR(F279="",F279=0),"",E279/F279)</f>
        <v/>
      </c>
      <c r="H279" s="18" t="str">
        <f aca="false">IF(OR(A279="",B279=""),"",IF(SUMIFS($E$5:$E$604,$B$5:$B$604,B279,$A$5:$A$604,"&gt;="&amp;DATE(YEAR(A279)-1,MONTH(A279),1),$A$5:$A$604,"&lt;"&amp;DATE(YEAR(A279)-1,MONTH(A279)+1,1))=0,"",SUMIFS($E$5:$E$604,$B$5:$B$604,B279,$A$5:$A$604,"&gt;="&amp;DATE(YEAR(A279)-1,MONTH(A279),1),$A$5:$A$604,"&lt;"&amp;DATE(YEAR(A279)-1,MONTH(A279)+1,1))))</f>
        <v/>
      </c>
      <c r="I279" s="19" t="str">
        <f aca="false">IF(OR(H279="",E279=""),"",E279/H279-1)</f>
        <v/>
      </c>
    </row>
    <row r="280" customFormat="false" ht="15" hidden="false" customHeight="false" outlineLevel="0" collapsed="false">
      <c r="A280" s="12"/>
      <c r="B280" s="13"/>
      <c r="C280" s="14"/>
      <c r="D280" s="14"/>
      <c r="E280" s="15"/>
      <c r="F280" s="16" t="str">
        <f aca="false">IF(OR(C280="",D280=""),"",D280-C280)</f>
        <v/>
      </c>
      <c r="G280" s="17" t="str">
        <f aca="false">IF(OR(F280="",F280=0),"",E280/F280)</f>
        <v/>
      </c>
      <c r="H280" s="18" t="str">
        <f aca="false">IF(OR(A280="",B280=""),"",IF(SUMIFS($E$5:$E$604,$B$5:$B$604,B280,$A$5:$A$604,"&gt;="&amp;DATE(YEAR(A280)-1,MONTH(A280),1),$A$5:$A$604,"&lt;"&amp;DATE(YEAR(A280)-1,MONTH(A280)+1,1))=0,"",SUMIFS($E$5:$E$604,$B$5:$B$604,B280,$A$5:$A$604,"&gt;="&amp;DATE(YEAR(A280)-1,MONTH(A280),1),$A$5:$A$604,"&lt;"&amp;DATE(YEAR(A280)-1,MONTH(A280)+1,1))))</f>
        <v/>
      </c>
      <c r="I280" s="19" t="str">
        <f aca="false">IF(OR(H280="",E280=""),"",E280/H280-1)</f>
        <v/>
      </c>
    </row>
    <row r="281" customFormat="false" ht="15" hidden="false" customHeight="false" outlineLevel="0" collapsed="false">
      <c r="A281" s="12"/>
      <c r="B281" s="13"/>
      <c r="C281" s="14"/>
      <c r="D281" s="14"/>
      <c r="E281" s="15"/>
      <c r="F281" s="16" t="str">
        <f aca="false">IF(OR(C281="",D281=""),"",D281-C281)</f>
        <v/>
      </c>
      <c r="G281" s="17" t="str">
        <f aca="false">IF(OR(F281="",F281=0),"",E281/F281)</f>
        <v/>
      </c>
      <c r="H281" s="18" t="str">
        <f aca="false">IF(OR(A281="",B281=""),"",IF(SUMIFS($E$5:$E$604,$B$5:$B$604,B281,$A$5:$A$604,"&gt;="&amp;DATE(YEAR(A281)-1,MONTH(A281),1),$A$5:$A$604,"&lt;"&amp;DATE(YEAR(A281)-1,MONTH(A281)+1,1))=0,"",SUMIFS($E$5:$E$604,$B$5:$B$604,B281,$A$5:$A$604,"&gt;="&amp;DATE(YEAR(A281)-1,MONTH(A281),1),$A$5:$A$604,"&lt;"&amp;DATE(YEAR(A281)-1,MONTH(A281)+1,1))))</f>
        <v/>
      </c>
      <c r="I281" s="19" t="str">
        <f aca="false">IF(OR(H281="",E281=""),"",E281/H281-1)</f>
        <v/>
      </c>
    </row>
    <row r="282" customFormat="false" ht="15" hidden="false" customHeight="false" outlineLevel="0" collapsed="false">
      <c r="A282" s="12"/>
      <c r="B282" s="13"/>
      <c r="C282" s="14"/>
      <c r="D282" s="14"/>
      <c r="E282" s="15"/>
      <c r="F282" s="16" t="str">
        <f aca="false">IF(OR(C282="",D282=""),"",D282-C282)</f>
        <v/>
      </c>
      <c r="G282" s="17" t="str">
        <f aca="false">IF(OR(F282="",F282=0),"",E282/F282)</f>
        <v/>
      </c>
      <c r="H282" s="18" t="str">
        <f aca="false">IF(OR(A282="",B282=""),"",IF(SUMIFS($E$5:$E$604,$B$5:$B$604,B282,$A$5:$A$604,"&gt;="&amp;DATE(YEAR(A282)-1,MONTH(A282),1),$A$5:$A$604,"&lt;"&amp;DATE(YEAR(A282)-1,MONTH(A282)+1,1))=0,"",SUMIFS($E$5:$E$604,$B$5:$B$604,B282,$A$5:$A$604,"&gt;="&amp;DATE(YEAR(A282)-1,MONTH(A282),1),$A$5:$A$604,"&lt;"&amp;DATE(YEAR(A282)-1,MONTH(A282)+1,1))))</f>
        <v/>
      </c>
      <c r="I282" s="19" t="str">
        <f aca="false">IF(OR(H282="",E282=""),"",E282/H282-1)</f>
        <v/>
      </c>
    </row>
    <row r="283" customFormat="false" ht="15" hidden="false" customHeight="false" outlineLevel="0" collapsed="false">
      <c r="A283" s="12"/>
      <c r="B283" s="13"/>
      <c r="C283" s="14"/>
      <c r="D283" s="14"/>
      <c r="E283" s="15"/>
      <c r="F283" s="16" t="str">
        <f aca="false">IF(OR(C283="",D283=""),"",D283-C283)</f>
        <v/>
      </c>
      <c r="G283" s="17" t="str">
        <f aca="false">IF(OR(F283="",F283=0),"",E283/F283)</f>
        <v/>
      </c>
      <c r="H283" s="18" t="str">
        <f aca="false">IF(OR(A283="",B283=""),"",IF(SUMIFS($E$5:$E$604,$B$5:$B$604,B283,$A$5:$A$604,"&gt;="&amp;DATE(YEAR(A283)-1,MONTH(A283),1),$A$5:$A$604,"&lt;"&amp;DATE(YEAR(A283)-1,MONTH(A283)+1,1))=0,"",SUMIFS($E$5:$E$604,$B$5:$B$604,B283,$A$5:$A$604,"&gt;="&amp;DATE(YEAR(A283)-1,MONTH(A283),1),$A$5:$A$604,"&lt;"&amp;DATE(YEAR(A283)-1,MONTH(A283)+1,1))))</f>
        <v/>
      </c>
      <c r="I283" s="19" t="str">
        <f aca="false">IF(OR(H283="",E283=""),"",E283/H283-1)</f>
        <v/>
      </c>
    </row>
    <row r="284" customFormat="false" ht="15" hidden="false" customHeight="false" outlineLevel="0" collapsed="false">
      <c r="A284" s="12"/>
      <c r="B284" s="13"/>
      <c r="C284" s="14"/>
      <c r="D284" s="14"/>
      <c r="E284" s="15"/>
      <c r="F284" s="16" t="str">
        <f aca="false">IF(OR(C284="",D284=""),"",D284-C284)</f>
        <v/>
      </c>
      <c r="G284" s="17" t="str">
        <f aca="false">IF(OR(F284="",F284=0),"",E284/F284)</f>
        <v/>
      </c>
      <c r="H284" s="18" t="str">
        <f aca="false">IF(OR(A284="",B284=""),"",IF(SUMIFS($E$5:$E$604,$B$5:$B$604,B284,$A$5:$A$604,"&gt;="&amp;DATE(YEAR(A284)-1,MONTH(A284),1),$A$5:$A$604,"&lt;"&amp;DATE(YEAR(A284)-1,MONTH(A284)+1,1))=0,"",SUMIFS($E$5:$E$604,$B$5:$B$604,B284,$A$5:$A$604,"&gt;="&amp;DATE(YEAR(A284)-1,MONTH(A284),1),$A$5:$A$604,"&lt;"&amp;DATE(YEAR(A284)-1,MONTH(A284)+1,1))))</f>
        <v/>
      </c>
      <c r="I284" s="19" t="str">
        <f aca="false">IF(OR(H284="",E284=""),"",E284/H284-1)</f>
        <v/>
      </c>
    </row>
    <row r="285" customFormat="false" ht="15" hidden="false" customHeight="false" outlineLevel="0" collapsed="false">
      <c r="A285" s="12"/>
      <c r="B285" s="13"/>
      <c r="C285" s="14"/>
      <c r="D285" s="14"/>
      <c r="E285" s="15"/>
      <c r="F285" s="16" t="str">
        <f aca="false">IF(OR(C285="",D285=""),"",D285-C285)</f>
        <v/>
      </c>
      <c r="G285" s="17" t="str">
        <f aca="false">IF(OR(F285="",F285=0),"",E285/F285)</f>
        <v/>
      </c>
      <c r="H285" s="18" t="str">
        <f aca="false">IF(OR(A285="",B285=""),"",IF(SUMIFS($E$5:$E$604,$B$5:$B$604,B285,$A$5:$A$604,"&gt;="&amp;DATE(YEAR(A285)-1,MONTH(A285),1),$A$5:$A$604,"&lt;"&amp;DATE(YEAR(A285)-1,MONTH(A285)+1,1))=0,"",SUMIFS($E$5:$E$604,$B$5:$B$604,B285,$A$5:$A$604,"&gt;="&amp;DATE(YEAR(A285)-1,MONTH(A285),1),$A$5:$A$604,"&lt;"&amp;DATE(YEAR(A285)-1,MONTH(A285)+1,1))))</f>
        <v/>
      </c>
      <c r="I285" s="19" t="str">
        <f aca="false">IF(OR(H285="",E285=""),"",E285/H285-1)</f>
        <v/>
      </c>
    </row>
    <row r="286" customFormat="false" ht="15" hidden="false" customHeight="false" outlineLevel="0" collapsed="false">
      <c r="A286" s="12"/>
      <c r="B286" s="13"/>
      <c r="C286" s="14"/>
      <c r="D286" s="14"/>
      <c r="E286" s="15"/>
      <c r="F286" s="16" t="str">
        <f aca="false">IF(OR(C286="",D286=""),"",D286-C286)</f>
        <v/>
      </c>
      <c r="G286" s="17" t="str">
        <f aca="false">IF(OR(F286="",F286=0),"",E286/F286)</f>
        <v/>
      </c>
      <c r="H286" s="18" t="str">
        <f aca="false">IF(OR(A286="",B286=""),"",IF(SUMIFS($E$5:$E$604,$B$5:$B$604,B286,$A$5:$A$604,"&gt;="&amp;DATE(YEAR(A286)-1,MONTH(A286),1),$A$5:$A$604,"&lt;"&amp;DATE(YEAR(A286)-1,MONTH(A286)+1,1))=0,"",SUMIFS($E$5:$E$604,$B$5:$B$604,B286,$A$5:$A$604,"&gt;="&amp;DATE(YEAR(A286)-1,MONTH(A286),1),$A$5:$A$604,"&lt;"&amp;DATE(YEAR(A286)-1,MONTH(A286)+1,1))))</f>
        <v/>
      </c>
      <c r="I286" s="19" t="str">
        <f aca="false">IF(OR(H286="",E286=""),"",E286/H286-1)</f>
        <v/>
      </c>
    </row>
    <row r="287" customFormat="false" ht="15" hidden="false" customHeight="false" outlineLevel="0" collapsed="false">
      <c r="A287" s="12"/>
      <c r="B287" s="13"/>
      <c r="C287" s="14"/>
      <c r="D287" s="14"/>
      <c r="E287" s="15"/>
      <c r="F287" s="16" t="str">
        <f aca="false">IF(OR(C287="",D287=""),"",D287-C287)</f>
        <v/>
      </c>
      <c r="G287" s="17" t="str">
        <f aca="false">IF(OR(F287="",F287=0),"",E287/F287)</f>
        <v/>
      </c>
      <c r="H287" s="18" t="str">
        <f aca="false">IF(OR(A287="",B287=""),"",IF(SUMIFS($E$5:$E$604,$B$5:$B$604,B287,$A$5:$A$604,"&gt;="&amp;DATE(YEAR(A287)-1,MONTH(A287),1),$A$5:$A$604,"&lt;"&amp;DATE(YEAR(A287)-1,MONTH(A287)+1,1))=0,"",SUMIFS($E$5:$E$604,$B$5:$B$604,B287,$A$5:$A$604,"&gt;="&amp;DATE(YEAR(A287)-1,MONTH(A287),1),$A$5:$A$604,"&lt;"&amp;DATE(YEAR(A287)-1,MONTH(A287)+1,1))))</f>
        <v/>
      </c>
      <c r="I287" s="19" t="str">
        <f aca="false">IF(OR(H287="",E287=""),"",E287/H287-1)</f>
        <v/>
      </c>
    </row>
    <row r="288" customFormat="false" ht="15" hidden="false" customHeight="false" outlineLevel="0" collapsed="false">
      <c r="A288" s="12"/>
      <c r="B288" s="13"/>
      <c r="C288" s="14"/>
      <c r="D288" s="14"/>
      <c r="E288" s="15"/>
      <c r="F288" s="16" t="str">
        <f aca="false">IF(OR(C288="",D288=""),"",D288-C288)</f>
        <v/>
      </c>
      <c r="G288" s="17" t="str">
        <f aca="false">IF(OR(F288="",F288=0),"",E288/F288)</f>
        <v/>
      </c>
      <c r="H288" s="18" t="str">
        <f aca="false">IF(OR(A288="",B288=""),"",IF(SUMIFS($E$5:$E$604,$B$5:$B$604,B288,$A$5:$A$604,"&gt;="&amp;DATE(YEAR(A288)-1,MONTH(A288),1),$A$5:$A$604,"&lt;"&amp;DATE(YEAR(A288)-1,MONTH(A288)+1,1))=0,"",SUMIFS($E$5:$E$604,$B$5:$B$604,B288,$A$5:$A$604,"&gt;="&amp;DATE(YEAR(A288)-1,MONTH(A288),1),$A$5:$A$604,"&lt;"&amp;DATE(YEAR(A288)-1,MONTH(A288)+1,1))))</f>
        <v/>
      </c>
      <c r="I288" s="19" t="str">
        <f aca="false">IF(OR(H288="",E288=""),"",E288/H288-1)</f>
        <v/>
      </c>
    </row>
    <row r="289" customFormat="false" ht="15" hidden="false" customHeight="false" outlineLevel="0" collapsed="false">
      <c r="A289" s="12"/>
      <c r="B289" s="13"/>
      <c r="C289" s="14"/>
      <c r="D289" s="14"/>
      <c r="E289" s="15"/>
      <c r="F289" s="16" t="str">
        <f aca="false">IF(OR(C289="",D289=""),"",D289-C289)</f>
        <v/>
      </c>
      <c r="G289" s="17" t="str">
        <f aca="false">IF(OR(F289="",F289=0),"",E289/F289)</f>
        <v/>
      </c>
      <c r="H289" s="18" t="str">
        <f aca="false">IF(OR(A289="",B289=""),"",IF(SUMIFS($E$5:$E$604,$B$5:$B$604,B289,$A$5:$A$604,"&gt;="&amp;DATE(YEAR(A289)-1,MONTH(A289),1),$A$5:$A$604,"&lt;"&amp;DATE(YEAR(A289)-1,MONTH(A289)+1,1))=0,"",SUMIFS($E$5:$E$604,$B$5:$B$604,B289,$A$5:$A$604,"&gt;="&amp;DATE(YEAR(A289)-1,MONTH(A289),1),$A$5:$A$604,"&lt;"&amp;DATE(YEAR(A289)-1,MONTH(A289)+1,1))))</f>
        <v/>
      </c>
      <c r="I289" s="19" t="str">
        <f aca="false">IF(OR(H289="",E289=""),"",E289/H289-1)</f>
        <v/>
      </c>
    </row>
    <row r="290" customFormat="false" ht="15" hidden="false" customHeight="false" outlineLevel="0" collapsed="false">
      <c r="A290" s="12"/>
      <c r="B290" s="13"/>
      <c r="C290" s="14"/>
      <c r="D290" s="14"/>
      <c r="E290" s="15"/>
      <c r="F290" s="16" t="str">
        <f aca="false">IF(OR(C290="",D290=""),"",D290-C290)</f>
        <v/>
      </c>
      <c r="G290" s="17" t="str">
        <f aca="false">IF(OR(F290="",F290=0),"",E290/F290)</f>
        <v/>
      </c>
      <c r="H290" s="18" t="str">
        <f aca="false">IF(OR(A290="",B290=""),"",IF(SUMIFS($E$5:$E$604,$B$5:$B$604,B290,$A$5:$A$604,"&gt;="&amp;DATE(YEAR(A290)-1,MONTH(A290),1),$A$5:$A$604,"&lt;"&amp;DATE(YEAR(A290)-1,MONTH(A290)+1,1))=0,"",SUMIFS($E$5:$E$604,$B$5:$B$604,B290,$A$5:$A$604,"&gt;="&amp;DATE(YEAR(A290)-1,MONTH(A290),1),$A$5:$A$604,"&lt;"&amp;DATE(YEAR(A290)-1,MONTH(A290)+1,1))))</f>
        <v/>
      </c>
      <c r="I290" s="19" t="str">
        <f aca="false">IF(OR(H290="",E290=""),"",E290/H290-1)</f>
        <v/>
      </c>
    </row>
    <row r="291" customFormat="false" ht="15" hidden="false" customHeight="false" outlineLevel="0" collapsed="false">
      <c r="A291" s="12"/>
      <c r="B291" s="13"/>
      <c r="C291" s="14"/>
      <c r="D291" s="14"/>
      <c r="E291" s="15"/>
      <c r="F291" s="16" t="str">
        <f aca="false">IF(OR(C291="",D291=""),"",D291-C291)</f>
        <v/>
      </c>
      <c r="G291" s="17" t="str">
        <f aca="false">IF(OR(F291="",F291=0),"",E291/F291)</f>
        <v/>
      </c>
      <c r="H291" s="18" t="str">
        <f aca="false">IF(OR(A291="",B291=""),"",IF(SUMIFS($E$5:$E$604,$B$5:$B$604,B291,$A$5:$A$604,"&gt;="&amp;DATE(YEAR(A291)-1,MONTH(A291),1),$A$5:$A$604,"&lt;"&amp;DATE(YEAR(A291)-1,MONTH(A291)+1,1))=0,"",SUMIFS($E$5:$E$604,$B$5:$B$604,B291,$A$5:$A$604,"&gt;="&amp;DATE(YEAR(A291)-1,MONTH(A291),1),$A$5:$A$604,"&lt;"&amp;DATE(YEAR(A291)-1,MONTH(A291)+1,1))))</f>
        <v/>
      </c>
      <c r="I291" s="19" t="str">
        <f aca="false">IF(OR(H291="",E291=""),"",E291/H291-1)</f>
        <v/>
      </c>
    </row>
    <row r="292" customFormat="false" ht="15" hidden="false" customHeight="false" outlineLevel="0" collapsed="false">
      <c r="A292" s="12"/>
      <c r="B292" s="13"/>
      <c r="C292" s="14"/>
      <c r="D292" s="14"/>
      <c r="E292" s="15"/>
      <c r="F292" s="16" t="str">
        <f aca="false">IF(OR(C292="",D292=""),"",D292-C292)</f>
        <v/>
      </c>
      <c r="G292" s="17" t="str">
        <f aca="false">IF(OR(F292="",F292=0),"",E292/F292)</f>
        <v/>
      </c>
      <c r="H292" s="18" t="str">
        <f aca="false">IF(OR(A292="",B292=""),"",IF(SUMIFS($E$5:$E$604,$B$5:$B$604,B292,$A$5:$A$604,"&gt;="&amp;DATE(YEAR(A292)-1,MONTH(A292),1),$A$5:$A$604,"&lt;"&amp;DATE(YEAR(A292)-1,MONTH(A292)+1,1))=0,"",SUMIFS($E$5:$E$604,$B$5:$B$604,B292,$A$5:$A$604,"&gt;="&amp;DATE(YEAR(A292)-1,MONTH(A292),1),$A$5:$A$604,"&lt;"&amp;DATE(YEAR(A292)-1,MONTH(A292)+1,1))))</f>
        <v/>
      </c>
      <c r="I292" s="19" t="str">
        <f aca="false">IF(OR(H292="",E292=""),"",E292/H292-1)</f>
        <v/>
      </c>
    </row>
    <row r="293" customFormat="false" ht="15" hidden="false" customHeight="false" outlineLevel="0" collapsed="false">
      <c r="A293" s="12"/>
      <c r="B293" s="13"/>
      <c r="C293" s="14"/>
      <c r="D293" s="14"/>
      <c r="E293" s="15"/>
      <c r="F293" s="16" t="str">
        <f aca="false">IF(OR(C293="",D293=""),"",D293-C293)</f>
        <v/>
      </c>
      <c r="G293" s="17" t="str">
        <f aca="false">IF(OR(F293="",F293=0),"",E293/F293)</f>
        <v/>
      </c>
      <c r="H293" s="18" t="str">
        <f aca="false">IF(OR(A293="",B293=""),"",IF(SUMIFS($E$5:$E$604,$B$5:$B$604,B293,$A$5:$A$604,"&gt;="&amp;DATE(YEAR(A293)-1,MONTH(A293),1),$A$5:$A$604,"&lt;"&amp;DATE(YEAR(A293)-1,MONTH(A293)+1,1))=0,"",SUMIFS($E$5:$E$604,$B$5:$B$604,B293,$A$5:$A$604,"&gt;="&amp;DATE(YEAR(A293)-1,MONTH(A293),1),$A$5:$A$604,"&lt;"&amp;DATE(YEAR(A293)-1,MONTH(A293)+1,1))))</f>
        <v/>
      </c>
      <c r="I293" s="19" t="str">
        <f aca="false">IF(OR(H293="",E293=""),"",E293/H293-1)</f>
        <v/>
      </c>
    </row>
    <row r="294" customFormat="false" ht="15" hidden="false" customHeight="false" outlineLevel="0" collapsed="false">
      <c r="A294" s="12"/>
      <c r="B294" s="13"/>
      <c r="C294" s="14"/>
      <c r="D294" s="14"/>
      <c r="E294" s="15"/>
      <c r="F294" s="16" t="str">
        <f aca="false">IF(OR(C294="",D294=""),"",D294-C294)</f>
        <v/>
      </c>
      <c r="G294" s="17" t="str">
        <f aca="false">IF(OR(F294="",F294=0),"",E294/F294)</f>
        <v/>
      </c>
      <c r="H294" s="18" t="str">
        <f aca="false">IF(OR(A294="",B294=""),"",IF(SUMIFS($E$5:$E$604,$B$5:$B$604,B294,$A$5:$A$604,"&gt;="&amp;DATE(YEAR(A294)-1,MONTH(A294),1),$A$5:$A$604,"&lt;"&amp;DATE(YEAR(A294)-1,MONTH(A294)+1,1))=0,"",SUMIFS($E$5:$E$604,$B$5:$B$604,B294,$A$5:$A$604,"&gt;="&amp;DATE(YEAR(A294)-1,MONTH(A294),1),$A$5:$A$604,"&lt;"&amp;DATE(YEAR(A294)-1,MONTH(A294)+1,1))))</f>
        <v/>
      </c>
      <c r="I294" s="19" t="str">
        <f aca="false">IF(OR(H294="",E294=""),"",E294/H294-1)</f>
        <v/>
      </c>
    </row>
    <row r="295" customFormat="false" ht="15" hidden="false" customHeight="false" outlineLevel="0" collapsed="false">
      <c r="A295" s="12"/>
      <c r="B295" s="13"/>
      <c r="C295" s="14"/>
      <c r="D295" s="14"/>
      <c r="E295" s="15"/>
      <c r="F295" s="16" t="str">
        <f aca="false">IF(OR(C295="",D295=""),"",D295-C295)</f>
        <v/>
      </c>
      <c r="G295" s="17" t="str">
        <f aca="false">IF(OR(F295="",F295=0),"",E295/F295)</f>
        <v/>
      </c>
      <c r="H295" s="18" t="str">
        <f aca="false">IF(OR(A295="",B295=""),"",IF(SUMIFS($E$5:$E$604,$B$5:$B$604,B295,$A$5:$A$604,"&gt;="&amp;DATE(YEAR(A295)-1,MONTH(A295),1),$A$5:$A$604,"&lt;"&amp;DATE(YEAR(A295)-1,MONTH(A295)+1,1))=0,"",SUMIFS($E$5:$E$604,$B$5:$B$604,B295,$A$5:$A$604,"&gt;="&amp;DATE(YEAR(A295)-1,MONTH(A295),1),$A$5:$A$604,"&lt;"&amp;DATE(YEAR(A295)-1,MONTH(A295)+1,1))))</f>
        <v/>
      </c>
      <c r="I295" s="19" t="str">
        <f aca="false">IF(OR(H295="",E295=""),"",E295/H295-1)</f>
        <v/>
      </c>
    </row>
    <row r="296" customFormat="false" ht="15" hidden="false" customHeight="false" outlineLevel="0" collapsed="false">
      <c r="A296" s="12"/>
      <c r="B296" s="13"/>
      <c r="C296" s="14"/>
      <c r="D296" s="14"/>
      <c r="E296" s="15"/>
      <c r="F296" s="16" t="str">
        <f aca="false">IF(OR(C296="",D296=""),"",D296-C296)</f>
        <v/>
      </c>
      <c r="G296" s="17" t="str">
        <f aca="false">IF(OR(F296="",F296=0),"",E296/F296)</f>
        <v/>
      </c>
      <c r="H296" s="18" t="str">
        <f aca="false">IF(OR(A296="",B296=""),"",IF(SUMIFS($E$5:$E$604,$B$5:$B$604,B296,$A$5:$A$604,"&gt;="&amp;DATE(YEAR(A296)-1,MONTH(A296),1),$A$5:$A$604,"&lt;"&amp;DATE(YEAR(A296)-1,MONTH(A296)+1,1))=0,"",SUMIFS($E$5:$E$604,$B$5:$B$604,B296,$A$5:$A$604,"&gt;="&amp;DATE(YEAR(A296)-1,MONTH(A296),1),$A$5:$A$604,"&lt;"&amp;DATE(YEAR(A296)-1,MONTH(A296)+1,1))))</f>
        <v/>
      </c>
      <c r="I296" s="19" t="str">
        <f aca="false">IF(OR(H296="",E296=""),"",E296/H296-1)</f>
        <v/>
      </c>
    </row>
    <row r="297" customFormat="false" ht="15" hidden="false" customHeight="false" outlineLevel="0" collapsed="false">
      <c r="A297" s="12"/>
      <c r="B297" s="13"/>
      <c r="C297" s="14"/>
      <c r="D297" s="14"/>
      <c r="E297" s="15"/>
      <c r="F297" s="16" t="str">
        <f aca="false">IF(OR(C297="",D297=""),"",D297-C297)</f>
        <v/>
      </c>
      <c r="G297" s="17" t="str">
        <f aca="false">IF(OR(F297="",F297=0),"",E297/F297)</f>
        <v/>
      </c>
      <c r="H297" s="18" t="str">
        <f aca="false">IF(OR(A297="",B297=""),"",IF(SUMIFS($E$5:$E$604,$B$5:$B$604,B297,$A$5:$A$604,"&gt;="&amp;DATE(YEAR(A297)-1,MONTH(A297),1),$A$5:$A$604,"&lt;"&amp;DATE(YEAR(A297)-1,MONTH(A297)+1,1))=0,"",SUMIFS($E$5:$E$604,$B$5:$B$604,B297,$A$5:$A$604,"&gt;="&amp;DATE(YEAR(A297)-1,MONTH(A297),1),$A$5:$A$604,"&lt;"&amp;DATE(YEAR(A297)-1,MONTH(A297)+1,1))))</f>
        <v/>
      </c>
      <c r="I297" s="19" t="str">
        <f aca="false">IF(OR(H297="",E297=""),"",E297/H297-1)</f>
        <v/>
      </c>
    </row>
    <row r="298" customFormat="false" ht="15" hidden="false" customHeight="false" outlineLevel="0" collapsed="false">
      <c r="A298" s="12"/>
      <c r="B298" s="13"/>
      <c r="C298" s="14"/>
      <c r="D298" s="14"/>
      <c r="E298" s="15"/>
      <c r="F298" s="16" t="str">
        <f aca="false">IF(OR(C298="",D298=""),"",D298-C298)</f>
        <v/>
      </c>
      <c r="G298" s="17" t="str">
        <f aca="false">IF(OR(F298="",F298=0),"",E298/F298)</f>
        <v/>
      </c>
      <c r="H298" s="18" t="str">
        <f aca="false">IF(OR(A298="",B298=""),"",IF(SUMIFS($E$5:$E$604,$B$5:$B$604,B298,$A$5:$A$604,"&gt;="&amp;DATE(YEAR(A298)-1,MONTH(A298),1),$A$5:$A$604,"&lt;"&amp;DATE(YEAR(A298)-1,MONTH(A298)+1,1))=0,"",SUMIFS($E$5:$E$604,$B$5:$B$604,B298,$A$5:$A$604,"&gt;="&amp;DATE(YEAR(A298)-1,MONTH(A298),1),$A$5:$A$604,"&lt;"&amp;DATE(YEAR(A298)-1,MONTH(A298)+1,1))))</f>
        <v/>
      </c>
      <c r="I298" s="19" t="str">
        <f aca="false">IF(OR(H298="",E298=""),"",E298/H298-1)</f>
        <v/>
      </c>
    </row>
    <row r="299" customFormat="false" ht="15" hidden="false" customHeight="false" outlineLevel="0" collapsed="false">
      <c r="A299" s="12"/>
      <c r="B299" s="13"/>
      <c r="C299" s="14"/>
      <c r="D299" s="14"/>
      <c r="E299" s="15"/>
      <c r="F299" s="16" t="str">
        <f aca="false">IF(OR(C299="",D299=""),"",D299-C299)</f>
        <v/>
      </c>
      <c r="G299" s="17" t="str">
        <f aca="false">IF(OR(F299="",F299=0),"",E299/F299)</f>
        <v/>
      </c>
      <c r="H299" s="18" t="str">
        <f aca="false">IF(OR(A299="",B299=""),"",IF(SUMIFS($E$5:$E$604,$B$5:$B$604,B299,$A$5:$A$604,"&gt;="&amp;DATE(YEAR(A299)-1,MONTH(A299),1),$A$5:$A$604,"&lt;"&amp;DATE(YEAR(A299)-1,MONTH(A299)+1,1))=0,"",SUMIFS($E$5:$E$604,$B$5:$B$604,B299,$A$5:$A$604,"&gt;="&amp;DATE(YEAR(A299)-1,MONTH(A299),1),$A$5:$A$604,"&lt;"&amp;DATE(YEAR(A299)-1,MONTH(A299)+1,1))))</f>
        <v/>
      </c>
      <c r="I299" s="19" t="str">
        <f aca="false">IF(OR(H299="",E299=""),"",E299/H299-1)</f>
        <v/>
      </c>
    </row>
    <row r="300" customFormat="false" ht="15" hidden="false" customHeight="false" outlineLevel="0" collapsed="false">
      <c r="A300" s="12"/>
      <c r="B300" s="13"/>
      <c r="C300" s="14"/>
      <c r="D300" s="14"/>
      <c r="E300" s="15"/>
      <c r="F300" s="16" t="str">
        <f aca="false">IF(OR(C300="",D300=""),"",D300-C300)</f>
        <v/>
      </c>
      <c r="G300" s="17" t="str">
        <f aca="false">IF(OR(F300="",F300=0),"",E300/F300)</f>
        <v/>
      </c>
      <c r="H300" s="18" t="str">
        <f aca="false">IF(OR(A300="",B300=""),"",IF(SUMIFS($E$5:$E$604,$B$5:$B$604,B300,$A$5:$A$604,"&gt;="&amp;DATE(YEAR(A300)-1,MONTH(A300),1),$A$5:$A$604,"&lt;"&amp;DATE(YEAR(A300)-1,MONTH(A300)+1,1))=0,"",SUMIFS($E$5:$E$604,$B$5:$B$604,B300,$A$5:$A$604,"&gt;="&amp;DATE(YEAR(A300)-1,MONTH(A300),1),$A$5:$A$604,"&lt;"&amp;DATE(YEAR(A300)-1,MONTH(A300)+1,1))))</f>
        <v/>
      </c>
      <c r="I300" s="19" t="str">
        <f aca="false">IF(OR(H300="",E300=""),"",E300/H300-1)</f>
        <v/>
      </c>
    </row>
    <row r="301" customFormat="false" ht="15" hidden="false" customHeight="false" outlineLevel="0" collapsed="false">
      <c r="A301" s="12"/>
      <c r="B301" s="13"/>
      <c r="C301" s="14"/>
      <c r="D301" s="14"/>
      <c r="E301" s="15"/>
      <c r="F301" s="16" t="str">
        <f aca="false">IF(OR(C301="",D301=""),"",D301-C301)</f>
        <v/>
      </c>
      <c r="G301" s="17" t="str">
        <f aca="false">IF(OR(F301="",F301=0),"",E301/F301)</f>
        <v/>
      </c>
      <c r="H301" s="18" t="str">
        <f aca="false">IF(OR(A301="",B301=""),"",IF(SUMIFS($E$5:$E$604,$B$5:$B$604,B301,$A$5:$A$604,"&gt;="&amp;DATE(YEAR(A301)-1,MONTH(A301),1),$A$5:$A$604,"&lt;"&amp;DATE(YEAR(A301)-1,MONTH(A301)+1,1))=0,"",SUMIFS($E$5:$E$604,$B$5:$B$604,B301,$A$5:$A$604,"&gt;="&amp;DATE(YEAR(A301)-1,MONTH(A301),1),$A$5:$A$604,"&lt;"&amp;DATE(YEAR(A301)-1,MONTH(A301)+1,1))))</f>
        <v/>
      </c>
      <c r="I301" s="19" t="str">
        <f aca="false">IF(OR(H301="",E301=""),"",E301/H301-1)</f>
        <v/>
      </c>
    </row>
    <row r="302" customFormat="false" ht="15" hidden="false" customHeight="false" outlineLevel="0" collapsed="false">
      <c r="A302" s="12"/>
      <c r="B302" s="13"/>
      <c r="C302" s="14"/>
      <c r="D302" s="14"/>
      <c r="E302" s="15"/>
      <c r="F302" s="16" t="str">
        <f aca="false">IF(OR(C302="",D302=""),"",D302-C302)</f>
        <v/>
      </c>
      <c r="G302" s="17" t="str">
        <f aca="false">IF(OR(F302="",F302=0),"",E302/F302)</f>
        <v/>
      </c>
      <c r="H302" s="18" t="str">
        <f aca="false">IF(OR(A302="",B302=""),"",IF(SUMIFS($E$5:$E$604,$B$5:$B$604,B302,$A$5:$A$604,"&gt;="&amp;DATE(YEAR(A302)-1,MONTH(A302),1),$A$5:$A$604,"&lt;"&amp;DATE(YEAR(A302)-1,MONTH(A302)+1,1))=0,"",SUMIFS($E$5:$E$604,$B$5:$B$604,B302,$A$5:$A$604,"&gt;="&amp;DATE(YEAR(A302)-1,MONTH(A302),1),$A$5:$A$604,"&lt;"&amp;DATE(YEAR(A302)-1,MONTH(A302)+1,1))))</f>
        <v/>
      </c>
      <c r="I302" s="19" t="str">
        <f aca="false">IF(OR(H302="",E302=""),"",E302/H302-1)</f>
        <v/>
      </c>
    </row>
    <row r="303" customFormat="false" ht="15" hidden="false" customHeight="false" outlineLevel="0" collapsed="false">
      <c r="A303" s="12"/>
      <c r="B303" s="13"/>
      <c r="C303" s="14"/>
      <c r="D303" s="14"/>
      <c r="E303" s="15"/>
      <c r="F303" s="16" t="str">
        <f aca="false">IF(OR(C303="",D303=""),"",D303-C303)</f>
        <v/>
      </c>
      <c r="G303" s="17" t="str">
        <f aca="false">IF(OR(F303="",F303=0),"",E303/F303)</f>
        <v/>
      </c>
      <c r="H303" s="18" t="str">
        <f aca="false">IF(OR(A303="",B303=""),"",IF(SUMIFS($E$5:$E$604,$B$5:$B$604,B303,$A$5:$A$604,"&gt;="&amp;DATE(YEAR(A303)-1,MONTH(A303),1),$A$5:$A$604,"&lt;"&amp;DATE(YEAR(A303)-1,MONTH(A303)+1,1))=0,"",SUMIFS($E$5:$E$604,$B$5:$B$604,B303,$A$5:$A$604,"&gt;="&amp;DATE(YEAR(A303)-1,MONTH(A303),1),$A$5:$A$604,"&lt;"&amp;DATE(YEAR(A303)-1,MONTH(A303)+1,1))))</f>
        <v/>
      </c>
      <c r="I303" s="19" t="str">
        <f aca="false">IF(OR(H303="",E303=""),"",E303/H303-1)</f>
        <v/>
      </c>
    </row>
    <row r="304" customFormat="false" ht="15" hidden="false" customHeight="false" outlineLevel="0" collapsed="false">
      <c r="A304" s="12"/>
      <c r="B304" s="13"/>
      <c r="C304" s="14"/>
      <c r="D304" s="14"/>
      <c r="E304" s="15"/>
      <c r="F304" s="16" t="str">
        <f aca="false">IF(OR(C304="",D304=""),"",D304-C304)</f>
        <v/>
      </c>
      <c r="G304" s="17" t="str">
        <f aca="false">IF(OR(F304="",F304=0),"",E304/F304)</f>
        <v/>
      </c>
      <c r="H304" s="18" t="str">
        <f aca="false">IF(OR(A304="",B304=""),"",IF(SUMIFS($E$5:$E$604,$B$5:$B$604,B304,$A$5:$A$604,"&gt;="&amp;DATE(YEAR(A304)-1,MONTH(A304),1),$A$5:$A$604,"&lt;"&amp;DATE(YEAR(A304)-1,MONTH(A304)+1,1))=0,"",SUMIFS($E$5:$E$604,$B$5:$B$604,B304,$A$5:$A$604,"&gt;="&amp;DATE(YEAR(A304)-1,MONTH(A304),1),$A$5:$A$604,"&lt;"&amp;DATE(YEAR(A304)-1,MONTH(A304)+1,1))))</f>
        <v/>
      </c>
      <c r="I304" s="19" t="str">
        <f aca="false">IF(OR(H304="",E304=""),"",E304/H304-1)</f>
        <v/>
      </c>
    </row>
    <row r="305" customFormat="false" ht="15" hidden="false" customHeight="false" outlineLevel="0" collapsed="false">
      <c r="A305" s="12"/>
      <c r="B305" s="13"/>
      <c r="C305" s="14"/>
      <c r="D305" s="14"/>
      <c r="E305" s="15"/>
      <c r="F305" s="16" t="str">
        <f aca="false">IF(OR(C305="",D305=""),"",D305-C305)</f>
        <v/>
      </c>
      <c r="G305" s="17" t="str">
        <f aca="false">IF(OR(F305="",F305=0),"",E305/F305)</f>
        <v/>
      </c>
      <c r="H305" s="18" t="str">
        <f aca="false">IF(OR(A305="",B305=""),"",IF(SUMIFS($E$5:$E$604,$B$5:$B$604,B305,$A$5:$A$604,"&gt;="&amp;DATE(YEAR(A305)-1,MONTH(A305),1),$A$5:$A$604,"&lt;"&amp;DATE(YEAR(A305)-1,MONTH(A305)+1,1))=0,"",SUMIFS($E$5:$E$604,$B$5:$B$604,B305,$A$5:$A$604,"&gt;="&amp;DATE(YEAR(A305)-1,MONTH(A305),1),$A$5:$A$604,"&lt;"&amp;DATE(YEAR(A305)-1,MONTH(A305)+1,1))))</f>
        <v/>
      </c>
      <c r="I305" s="19" t="str">
        <f aca="false">IF(OR(H305="",E305=""),"",E305/H305-1)</f>
        <v/>
      </c>
    </row>
    <row r="306" customFormat="false" ht="15" hidden="false" customHeight="false" outlineLevel="0" collapsed="false">
      <c r="A306" s="12"/>
      <c r="B306" s="13"/>
      <c r="C306" s="14"/>
      <c r="D306" s="14"/>
      <c r="E306" s="15"/>
      <c r="F306" s="16" t="str">
        <f aca="false">IF(OR(C306="",D306=""),"",D306-C306)</f>
        <v/>
      </c>
      <c r="G306" s="17" t="str">
        <f aca="false">IF(OR(F306="",F306=0),"",E306/F306)</f>
        <v/>
      </c>
      <c r="H306" s="18" t="str">
        <f aca="false">IF(OR(A306="",B306=""),"",IF(SUMIFS($E$5:$E$604,$B$5:$B$604,B306,$A$5:$A$604,"&gt;="&amp;DATE(YEAR(A306)-1,MONTH(A306),1),$A$5:$A$604,"&lt;"&amp;DATE(YEAR(A306)-1,MONTH(A306)+1,1))=0,"",SUMIFS($E$5:$E$604,$B$5:$B$604,B306,$A$5:$A$604,"&gt;="&amp;DATE(YEAR(A306)-1,MONTH(A306),1),$A$5:$A$604,"&lt;"&amp;DATE(YEAR(A306)-1,MONTH(A306)+1,1))))</f>
        <v/>
      </c>
      <c r="I306" s="19" t="str">
        <f aca="false">IF(OR(H306="",E306=""),"",E306/H306-1)</f>
        <v/>
      </c>
    </row>
    <row r="307" customFormat="false" ht="15" hidden="false" customHeight="false" outlineLevel="0" collapsed="false">
      <c r="A307" s="12"/>
      <c r="B307" s="13"/>
      <c r="C307" s="14"/>
      <c r="D307" s="14"/>
      <c r="E307" s="15"/>
      <c r="F307" s="16" t="str">
        <f aca="false">IF(OR(C307="",D307=""),"",D307-C307)</f>
        <v/>
      </c>
      <c r="G307" s="17" t="str">
        <f aca="false">IF(OR(F307="",F307=0),"",E307/F307)</f>
        <v/>
      </c>
      <c r="H307" s="18" t="str">
        <f aca="false">IF(OR(A307="",B307=""),"",IF(SUMIFS($E$5:$E$604,$B$5:$B$604,B307,$A$5:$A$604,"&gt;="&amp;DATE(YEAR(A307)-1,MONTH(A307),1),$A$5:$A$604,"&lt;"&amp;DATE(YEAR(A307)-1,MONTH(A307)+1,1))=0,"",SUMIFS($E$5:$E$604,$B$5:$B$604,B307,$A$5:$A$604,"&gt;="&amp;DATE(YEAR(A307)-1,MONTH(A307),1),$A$5:$A$604,"&lt;"&amp;DATE(YEAR(A307)-1,MONTH(A307)+1,1))))</f>
        <v/>
      </c>
      <c r="I307" s="19" t="str">
        <f aca="false">IF(OR(H307="",E307=""),"",E307/H307-1)</f>
        <v/>
      </c>
    </row>
    <row r="308" customFormat="false" ht="15" hidden="false" customHeight="false" outlineLevel="0" collapsed="false">
      <c r="A308" s="12"/>
      <c r="B308" s="13"/>
      <c r="C308" s="14"/>
      <c r="D308" s="14"/>
      <c r="E308" s="15"/>
      <c r="F308" s="16" t="str">
        <f aca="false">IF(OR(C308="",D308=""),"",D308-C308)</f>
        <v/>
      </c>
      <c r="G308" s="17" t="str">
        <f aca="false">IF(OR(F308="",F308=0),"",E308/F308)</f>
        <v/>
      </c>
      <c r="H308" s="18" t="str">
        <f aca="false">IF(OR(A308="",B308=""),"",IF(SUMIFS($E$5:$E$604,$B$5:$B$604,B308,$A$5:$A$604,"&gt;="&amp;DATE(YEAR(A308)-1,MONTH(A308),1),$A$5:$A$604,"&lt;"&amp;DATE(YEAR(A308)-1,MONTH(A308)+1,1))=0,"",SUMIFS($E$5:$E$604,$B$5:$B$604,B308,$A$5:$A$604,"&gt;="&amp;DATE(YEAR(A308)-1,MONTH(A308),1),$A$5:$A$604,"&lt;"&amp;DATE(YEAR(A308)-1,MONTH(A308)+1,1))))</f>
        <v/>
      </c>
      <c r="I308" s="19" t="str">
        <f aca="false">IF(OR(H308="",E308=""),"",E308/H308-1)</f>
        <v/>
      </c>
    </row>
    <row r="309" customFormat="false" ht="15" hidden="false" customHeight="false" outlineLevel="0" collapsed="false">
      <c r="A309" s="12"/>
      <c r="B309" s="13"/>
      <c r="C309" s="14"/>
      <c r="D309" s="14"/>
      <c r="E309" s="15"/>
      <c r="F309" s="16" t="str">
        <f aca="false">IF(OR(C309="",D309=""),"",D309-C309)</f>
        <v/>
      </c>
      <c r="G309" s="17" t="str">
        <f aca="false">IF(OR(F309="",F309=0),"",E309/F309)</f>
        <v/>
      </c>
      <c r="H309" s="18" t="str">
        <f aca="false">IF(OR(A309="",B309=""),"",IF(SUMIFS($E$5:$E$604,$B$5:$B$604,B309,$A$5:$A$604,"&gt;="&amp;DATE(YEAR(A309)-1,MONTH(A309),1),$A$5:$A$604,"&lt;"&amp;DATE(YEAR(A309)-1,MONTH(A309)+1,1))=0,"",SUMIFS($E$5:$E$604,$B$5:$B$604,B309,$A$5:$A$604,"&gt;="&amp;DATE(YEAR(A309)-1,MONTH(A309),1),$A$5:$A$604,"&lt;"&amp;DATE(YEAR(A309)-1,MONTH(A309)+1,1))))</f>
        <v/>
      </c>
      <c r="I309" s="19" t="str">
        <f aca="false">IF(OR(H309="",E309=""),"",E309/H309-1)</f>
        <v/>
      </c>
    </row>
    <row r="310" customFormat="false" ht="15" hidden="false" customHeight="false" outlineLevel="0" collapsed="false">
      <c r="A310" s="12"/>
      <c r="B310" s="13"/>
      <c r="C310" s="14"/>
      <c r="D310" s="14"/>
      <c r="E310" s="15"/>
      <c r="F310" s="16" t="str">
        <f aca="false">IF(OR(C310="",D310=""),"",D310-C310)</f>
        <v/>
      </c>
      <c r="G310" s="17" t="str">
        <f aca="false">IF(OR(F310="",F310=0),"",E310/F310)</f>
        <v/>
      </c>
      <c r="H310" s="18" t="str">
        <f aca="false">IF(OR(A310="",B310=""),"",IF(SUMIFS($E$5:$E$604,$B$5:$B$604,B310,$A$5:$A$604,"&gt;="&amp;DATE(YEAR(A310)-1,MONTH(A310),1),$A$5:$A$604,"&lt;"&amp;DATE(YEAR(A310)-1,MONTH(A310)+1,1))=0,"",SUMIFS($E$5:$E$604,$B$5:$B$604,B310,$A$5:$A$604,"&gt;="&amp;DATE(YEAR(A310)-1,MONTH(A310),1),$A$5:$A$604,"&lt;"&amp;DATE(YEAR(A310)-1,MONTH(A310)+1,1))))</f>
        <v/>
      </c>
      <c r="I310" s="19" t="str">
        <f aca="false">IF(OR(H310="",E310=""),"",E310/H310-1)</f>
        <v/>
      </c>
    </row>
    <row r="311" customFormat="false" ht="15" hidden="false" customHeight="false" outlineLevel="0" collapsed="false">
      <c r="A311" s="12"/>
      <c r="B311" s="13"/>
      <c r="C311" s="14"/>
      <c r="D311" s="14"/>
      <c r="E311" s="15"/>
      <c r="F311" s="16" t="str">
        <f aca="false">IF(OR(C311="",D311=""),"",D311-C311)</f>
        <v/>
      </c>
      <c r="G311" s="17" t="str">
        <f aca="false">IF(OR(F311="",F311=0),"",E311/F311)</f>
        <v/>
      </c>
      <c r="H311" s="18" t="str">
        <f aca="false">IF(OR(A311="",B311=""),"",IF(SUMIFS($E$5:$E$604,$B$5:$B$604,B311,$A$5:$A$604,"&gt;="&amp;DATE(YEAR(A311)-1,MONTH(A311),1),$A$5:$A$604,"&lt;"&amp;DATE(YEAR(A311)-1,MONTH(A311)+1,1))=0,"",SUMIFS($E$5:$E$604,$B$5:$B$604,B311,$A$5:$A$604,"&gt;="&amp;DATE(YEAR(A311)-1,MONTH(A311),1),$A$5:$A$604,"&lt;"&amp;DATE(YEAR(A311)-1,MONTH(A311)+1,1))))</f>
        <v/>
      </c>
      <c r="I311" s="19" t="str">
        <f aca="false">IF(OR(H311="",E311=""),"",E311/H311-1)</f>
        <v/>
      </c>
    </row>
    <row r="312" customFormat="false" ht="15" hidden="false" customHeight="false" outlineLevel="0" collapsed="false">
      <c r="A312" s="12"/>
      <c r="B312" s="13"/>
      <c r="C312" s="14"/>
      <c r="D312" s="14"/>
      <c r="E312" s="15"/>
      <c r="F312" s="16" t="str">
        <f aca="false">IF(OR(C312="",D312=""),"",D312-C312)</f>
        <v/>
      </c>
      <c r="G312" s="17" t="str">
        <f aca="false">IF(OR(F312="",F312=0),"",E312/F312)</f>
        <v/>
      </c>
      <c r="H312" s="18" t="str">
        <f aca="false">IF(OR(A312="",B312=""),"",IF(SUMIFS($E$5:$E$604,$B$5:$B$604,B312,$A$5:$A$604,"&gt;="&amp;DATE(YEAR(A312)-1,MONTH(A312),1),$A$5:$A$604,"&lt;"&amp;DATE(YEAR(A312)-1,MONTH(A312)+1,1))=0,"",SUMIFS($E$5:$E$604,$B$5:$B$604,B312,$A$5:$A$604,"&gt;="&amp;DATE(YEAR(A312)-1,MONTH(A312),1),$A$5:$A$604,"&lt;"&amp;DATE(YEAR(A312)-1,MONTH(A312)+1,1))))</f>
        <v/>
      </c>
      <c r="I312" s="19" t="str">
        <f aca="false">IF(OR(H312="",E312=""),"",E312/H312-1)</f>
        <v/>
      </c>
    </row>
    <row r="313" customFormat="false" ht="15" hidden="false" customHeight="false" outlineLevel="0" collapsed="false">
      <c r="A313" s="12"/>
      <c r="B313" s="13"/>
      <c r="C313" s="14"/>
      <c r="D313" s="14"/>
      <c r="E313" s="15"/>
      <c r="F313" s="16" t="str">
        <f aca="false">IF(OR(C313="",D313=""),"",D313-C313)</f>
        <v/>
      </c>
      <c r="G313" s="17" t="str">
        <f aca="false">IF(OR(F313="",F313=0),"",E313/F313)</f>
        <v/>
      </c>
      <c r="H313" s="18" t="str">
        <f aca="false">IF(OR(A313="",B313=""),"",IF(SUMIFS($E$5:$E$604,$B$5:$B$604,B313,$A$5:$A$604,"&gt;="&amp;DATE(YEAR(A313)-1,MONTH(A313),1),$A$5:$A$604,"&lt;"&amp;DATE(YEAR(A313)-1,MONTH(A313)+1,1))=0,"",SUMIFS($E$5:$E$604,$B$5:$B$604,B313,$A$5:$A$604,"&gt;="&amp;DATE(YEAR(A313)-1,MONTH(A313),1),$A$5:$A$604,"&lt;"&amp;DATE(YEAR(A313)-1,MONTH(A313)+1,1))))</f>
        <v/>
      </c>
      <c r="I313" s="19" t="str">
        <f aca="false">IF(OR(H313="",E313=""),"",E313/H313-1)</f>
        <v/>
      </c>
    </row>
    <row r="314" customFormat="false" ht="15" hidden="false" customHeight="false" outlineLevel="0" collapsed="false">
      <c r="A314" s="12"/>
      <c r="B314" s="13"/>
      <c r="C314" s="14"/>
      <c r="D314" s="14"/>
      <c r="E314" s="15"/>
      <c r="F314" s="16" t="str">
        <f aca="false">IF(OR(C314="",D314=""),"",D314-C314)</f>
        <v/>
      </c>
      <c r="G314" s="17" t="str">
        <f aca="false">IF(OR(F314="",F314=0),"",E314/F314)</f>
        <v/>
      </c>
      <c r="H314" s="18" t="str">
        <f aca="false">IF(OR(A314="",B314=""),"",IF(SUMIFS($E$5:$E$604,$B$5:$B$604,B314,$A$5:$A$604,"&gt;="&amp;DATE(YEAR(A314)-1,MONTH(A314),1),$A$5:$A$604,"&lt;"&amp;DATE(YEAR(A314)-1,MONTH(A314)+1,1))=0,"",SUMIFS($E$5:$E$604,$B$5:$B$604,B314,$A$5:$A$604,"&gt;="&amp;DATE(YEAR(A314)-1,MONTH(A314),1),$A$5:$A$604,"&lt;"&amp;DATE(YEAR(A314)-1,MONTH(A314)+1,1))))</f>
        <v/>
      </c>
      <c r="I314" s="19" t="str">
        <f aca="false">IF(OR(H314="",E314=""),"",E314/H314-1)</f>
        <v/>
      </c>
    </row>
    <row r="315" customFormat="false" ht="15" hidden="false" customHeight="false" outlineLevel="0" collapsed="false">
      <c r="A315" s="12"/>
      <c r="B315" s="13"/>
      <c r="C315" s="14"/>
      <c r="D315" s="14"/>
      <c r="E315" s="15"/>
      <c r="F315" s="16" t="str">
        <f aca="false">IF(OR(C315="",D315=""),"",D315-C315)</f>
        <v/>
      </c>
      <c r="G315" s="17" t="str">
        <f aca="false">IF(OR(F315="",F315=0),"",E315/F315)</f>
        <v/>
      </c>
      <c r="H315" s="18" t="str">
        <f aca="false">IF(OR(A315="",B315=""),"",IF(SUMIFS($E$5:$E$604,$B$5:$B$604,B315,$A$5:$A$604,"&gt;="&amp;DATE(YEAR(A315)-1,MONTH(A315),1),$A$5:$A$604,"&lt;"&amp;DATE(YEAR(A315)-1,MONTH(A315)+1,1))=0,"",SUMIFS($E$5:$E$604,$B$5:$B$604,B315,$A$5:$A$604,"&gt;="&amp;DATE(YEAR(A315)-1,MONTH(A315),1),$A$5:$A$604,"&lt;"&amp;DATE(YEAR(A315)-1,MONTH(A315)+1,1))))</f>
        <v/>
      </c>
      <c r="I315" s="19" t="str">
        <f aca="false">IF(OR(H315="",E315=""),"",E315/H315-1)</f>
        <v/>
      </c>
    </row>
    <row r="316" customFormat="false" ht="15" hidden="false" customHeight="false" outlineLevel="0" collapsed="false">
      <c r="A316" s="12"/>
      <c r="B316" s="13"/>
      <c r="C316" s="14"/>
      <c r="D316" s="14"/>
      <c r="E316" s="15"/>
      <c r="F316" s="16" t="str">
        <f aca="false">IF(OR(C316="",D316=""),"",D316-C316)</f>
        <v/>
      </c>
      <c r="G316" s="17" t="str">
        <f aca="false">IF(OR(F316="",F316=0),"",E316/F316)</f>
        <v/>
      </c>
      <c r="H316" s="18" t="str">
        <f aca="false">IF(OR(A316="",B316=""),"",IF(SUMIFS($E$5:$E$604,$B$5:$B$604,B316,$A$5:$A$604,"&gt;="&amp;DATE(YEAR(A316)-1,MONTH(A316),1),$A$5:$A$604,"&lt;"&amp;DATE(YEAR(A316)-1,MONTH(A316)+1,1))=0,"",SUMIFS($E$5:$E$604,$B$5:$B$604,B316,$A$5:$A$604,"&gt;="&amp;DATE(YEAR(A316)-1,MONTH(A316),1),$A$5:$A$604,"&lt;"&amp;DATE(YEAR(A316)-1,MONTH(A316)+1,1))))</f>
        <v/>
      </c>
      <c r="I316" s="19" t="str">
        <f aca="false">IF(OR(H316="",E316=""),"",E316/H316-1)</f>
        <v/>
      </c>
    </row>
    <row r="317" customFormat="false" ht="15" hidden="false" customHeight="false" outlineLevel="0" collapsed="false">
      <c r="A317" s="12"/>
      <c r="B317" s="13"/>
      <c r="C317" s="14"/>
      <c r="D317" s="14"/>
      <c r="E317" s="15"/>
      <c r="F317" s="16" t="str">
        <f aca="false">IF(OR(C317="",D317=""),"",D317-C317)</f>
        <v/>
      </c>
      <c r="G317" s="17" t="str">
        <f aca="false">IF(OR(F317="",F317=0),"",E317/F317)</f>
        <v/>
      </c>
      <c r="H317" s="18" t="str">
        <f aca="false">IF(OR(A317="",B317=""),"",IF(SUMIFS($E$5:$E$604,$B$5:$B$604,B317,$A$5:$A$604,"&gt;="&amp;DATE(YEAR(A317)-1,MONTH(A317),1),$A$5:$A$604,"&lt;"&amp;DATE(YEAR(A317)-1,MONTH(A317)+1,1))=0,"",SUMIFS($E$5:$E$604,$B$5:$B$604,B317,$A$5:$A$604,"&gt;="&amp;DATE(YEAR(A317)-1,MONTH(A317),1),$A$5:$A$604,"&lt;"&amp;DATE(YEAR(A317)-1,MONTH(A317)+1,1))))</f>
        <v/>
      </c>
      <c r="I317" s="19" t="str">
        <f aca="false">IF(OR(H317="",E317=""),"",E317/H317-1)</f>
        <v/>
      </c>
    </row>
    <row r="318" customFormat="false" ht="15" hidden="false" customHeight="false" outlineLevel="0" collapsed="false">
      <c r="A318" s="12"/>
      <c r="B318" s="13"/>
      <c r="C318" s="14"/>
      <c r="D318" s="14"/>
      <c r="E318" s="15"/>
      <c r="F318" s="16" t="str">
        <f aca="false">IF(OR(C318="",D318=""),"",D318-C318)</f>
        <v/>
      </c>
      <c r="G318" s="17" t="str">
        <f aca="false">IF(OR(F318="",F318=0),"",E318/F318)</f>
        <v/>
      </c>
      <c r="H318" s="18" t="str">
        <f aca="false">IF(OR(A318="",B318=""),"",IF(SUMIFS($E$5:$E$604,$B$5:$B$604,B318,$A$5:$A$604,"&gt;="&amp;DATE(YEAR(A318)-1,MONTH(A318),1),$A$5:$A$604,"&lt;"&amp;DATE(YEAR(A318)-1,MONTH(A318)+1,1))=0,"",SUMIFS($E$5:$E$604,$B$5:$B$604,B318,$A$5:$A$604,"&gt;="&amp;DATE(YEAR(A318)-1,MONTH(A318),1),$A$5:$A$604,"&lt;"&amp;DATE(YEAR(A318)-1,MONTH(A318)+1,1))))</f>
        <v/>
      </c>
      <c r="I318" s="19" t="str">
        <f aca="false">IF(OR(H318="",E318=""),"",E318/H318-1)</f>
        <v/>
      </c>
    </row>
    <row r="319" customFormat="false" ht="15" hidden="false" customHeight="false" outlineLevel="0" collapsed="false">
      <c r="A319" s="12"/>
      <c r="B319" s="13"/>
      <c r="C319" s="14"/>
      <c r="D319" s="14"/>
      <c r="E319" s="15"/>
      <c r="F319" s="16" t="str">
        <f aca="false">IF(OR(C319="",D319=""),"",D319-C319)</f>
        <v/>
      </c>
      <c r="G319" s="17" t="str">
        <f aca="false">IF(OR(F319="",F319=0),"",E319/F319)</f>
        <v/>
      </c>
      <c r="H319" s="18" t="str">
        <f aca="false">IF(OR(A319="",B319=""),"",IF(SUMIFS($E$5:$E$604,$B$5:$B$604,B319,$A$5:$A$604,"&gt;="&amp;DATE(YEAR(A319)-1,MONTH(A319),1),$A$5:$A$604,"&lt;"&amp;DATE(YEAR(A319)-1,MONTH(A319)+1,1))=0,"",SUMIFS($E$5:$E$604,$B$5:$B$604,B319,$A$5:$A$604,"&gt;="&amp;DATE(YEAR(A319)-1,MONTH(A319),1),$A$5:$A$604,"&lt;"&amp;DATE(YEAR(A319)-1,MONTH(A319)+1,1))))</f>
        <v/>
      </c>
      <c r="I319" s="19" t="str">
        <f aca="false">IF(OR(H319="",E319=""),"",E319/H319-1)</f>
        <v/>
      </c>
    </row>
    <row r="320" customFormat="false" ht="15" hidden="false" customHeight="false" outlineLevel="0" collapsed="false">
      <c r="A320" s="12"/>
      <c r="B320" s="13"/>
      <c r="C320" s="14"/>
      <c r="D320" s="14"/>
      <c r="E320" s="15"/>
      <c r="F320" s="16" t="str">
        <f aca="false">IF(OR(C320="",D320=""),"",D320-C320)</f>
        <v/>
      </c>
      <c r="G320" s="17" t="str">
        <f aca="false">IF(OR(F320="",F320=0),"",E320/F320)</f>
        <v/>
      </c>
      <c r="H320" s="18" t="str">
        <f aca="false">IF(OR(A320="",B320=""),"",IF(SUMIFS($E$5:$E$604,$B$5:$B$604,B320,$A$5:$A$604,"&gt;="&amp;DATE(YEAR(A320)-1,MONTH(A320),1),$A$5:$A$604,"&lt;"&amp;DATE(YEAR(A320)-1,MONTH(A320)+1,1))=0,"",SUMIFS($E$5:$E$604,$B$5:$B$604,B320,$A$5:$A$604,"&gt;="&amp;DATE(YEAR(A320)-1,MONTH(A320),1),$A$5:$A$604,"&lt;"&amp;DATE(YEAR(A320)-1,MONTH(A320)+1,1))))</f>
        <v/>
      </c>
      <c r="I320" s="19" t="str">
        <f aca="false">IF(OR(H320="",E320=""),"",E320/H320-1)</f>
        <v/>
      </c>
    </row>
    <row r="321" customFormat="false" ht="15" hidden="false" customHeight="false" outlineLevel="0" collapsed="false">
      <c r="A321" s="12"/>
      <c r="B321" s="13"/>
      <c r="C321" s="14"/>
      <c r="D321" s="14"/>
      <c r="E321" s="15"/>
      <c r="F321" s="16" t="str">
        <f aca="false">IF(OR(C321="",D321=""),"",D321-C321)</f>
        <v/>
      </c>
      <c r="G321" s="17" t="str">
        <f aca="false">IF(OR(F321="",F321=0),"",E321/F321)</f>
        <v/>
      </c>
      <c r="H321" s="18" t="str">
        <f aca="false">IF(OR(A321="",B321=""),"",IF(SUMIFS($E$5:$E$604,$B$5:$B$604,B321,$A$5:$A$604,"&gt;="&amp;DATE(YEAR(A321)-1,MONTH(A321),1),$A$5:$A$604,"&lt;"&amp;DATE(YEAR(A321)-1,MONTH(A321)+1,1))=0,"",SUMIFS($E$5:$E$604,$B$5:$B$604,B321,$A$5:$A$604,"&gt;="&amp;DATE(YEAR(A321)-1,MONTH(A321),1),$A$5:$A$604,"&lt;"&amp;DATE(YEAR(A321)-1,MONTH(A321)+1,1))))</f>
        <v/>
      </c>
      <c r="I321" s="19" t="str">
        <f aca="false">IF(OR(H321="",E321=""),"",E321/H321-1)</f>
        <v/>
      </c>
    </row>
    <row r="322" customFormat="false" ht="15" hidden="false" customHeight="false" outlineLevel="0" collapsed="false">
      <c r="A322" s="12"/>
      <c r="B322" s="13"/>
      <c r="C322" s="14"/>
      <c r="D322" s="14"/>
      <c r="E322" s="15"/>
      <c r="F322" s="16" t="str">
        <f aca="false">IF(OR(C322="",D322=""),"",D322-C322)</f>
        <v/>
      </c>
      <c r="G322" s="17" t="str">
        <f aca="false">IF(OR(F322="",F322=0),"",E322/F322)</f>
        <v/>
      </c>
      <c r="H322" s="18" t="str">
        <f aca="false">IF(OR(A322="",B322=""),"",IF(SUMIFS($E$5:$E$604,$B$5:$B$604,B322,$A$5:$A$604,"&gt;="&amp;DATE(YEAR(A322)-1,MONTH(A322),1),$A$5:$A$604,"&lt;"&amp;DATE(YEAR(A322)-1,MONTH(A322)+1,1))=0,"",SUMIFS($E$5:$E$604,$B$5:$B$604,B322,$A$5:$A$604,"&gt;="&amp;DATE(YEAR(A322)-1,MONTH(A322),1),$A$5:$A$604,"&lt;"&amp;DATE(YEAR(A322)-1,MONTH(A322)+1,1))))</f>
        <v/>
      </c>
      <c r="I322" s="19" t="str">
        <f aca="false">IF(OR(H322="",E322=""),"",E322/H322-1)</f>
        <v/>
      </c>
    </row>
    <row r="323" customFormat="false" ht="15" hidden="false" customHeight="false" outlineLevel="0" collapsed="false">
      <c r="A323" s="12"/>
      <c r="B323" s="13"/>
      <c r="C323" s="14"/>
      <c r="D323" s="14"/>
      <c r="E323" s="15"/>
      <c r="F323" s="16" t="str">
        <f aca="false">IF(OR(C323="",D323=""),"",D323-C323)</f>
        <v/>
      </c>
      <c r="G323" s="17" t="str">
        <f aca="false">IF(OR(F323="",F323=0),"",E323/F323)</f>
        <v/>
      </c>
      <c r="H323" s="18" t="str">
        <f aca="false">IF(OR(A323="",B323=""),"",IF(SUMIFS($E$5:$E$604,$B$5:$B$604,B323,$A$5:$A$604,"&gt;="&amp;DATE(YEAR(A323)-1,MONTH(A323),1),$A$5:$A$604,"&lt;"&amp;DATE(YEAR(A323)-1,MONTH(A323)+1,1))=0,"",SUMIFS($E$5:$E$604,$B$5:$B$604,B323,$A$5:$A$604,"&gt;="&amp;DATE(YEAR(A323)-1,MONTH(A323),1),$A$5:$A$604,"&lt;"&amp;DATE(YEAR(A323)-1,MONTH(A323)+1,1))))</f>
        <v/>
      </c>
      <c r="I323" s="19" t="str">
        <f aca="false">IF(OR(H323="",E323=""),"",E323/H323-1)</f>
        <v/>
      </c>
    </row>
    <row r="324" customFormat="false" ht="15" hidden="false" customHeight="false" outlineLevel="0" collapsed="false">
      <c r="A324" s="12"/>
      <c r="B324" s="13"/>
      <c r="C324" s="14"/>
      <c r="D324" s="14"/>
      <c r="E324" s="15"/>
      <c r="F324" s="16" t="str">
        <f aca="false">IF(OR(C324="",D324=""),"",D324-C324)</f>
        <v/>
      </c>
      <c r="G324" s="17" t="str">
        <f aca="false">IF(OR(F324="",F324=0),"",E324/F324)</f>
        <v/>
      </c>
      <c r="H324" s="18" t="str">
        <f aca="false">IF(OR(A324="",B324=""),"",IF(SUMIFS($E$5:$E$604,$B$5:$B$604,B324,$A$5:$A$604,"&gt;="&amp;DATE(YEAR(A324)-1,MONTH(A324),1),$A$5:$A$604,"&lt;"&amp;DATE(YEAR(A324)-1,MONTH(A324)+1,1))=0,"",SUMIFS($E$5:$E$604,$B$5:$B$604,B324,$A$5:$A$604,"&gt;="&amp;DATE(YEAR(A324)-1,MONTH(A324),1),$A$5:$A$604,"&lt;"&amp;DATE(YEAR(A324)-1,MONTH(A324)+1,1))))</f>
        <v/>
      </c>
      <c r="I324" s="19" t="str">
        <f aca="false">IF(OR(H324="",E324=""),"",E324/H324-1)</f>
        <v/>
      </c>
    </row>
    <row r="325" customFormat="false" ht="15" hidden="false" customHeight="false" outlineLevel="0" collapsed="false">
      <c r="A325" s="12"/>
      <c r="B325" s="13"/>
      <c r="C325" s="14"/>
      <c r="D325" s="14"/>
      <c r="E325" s="15"/>
      <c r="F325" s="16" t="str">
        <f aca="false">IF(OR(C325="",D325=""),"",D325-C325)</f>
        <v/>
      </c>
      <c r="G325" s="17" t="str">
        <f aca="false">IF(OR(F325="",F325=0),"",E325/F325)</f>
        <v/>
      </c>
      <c r="H325" s="18" t="str">
        <f aca="false">IF(OR(A325="",B325=""),"",IF(SUMIFS($E$5:$E$604,$B$5:$B$604,B325,$A$5:$A$604,"&gt;="&amp;DATE(YEAR(A325)-1,MONTH(A325),1),$A$5:$A$604,"&lt;"&amp;DATE(YEAR(A325)-1,MONTH(A325)+1,1))=0,"",SUMIFS($E$5:$E$604,$B$5:$B$604,B325,$A$5:$A$604,"&gt;="&amp;DATE(YEAR(A325)-1,MONTH(A325),1),$A$5:$A$604,"&lt;"&amp;DATE(YEAR(A325)-1,MONTH(A325)+1,1))))</f>
        <v/>
      </c>
      <c r="I325" s="19" t="str">
        <f aca="false">IF(OR(H325="",E325=""),"",E325/H325-1)</f>
        <v/>
      </c>
    </row>
    <row r="326" customFormat="false" ht="15" hidden="false" customHeight="false" outlineLevel="0" collapsed="false">
      <c r="A326" s="12"/>
      <c r="B326" s="13"/>
      <c r="C326" s="14"/>
      <c r="D326" s="14"/>
      <c r="E326" s="15"/>
      <c r="F326" s="16" t="str">
        <f aca="false">IF(OR(C326="",D326=""),"",D326-C326)</f>
        <v/>
      </c>
      <c r="G326" s="17" t="str">
        <f aca="false">IF(OR(F326="",F326=0),"",E326/F326)</f>
        <v/>
      </c>
      <c r="H326" s="18" t="str">
        <f aca="false">IF(OR(A326="",B326=""),"",IF(SUMIFS($E$5:$E$604,$B$5:$B$604,B326,$A$5:$A$604,"&gt;="&amp;DATE(YEAR(A326)-1,MONTH(A326),1),$A$5:$A$604,"&lt;"&amp;DATE(YEAR(A326)-1,MONTH(A326)+1,1))=0,"",SUMIFS($E$5:$E$604,$B$5:$B$604,B326,$A$5:$A$604,"&gt;="&amp;DATE(YEAR(A326)-1,MONTH(A326),1),$A$5:$A$604,"&lt;"&amp;DATE(YEAR(A326)-1,MONTH(A326)+1,1))))</f>
        <v/>
      </c>
      <c r="I326" s="19" t="str">
        <f aca="false">IF(OR(H326="",E326=""),"",E326/H326-1)</f>
        <v/>
      </c>
    </row>
    <row r="327" customFormat="false" ht="15" hidden="false" customHeight="false" outlineLevel="0" collapsed="false">
      <c r="A327" s="12"/>
      <c r="B327" s="13"/>
      <c r="C327" s="14"/>
      <c r="D327" s="14"/>
      <c r="E327" s="15"/>
      <c r="F327" s="16" t="str">
        <f aca="false">IF(OR(C327="",D327=""),"",D327-C327)</f>
        <v/>
      </c>
      <c r="G327" s="17" t="str">
        <f aca="false">IF(OR(F327="",F327=0),"",E327/F327)</f>
        <v/>
      </c>
      <c r="H327" s="18" t="str">
        <f aca="false">IF(OR(A327="",B327=""),"",IF(SUMIFS($E$5:$E$604,$B$5:$B$604,B327,$A$5:$A$604,"&gt;="&amp;DATE(YEAR(A327)-1,MONTH(A327),1),$A$5:$A$604,"&lt;"&amp;DATE(YEAR(A327)-1,MONTH(A327)+1,1))=0,"",SUMIFS($E$5:$E$604,$B$5:$B$604,B327,$A$5:$A$604,"&gt;="&amp;DATE(YEAR(A327)-1,MONTH(A327),1),$A$5:$A$604,"&lt;"&amp;DATE(YEAR(A327)-1,MONTH(A327)+1,1))))</f>
        <v/>
      </c>
      <c r="I327" s="19" t="str">
        <f aca="false">IF(OR(H327="",E327=""),"",E327/H327-1)</f>
        <v/>
      </c>
    </row>
    <row r="328" customFormat="false" ht="15" hidden="false" customHeight="false" outlineLevel="0" collapsed="false">
      <c r="A328" s="12"/>
      <c r="B328" s="13"/>
      <c r="C328" s="14"/>
      <c r="D328" s="14"/>
      <c r="E328" s="15"/>
      <c r="F328" s="16" t="str">
        <f aca="false">IF(OR(C328="",D328=""),"",D328-C328)</f>
        <v/>
      </c>
      <c r="G328" s="17" t="str">
        <f aca="false">IF(OR(F328="",F328=0),"",E328/F328)</f>
        <v/>
      </c>
      <c r="H328" s="18" t="str">
        <f aca="false">IF(OR(A328="",B328=""),"",IF(SUMIFS($E$5:$E$604,$B$5:$B$604,B328,$A$5:$A$604,"&gt;="&amp;DATE(YEAR(A328)-1,MONTH(A328),1),$A$5:$A$604,"&lt;"&amp;DATE(YEAR(A328)-1,MONTH(A328)+1,1))=0,"",SUMIFS($E$5:$E$604,$B$5:$B$604,B328,$A$5:$A$604,"&gt;="&amp;DATE(YEAR(A328)-1,MONTH(A328),1),$A$5:$A$604,"&lt;"&amp;DATE(YEAR(A328)-1,MONTH(A328)+1,1))))</f>
        <v/>
      </c>
      <c r="I328" s="19" t="str">
        <f aca="false">IF(OR(H328="",E328=""),"",E328/H328-1)</f>
        <v/>
      </c>
    </row>
    <row r="329" customFormat="false" ht="15" hidden="false" customHeight="false" outlineLevel="0" collapsed="false">
      <c r="A329" s="12"/>
      <c r="B329" s="13"/>
      <c r="C329" s="14"/>
      <c r="D329" s="14"/>
      <c r="E329" s="15"/>
      <c r="F329" s="16" t="str">
        <f aca="false">IF(OR(C329="",D329=""),"",D329-C329)</f>
        <v/>
      </c>
      <c r="G329" s="17" t="str">
        <f aca="false">IF(OR(F329="",F329=0),"",E329/F329)</f>
        <v/>
      </c>
      <c r="H329" s="18" t="str">
        <f aca="false">IF(OR(A329="",B329=""),"",IF(SUMIFS($E$5:$E$604,$B$5:$B$604,B329,$A$5:$A$604,"&gt;="&amp;DATE(YEAR(A329)-1,MONTH(A329),1),$A$5:$A$604,"&lt;"&amp;DATE(YEAR(A329)-1,MONTH(A329)+1,1))=0,"",SUMIFS($E$5:$E$604,$B$5:$B$604,B329,$A$5:$A$604,"&gt;="&amp;DATE(YEAR(A329)-1,MONTH(A329),1),$A$5:$A$604,"&lt;"&amp;DATE(YEAR(A329)-1,MONTH(A329)+1,1))))</f>
        <v/>
      </c>
      <c r="I329" s="19" t="str">
        <f aca="false">IF(OR(H329="",E329=""),"",E329/H329-1)</f>
        <v/>
      </c>
    </row>
    <row r="330" customFormat="false" ht="15" hidden="false" customHeight="false" outlineLevel="0" collapsed="false">
      <c r="A330" s="12"/>
      <c r="B330" s="13"/>
      <c r="C330" s="14"/>
      <c r="D330" s="14"/>
      <c r="E330" s="15"/>
      <c r="F330" s="16" t="str">
        <f aca="false">IF(OR(C330="",D330=""),"",D330-C330)</f>
        <v/>
      </c>
      <c r="G330" s="17" t="str">
        <f aca="false">IF(OR(F330="",F330=0),"",E330/F330)</f>
        <v/>
      </c>
      <c r="H330" s="18" t="str">
        <f aca="false">IF(OR(A330="",B330=""),"",IF(SUMIFS($E$5:$E$604,$B$5:$B$604,B330,$A$5:$A$604,"&gt;="&amp;DATE(YEAR(A330)-1,MONTH(A330),1),$A$5:$A$604,"&lt;"&amp;DATE(YEAR(A330)-1,MONTH(A330)+1,1))=0,"",SUMIFS($E$5:$E$604,$B$5:$B$604,B330,$A$5:$A$604,"&gt;="&amp;DATE(YEAR(A330)-1,MONTH(A330),1),$A$5:$A$604,"&lt;"&amp;DATE(YEAR(A330)-1,MONTH(A330)+1,1))))</f>
        <v/>
      </c>
      <c r="I330" s="19" t="str">
        <f aca="false">IF(OR(H330="",E330=""),"",E330/H330-1)</f>
        <v/>
      </c>
    </row>
    <row r="331" customFormat="false" ht="15" hidden="false" customHeight="false" outlineLevel="0" collapsed="false">
      <c r="A331" s="12"/>
      <c r="B331" s="13"/>
      <c r="C331" s="14"/>
      <c r="D331" s="14"/>
      <c r="E331" s="15"/>
      <c r="F331" s="16" t="str">
        <f aca="false">IF(OR(C331="",D331=""),"",D331-C331)</f>
        <v/>
      </c>
      <c r="G331" s="17" t="str">
        <f aca="false">IF(OR(F331="",F331=0),"",E331/F331)</f>
        <v/>
      </c>
      <c r="H331" s="18" t="str">
        <f aca="false">IF(OR(A331="",B331=""),"",IF(SUMIFS($E$5:$E$604,$B$5:$B$604,B331,$A$5:$A$604,"&gt;="&amp;DATE(YEAR(A331)-1,MONTH(A331),1),$A$5:$A$604,"&lt;"&amp;DATE(YEAR(A331)-1,MONTH(A331)+1,1))=0,"",SUMIFS($E$5:$E$604,$B$5:$B$604,B331,$A$5:$A$604,"&gt;="&amp;DATE(YEAR(A331)-1,MONTH(A331),1),$A$5:$A$604,"&lt;"&amp;DATE(YEAR(A331)-1,MONTH(A331)+1,1))))</f>
        <v/>
      </c>
      <c r="I331" s="19" t="str">
        <f aca="false">IF(OR(H331="",E331=""),"",E331/H331-1)</f>
        <v/>
      </c>
    </row>
    <row r="332" customFormat="false" ht="15" hidden="false" customHeight="false" outlineLevel="0" collapsed="false">
      <c r="A332" s="12"/>
      <c r="B332" s="13"/>
      <c r="C332" s="14"/>
      <c r="D332" s="14"/>
      <c r="E332" s="15"/>
      <c r="F332" s="16" t="str">
        <f aca="false">IF(OR(C332="",D332=""),"",D332-C332)</f>
        <v/>
      </c>
      <c r="G332" s="17" t="str">
        <f aca="false">IF(OR(F332="",F332=0),"",E332/F332)</f>
        <v/>
      </c>
      <c r="H332" s="18" t="str">
        <f aca="false">IF(OR(A332="",B332=""),"",IF(SUMIFS($E$5:$E$604,$B$5:$B$604,B332,$A$5:$A$604,"&gt;="&amp;DATE(YEAR(A332)-1,MONTH(A332),1),$A$5:$A$604,"&lt;"&amp;DATE(YEAR(A332)-1,MONTH(A332)+1,1))=0,"",SUMIFS($E$5:$E$604,$B$5:$B$604,B332,$A$5:$A$604,"&gt;="&amp;DATE(YEAR(A332)-1,MONTH(A332),1),$A$5:$A$604,"&lt;"&amp;DATE(YEAR(A332)-1,MONTH(A332)+1,1))))</f>
        <v/>
      </c>
      <c r="I332" s="19" t="str">
        <f aca="false">IF(OR(H332="",E332=""),"",E332/H332-1)</f>
        <v/>
      </c>
    </row>
    <row r="333" customFormat="false" ht="15" hidden="false" customHeight="false" outlineLevel="0" collapsed="false">
      <c r="A333" s="12"/>
      <c r="B333" s="13"/>
      <c r="C333" s="14"/>
      <c r="D333" s="14"/>
      <c r="E333" s="15"/>
      <c r="F333" s="16" t="str">
        <f aca="false">IF(OR(C333="",D333=""),"",D333-C333)</f>
        <v/>
      </c>
      <c r="G333" s="17" t="str">
        <f aca="false">IF(OR(F333="",F333=0),"",E333/F333)</f>
        <v/>
      </c>
      <c r="H333" s="18" t="str">
        <f aca="false">IF(OR(A333="",B333=""),"",IF(SUMIFS($E$5:$E$604,$B$5:$B$604,B333,$A$5:$A$604,"&gt;="&amp;DATE(YEAR(A333)-1,MONTH(A333),1),$A$5:$A$604,"&lt;"&amp;DATE(YEAR(A333)-1,MONTH(A333)+1,1))=0,"",SUMIFS($E$5:$E$604,$B$5:$B$604,B333,$A$5:$A$604,"&gt;="&amp;DATE(YEAR(A333)-1,MONTH(A333),1),$A$5:$A$604,"&lt;"&amp;DATE(YEAR(A333)-1,MONTH(A333)+1,1))))</f>
        <v/>
      </c>
      <c r="I333" s="19" t="str">
        <f aca="false">IF(OR(H333="",E333=""),"",E333/H333-1)</f>
        <v/>
      </c>
    </row>
    <row r="334" customFormat="false" ht="15" hidden="false" customHeight="false" outlineLevel="0" collapsed="false">
      <c r="A334" s="12"/>
      <c r="B334" s="13"/>
      <c r="C334" s="14"/>
      <c r="D334" s="14"/>
      <c r="E334" s="15"/>
      <c r="F334" s="16" t="str">
        <f aca="false">IF(OR(C334="",D334=""),"",D334-C334)</f>
        <v/>
      </c>
      <c r="G334" s="17" t="str">
        <f aca="false">IF(OR(F334="",F334=0),"",E334/F334)</f>
        <v/>
      </c>
      <c r="H334" s="18" t="str">
        <f aca="false">IF(OR(A334="",B334=""),"",IF(SUMIFS($E$5:$E$604,$B$5:$B$604,B334,$A$5:$A$604,"&gt;="&amp;DATE(YEAR(A334)-1,MONTH(A334),1),$A$5:$A$604,"&lt;"&amp;DATE(YEAR(A334)-1,MONTH(A334)+1,1))=0,"",SUMIFS($E$5:$E$604,$B$5:$B$604,B334,$A$5:$A$604,"&gt;="&amp;DATE(YEAR(A334)-1,MONTH(A334),1),$A$5:$A$604,"&lt;"&amp;DATE(YEAR(A334)-1,MONTH(A334)+1,1))))</f>
        <v/>
      </c>
      <c r="I334" s="19" t="str">
        <f aca="false">IF(OR(H334="",E334=""),"",E334/H334-1)</f>
        <v/>
      </c>
    </row>
    <row r="335" customFormat="false" ht="15" hidden="false" customHeight="false" outlineLevel="0" collapsed="false">
      <c r="A335" s="12"/>
      <c r="B335" s="13"/>
      <c r="C335" s="14"/>
      <c r="D335" s="14"/>
      <c r="E335" s="15"/>
      <c r="F335" s="16" t="str">
        <f aca="false">IF(OR(C335="",D335=""),"",D335-C335)</f>
        <v/>
      </c>
      <c r="G335" s="17" t="str">
        <f aca="false">IF(OR(F335="",F335=0),"",E335/F335)</f>
        <v/>
      </c>
      <c r="H335" s="18" t="str">
        <f aca="false">IF(OR(A335="",B335=""),"",IF(SUMIFS($E$5:$E$604,$B$5:$B$604,B335,$A$5:$A$604,"&gt;="&amp;DATE(YEAR(A335)-1,MONTH(A335),1),$A$5:$A$604,"&lt;"&amp;DATE(YEAR(A335)-1,MONTH(A335)+1,1))=0,"",SUMIFS($E$5:$E$604,$B$5:$B$604,B335,$A$5:$A$604,"&gt;="&amp;DATE(YEAR(A335)-1,MONTH(A335),1),$A$5:$A$604,"&lt;"&amp;DATE(YEAR(A335)-1,MONTH(A335)+1,1))))</f>
        <v/>
      </c>
      <c r="I335" s="19" t="str">
        <f aca="false">IF(OR(H335="",E335=""),"",E335/H335-1)</f>
        <v/>
      </c>
    </row>
    <row r="336" customFormat="false" ht="15" hidden="false" customHeight="false" outlineLevel="0" collapsed="false">
      <c r="A336" s="12"/>
      <c r="B336" s="13"/>
      <c r="C336" s="14"/>
      <c r="D336" s="14"/>
      <c r="E336" s="15"/>
      <c r="F336" s="16" t="str">
        <f aca="false">IF(OR(C336="",D336=""),"",D336-C336)</f>
        <v/>
      </c>
      <c r="G336" s="17" t="str">
        <f aca="false">IF(OR(F336="",F336=0),"",E336/F336)</f>
        <v/>
      </c>
      <c r="H336" s="18" t="str">
        <f aca="false">IF(OR(A336="",B336=""),"",IF(SUMIFS($E$5:$E$604,$B$5:$B$604,B336,$A$5:$A$604,"&gt;="&amp;DATE(YEAR(A336)-1,MONTH(A336),1),$A$5:$A$604,"&lt;"&amp;DATE(YEAR(A336)-1,MONTH(A336)+1,1))=0,"",SUMIFS($E$5:$E$604,$B$5:$B$604,B336,$A$5:$A$604,"&gt;="&amp;DATE(YEAR(A336)-1,MONTH(A336),1),$A$5:$A$604,"&lt;"&amp;DATE(YEAR(A336)-1,MONTH(A336)+1,1))))</f>
        <v/>
      </c>
      <c r="I336" s="19" t="str">
        <f aca="false">IF(OR(H336="",E336=""),"",E336/H336-1)</f>
        <v/>
      </c>
    </row>
    <row r="337" customFormat="false" ht="15" hidden="false" customHeight="false" outlineLevel="0" collapsed="false">
      <c r="A337" s="12"/>
      <c r="B337" s="13"/>
      <c r="C337" s="14"/>
      <c r="D337" s="14"/>
      <c r="E337" s="15"/>
      <c r="F337" s="16" t="str">
        <f aca="false">IF(OR(C337="",D337=""),"",D337-C337)</f>
        <v/>
      </c>
      <c r="G337" s="17" t="str">
        <f aca="false">IF(OR(F337="",F337=0),"",E337/F337)</f>
        <v/>
      </c>
      <c r="H337" s="18" t="str">
        <f aca="false">IF(OR(A337="",B337=""),"",IF(SUMIFS($E$5:$E$604,$B$5:$B$604,B337,$A$5:$A$604,"&gt;="&amp;DATE(YEAR(A337)-1,MONTH(A337),1),$A$5:$A$604,"&lt;"&amp;DATE(YEAR(A337)-1,MONTH(A337)+1,1))=0,"",SUMIFS($E$5:$E$604,$B$5:$B$604,B337,$A$5:$A$604,"&gt;="&amp;DATE(YEAR(A337)-1,MONTH(A337),1),$A$5:$A$604,"&lt;"&amp;DATE(YEAR(A337)-1,MONTH(A337)+1,1))))</f>
        <v/>
      </c>
      <c r="I337" s="19" t="str">
        <f aca="false">IF(OR(H337="",E337=""),"",E337/H337-1)</f>
        <v/>
      </c>
    </row>
    <row r="338" customFormat="false" ht="15" hidden="false" customHeight="false" outlineLevel="0" collapsed="false">
      <c r="A338" s="12"/>
      <c r="B338" s="13"/>
      <c r="C338" s="14"/>
      <c r="D338" s="14"/>
      <c r="E338" s="15"/>
      <c r="F338" s="16" t="str">
        <f aca="false">IF(OR(C338="",D338=""),"",D338-C338)</f>
        <v/>
      </c>
      <c r="G338" s="17" t="str">
        <f aca="false">IF(OR(F338="",F338=0),"",E338/F338)</f>
        <v/>
      </c>
      <c r="H338" s="18" t="str">
        <f aca="false">IF(OR(A338="",B338=""),"",IF(SUMIFS($E$5:$E$604,$B$5:$B$604,B338,$A$5:$A$604,"&gt;="&amp;DATE(YEAR(A338)-1,MONTH(A338),1),$A$5:$A$604,"&lt;"&amp;DATE(YEAR(A338)-1,MONTH(A338)+1,1))=0,"",SUMIFS($E$5:$E$604,$B$5:$B$604,B338,$A$5:$A$604,"&gt;="&amp;DATE(YEAR(A338)-1,MONTH(A338),1),$A$5:$A$604,"&lt;"&amp;DATE(YEAR(A338)-1,MONTH(A338)+1,1))))</f>
        <v/>
      </c>
      <c r="I338" s="19" t="str">
        <f aca="false">IF(OR(H338="",E338=""),"",E338/H338-1)</f>
        <v/>
      </c>
    </row>
    <row r="339" customFormat="false" ht="15" hidden="false" customHeight="false" outlineLevel="0" collapsed="false">
      <c r="A339" s="12"/>
      <c r="B339" s="13"/>
      <c r="C339" s="14"/>
      <c r="D339" s="14"/>
      <c r="E339" s="15"/>
      <c r="F339" s="16" t="str">
        <f aca="false">IF(OR(C339="",D339=""),"",D339-C339)</f>
        <v/>
      </c>
      <c r="G339" s="17" t="str">
        <f aca="false">IF(OR(F339="",F339=0),"",E339/F339)</f>
        <v/>
      </c>
      <c r="H339" s="18" t="str">
        <f aca="false">IF(OR(A339="",B339=""),"",IF(SUMIFS($E$5:$E$604,$B$5:$B$604,B339,$A$5:$A$604,"&gt;="&amp;DATE(YEAR(A339)-1,MONTH(A339),1),$A$5:$A$604,"&lt;"&amp;DATE(YEAR(A339)-1,MONTH(A339)+1,1))=0,"",SUMIFS($E$5:$E$604,$B$5:$B$604,B339,$A$5:$A$604,"&gt;="&amp;DATE(YEAR(A339)-1,MONTH(A339),1),$A$5:$A$604,"&lt;"&amp;DATE(YEAR(A339)-1,MONTH(A339)+1,1))))</f>
        <v/>
      </c>
      <c r="I339" s="19" t="str">
        <f aca="false">IF(OR(H339="",E339=""),"",E339/H339-1)</f>
        <v/>
      </c>
    </row>
    <row r="340" customFormat="false" ht="15" hidden="false" customHeight="false" outlineLevel="0" collapsed="false">
      <c r="A340" s="12"/>
      <c r="B340" s="13"/>
      <c r="C340" s="14"/>
      <c r="D340" s="14"/>
      <c r="E340" s="15"/>
      <c r="F340" s="16" t="str">
        <f aca="false">IF(OR(C340="",D340=""),"",D340-C340)</f>
        <v/>
      </c>
      <c r="G340" s="17" t="str">
        <f aca="false">IF(OR(F340="",F340=0),"",E340/F340)</f>
        <v/>
      </c>
      <c r="H340" s="18" t="str">
        <f aca="false">IF(OR(A340="",B340=""),"",IF(SUMIFS($E$5:$E$604,$B$5:$B$604,B340,$A$5:$A$604,"&gt;="&amp;DATE(YEAR(A340)-1,MONTH(A340),1),$A$5:$A$604,"&lt;"&amp;DATE(YEAR(A340)-1,MONTH(A340)+1,1))=0,"",SUMIFS($E$5:$E$604,$B$5:$B$604,B340,$A$5:$A$604,"&gt;="&amp;DATE(YEAR(A340)-1,MONTH(A340),1),$A$5:$A$604,"&lt;"&amp;DATE(YEAR(A340)-1,MONTH(A340)+1,1))))</f>
        <v/>
      </c>
      <c r="I340" s="19" t="str">
        <f aca="false">IF(OR(H340="",E340=""),"",E340/H340-1)</f>
        <v/>
      </c>
    </row>
    <row r="341" customFormat="false" ht="15" hidden="false" customHeight="false" outlineLevel="0" collapsed="false">
      <c r="A341" s="12"/>
      <c r="B341" s="13"/>
      <c r="C341" s="14"/>
      <c r="D341" s="14"/>
      <c r="E341" s="15"/>
      <c r="F341" s="16" t="str">
        <f aca="false">IF(OR(C341="",D341=""),"",D341-C341)</f>
        <v/>
      </c>
      <c r="G341" s="17" t="str">
        <f aca="false">IF(OR(F341="",F341=0),"",E341/F341)</f>
        <v/>
      </c>
      <c r="H341" s="18" t="str">
        <f aca="false">IF(OR(A341="",B341=""),"",IF(SUMIFS($E$5:$E$604,$B$5:$B$604,B341,$A$5:$A$604,"&gt;="&amp;DATE(YEAR(A341)-1,MONTH(A341),1),$A$5:$A$604,"&lt;"&amp;DATE(YEAR(A341)-1,MONTH(A341)+1,1))=0,"",SUMIFS($E$5:$E$604,$B$5:$B$604,B341,$A$5:$A$604,"&gt;="&amp;DATE(YEAR(A341)-1,MONTH(A341),1),$A$5:$A$604,"&lt;"&amp;DATE(YEAR(A341)-1,MONTH(A341)+1,1))))</f>
        <v/>
      </c>
      <c r="I341" s="19" t="str">
        <f aca="false">IF(OR(H341="",E341=""),"",E341/H341-1)</f>
        <v/>
      </c>
    </row>
    <row r="342" customFormat="false" ht="15" hidden="false" customHeight="false" outlineLevel="0" collapsed="false">
      <c r="A342" s="12"/>
      <c r="B342" s="13"/>
      <c r="C342" s="14"/>
      <c r="D342" s="14"/>
      <c r="E342" s="15"/>
      <c r="F342" s="16" t="str">
        <f aca="false">IF(OR(C342="",D342=""),"",D342-C342)</f>
        <v/>
      </c>
      <c r="G342" s="17" t="str">
        <f aca="false">IF(OR(F342="",F342=0),"",E342/F342)</f>
        <v/>
      </c>
      <c r="H342" s="18" t="str">
        <f aca="false">IF(OR(A342="",B342=""),"",IF(SUMIFS($E$5:$E$604,$B$5:$B$604,B342,$A$5:$A$604,"&gt;="&amp;DATE(YEAR(A342)-1,MONTH(A342),1),$A$5:$A$604,"&lt;"&amp;DATE(YEAR(A342)-1,MONTH(A342)+1,1))=0,"",SUMIFS($E$5:$E$604,$B$5:$B$604,B342,$A$5:$A$604,"&gt;="&amp;DATE(YEAR(A342)-1,MONTH(A342),1),$A$5:$A$604,"&lt;"&amp;DATE(YEAR(A342)-1,MONTH(A342)+1,1))))</f>
        <v/>
      </c>
      <c r="I342" s="19" t="str">
        <f aca="false">IF(OR(H342="",E342=""),"",E342/H342-1)</f>
        <v/>
      </c>
    </row>
    <row r="343" customFormat="false" ht="15" hidden="false" customHeight="false" outlineLevel="0" collapsed="false">
      <c r="A343" s="12"/>
      <c r="B343" s="13"/>
      <c r="C343" s="14"/>
      <c r="D343" s="14"/>
      <c r="E343" s="15"/>
      <c r="F343" s="16" t="str">
        <f aca="false">IF(OR(C343="",D343=""),"",D343-C343)</f>
        <v/>
      </c>
      <c r="G343" s="17" t="str">
        <f aca="false">IF(OR(F343="",F343=0),"",E343/F343)</f>
        <v/>
      </c>
      <c r="H343" s="18" t="str">
        <f aca="false">IF(OR(A343="",B343=""),"",IF(SUMIFS($E$5:$E$604,$B$5:$B$604,B343,$A$5:$A$604,"&gt;="&amp;DATE(YEAR(A343)-1,MONTH(A343),1),$A$5:$A$604,"&lt;"&amp;DATE(YEAR(A343)-1,MONTH(A343)+1,1))=0,"",SUMIFS($E$5:$E$604,$B$5:$B$604,B343,$A$5:$A$604,"&gt;="&amp;DATE(YEAR(A343)-1,MONTH(A343),1),$A$5:$A$604,"&lt;"&amp;DATE(YEAR(A343)-1,MONTH(A343)+1,1))))</f>
        <v/>
      </c>
      <c r="I343" s="19" t="str">
        <f aca="false">IF(OR(H343="",E343=""),"",E343/H343-1)</f>
        <v/>
      </c>
    </row>
    <row r="344" customFormat="false" ht="15" hidden="false" customHeight="false" outlineLevel="0" collapsed="false">
      <c r="A344" s="12"/>
      <c r="B344" s="13"/>
      <c r="C344" s="14"/>
      <c r="D344" s="14"/>
      <c r="E344" s="15"/>
      <c r="F344" s="16" t="str">
        <f aca="false">IF(OR(C344="",D344=""),"",D344-C344)</f>
        <v/>
      </c>
      <c r="G344" s="17" t="str">
        <f aca="false">IF(OR(F344="",F344=0),"",E344/F344)</f>
        <v/>
      </c>
      <c r="H344" s="18" t="str">
        <f aca="false">IF(OR(A344="",B344=""),"",IF(SUMIFS($E$5:$E$604,$B$5:$B$604,B344,$A$5:$A$604,"&gt;="&amp;DATE(YEAR(A344)-1,MONTH(A344),1),$A$5:$A$604,"&lt;"&amp;DATE(YEAR(A344)-1,MONTH(A344)+1,1))=0,"",SUMIFS($E$5:$E$604,$B$5:$B$604,B344,$A$5:$A$604,"&gt;="&amp;DATE(YEAR(A344)-1,MONTH(A344),1),$A$5:$A$604,"&lt;"&amp;DATE(YEAR(A344)-1,MONTH(A344)+1,1))))</f>
        <v/>
      </c>
      <c r="I344" s="19" t="str">
        <f aca="false">IF(OR(H344="",E344=""),"",E344/H344-1)</f>
        <v/>
      </c>
    </row>
    <row r="345" customFormat="false" ht="15" hidden="false" customHeight="false" outlineLevel="0" collapsed="false">
      <c r="A345" s="12"/>
      <c r="B345" s="13"/>
      <c r="C345" s="14"/>
      <c r="D345" s="14"/>
      <c r="E345" s="15"/>
      <c r="F345" s="16" t="str">
        <f aca="false">IF(OR(C345="",D345=""),"",D345-C345)</f>
        <v/>
      </c>
      <c r="G345" s="17" t="str">
        <f aca="false">IF(OR(F345="",F345=0),"",E345/F345)</f>
        <v/>
      </c>
      <c r="H345" s="18" t="str">
        <f aca="false">IF(OR(A345="",B345=""),"",IF(SUMIFS($E$5:$E$604,$B$5:$B$604,B345,$A$5:$A$604,"&gt;="&amp;DATE(YEAR(A345)-1,MONTH(A345),1),$A$5:$A$604,"&lt;"&amp;DATE(YEAR(A345)-1,MONTH(A345)+1,1))=0,"",SUMIFS($E$5:$E$604,$B$5:$B$604,B345,$A$5:$A$604,"&gt;="&amp;DATE(YEAR(A345)-1,MONTH(A345),1),$A$5:$A$604,"&lt;"&amp;DATE(YEAR(A345)-1,MONTH(A345)+1,1))))</f>
        <v/>
      </c>
      <c r="I345" s="19" t="str">
        <f aca="false">IF(OR(H345="",E345=""),"",E345/H345-1)</f>
        <v/>
      </c>
    </row>
    <row r="346" customFormat="false" ht="15" hidden="false" customHeight="false" outlineLevel="0" collapsed="false">
      <c r="A346" s="12"/>
      <c r="B346" s="13"/>
      <c r="C346" s="14"/>
      <c r="D346" s="14"/>
      <c r="E346" s="15"/>
      <c r="F346" s="16" t="str">
        <f aca="false">IF(OR(C346="",D346=""),"",D346-C346)</f>
        <v/>
      </c>
      <c r="G346" s="17" t="str">
        <f aca="false">IF(OR(F346="",F346=0),"",E346/F346)</f>
        <v/>
      </c>
      <c r="H346" s="18" t="str">
        <f aca="false">IF(OR(A346="",B346=""),"",IF(SUMIFS($E$5:$E$604,$B$5:$B$604,B346,$A$5:$A$604,"&gt;="&amp;DATE(YEAR(A346)-1,MONTH(A346),1),$A$5:$A$604,"&lt;"&amp;DATE(YEAR(A346)-1,MONTH(A346)+1,1))=0,"",SUMIFS($E$5:$E$604,$B$5:$B$604,B346,$A$5:$A$604,"&gt;="&amp;DATE(YEAR(A346)-1,MONTH(A346),1),$A$5:$A$604,"&lt;"&amp;DATE(YEAR(A346)-1,MONTH(A346)+1,1))))</f>
        <v/>
      </c>
      <c r="I346" s="19" t="str">
        <f aca="false">IF(OR(H346="",E346=""),"",E346/H346-1)</f>
        <v/>
      </c>
    </row>
    <row r="347" customFormat="false" ht="15" hidden="false" customHeight="false" outlineLevel="0" collapsed="false">
      <c r="A347" s="12"/>
      <c r="B347" s="13"/>
      <c r="C347" s="14"/>
      <c r="D347" s="14"/>
      <c r="E347" s="15"/>
      <c r="F347" s="16" t="str">
        <f aca="false">IF(OR(C347="",D347=""),"",D347-C347)</f>
        <v/>
      </c>
      <c r="G347" s="17" t="str">
        <f aca="false">IF(OR(F347="",F347=0),"",E347/F347)</f>
        <v/>
      </c>
      <c r="H347" s="18" t="str">
        <f aca="false">IF(OR(A347="",B347=""),"",IF(SUMIFS($E$5:$E$604,$B$5:$B$604,B347,$A$5:$A$604,"&gt;="&amp;DATE(YEAR(A347)-1,MONTH(A347),1),$A$5:$A$604,"&lt;"&amp;DATE(YEAR(A347)-1,MONTH(A347)+1,1))=0,"",SUMIFS($E$5:$E$604,$B$5:$B$604,B347,$A$5:$A$604,"&gt;="&amp;DATE(YEAR(A347)-1,MONTH(A347),1),$A$5:$A$604,"&lt;"&amp;DATE(YEAR(A347)-1,MONTH(A347)+1,1))))</f>
        <v/>
      </c>
      <c r="I347" s="19" t="str">
        <f aca="false">IF(OR(H347="",E347=""),"",E347/H347-1)</f>
        <v/>
      </c>
    </row>
    <row r="348" customFormat="false" ht="15" hidden="false" customHeight="false" outlineLevel="0" collapsed="false">
      <c r="A348" s="12"/>
      <c r="B348" s="13"/>
      <c r="C348" s="14"/>
      <c r="D348" s="14"/>
      <c r="E348" s="15"/>
      <c r="F348" s="16" t="str">
        <f aca="false">IF(OR(C348="",D348=""),"",D348-C348)</f>
        <v/>
      </c>
      <c r="G348" s="17" t="str">
        <f aca="false">IF(OR(F348="",F348=0),"",E348/F348)</f>
        <v/>
      </c>
      <c r="H348" s="18" t="str">
        <f aca="false">IF(OR(A348="",B348=""),"",IF(SUMIFS($E$5:$E$604,$B$5:$B$604,B348,$A$5:$A$604,"&gt;="&amp;DATE(YEAR(A348)-1,MONTH(A348),1),$A$5:$A$604,"&lt;"&amp;DATE(YEAR(A348)-1,MONTH(A348)+1,1))=0,"",SUMIFS($E$5:$E$604,$B$5:$B$604,B348,$A$5:$A$604,"&gt;="&amp;DATE(YEAR(A348)-1,MONTH(A348),1),$A$5:$A$604,"&lt;"&amp;DATE(YEAR(A348)-1,MONTH(A348)+1,1))))</f>
        <v/>
      </c>
      <c r="I348" s="19" t="str">
        <f aca="false">IF(OR(H348="",E348=""),"",E348/H348-1)</f>
        <v/>
      </c>
    </row>
    <row r="349" customFormat="false" ht="15" hidden="false" customHeight="false" outlineLevel="0" collapsed="false">
      <c r="A349" s="12"/>
      <c r="B349" s="13"/>
      <c r="C349" s="14"/>
      <c r="D349" s="14"/>
      <c r="E349" s="15"/>
      <c r="F349" s="16" t="str">
        <f aca="false">IF(OR(C349="",D349=""),"",D349-C349)</f>
        <v/>
      </c>
      <c r="G349" s="17" t="str">
        <f aca="false">IF(OR(F349="",F349=0),"",E349/F349)</f>
        <v/>
      </c>
      <c r="H349" s="18" t="str">
        <f aca="false">IF(OR(A349="",B349=""),"",IF(SUMIFS($E$5:$E$604,$B$5:$B$604,B349,$A$5:$A$604,"&gt;="&amp;DATE(YEAR(A349)-1,MONTH(A349),1),$A$5:$A$604,"&lt;"&amp;DATE(YEAR(A349)-1,MONTH(A349)+1,1))=0,"",SUMIFS($E$5:$E$604,$B$5:$B$604,B349,$A$5:$A$604,"&gt;="&amp;DATE(YEAR(A349)-1,MONTH(A349),1),$A$5:$A$604,"&lt;"&amp;DATE(YEAR(A349)-1,MONTH(A349)+1,1))))</f>
        <v/>
      </c>
      <c r="I349" s="19" t="str">
        <f aca="false">IF(OR(H349="",E349=""),"",E349/H349-1)</f>
        <v/>
      </c>
    </row>
    <row r="350" customFormat="false" ht="15" hidden="false" customHeight="false" outlineLevel="0" collapsed="false">
      <c r="A350" s="12"/>
      <c r="B350" s="13"/>
      <c r="C350" s="14"/>
      <c r="D350" s="14"/>
      <c r="E350" s="15"/>
      <c r="F350" s="16" t="str">
        <f aca="false">IF(OR(C350="",D350=""),"",D350-C350)</f>
        <v/>
      </c>
      <c r="G350" s="17" t="str">
        <f aca="false">IF(OR(F350="",F350=0),"",E350/F350)</f>
        <v/>
      </c>
      <c r="H350" s="18" t="str">
        <f aca="false">IF(OR(A350="",B350=""),"",IF(SUMIFS($E$5:$E$604,$B$5:$B$604,B350,$A$5:$A$604,"&gt;="&amp;DATE(YEAR(A350)-1,MONTH(A350),1),$A$5:$A$604,"&lt;"&amp;DATE(YEAR(A350)-1,MONTH(A350)+1,1))=0,"",SUMIFS($E$5:$E$604,$B$5:$B$604,B350,$A$5:$A$604,"&gt;="&amp;DATE(YEAR(A350)-1,MONTH(A350),1),$A$5:$A$604,"&lt;"&amp;DATE(YEAR(A350)-1,MONTH(A350)+1,1))))</f>
        <v/>
      </c>
      <c r="I350" s="19" t="str">
        <f aca="false">IF(OR(H350="",E350=""),"",E350/H350-1)</f>
        <v/>
      </c>
    </row>
    <row r="351" customFormat="false" ht="15" hidden="false" customHeight="false" outlineLevel="0" collapsed="false">
      <c r="A351" s="12"/>
      <c r="B351" s="13"/>
      <c r="C351" s="14"/>
      <c r="D351" s="14"/>
      <c r="E351" s="15"/>
      <c r="F351" s="16" t="str">
        <f aca="false">IF(OR(C351="",D351=""),"",D351-C351)</f>
        <v/>
      </c>
      <c r="G351" s="17" t="str">
        <f aca="false">IF(OR(F351="",F351=0),"",E351/F351)</f>
        <v/>
      </c>
      <c r="H351" s="18" t="str">
        <f aca="false">IF(OR(A351="",B351=""),"",IF(SUMIFS($E$5:$E$604,$B$5:$B$604,B351,$A$5:$A$604,"&gt;="&amp;DATE(YEAR(A351)-1,MONTH(A351),1),$A$5:$A$604,"&lt;"&amp;DATE(YEAR(A351)-1,MONTH(A351)+1,1))=0,"",SUMIFS($E$5:$E$604,$B$5:$B$604,B351,$A$5:$A$604,"&gt;="&amp;DATE(YEAR(A351)-1,MONTH(A351),1),$A$5:$A$604,"&lt;"&amp;DATE(YEAR(A351)-1,MONTH(A351)+1,1))))</f>
        <v/>
      </c>
      <c r="I351" s="19" t="str">
        <f aca="false">IF(OR(H351="",E351=""),"",E351/H351-1)</f>
        <v/>
      </c>
    </row>
    <row r="352" customFormat="false" ht="15" hidden="false" customHeight="false" outlineLevel="0" collapsed="false">
      <c r="A352" s="12"/>
      <c r="B352" s="13"/>
      <c r="C352" s="14"/>
      <c r="D352" s="14"/>
      <c r="E352" s="15"/>
      <c r="F352" s="16" t="str">
        <f aca="false">IF(OR(C352="",D352=""),"",D352-C352)</f>
        <v/>
      </c>
      <c r="G352" s="17" t="str">
        <f aca="false">IF(OR(F352="",F352=0),"",E352/F352)</f>
        <v/>
      </c>
      <c r="H352" s="18" t="str">
        <f aca="false">IF(OR(A352="",B352=""),"",IF(SUMIFS($E$5:$E$604,$B$5:$B$604,B352,$A$5:$A$604,"&gt;="&amp;DATE(YEAR(A352)-1,MONTH(A352),1),$A$5:$A$604,"&lt;"&amp;DATE(YEAR(A352)-1,MONTH(A352)+1,1))=0,"",SUMIFS($E$5:$E$604,$B$5:$B$604,B352,$A$5:$A$604,"&gt;="&amp;DATE(YEAR(A352)-1,MONTH(A352),1),$A$5:$A$604,"&lt;"&amp;DATE(YEAR(A352)-1,MONTH(A352)+1,1))))</f>
        <v/>
      </c>
      <c r="I352" s="19" t="str">
        <f aca="false">IF(OR(H352="",E352=""),"",E352/H352-1)</f>
        <v/>
      </c>
    </row>
    <row r="353" customFormat="false" ht="15" hidden="false" customHeight="false" outlineLevel="0" collapsed="false">
      <c r="A353" s="12"/>
      <c r="B353" s="13"/>
      <c r="C353" s="14"/>
      <c r="D353" s="14"/>
      <c r="E353" s="15"/>
      <c r="F353" s="16" t="str">
        <f aca="false">IF(OR(C353="",D353=""),"",D353-C353)</f>
        <v/>
      </c>
      <c r="G353" s="17" t="str">
        <f aca="false">IF(OR(F353="",F353=0),"",E353/F353)</f>
        <v/>
      </c>
      <c r="H353" s="18" t="str">
        <f aca="false">IF(OR(A353="",B353=""),"",IF(SUMIFS($E$5:$E$604,$B$5:$B$604,B353,$A$5:$A$604,"&gt;="&amp;DATE(YEAR(A353)-1,MONTH(A353),1),$A$5:$A$604,"&lt;"&amp;DATE(YEAR(A353)-1,MONTH(A353)+1,1))=0,"",SUMIFS($E$5:$E$604,$B$5:$B$604,B353,$A$5:$A$604,"&gt;="&amp;DATE(YEAR(A353)-1,MONTH(A353),1),$A$5:$A$604,"&lt;"&amp;DATE(YEAR(A353)-1,MONTH(A353)+1,1))))</f>
        <v/>
      </c>
      <c r="I353" s="19" t="str">
        <f aca="false">IF(OR(H353="",E353=""),"",E353/H353-1)</f>
        <v/>
      </c>
    </row>
    <row r="354" customFormat="false" ht="15" hidden="false" customHeight="false" outlineLevel="0" collapsed="false">
      <c r="A354" s="12"/>
      <c r="B354" s="13"/>
      <c r="C354" s="14"/>
      <c r="D354" s="14"/>
      <c r="E354" s="15"/>
      <c r="F354" s="16" t="str">
        <f aca="false">IF(OR(C354="",D354=""),"",D354-C354)</f>
        <v/>
      </c>
      <c r="G354" s="17" t="str">
        <f aca="false">IF(OR(F354="",F354=0),"",E354/F354)</f>
        <v/>
      </c>
      <c r="H354" s="18" t="str">
        <f aca="false">IF(OR(A354="",B354=""),"",IF(SUMIFS($E$5:$E$604,$B$5:$B$604,B354,$A$5:$A$604,"&gt;="&amp;DATE(YEAR(A354)-1,MONTH(A354),1),$A$5:$A$604,"&lt;"&amp;DATE(YEAR(A354)-1,MONTH(A354)+1,1))=0,"",SUMIFS($E$5:$E$604,$B$5:$B$604,B354,$A$5:$A$604,"&gt;="&amp;DATE(YEAR(A354)-1,MONTH(A354),1),$A$5:$A$604,"&lt;"&amp;DATE(YEAR(A354)-1,MONTH(A354)+1,1))))</f>
        <v/>
      </c>
      <c r="I354" s="19" t="str">
        <f aca="false">IF(OR(H354="",E354=""),"",E354/H354-1)</f>
        <v/>
      </c>
    </row>
    <row r="355" customFormat="false" ht="15" hidden="false" customHeight="false" outlineLevel="0" collapsed="false">
      <c r="A355" s="12"/>
      <c r="B355" s="13"/>
      <c r="C355" s="14"/>
      <c r="D355" s="14"/>
      <c r="E355" s="15"/>
      <c r="F355" s="16" t="str">
        <f aca="false">IF(OR(C355="",D355=""),"",D355-C355)</f>
        <v/>
      </c>
      <c r="G355" s="17" t="str">
        <f aca="false">IF(OR(F355="",F355=0),"",E355/F355)</f>
        <v/>
      </c>
      <c r="H355" s="18" t="str">
        <f aca="false">IF(OR(A355="",B355=""),"",IF(SUMIFS($E$5:$E$604,$B$5:$B$604,B355,$A$5:$A$604,"&gt;="&amp;DATE(YEAR(A355)-1,MONTH(A355),1),$A$5:$A$604,"&lt;"&amp;DATE(YEAR(A355)-1,MONTH(A355)+1,1))=0,"",SUMIFS($E$5:$E$604,$B$5:$B$604,B355,$A$5:$A$604,"&gt;="&amp;DATE(YEAR(A355)-1,MONTH(A355),1),$A$5:$A$604,"&lt;"&amp;DATE(YEAR(A355)-1,MONTH(A355)+1,1))))</f>
        <v/>
      </c>
      <c r="I355" s="19" t="str">
        <f aca="false">IF(OR(H355="",E355=""),"",E355/H355-1)</f>
        <v/>
      </c>
    </row>
    <row r="356" customFormat="false" ht="15" hidden="false" customHeight="false" outlineLevel="0" collapsed="false">
      <c r="A356" s="12"/>
      <c r="B356" s="13"/>
      <c r="C356" s="14"/>
      <c r="D356" s="14"/>
      <c r="E356" s="15"/>
      <c r="F356" s="16" t="str">
        <f aca="false">IF(OR(C356="",D356=""),"",D356-C356)</f>
        <v/>
      </c>
      <c r="G356" s="17" t="str">
        <f aca="false">IF(OR(F356="",F356=0),"",E356/F356)</f>
        <v/>
      </c>
      <c r="H356" s="18" t="str">
        <f aca="false">IF(OR(A356="",B356=""),"",IF(SUMIFS($E$5:$E$604,$B$5:$B$604,B356,$A$5:$A$604,"&gt;="&amp;DATE(YEAR(A356)-1,MONTH(A356),1),$A$5:$A$604,"&lt;"&amp;DATE(YEAR(A356)-1,MONTH(A356)+1,1))=0,"",SUMIFS($E$5:$E$604,$B$5:$B$604,B356,$A$5:$A$604,"&gt;="&amp;DATE(YEAR(A356)-1,MONTH(A356),1),$A$5:$A$604,"&lt;"&amp;DATE(YEAR(A356)-1,MONTH(A356)+1,1))))</f>
        <v/>
      </c>
      <c r="I356" s="19" t="str">
        <f aca="false">IF(OR(H356="",E356=""),"",E356/H356-1)</f>
        <v/>
      </c>
    </row>
    <row r="357" customFormat="false" ht="15" hidden="false" customHeight="false" outlineLevel="0" collapsed="false">
      <c r="A357" s="12"/>
      <c r="B357" s="13"/>
      <c r="C357" s="14"/>
      <c r="D357" s="14"/>
      <c r="E357" s="15"/>
      <c r="F357" s="16" t="str">
        <f aca="false">IF(OR(C357="",D357=""),"",D357-C357)</f>
        <v/>
      </c>
      <c r="G357" s="17" t="str">
        <f aca="false">IF(OR(F357="",F357=0),"",E357/F357)</f>
        <v/>
      </c>
      <c r="H357" s="18" t="str">
        <f aca="false">IF(OR(A357="",B357=""),"",IF(SUMIFS($E$5:$E$604,$B$5:$B$604,B357,$A$5:$A$604,"&gt;="&amp;DATE(YEAR(A357)-1,MONTH(A357),1),$A$5:$A$604,"&lt;"&amp;DATE(YEAR(A357)-1,MONTH(A357)+1,1))=0,"",SUMIFS($E$5:$E$604,$B$5:$B$604,B357,$A$5:$A$604,"&gt;="&amp;DATE(YEAR(A357)-1,MONTH(A357),1),$A$5:$A$604,"&lt;"&amp;DATE(YEAR(A357)-1,MONTH(A357)+1,1))))</f>
        <v/>
      </c>
      <c r="I357" s="19" t="str">
        <f aca="false">IF(OR(H357="",E357=""),"",E357/H357-1)</f>
        <v/>
      </c>
    </row>
    <row r="358" customFormat="false" ht="15" hidden="false" customHeight="false" outlineLevel="0" collapsed="false">
      <c r="A358" s="12"/>
      <c r="B358" s="13"/>
      <c r="C358" s="14"/>
      <c r="D358" s="14"/>
      <c r="E358" s="15"/>
      <c r="F358" s="16" t="str">
        <f aca="false">IF(OR(C358="",D358=""),"",D358-C358)</f>
        <v/>
      </c>
      <c r="G358" s="17" t="str">
        <f aca="false">IF(OR(F358="",F358=0),"",E358/F358)</f>
        <v/>
      </c>
      <c r="H358" s="18" t="str">
        <f aca="false">IF(OR(A358="",B358=""),"",IF(SUMIFS($E$5:$E$604,$B$5:$B$604,B358,$A$5:$A$604,"&gt;="&amp;DATE(YEAR(A358)-1,MONTH(A358),1),$A$5:$A$604,"&lt;"&amp;DATE(YEAR(A358)-1,MONTH(A358)+1,1))=0,"",SUMIFS($E$5:$E$604,$B$5:$B$604,B358,$A$5:$A$604,"&gt;="&amp;DATE(YEAR(A358)-1,MONTH(A358),1),$A$5:$A$604,"&lt;"&amp;DATE(YEAR(A358)-1,MONTH(A358)+1,1))))</f>
        <v/>
      </c>
      <c r="I358" s="19" t="str">
        <f aca="false">IF(OR(H358="",E358=""),"",E358/H358-1)</f>
        <v/>
      </c>
    </row>
    <row r="359" customFormat="false" ht="15" hidden="false" customHeight="false" outlineLevel="0" collapsed="false">
      <c r="A359" s="12"/>
      <c r="B359" s="13"/>
      <c r="C359" s="14"/>
      <c r="D359" s="14"/>
      <c r="E359" s="15"/>
      <c r="F359" s="16" t="str">
        <f aca="false">IF(OR(C359="",D359=""),"",D359-C359)</f>
        <v/>
      </c>
      <c r="G359" s="17" t="str">
        <f aca="false">IF(OR(F359="",F359=0),"",E359/F359)</f>
        <v/>
      </c>
      <c r="H359" s="18" t="str">
        <f aca="false">IF(OR(A359="",B359=""),"",IF(SUMIFS($E$5:$E$604,$B$5:$B$604,B359,$A$5:$A$604,"&gt;="&amp;DATE(YEAR(A359)-1,MONTH(A359),1),$A$5:$A$604,"&lt;"&amp;DATE(YEAR(A359)-1,MONTH(A359)+1,1))=0,"",SUMIFS($E$5:$E$604,$B$5:$B$604,B359,$A$5:$A$604,"&gt;="&amp;DATE(YEAR(A359)-1,MONTH(A359),1),$A$5:$A$604,"&lt;"&amp;DATE(YEAR(A359)-1,MONTH(A359)+1,1))))</f>
        <v/>
      </c>
      <c r="I359" s="19" t="str">
        <f aca="false">IF(OR(H359="",E359=""),"",E359/H359-1)</f>
        <v/>
      </c>
    </row>
    <row r="360" customFormat="false" ht="15" hidden="false" customHeight="false" outlineLevel="0" collapsed="false">
      <c r="A360" s="12"/>
      <c r="B360" s="13"/>
      <c r="C360" s="14"/>
      <c r="D360" s="14"/>
      <c r="E360" s="15"/>
      <c r="F360" s="16" t="str">
        <f aca="false">IF(OR(C360="",D360=""),"",D360-C360)</f>
        <v/>
      </c>
      <c r="G360" s="17" t="str">
        <f aca="false">IF(OR(F360="",F360=0),"",E360/F360)</f>
        <v/>
      </c>
      <c r="H360" s="18" t="str">
        <f aca="false">IF(OR(A360="",B360=""),"",IF(SUMIFS($E$5:$E$604,$B$5:$B$604,B360,$A$5:$A$604,"&gt;="&amp;DATE(YEAR(A360)-1,MONTH(A360),1),$A$5:$A$604,"&lt;"&amp;DATE(YEAR(A360)-1,MONTH(A360)+1,1))=0,"",SUMIFS($E$5:$E$604,$B$5:$B$604,B360,$A$5:$A$604,"&gt;="&amp;DATE(YEAR(A360)-1,MONTH(A360),1),$A$5:$A$604,"&lt;"&amp;DATE(YEAR(A360)-1,MONTH(A360)+1,1))))</f>
        <v/>
      </c>
      <c r="I360" s="19" t="str">
        <f aca="false">IF(OR(H360="",E360=""),"",E360/H360-1)</f>
        <v/>
      </c>
    </row>
    <row r="361" customFormat="false" ht="15" hidden="false" customHeight="false" outlineLevel="0" collapsed="false">
      <c r="A361" s="12"/>
      <c r="B361" s="13"/>
      <c r="C361" s="14"/>
      <c r="D361" s="14"/>
      <c r="E361" s="15"/>
      <c r="F361" s="16" t="str">
        <f aca="false">IF(OR(C361="",D361=""),"",D361-C361)</f>
        <v/>
      </c>
      <c r="G361" s="17" t="str">
        <f aca="false">IF(OR(F361="",F361=0),"",E361/F361)</f>
        <v/>
      </c>
      <c r="H361" s="18" t="str">
        <f aca="false">IF(OR(A361="",B361=""),"",IF(SUMIFS($E$5:$E$604,$B$5:$B$604,B361,$A$5:$A$604,"&gt;="&amp;DATE(YEAR(A361)-1,MONTH(A361),1),$A$5:$A$604,"&lt;"&amp;DATE(YEAR(A361)-1,MONTH(A361)+1,1))=0,"",SUMIFS($E$5:$E$604,$B$5:$B$604,B361,$A$5:$A$604,"&gt;="&amp;DATE(YEAR(A361)-1,MONTH(A361),1),$A$5:$A$604,"&lt;"&amp;DATE(YEAR(A361)-1,MONTH(A361)+1,1))))</f>
        <v/>
      </c>
      <c r="I361" s="19" t="str">
        <f aca="false">IF(OR(H361="",E361=""),"",E361/H361-1)</f>
        <v/>
      </c>
    </row>
    <row r="362" customFormat="false" ht="15" hidden="false" customHeight="false" outlineLevel="0" collapsed="false">
      <c r="A362" s="12"/>
      <c r="B362" s="13"/>
      <c r="C362" s="14"/>
      <c r="D362" s="14"/>
      <c r="E362" s="15"/>
      <c r="F362" s="16" t="str">
        <f aca="false">IF(OR(C362="",D362=""),"",D362-C362)</f>
        <v/>
      </c>
      <c r="G362" s="17" t="str">
        <f aca="false">IF(OR(F362="",F362=0),"",E362/F362)</f>
        <v/>
      </c>
      <c r="H362" s="18" t="str">
        <f aca="false">IF(OR(A362="",B362=""),"",IF(SUMIFS($E$5:$E$604,$B$5:$B$604,B362,$A$5:$A$604,"&gt;="&amp;DATE(YEAR(A362)-1,MONTH(A362),1),$A$5:$A$604,"&lt;"&amp;DATE(YEAR(A362)-1,MONTH(A362)+1,1))=0,"",SUMIFS($E$5:$E$604,$B$5:$B$604,B362,$A$5:$A$604,"&gt;="&amp;DATE(YEAR(A362)-1,MONTH(A362),1),$A$5:$A$604,"&lt;"&amp;DATE(YEAR(A362)-1,MONTH(A362)+1,1))))</f>
        <v/>
      </c>
      <c r="I362" s="19" t="str">
        <f aca="false">IF(OR(H362="",E362=""),"",E362/H362-1)</f>
        <v/>
      </c>
    </row>
    <row r="363" customFormat="false" ht="15" hidden="false" customHeight="false" outlineLevel="0" collapsed="false">
      <c r="A363" s="12"/>
      <c r="B363" s="13"/>
      <c r="C363" s="14"/>
      <c r="D363" s="14"/>
      <c r="E363" s="15"/>
      <c r="F363" s="16" t="str">
        <f aca="false">IF(OR(C363="",D363=""),"",D363-C363)</f>
        <v/>
      </c>
      <c r="G363" s="17" t="str">
        <f aca="false">IF(OR(F363="",F363=0),"",E363/F363)</f>
        <v/>
      </c>
      <c r="H363" s="18" t="str">
        <f aca="false">IF(OR(A363="",B363=""),"",IF(SUMIFS($E$5:$E$604,$B$5:$B$604,B363,$A$5:$A$604,"&gt;="&amp;DATE(YEAR(A363)-1,MONTH(A363),1),$A$5:$A$604,"&lt;"&amp;DATE(YEAR(A363)-1,MONTH(A363)+1,1))=0,"",SUMIFS($E$5:$E$604,$B$5:$B$604,B363,$A$5:$A$604,"&gt;="&amp;DATE(YEAR(A363)-1,MONTH(A363),1),$A$5:$A$604,"&lt;"&amp;DATE(YEAR(A363)-1,MONTH(A363)+1,1))))</f>
        <v/>
      </c>
      <c r="I363" s="19" t="str">
        <f aca="false">IF(OR(H363="",E363=""),"",E363/H363-1)</f>
        <v/>
      </c>
    </row>
    <row r="364" customFormat="false" ht="15" hidden="false" customHeight="false" outlineLevel="0" collapsed="false">
      <c r="A364" s="12"/>
      <c r="B364" s="13"/>
      <c r="C364" s="14"/>
      <c r="D364" s="14"/>
      <c r="E364" s="15"/>
      <c r="F364" s="16" t="str">
        <f aca="false">IF(OR(C364="",D364=""),"",D364-C364)</f>
        <v/>
      </c>
      <c r="G364" s="17" t="str">
        <f aca="false">IF(OR(F364="",F364=0),"",E364/F364)</f>
        <v/>
      </c>
      <c r="H364" s="18" t="str">
        <f aca="false">IF(OR(A364="",B364=""),"",IF(SUMIFS($E$5:$E$604,$B$5:$B$604,B364,$A$5:$A$604,"&gt;="&amp;DATE(YEAR(A364)-1,MONTH(A364),1),$A$5:$A$604,"&lt;"&amp;DATE(YEAR(A364)-1,MONTH(A364)+1,1))=0,"",SUMIFS($E$5:$E$604,$B$5:$B$604,B364,$A$5:$A$604,"&gt;="&amp;DATE(YEAR(A364)-1,MONTH(A364),1),$A$5:$A$604,"&lt;"&amp;DATE(YEAR(A364)-1,MONTH(A364)+1,1))))</f>
        <v/>
      </c>
      <c r="I364" s="19" t="str">
        <f aca="false">IF(OR(H364="",E364=""),"",E364/H364-1)</f>
        <v/>
      </c>
    </row>
    <row r="365" customFormat="false" ht="15" hidden="false" customHeight="false" outlineLevel="0" collapsed="false">
      <c r="A365" s="12"/>
      <c r="B365" s="13"/>
      <c r="C365" s="14"/>
      <c r="D365" s="14"/>
      <c r="E365" s="15"/>
      <c r="F365" s="16" t="str">
        <f aca="false">IF(OR(C365="",D365=""),"",D365-C365)</f>
        <v/>
      </c>
      <c r="G365" s="17" t="str">
        <f aca="false">IF(OR(F365="",F365=0),"",E365/F365)</f>
        <v/>
      </c>
      <c r="H365" s="18" t="str">
        <f aca="false">IF(OR(A365="",B365=""),"",IF(SUMIFS($E$5:$E$604,$B$5:$B$604,B365,$A$5:$A$604,"&gt;="&amp;DATE(YEAR(A365)-1,MONTH(A365),1),$A$5:$A$604,"&lt;"&amp;DATE(YEAR(A365)-1,MONTH(A365)+1,1))=0,"",SUMIFS($E$5:$E$604,$B$5:$B$604,B365,$A$5:$A$604,"&gt;="&amp;DATE(YEAR(A365)-1,MONTH(A365),1),$A$5:$A$604,"&lt;"&amp;DATE(YEAR(A365)-1,MONTH(A365)+1,1))))</f>
        <v/>
      </c>
      <c r="I365" s="19" t="str">
        <f aca="false">IF(OR(H365="",E365=""),"",E365/H365-1)</f>
        <v/>
      </c>
    </row>
    <row r="366" customFormat="false" ht="15" hidden="false" customHeight="false" outlineLevel="0" collapsed="false">
      <c r="A366" s="12"/>
      <c r="B366" s="13"/>
      <c r="C366" s="14"/>
      <c r="D366" s="14"/>
      <c r="E366" s="15"/>
      <c r="F366" s="16" t="str">
        <f aca="false">IF(OR(C366="",D366=""),"",D366-C366)</f>
        <v/>
      </c>
      <c r="G366" s="17" t="str">
        <f aca="false">IF(OR(F366="",F366=0),"",E366/F366)</f>
        <v/>
      </c>
      <c r="H366" s="18" t="str">
        <f aca="false">IF(OR(A366="",B366=""),"",IF(SUMIFS($E$5:$E$604,$B$5:$B$604,B366,$A$5:$A$604,"&gt;="&amp;DATE(YEAR(A366)-1,MONTH(A366),1),$A$5:$A$604,"&lt;"&amp;DATE(YEAR(A366)-1,MONTH(A366)+1,1))=0,"",SUMIFS($E$5:$E$604,$B$5:$B$604,B366,$A$5:$A$604,"&gt;="&amp;DATE(YEAR(A366)-1,MONTH(A366),1),$A$5:$A$604,"&lt;"&amp;DATE(YEAR(A366)-1,MONTH(A366)+1,1))))</f>
        <v/>
      </c>
      <c r="I366" s="19" t="str">
        <f aca="false">IF(OR(H366="",E366=""),"",E366/H366-1)</f>
        <v/>
      </c>
    </row>
    <row r="367" customFormat="false" ht="15" hidden="false" customHeight="false" outlineLevel="0" collapsed="false">
      <c r="A367" s="12"/>
      <c r="B367" s="13"/>
      <c r="C367" s="14"/>
      <c r="D367" s="14"/>
      <c r="E367" s="15"/>
      <c r="F367" s="16" t="str">
        <f aca="false">IF(OR(C367="",D367=""),"",D367-C367)</f>
        <v/>
      </c>
      <c r="G367" s="17" t="str">
        <f aca="false">IF(OR(F367="",F367=0),"",E367/F367)</f>
        <v/>
      </c>
      <c r="H367" s="18" t="str">
        <f aca="false">IF(OR(A367="",B367=""),"",IF(SUMIFS($E$5:$E$604,$B$5:$B$604,B367,$A$5:$A$604,"&gt;="&amp;DATE(YEAR(A367)-1,MONTH(A367),1),$A$5:$A$604,"&lt;"&amp;DATE(YEAR(A367)-1,MONTH(A367)+1,1))=0,"",SUMIFS($E$5:$E$604,$B$5:$B$604,B367,$A$5:$A$604,"&gt;="&amp;DATE(YEAR(A367)-1,MONTH(A367),1),$A$5:$A$604,"&lt;"&amp;DATE(YEAR(A367)-1,MONTH(A367)+1,1))))</f>
        <v/>
      </c>
      <c r="I367" s="19" t="str">
        <f aca="false">IF(OR(H367="",E367=""),"",E367/H367-1)</f>
        <v/>
      </c>
    </row>
    <row r="368" customFormat="false" ht="15" hidden="false" customHeight="false" outlineLevel="0" collapsed="false">
      <c r="A368" s="12"/>
      <c r="B368" s="13"/>
      <c r="C368" s="14"/>
      <c r="D368" s="14"/>
      <c r="E368" s="15"/>
      <c r="F368" s="16" t="str">
        <f aca="false">IF(OR(C368="",D368=""),"",D368-C368)</f>
        <v/>
      </c>
      <c r="G368" s="17" t="str">
        <f aca="false">IF(OR(F368="",F368=0),"",E368/F368)</f>
        <v/>
      </c>
      <c r="H368" s="18" t="str">
        <f aca="false">IF(OR(A368="",B368=""),"",IF(SUMIFS($E$5:$E$604,$B$5:$B$604,B368,$A$5:$A$604,"&gt;="&amp;DATE(YEAR(A368)-1,MONTH(A368),1),$A$5:$A$604,"&lt;"&amp;DATE(YEAR(A368)-1,MONTH(A368)+1,1))=0,"",SUMIFS($E$5:$E$604,$B$5:$B$604,B368,$A$5:$A$604,"&gt;="&amp;DATE(YEAR(A368)-1,MONTH(A368),1),$A$5:$A$604,"&lt;"&amp;DATE(YEAR(A368)-1,MONTH(A368)+1,1))))</f>
        <v/>
      </c>
      <c r="I368" s="19" t="str">
        <f aca="false">IF(OR(H368="",E368=""),"",E368/H368-1)</f>
        <v/>
      </c>
    </row>
    <row r="369" customFormat="false" ht="15" hidden="false" customHeight="false" outlineLevel="0" collapsed="false">
      <c r="A369" s="12"/>
      <c r="B369" s="13"/>
      <c r="C369" s="14"/>
      <c r="D369" s="14"/>
      <c r="E369" s="15"/>
      <c r="F369" s="16" t="str">
        <f aca="false">IF(OR(C369="",D369=""),"",D369-C369)</f>
        <v/>
      </c>
      <c r="G369" s="17" t="str">
        <f aca="false">IF(OR(F369="",F369=0),"",E369/F369)</f>
        <v/>
      </c>
      <c r="H369" s="18" t="str">
        <f aca="false">IF(OR(A369="",B369=""),"",IF(SUMIFS($E$5:$E$604,$B$5:$B$604,B369,$A$5:$A$604,"&gt;="&amp;DATE(YEAR(A369)-1,MONTH(A369),1),$A$5:$A$604,"&lt;"&amp;DATE(YEAR(A369)-1,MONTH(A369)+1,1))=0,"",SUMIFS($E$5:$E$604,$B$5:$B$604,B369,$A$5:$A$604,"&gt;="&amp;DATE(YEAR(A369)-1,MONTH(A369),1),$A$5:$A$604,"&lt;"&amp;DATE(YEAR(A369)-1,MONTH(A369)+1,1))))</f>
        <v/>
      </c>
      <c r="I369" s="19" t="str">
        <f aca="false">IF(OR(H369="",E369=""),"",E369/H369-1)</f>
        <v/>
      </c>
    </row>
    <row r="370" customFormat="false" ht="15" hidden="false" customHeight="false" outlineLevel="0" collapsed="false">
      <c r="A370" s="12"/>
      <c r="B370" s="13"/>
      <c r="C370" s="14"/>
      <c r="D370" s="14"/>
      <c r="E370" s="15"/>
      <c r="F370" s="16" t="str">
        <f aca="false">IF(OR(C370="",D370=""),"",D370-C370)</f>
        <v/>
      </c>
      <c r="G370" s="17" t="str">
        <f aca="false">IF(OR(F370="",F370=0),"",E370/F370)</f>
        <v/>
      </c>
      <c r="H370" s="18" t="str">
        <f aca="false">IF(OR(A370="",B370=""),"",IF(SUMIFS($E$5:$E$604,$B$5:$B$604,B370,$A$5:$A$604,"&gt;="&amp;DATE(YEAR(A370)-1,MONTH(A370),1),$A$5:$A$604,"&lt;"&amp;DATE(YEAR(A370)-1,MONTH(A370)+1,1))=0,"",SUMIFS($E$5:$E$604,$B$5:$B$604,B370,$A$5:$A$604,"&gt;="&amp;DATE(YEAR(A370)-1,MONTH(A370),1),$A$5:$A$604,"&lt;"&amp;DATE(YEAR(A370)-1,MONTH(A370)+1,1))))</f>
        <v/>
      </c>
      <c r="I370" s="19" t="str">
        <f aca="false">IF(OR(H370="",E370=""),"",E370/H370-1)</f>
        <v/>
      </c>
    </row>
    <row r="371" customFormat="false" ht="15" hidden="false" customHeight="false" outlineLevel="0" collapsed="false">
      <c r="A371" s="12"/>
      <c r="B371" s="13"/>
      <c r="C371" s="14"/>
      <c r="D371" s="14"/>
      <c r="E371" s="15"/>
      <c r="F371" s="16" t="str">
        <f aca="false">IF(OR(C371="",D371=""),"",D371-C371)</f>
        <v/>
      </c>
      <c r="G371" s="17" t="str">
        <f aca="false">IF(OR(F371="",F371=0),"",E371/F371)</f>
        <v/>
      </c>
      <c r="H371" s="18" t="str">
        <f aca="false">IF(OR(A371="",B371=""),"",IF(SUMIFS($E$5:$E$604,$B$5:$B$604,B371,$A$5:$A$604,"&gt;="&amp;DATE(YEAR(A371)-1,MONTH(A371),1),$A$5:$A$604,"&lt;"&amp;DATE(YEAR(A371)-1,MONTH(A371)+1,1))=0,"",SUMIFS($E$5:$E$604,$B$5:$B$604,B371,$A$5:$A$604,"&gt;="&amp;DATE(YEAR(A371)-1,MONTH(A371),1),$A$5:$A$604,"&lt;"&amp;DATE(YEAR(A371)-1,MONTH(A371)+1,1))))</f>
        <v/>
      </c>
      <c r="I371" s="19" t="str">
        <f aca="false">IF(OR(H371="",E371=""),"",E371/H371-1)</f>
        <v/>
      </c>
    </row>
    <row r="372" customFormat="false" ht="15" hidden="false" customHeight="false" outlineLevel="0" collapsed="false">
      <c r="A372" s="12"/>
      <c r="B372" s="13"/>
      <c r="C372" s="14"/>
      <c r="D372" s="14"/>
      <c r="E372" s="15"/>
      <c r="F372" s="16" t="str">
        <f aca="false">IF(OR(C372="",D372=""),"",D372-C372)</f>
        <v/>
      </c>
      <c r="G372" s="17" t="str">
        <f aca="false">IF(OR(F372="",F372=0),"",E372/F372)</f>
        <v/>
      </c>
      <c r="H372" s="18" t="str">
        <f aca="false">IF(OR(A372="",B372=""),"",IF(SUMIFS($E$5:$E$604,$B$5:$B$604,B372,$A$5:$A$604,"&gt;="&amp;DATE(YEAR(A372)-1,MONTH(A372),1),$A$5:$A$604,"&lt;"&amp;DATE(YEAR(A372)-1,MONTH(A372)+1,1))=0,"",SUMIFS($E$5:$E$604,$B$5:$B$604,B372,$A$5:$A$604,"&gt;="&amp;DATE(YEAR(A372)-1,MONTH(A372),1),$A$5:$A$604,"&lt;"&amp;DATE(YEAR(A372)-1,MONTH(A372)+1,1))))</f>
        <v/>
      </c>
      <c r="I372" s="19" t="str">
        <f aca="false">IF(OR(H372="",E372=""),"",E372/H372-1)</f>
        <v/>
      </c>
    </row>
    <row r="373" customFormat="false" ht="15" hidden="false" customHeight="false" outlineLevel="0" collapsed="false">
      <c r="A373" s="12"/>
      <c r="B373" s="13"/>
      <c r="C373" s="14"/>
      <c r="D373" s="14"/>
      <c r="E373" s="15"/>
      <c r="F373" s="16" t="str">
        <f aca="false">IF(OR(C373="",D373=""),"",D373-C373)</f>
        <v/>
      </c>
      <c r="G373" s="17" t="str">
        <f aca="false">IF(OR(F373="",F373=0),"",E373/F373)</f>
        <v/>
      </c>
      <c r="H373" s="18" t="str">
        <f aca="false">IF(OR(A373="",B373=""),"",IF(SUMIFS($E$5:$E$604,$B$5:$B$604,B373,$A$5:$A$604,"&gt;="&amp;DATE(YEAR(A373)-1,MONTH(A373),1),$A$5:$A$604,"&lt;"&amp;DATE(YEAR(A373)-1,MONTH(A373)+1,1))=0,"",SUMIFS($E$5:$E$604,$B$5:$B$604,B373,$A$5:$A$604,"&gt;="&amp;DATE(YEAR(A373)-1,MONTH(A373),1),$A$5:$A$604,"&lt;"&amp;DATE(YEAR(A373)-1,MONTH(A373)+1,1))))</f>
        <v/>
      </c>
      <c r="I373" s="19" t="str">
        <f aca="false">IF(OR(H373="",E373=""),"",E373/H373-1)</f>
        <v/>
      </c>
    </row>
    <row r="374" customFormat="false" ht="15" hidden="false" customHeight="false" outlineLevel="0" collapsed="false">
      <c r="A374" s="12"/>
      <c r="B374" s="13"/>
      <c r="C374" s="14"/>
      <c r="D374" s="14"/>
      <c r="E374" s="15"/>
      <c r="F374" s="16" t="str">
        <f aca="false">IF(OR(C374="",D374=""),"",D374-C374)</f>
        <v/>
      </c>
      <c r="G374" s="17" t="str">
        <f aca="false">IF(OR(F374="",F374=0),"",E374/F374)</f>
        <v/>
      </c>
      <c r="H374" s="18" t="str">
        <f aca="false">IF(OR(A374="",B374=""),"",IF(SUMIFS($E$5:$E$604,$B$5:$B$604,B374,$A$5:$A$604,"&gt;="&amp;DATE(YEAR(A374)-1,MONTH(A374),1),$A$5:$A$604,"&lt;"&amp;DATE(YEAR(A374)-1,MONTH(A374)+1,1))=0,"",SUMIFS($E$5:$E$604,$B$5:$B$604,B374,$A$5:$A$604,"&gt;="&amp;DATE(YEAR(A374)-1,MONTH(A374),1),$A$5:$A$604,"&lt;"&amp;DATE(YEAR(A374)-1,MONTH(A374)+1,1))))</f>
        <v/>
      </c>
      <c r="I374" s="19" t="str">
        <f aca="false">IF(OR(H374="",E374=""),"",E374/H374-1)</f>
        <v/>
      </c>
    </row>
    <row r="375" customFormat="false" ht="15" hidden="false" customHeight="false" outlineLevel="0" collapsed="false">
      <c r="A375" s="12"/>
      <c r="B375" s="13"/>
      <c r="C375" s="14"/>
      <c r="D375" s="14"/>
      <c r="E375" s="15"/>
      <c r="F375" s="16" t="str">
        <f aca="false">IF(OR(C375="",D375=""),"",D375-C375)</f>
        <v/>
      </c>
      <c r="G375" s="17" t="str">
        <f aca="false">IF(OR(F375="",F375=0),"",E375/F375)</f>
        <v/>
      </c>
      <c r="H375" s="18" t="str">
        <f aca="false">IF(OR(A375="",B375=""),"",IF(SUMIFS($E$5:$E$604,$B$5:$B$604,B375,$A$5:$A$604,"&gt;="&amp;DATE(YEAR(A375)-1,MONTH(A375),1),$A$5:$A$604,"&lt;"&amp;DATE(YEAR(A375)-1,MONTH(A375)+1,1))=0,"",SUMIFS($E$5:$E$604,$B$5:$B$604,B375,$A$5:$A$604,"&gt;="&amp;DATE(YEAR(A375)-1,MONTH(A375),1),$A$5:$A$604,"&lt;"&amp;DATE(YEAR(A375)-1,MONTH(A375)+1,1))))</f>
        <v/>
      </c>
      <c r="I375" s="19" t="str">
        <f aca="false">IF(OR(H375="",E375=""),"",E375/H375-1)</f>
        <v/>
      </c>
    </row>
    <row r="376" customFormat="false" ht="15" hidden="false" customHeight="false" outlineLevel="0" collapsed="false">
      <c r="A376" s="12"/>
      <c r="B376" s="13"/>
      <c r="C376" s="14"/>
      <c r="D376" s="14"/>
      <c r="E376" s="15"/>
      <c r="F376" s="16" t="str">
        <f aca="false">IF(OR(C376="",D376=""),"",D376-C376)</f>
        <v/>
      </c>
      <c r="G376" s="17" t="str">
        <f aca="false">IF(OR(F376="",F376=0),"",E376/F376)</f>
        <v/>
      </c>
      <c r="H376" s="18" t="str">
        <f aca="false">IF(OR(A376="",B376=""),"",IF(SUMIFS($E$5:$E$604,$B$5:$B$604,B376,$A$5:$A$604,"&gt;="&amp;DATE(YEAR(A376)-1,MONTH(A376),1),$A$5:$A$604,"&lt;"&amp;DATE(YEAR(A376)-1,MONTH(A376)+1,1))=0,"",SUMIFS($E$5:$E$604,$B$5:$B$604,B376,$A$5:$A$604,"&gt;="&amp;DATE(YEAR(A376)-1,MONTH(A376),1),$A$5:$A$604,"&lt;"&amp;DATE(YEAR(A376)-1,MONTH(A376)+1,1))))</f>
        <v/>
      </c>
      <c r="I376" s="19" t="str">
        <f aca="false">IF(OR(H376="",E376=""),"",E376/H376-1)</f>
        <v/>
      </c>
    </row>
    <row r="377" customFormat="false" ht="15" hidden="false" customHeight="false" outlineLevel="0" collapsed="false">
      <c r="A377" s="12"/>
      <c r="B377" s="13"/>
      <c r="C377" s="14"/>
      <c r="D377" s="14"/>
      <c r="E377" s="15"/>
      <c r="F377" s="16" t="str">
        <f aca="false">IF(OR(C377="",D377=""),"",D377-C377)</f>
        <v/>
      </c>
      <c r="G377" s="17" t="str">
        <f aca="false">IF(OR(F377="",F377=0),"",E377/F377)</f>
        <v/>
      </c>
      <c r="H377" s="18" t="str">
        <f aca="false">IF(OR(A377="",B377=""),"",IF(SUMIFS($E$5:$E$604,$B$5:$B$604,B377,$A$5:$A$604,"&gt;="&amp;DATE(YEAR(A377)-1,MONTH(A377),1),$A$5:$A$604,"&lt;"&amp;DATE(YEAR(A377)-1,MONTH(A377)+1,1))=0,"",SUMIFS($E$5:$E$604,$B$5:$B$604,B377,$A$5:$A$604,"&gt;="&amp;DATE(YEAR(A377)-1,MONTH(A377),1),$A$5:$A$604,"&lt;"&amp;DATE(YEAR(A377)-1,MONTH(A377)+1,1))))</f>
        <v/>
      </c>
      <c r="I377" s="19" t="str">
        <f aca="false">IF(OR(H377="",E377=""),"",E377/H377-1)</f>
        <v/>
      </c>
    </row>
    <row r="378" customFormat="false" ht="15" hidden="false" customHeight="false" outlineLevel="0" collapsed="false">
      <c r="A378" s="12"/>
      <c r="B378" s="13"/>
      <c r="C378" s="14"/>
      <c r="D378" s="14"/>
      <c r="E378" s="15"/>
      <c r="F378" s="16" t="str">
        <f aca="false">IF(OR(C378="",D378=""),"",D378-C378)</f>
        <v/>
      </c>
      <c r="G378" s="17" t="str">
        <f aca="false">IF(OR(F378="",F378=0),"",E378/F378)</f>
        <v/>
      </c>
      <c r="H378" s="18" t="str">
        <f aca="false">IF(OR(A378="",B378=""),"",IF(SUMIFS($E$5:$E$604,$B$5:$B$604,B378,$A$5:$A$604,"&gt;="&amp;DATE(YEAR(A378)-1,MONTH(A378),1),$A$5:$A$604,"&lt;"&amp;DATE(YEAR(A378)-1,MONTH(A378)+1,1))=0,"",SUMIFS($E$5:$E$604,$B$5:$B$604,B378,$A$5:$A$604,"&gt;="&amp;DATE(YEAR(A378)-1,MONTH(A378),1),$A$5:$A$604,"&lt;"&amp;DATE(YEAR(A378)-1,MONTH(A378)+1,1))))</f>
        <v/>
      </c>
      <c r="I378" s="19" t="str">
        <f aca="false">IF(OR(H378="",E378=""),"",E378/H378-1)</f>
        <v/>
      </c>
    </row>
    <row r="379" customFormat="false" ht="15" hidden="false" customHeight="false" outlineLevel="0" collapsed="false">
      <c r="A379" s="12"/>
      <c r="B379" s="13"/>
      <c r="C379" s="14"/>
      <c r="D379" s="14"/>
      <c r="E379" s="15"/>
      <c r="F379" s="16" t="str">
        <f aca="false">IF(OR(C379="",D379=""),"",D379-C379)</f>
        <v/>
      </c>
      <c r="G379" s="17" t="str">
        <f aca="false">IF(OR(F379="",F379=0),"",E379/F379)</f>
        <v/>
      </c>
      <c r="H379" s="18" t="str">
        <f aca="false">IF(OR(A379="",B379=""),"",IF(SUMIFS($E$5:$E$604,$B$5:$B$604,B379,$A$5:$A$604,"&gt;="&amp;DATE(YEAR(A379)-1,MONTH(A379),1),$A$5:$A$604,"&lt;"&amp;DATE(YEAR(A379)-1,MONTH(A379)+1,1))=0,"",SUMIFS($E$5:$E$604,$B$5:$B$604,B379,$A$5:$A$604,"&gt;="&amp;DATE(YEAR(A379)-1,MONTH(A379),1),$A$5:$A$604,"&lt;"&amp;DATE(YEAR(A379)-1,MONTH(A379)+1,1))))</f>
        <v/>
      </c>
      <c r="I379" s="19" t="str">
        <f aca="false">IF(OR(H379="",E379=""),"",E379/H379-1)</f>
        <v/>
      </c>
    </row>
    <row r="380" customFormat="false" ht="15" hidden="false" customHeight="false" outlineLevel="0" collapsed="false">
      <c r="A380" s="12"/>
      <c r="B380" s="13"/>
      <c r="C380" s="14"/>
      <c r="D380" s="14"/>
      <c r="E380" s="15"/>
      <c r="F380" s="16" t="str">
        <f aca="false">IF(OR(C380="",D380=""),"",D380-C380)</f>
        <v/>
      </c>
      <c r="G380" s="17" t="str">
        <f aca="false">IF(OR(F380="",F380=0),"",E380/F380)</f>
        <v/>
      </c>
      <c r="H380" s="18" t="str">
        <f aca="false">IF(OR(A380="",B380=""),"",IF(SUMIFS($E$5:$E$604,$B$5:$B$604,B380,$A$5:$A$604,"&gt;="&amp;DATE(YEAR(A380)-1,MONTH(A380),1),$A$5:$A$604,"&lt;"&amp;DATE(YEAR(A380)-1,MONTH(A380)+1,1))=0,"",SUMIFS($E$5:$E$604,$B$5:$B$604,B380,$A$5:$A$604,"&gt;="&amp;DATE(YEAR(A380)-1,MONTH(A380),1),$A$5:$A$604,"&lt;"&amp;DATE(YEAR(A380)-1,MONTH(A380)+1,1))))</f>
        <v/>
      </c>
      <c r="I380" s="19" t="str">
        <f aca="false">IF(OR(H380="",E380=""),"",E380/H380-1)</f>
        <v/>
      </c>
    </row>
    <row r="381" customFormat="false" ht="15" hidden="false" customHeight="false" outlineLevel="0" collapsed="false">
      <c r="A381" s="12"/>
      <c r="B381" s="13"/>
      <c r="C381" s="14"/>
      <c r="D381" s="14"/>
      <c r="E381" s="15"/>
      <c r="F381" s="16" t="str">
        <f aca="false">IF(OR(C381="",D381=""),"",D381-C381)</f>
        <v/>
      </c>
      <c r="G381" s="17" t="str">
        <f aca="false">IF(OR(F381="",F381=0),"",E381/F381)</f>
        <v/>
      </c>
      <c r="H381" s="18" t="str">
        <f aca="false">IF(OR(A381="",B381=""),"",IF(SUMIFS($E$5:$E$604,$B$5:$B$604,B381,$A$5:$A$604,"&gt;="&amp;DATE(YEAR(A381)-1,MONTH(A381),1),$A$5:$A$604,"&lt;"&amp;DATE(YEAR(A381)-1,MONTH(A381)+1,1))=0,"",SUMIFS($E$5:$E$604,$B$5:$B$604,B381,$A$5:$A$604,"&gt;="&amp;DATE(YEAR(A381)-1,MONTH(A381),1),$A$5:$A$604,"&lt;"&amp;DATE(YEAR(A381)-1,MONTH(A381)+1,1))))</f>
        <v/>
      </c>
      <c r="I381" s="19" t="str">
        <f aca="false">IF(OR(H381="",E381=""),"",E381/H381-1)</f>
        <v/>
      </c>
    </row>
    <row r="382" customFormat="false" ht="15" hidden="false" customHeight="false" outlineLevel="0" collapsed="false">
      <c r="A382" s="12"/>
      <c r="B382" s="13"/>
      <c r="C382" s="14"/>
      <c r="D382" s="14"/>
      <c r="E382" s="15"/>
      <c r="F382" s="16" t="str">
        <f aca="false">IF(OR(C382="",D382=""),"",D382-C382)</f>
        <v/>
      </c>
      <c r="G382" s="17" t="str">
        <f aca="false">IF(OR(F382="",F382=0),"",E382/F382)</f>
        <v/>
      </c>
      <c r="H382" s="18" t="str">
        <f aca="false">IF(OR(A382="",B382=""),"",IF(SUMIFS($E$5:$E$604,$B$5:$B$604,B382,$A$5:$A$604,"&gt;="&amp;DATE(YEAR(A382)-1,MONTH(A382),1),$A$5:$A$604,"&lt;"&amp;DATE(YEAR(A382)-1,MONTH(A382)+1,1))=0,"",SUMIFS($E$5:$E$604,$B$5:$B$604,B382,$A$5:$A$604,"&gt;="&amp;DATE(YEAR(A382)-1,MONTH(A382),1),$A$5:$A$604,"&lt;"&amp;DATE(YEAR(A382)-1,MONTH(A382)+1,1))))</f>
        <v/>
      </c>
      <c r="I382" s="19" t="str">
        <f aca="false">IF(OR(H382="",E382=""),"",E382/H382-1)</f>
        <v/>
      </c>
    </row>
    <row r="383" customFormat="false" ht="15" hidden="false" customHeight="false" outlineLevel="0" collapsed="false">
      <c r="A383" s="12"/>
      <c r="B383" s="13"/>
      <c r="C383" s="14"/>
      <c r="D383" s="14"/>
      <c r="E383" s="15"/>
      <c r="F383" s="16" t="str">
        <f aca="false">IF(OR(C383="",D383=""),"",D383-C383)</f>
        <v/>
      </c>
      <c r="G383" s="17" t="str">
        <f aca="false">IF(OR(F383="",F383=0),"",E383/F383)</f>
        <v/>
      </c>
      <c r="H383" s="18" t="str">
        <f aca="false">IF(OR(A383="",B383=""),"",IF(SUMIFS($E$5:$E$604,$B$5:$B$604,B383,$A$5:$A$604,"&gt;="&amp;DATE(YEAR(A383)-1,MONTH(A383),1),$A$5:$A$604,"&lt;"&amp;DATE(YEAR(A383)-1,MONTH(A383)+1,1))=0,"",SUMIFS($E$5:$E$604,$B$5:$B$604,B383,$A$5:$A$604,"&gt;="&amp;DATE(YEAR(A383)-1,MONTH(A383),1),$A$5:$A$604,"&lt;"&amp;DATE(YEAR(A383)-1,MONTH(A383)+1,1))))</f>
        <v/>
      </c>
      <c r="I383" s="19" t="str">
        <f aca="false">IF(OR(H383="",E383=""),"",E383/H383-1)</f>
        <v/>
      </c>
    </row>
    <row r="384" customFormat="false" ht="15" hidden="false" customHeight="false" outlineLevel="0" collapsed="false">
      <c r="A384" s="12"/>
      <c r="B384" s="13"/>
      <c r="C384" s="14"/>
      <c r="D384" s="14"/>
      <c r="E384" s="15"/>
      <c r="F384" s="16" t="str">
        <f aca="false">IF(OR(C384="",D384=""),"",D384-C384)</f>
        <v/>
      </c>
      <c r="G384" s="17" t="str">
        <f aca="false">IF(OR(F384="",F384=0),"",E384/F384)</f>
        <v/>
      </c>
      <c r="H384" s="18" t="str">
        <f aca="false">IF(OR(A384="",B384=""),"",IF(SUMIFS($E$5:$E$604,$B$5:$B$604,B384,$A$5:$A$604,"&gt;="&amp;DATE(YEAR(A384)-1,MONTH(A384),1),$A$5:$A$604,"&lt;"&amp;DATE(YEAR(A384)-1,MONTH(A384)+1,1))=0,"",SUMIFS($E$5:$E$604,$B$5:$B$604,B384,$A$5:$A$604,"&gt;="&amp;DATE(YEAR(A384)-1,MONTH(A384),1),$A$5:$A$604,"&lt;"&amp;DATE(YEAR(A384)-1,MONTH(A384)+1,1))))</f>
        <v/>
      </c>
      <c r="I384" s="19" t="str">
        <f aca="false">IF(OR(H384="",E384=""),"",E384/H384-1)</f>
        <v/>
      </c>
    </row>
    <row r="385" customFormat="false" ht="15" hidden="false" customHeight="false" outlineLevel="0" collapsed="false">
      <c r="A385" s="12"/>
      <c r="B385" s="13"/>
      <c r="C385" s="14"/>
      <c r="D385" s="14"/>
      <c r="E385" s="15"/>
      <c r="F385" s="16" t="str">
        <f aca="false">IF(OR(C385="",D385=""),"",D385-C385)</f>
        <v/>
      </c>
      <c r="G385" s="17" t="str">
        <f aca="false">IF(OR(F385="",F385=0),"",E385/F385)</f>
        <v/>
      </c>
      <c r="H385" s="18" t="str">
        <f aca="false">IF(OR(A385="",B385=""),"",IF(SUMIFS($E$5:$E$604,$B$5:$B$604,B385,$A$5:$A$604,"&gt;="&amp;DATE(YEAR(A385)-1,MONTH(A385),1),$A$5:$A$604,"&lt;"&amp;DATE(YEAR(A385)-1,MONTH(A385)+1,1))=0,"",SUMIFS($E$5:$E$604,$B$5:$B$604,B385,$A$5:$A$604,"&gt;="&amp;DATE(YEAR(A385)-1,MONTH(A385),1),$A$5:$A$604,"&lt;"&amp;DATE(YEAR(A385)-1,MONTH(A385)+1,1))))</f>
        <v/>
      </c>
      <c r="I385" s="19" t="str">
        <f aca="false">IF(OR(H385="",E385=""),"",E385/H385-1)</f>
        <v/>
      </c>
    </row>
    <row r="386" customFormat="false" ht="15" hidden="false" customHeight="false" outlineLevel="0" collapsed="false">
      <c r="A386" s="12"/>
      <c r="B386" s="13"/>
      <c r="C386" s="14"/>
      <c r="D386" s="14"/>
      <c r="E386" s="15"/>
      <c r="F386" s="16" t="str">
        <f aca="false">IF(OR(C386="",D386=""),"",D386-C386)</f>
        <v/>
      </c>
      <c r="G386" s="17" t="str">
        <f aca="false">IF(OR(F386="",F386=0),"",E386/F386)</f>
        <v/>
      </c>
      <c r="H386" s="18" t="str">
        <f aca="false">IF(OR(A386="",B386=""),"",IF(SUMIFS($E$5:$E$604,$B$5:$B$604,B386,$A$5:$A$604,"&gt;="&amp;DATE(YEAR(A386)-1,MONTH(A386),1),$A$5:$A$604,"&lt;"&amp;DATE(YEAR(A386)-1,MONTH(A386)+1,1))=0,"",SUMIFS($E$5:$E$604,$B$5:$B$604,B386,$A$5:$A$604,"&gt;="&amp;DATE(YEAR(A386)-1,MONTH(A386),1),$A$5:$A$604,"&lt;"&amp;DATE(YEAR(A386)-1,MONTH(A386)+1,1))))</f>
        <v/>
      </c>
      <c r="I386" s="19" t="str">
        <f aca="false">IF(OR(H386="",E386=""),"",E386/H386-1)</f>
        <v/>
      </c>
    </row>
    <row r="387" customFormat="false" ht="15" hidden="false" customHeight="false" outlineLevel="0" collapsed="false">
      <c r="A387" s="12"/>
      <c r="B387" s="13"/>
      <c r="C387" s="14"/>
      <c r="D387" s="14"/>
      <c r="E387" s="15"/>
      <c r="F387" s="16" t="str">
        <f aca="false">IF(OR(C387="",D387=""),"",D387-C387)</f>
        <v/>
      </c>
      <c r="G387" s="17" t="str">
        <f aca="false">IF(OR(F387="",F387=0),"",E387/F387)</f>
        <v/>
      </c>
      <c r="H387" s="18" t="str">
        <f aca="false">IF(OR(A387="",B387=""),"",IF(SUMIFS($E$5:$E$604,$B$5:$B$604,B387,$A$5:$A$604,"&gt;="&amp;DATE(YEAR(A387)-1,MONTH(A387),1),$A$5:$A$604,"&lt;"&amp;DATE(YEAR(A387)-1,MONTH(A387)+1,1))=0,"",SUMIFS($E$5:$E$604,$B$5:$B$604,B387,$A$5:$A$604,"&gt;="&amp;DATE(YEAR(A387)-1,MONTH(A387),1),$A$5:$A$604,"&lt;"&amp;DATE(YEAR(A387)-1,MONTH(A387)+1,1))))</f>
        <v/>
      </c>
      <c r="I387" s="19" t="str">
        <f aca="false">IF(OR(H387="",E387=""),"",E387/H387-1)</f>
        <v/>
      </c>
    </row>
    <row r="388" customFormat="false" ht="15" hidden="false" customHeight="false" outlineLevel="0" collapsed="false">
      <c r="A388" s="12"/>
      <c r="B388" s="13"/>
      <c r="C388" s="14"/>
      <c r="D388" s="14"/>
      <c r="E388" s="15"/>
      <c r="F388" s="16" t="str">
        <f aca="false">IF(OR(C388="",D388=""),"",D388-C388)</f>
        <v/>
      </c>
      <c r="G388" s="17" t="str">
        <f aca="false">IF(OR(F388="",F388=0),"",E388/F388)</f>
        <v/>
      </c>
      <c r="H388" s="18" t="str">
        <f aca="false">IF(OR(A388="",B388=""),"",IF(SUMIFS($E$5:$E$604,$B$5:$B$604,B388,$A$5:$A$604,"&gt;="&amp;DATE(YEAR(A388)-1,MONTH(A388),1),$A$5:$A$604,"&lt;"&amp;DATE(YEAR(A388)-1,MONTH(A388)+1,1))=0,"",SUMIFS($E$5:$E$604,$B$5:$B$604,B388,$A$5:$A$604,"&gt;="&amp;DATE(YEAR(A388)-1,MONTH(A388),1),$A$5:$A$604,"&lt;"&amp;DATE(YEAR(A388)-1,MONTH(A388)+1,1))))</f>
        <v/>
      </c>
      <c r="I388" s="19" t="str">
        <f aca="false">IF(OR(H388="",E388=""),"",E388/H388-1)</f>
        <v/>
      </c>
    </row>
    <row r="389" customFormat="false" ht="15" hidden="false" customHeight="false" outlineLevel="0" collapsed="false">
      <c r="A389" s="12"/>
      <c r="B389" s="13"/>
      <c r="C389" s="14"/>
      <c r="D389" s="14"/>
      <c r="E389" s="15"/>
      <c r="F389" s="16" t="str">
        <f aca="false">IF(OR(C389="",D389=""),"",D389-C389)</f>
        <v/>
      </c>
      <c r="G389" s="17" t="str">
        <f aca="false">IF(OR(F389="",F389=0),"",E389/F389)</f>
        <v/>
      </c>
      <c r="H389" s="18" t="str">
        <f aca="false">IF(OR(A389="",B389=""),"",IF(SUMIFS($E$5:$E$604,$B$5:$B$604,B389,$A$5:$A$604,"&gt;="&amp;DATE(YEAR(A389)-1,MONTH(A389),1),$A$5:$A$604,"&lt;"&amp;DATE(YEAR(A389)-1,MONTH(A389)+1,1))=0,"",SUMIFS($E$5:$E$604,$B$5:$B$604,B389,$A$5:$A$604,"&gt;="&amp;DATE(YEAR(A389)-1,MONTH(A389),1),$A$5:$A$604,"&lt;"&amp;DATE(YEAR(A389)-1,MONTH(A389)+1,1))))</f>
        <v/>
      </c>
      <c r="I389" s="19" t="str">
        <f aca="false">IF(OR(H389="",E389=""),"",E389/H389-1)</f>
        <v/>
      </c>
    </row>
    <row r="390" customFormat="false" ht="15" hidden="false" customHeight="false" outlineLevel="0" collapsed="false">
      <c r="A390" s="12"/>
      <c r="B390" s="13"/>
      <c r="C390" s="14"/>
      <c r="D390" s="14"/>
      <c r="E390" s="15"/>
      <c r="F390" s="16" t="str">
        <f aca="false">IF(OR(C390="",D390=""),"",D390-C390)</f>
        <v/>
      </c>
      <c r="G390" s="17" t="str">
        <f aca="false">IF(OR(F390="",F390=0),"",E390/F390)</f>
        <v/>
      </c>
      <c r="H390" s="18" t="str">
        <f aca="false">IF(OR(A390="",B390=""),"",IF(SUMIFS($E$5:$E$604,$B$5:$B$604,B390,$A$5:$A$604,"&gt;="&amp;DATE(YEAR(A390)-1,MONTH(A390),1),$A$5:$A$604,"&lt;"&amp;DATE(YEAR(A390)-1,MONTH(A390)+1,1))=0,"",SUMIFS($E$5:$E$604,$B$5:$B$604,B390,$A$5:$A$604,"&gt;="&amp;DATE(YEAR(A390)-1,MONTH(A390),1),$A$5:$A$604,"&lt;"&amp;DATE(YEAR(A390)-1,MONTH(A390)+1,1))))</f>
        <v/>
      </c>
      <c r="I390" s="19" t="str">
        <f aca="false">IF(OR(H390="",E390=""),"",E390/H390-1)</f>
        <v/>
      </c>
    </row>
    <row r="391" customFormat="false" ht="15" hidden="false" customHeight="false" outlineLevel="0" collapsed="false">
      <c r="A391" s="12"/>
      <c r="B391" s="13"/>
      <c r="C391" s="14"/>
      <c r="D391" s="14"/>
      <c r="E391" s="15"/>
      <c r="F391" s="16" t="str">
        <f aca="false">IF(OR(C391="",D391=""),"",D391-C391)</f>
        <v/>
      </c>
      <c r="G391" s="17" t="str">
        <f aca="false">IF(OR(F391="",F391=0),"",E391/F391)</f>
        <v/>
      </c>
      <c r="H391" s="18" t="str">
        <f aca="false">IF(OR(A391="",B391=""),"",IF(SUMIFS($E$5:$E$604,$B$5:$B$604,B391,$A$5:$A$604,"&gt;="&amp;DATE(YEAR(A391)-1,MONTH(A391),1),$A$5:$A$604,"&lt;"&amp;DATE(YEAR(A391)-1,MONTH(A391)+1,1))=0,"",SUMIFS($E$5:$E$604,$B$5:$B$604,B391,$A$5:$A$604,"&gt;="&amp;DATE(YEAR(A391)-1,MONTH(A391),1),$A$5:$A$604,"&lt;"&amp;DATE(YEAR(A391)-1,MONTH(A391)+1,1))))</f>
        <v/>
      </c>
      <c r="I391" s="19" t="str">
        <f aca="false">IF(OR(H391="",E391=""),"",E391/H391-1)</f>
        <v/>
      </c>
    </row>
    <row r="392" customFormat="false" ht="15" hidden="false" customHeight="false" outlineLevel="0" collapsed="false">
      <c r="A392" s="12"/>
      <c r="B392" s="13"/>
      <c r="C392" s="14"/>
      <c r="D392" s="14"/>
      <c r="E392" s="15"/>
      <c r="F392" s="16" t="str">
        <f aca="false">IF(OR(C392="",D392=""),"",D392-C392)</f>
        <v/>
      </c>
      <c r="G392" s="17" t="str">
        <f aca="false">IF(OR(F392="",F392=0),"",E392/F392)</f>
        <v/>
      </c>
      <c r="H392" s="18" t="str">
        <f aca="false">IF(OR(A392="",B392=""),"",IF(SUMIFS($E$5:$E$604,$B$5:$B$604,B392,$A$5:$A$604,"&gt;="&amp;DATE(YEAR(A392)-1,MONTH(A392),1),$A$5:$A$604,"&lt;"&amp;DATE(YEAR(A392)-1,MONTH(A392)+1,1))=0,"",SUMIFS($E$5:$E$604,$B$5:$B$604,B392,$A$5:$A$604,"&gt;="&amp;DATE(YEAR(A392)-1,MONTH(A392),1),$A$5:$A$604,"&lt;"&amp;DATE(YEAR(A392)-1,MONTH(A392)+1,1))))</f>
        <v/>
      </c>
      <c r="I392" s="19" t="str">
        <f aca="false">IF(OR(H392="",E392=""),"",E392/H392-1)</f>
        <v/>
      </c>
    </row>
    <row r="393" customFormat="false" ht="15" hidden="false" customHeight="false" outlineLevel="0" collapsed="false">
      <c r="A393" s="12"/>
      <c r="B393" s="13"/>
      <c r="C393" s="14"/>
      <c r="D393" s="14"/>
      <c r="E393" s="15"/>
      <c r="F393" s="16" t="str">
        <f aca="false">IF(OR(C393="",D393=""),"",D393-C393)</f>
        <v/>
      </c>
      <c r="G393" s="17" t="str">
        <f aca="false">IF(OR(F393="",F393=0),"",E393/F393)</f>
        <v/>
      </c>
      <c r="H393" s="18" t="str">
        <f aca="false">IF(OR(A393="",B393=""),"",IF(SUMIFS($E$5:$E$604,$B$5:$B$604,B393,$A$5:$A$604,"&gt;="&amp;DATE(YEAR(A393)-1,MONTH(A393),1),$A$5:$A$604,"&lt;"&amp;DATE(YEAR(A393)-1,MONTH(A393)+1,1))=0,"",SUMIFS($E$5:$E$604,$B$5:$B$604,B393,$A$5:$A$604,"&gt;="&amp;DATE(YEAR(A393)-1,MONTH(A393),1),$A$5:$A$604,"&lt;"&amp;DATE(YEAR(A393)-1,MONTH(A393)+1,1))))</f>
        <v/>
      </c>
      <c r="I393" s="19" t="str">
        <f aca="false">IF(OR(H393="",E393=""),"",E393/H393-1)</f>
        <v/>
      </c>
    </row>
    <row r="394" customFormat="false" ht="15" hidden="false" customHeight="false" outlineLevel="0" collapsed="false">
      <c r="A394" s="12"/>
      <c r="B394" s="13"/>
      <c r="C394" s="14"/>
      <c r="D394" s="14"/>
      <c r="E394" s="15"/>
      <c r="F394" s="16" t="str">
        <f aca="false">IF(OR(C394="",D394=""),"",D394-C394)</f>
        <v/>
      </c>
      <c r="G394" s="17" t="str">
        <f aca="false">IF(OR(F394="",F394=0),"",E394/F394)</f>
        <v/>
      </c>
      <c r="H394" s="18" t="str">
        <f aca="false">IF(OR(A394="",B394=""),"",IF(SUMIFS($E$5:$E$604,$B$5:$B$604,B394,$A$5:$A$604,"&gt;="&amp;DATE(YEAR(A394)-1,MONTH(A394),1),$A$5:$A$604,"&lt;"&amp;DATE(YEAR(A394)-1,MONTH(A394)+1,1))=0,"",SUMIFS($E$5:$E$604,$B$5:$B$604,B394,$A$5:$A$604,"&gt;="&amp;DATE(YEAR(A394)-1,MONTH(A394),1),$A$5:$A$604,"&lt;"&amp;DATE(YEAR(A394)-1,MONTH(A394)+1,1))))</f>
        <v/>
      </c>
      <c r="I394" s="19" t="str">
        <f aca="false">IF(OR(H394="",E394=""),"",E394/H394-1)</f>
        <v/>
      </c>
    </row>
    <row r="395" customFormat="false" ht="15" hidden="false" customHeight="false" outlineLevel="0" collapsed="false">
      <c r="A395" s="12"/>
      <c r="B395" s="13"/>
      <c r="C395" s="14"/>
      <c r="D395" s="14"/>
      <c r="E395" s="15"/>
      <c r="F395" s="16" t="str">
        <f aca="false">IF(OR(C395="",D395=""),"",D395-C395)</f>
        <v/>
      </c>
      <c r="G395" s="17" t="str">
        <f aca="false">IF(OR(F395="",F395=0),"",E395/F395)</f>
        <v/>
      </c>
      <c r="H395" s="18" t="str">
        <f aca="false">IF(OR(A395="",B395=""),"",IF(SUMIFS($E$5:$E$604,$B$5:$B$604,B395,$A$5:$A$604,"&gt;="&amp;DATE(YEAR(A395)-1,MONTH(A395),1),$A$5:$A$604,"&lt;"&amp;DATE(YEAR(A395)-1,MONTH(A395)+1,1))=0,"",SUMIFS($E$5:$E$604,$B$5:$B$604,B395,$A$5:$A$604,"&gt;="&amp;DATE(YEAR(A395)-1,MONTH(A395),1),$A$5:$A$604,"&lt;"&amp;DATE(YEAR(A395)-1,MONTH(A395)+1,1))))</f>
        <v/>
      </c>
      <c r="I395" s="19" t="str">
        <f aca="false">IF(OR(H395="",E395=""),"",E395/H395-1)</f>
        <v/>
      </c>
    </row>
    <row r="396" customFormat="false" ht="15" hidden="false" customHeight="false" outlineLevel="0" collapsed="false">
      <c r="A396" s="12"/>
      <c r="B396" s="13"/>
      <c r="C396" s="14"/>
      <c r="D396" s="14"/>
      <c r="E396" s="15"/>
      <c r="F396" s="16" t="str">
        <f aca="false">IF(OR(C396="",D396=""),"",D396-C396)</f>
        <v/>
      </c>
      <c r="G396" s="17" t="str">
        <f aca="false">IF(OR(F396="",F396=0),"",E396/F396)</f>
        <v/>
      </c>
      <c r="H396" s="18" t="str">
        <f aca="false">IF(OR(A396="",B396=""),"",IF(SUMIFS($E$5:$E$604,$B$5:$B$604,B396,$A$5:$A$604,"&gt;="&amp;DATE(YEAR(A396)-1,MONTH(A396),1),$A$5:$A$604,"&lt;"&amp;DATE(YEAR(A396)-1,MONTH(A396)+1,1))=0,"",SUMIFS($E$5:$E$604,$B$5:$B$604,B396,$A$5:$A$604,"&gt;="&amp;DATE(YEAR(A396)-1,MONTH(A396),1),$A$5:$A$604,"&lt;"&amp;DATE(YEAR(A396)-1,MONTH(A396)+1,1))))</f>
        <v/>
      </c>
      <c r="I396" s="19" t="str">
        <f aca="false">IF(OR(H396="",E396=""),"",E396/H396-1)</f>
        <v/>
      </c>
    </row>
    <row r="397" customFormat="false" ht="15" hidden="false" customHeight="false" outlineLevel="0" collapsed="false">
      <c r="A397" s="12"/>
      <c r="B397" s="13"/>
      <c r="C397" s="14"/>
      <c r="D397" s="14"/>
      <c r="E397" s="15"/>
      <c r="F397" s="16" t="str">
        <f aca="false">IF(OR(C397="",D397=""),"",D397-C397)</f>
        <v/>
      </c>
      <c r="G397" s="17" t="str">
        <f aca="false">IF(OR(F397="",F397=0),"",E397/F397)</f>
        <v/>
      </c>
      <c r="H397" s="18" t="str">
        <f aca="false">IF(OR(A397="",B397=""),"",IF(SUMIFS($E$5:$E$604,$B$5:$B$604,B397,$A$5:$A$604,"&gt;="&amp;DATE(YEAR(A397)-1,MONTH(A397),1),$A$5:$A$604,"&lt;"&amp;DATE(YEAR(A397)-1,MONTH(A397)+1,1))=0,"",SUMIFS($E$5:$E$604,$B$5:$B$604,B397,$A$5:$A$604,"&gt;="&amp;DATE(YEAR(A397)-1,MONTH(A397),1),$A$5:$A$604,"&lt;"&amp;DATE(YEAR(A397)-1,MONTH(A397)+1,1))))</f>
        <v/>
      </c>
      <c r="I397" s="19" t="str">
        <f aca="false">IF(OR(H397="",E397=""),"",E397/H397-1)</f>
        <v/>
      </c>
    </row>
    <row r="398" customFormat="false" ht="15" hidden="false" customHeight="false" outlineLevel="0" collapsed="false">
      <c r="A398" s="12"/>
      <c r="B398" s="13"/>
      <c r="C398" s="14"/>
      <c r="D398" s="14"/>
      <c r="E398" s="15"/>
      <c r="F398" s="16" t="str">
        <f aca="false">IF(OR(C398="",D398=""),"",D398-C398)</f>
        <v/>
      </c>
      <c r="G398" s="17" t="str">
        <f aca="false">IF(OR(F398="",F398=0),"",E398/F398)</f>
        <v/>
      </c>
      <c r="H398" s="18" t="str">
        <f aca="false">IF(OR(A398="",B398=""),"",IF(SUMIFS($E$5:$E$604,$B$5:$B$604,B398,$A$5:$A$604,"&gt;="&amp;DATE(YEAR(A398)-1,MONTH(A398),1),$A$5:$A$604,"&lt;"&amp;DATE(YEAR(A398)-1,MONTH(A398)+1,1))=0,"",SUMIFS($E$5:$E$604,$B$5:$B$604,B398,$A$5:$A$604,"&gt;="&amp;DATE(YEAR(A398)-1,MONTH(A398),1),$A$5:$A$604,"&lt;"&amp;DATE(YEAR(A398)-1,MONTH(A398)+1,1))))</f>
        <v/>
      </c>
      <c r="I398" s="19" t="str">
        <f aca="false">IF(OR(H398="",E398=""),"",E398/H398-1)</f>
        <v/>
      </c>
    </row>
    <row r="399" customFormat="false" ht="15" hidden="false" customHeight="false" outlineLevel="0" collapsed="false">
      <c r="A399" s="12"/>
      <c r="B399" s="13"/>
      <c r="C399" s="14"/>
      <c r="D399" s="14"/>
      <c r="E399" s="15"/>
      <c r="F399" s="16" t="str">
        <f aca="false">IF(OR(C399="",D399=""),"",D399-C399)</f>
        <v/>
      </c>
      <c r="G399" s="17" t="str">
        <f aca="false">IF(OR(F399="",F399=0),"",E399/F399)</f>
        <v/>
      </c>
      <c r="H399" s="18" t="str">
        <f aca="false">IF(OR(A399="",B399=""),"",IF(SUMIFS($E$5:$E$604,$B$5:$B$604,B399,$A$5:$A$604,"&gt;="&amp;DATE(YEAR(A399)-1,MONTH(A399),1),$A$5:$A$604,"&lt;"&amp;DATE(YEAR(A399)-1,MONTH(A399)+1,1))=0,"",SUMIFS($E$5:$E$604,$B$5:$B$604,B399,$A$5:$A$604,"&gt;="&amp;DATE(YEAR(A399)-1,MONTH(A399),1),$A$5:$A$604,"&lt;"&amp;DATE(YEAR(A399)-1,MONTH(A399)+1,1))))</f>
        <v/>
      </c>
      <c r="I399" s="19" t="str">
        <f aca="false">IF(OR(H399="",E399=""),"",E399/H399-1)</f>
        <v/>
      </c>
    </row>
    <row r="400" customFormat="false" ht="15" hidden="false" customHeight="false" outlineLevel="0" collapsed="false">
      <c r="A400" s="12"/>
      <c r="B400" s="13"/>
      <c r="C400" s="14"/>
      <c r="D400" s="14"/>
      <c r="E400" s="15"/>
      <c r="F400" s="16" t="str">
        <f aca="false">IF(OR(C400="",D400=""),"",D400-C400)</f>
        <v/>
      </c>
      <c r="G400" s="17" t="str">
        <f aca="false">IF(OR(F400="",F400=0),"",E400/F400)</f>
        <v/>
      </c>
      <c r="H400" s="18" t="str">
        <f aca="false">IF(OR(A400="",B400=""),"",IF(SUMIFS($E$5:$E$604,$B$5:$B$604,B400,$A$5:$A$604,"&gt;="&amp;DATE(YEAR(A400)-1,MONTH(A400),1),$A$5:$A$604,"&lt;"&amp;DATE(YEAR(A400)-1,MONTH(A400)+1,1))=0,"",SUMIFS($E$5:$E$604,$B$5:$B$604,B400,$A$5:$A$604,"&gt;="&amp;DATE(YEAR(A400)-1,MONTH(A400),1),$A$5:$A$604,"&lt;"&amp;DATE(YEAR(A400)-1,MONTH(A400)+1,1))))</f>
        <v/>
      </c>
      <c r="I400" s="19" t="str">
        <f aca="false">IF(OR(H400="",E400=""),"",E400/H400-1)</f>
        <v/>
      </c>
    </row>
    <row r="401" customFormat="false" ht="15" hidden="false" customHeight="false" outlineLevel="0" collapsed="false">
      <c r="A401" s="12"/>
      <c r="B401" s="13"/>
      <c r="C401" s="14"/>
      <c r="D401" s="14"/>
      <c r="E401" s="15"/>
      <c r="F401" s="16" t="str">
        <f aca="false">IF(OR(C401="",D401=""),"",D401-C401)</f>
        <v/>
      </c>
      <c r="G401" s="17" t="str">
        <f aca="false">IF(OR(F401="",F401=0),"",E401/F401)</f>
        <v/>
      </c>
      <c r="H401" s="18" t="str">
        <f aca="false">IF(OR(A401="",B401=""),"",IF(SUMIFS($E$5:$E$604,$B$5:$B$604,B401,$A$5:$A$604,"&gt;="&amp;DATE(YEAR(A401)-1,MONTH(A401),1),$A$5:$A$604,"&lt;"&amp;DATE(YEAR(A401)-1,MONTH(A401)+1,1))=0,"",SUMIFS($E$5:$E$604,$B$5:$B$604,B401,$A$5:$A$604,"&gt;="&amp;DATE(YEAR(A401)-1,MONTH(A401),1),$A$5:$A$604,"&lt;"&amp;DATE(YEAR(A401)-1,MONTH(A401)+1,1))))</f>
        <v/>
      </c>
      <c r="I401" s="19" t="str">
        <f aca="false">IF(OR(H401="",E401=""),"",E401/H401-1)</f>
        <v/>
      </c>
    </row>
    <row r="402" customFormat="false" ht="15" hidden="false" customHeight="false" outlineLevel="0" collapsed="false">
      <c r="A402" s="12"/>
      <c r="B402" s="13"/>
      <c r="C402" s="14"/>
      <c r="D402" s="14"/>
      <c r="E402" s="15"/>
      <c r="F402" s="16" t="str">
        <f aca="false">IF(OR(C402="",D402=""),"",D402-C402)</f>
        <v/>
      </c>
      <c r="G402" s="17" t="str">
        <f aca="false">IF(OR(F402="",F402=0),"",E402/F402)</f>
        <v/>
      </c>
      <c r="H402" s="18" t="str">
        <f aca="false">IF(OR(A402="",B402=""),"",IF(SUMIFS($E$5:$E$604,$B$5:$B$604,B402,$A$5:$A$604,"&gt;="&amp;DATE(YEAR(A402)-1,MONTH(A402),1),$A$5:$A$604,"&lt;"&amp;DATE(YEAR(A402)-1,MONTH(A402)+1,1))=0,"",SUMIFS($E$5:$E$604,$B$5:$B$604,B402,$A$5:$A$604,"&gt;="&amp;DATE(YEAR(A402)-1,MONTH(A402),1),$A$5:$A$604,"&lt;"&amp;DATE(YEAR(A402)-1,MONTH(A402)+1,1))))</f>
        <v/>
      </c>
      <c r="I402" s="19" t="str">
        <f aca="false">IF(OR(H402="",E402=""),"",E402/H402-1)</f>
        <v/>
      </c>
    </row>
    <row r="403" customFormat="false" ht="15" hidden="false" customHeight="false" outlineLevel="0" collapsed="false">
      <c r="A403" s="12"/>
      <c r="B403" s="13"/>
      <c r="C403" s="14"/>
      <c r="D403" s="14"/>
      <c r="E403" s="15"/>
      <c r="F403" s="16" t="str">
        <f aca="false">IF(OR(C403="",D403=""),"",D403-C403)</f>
        <v/>
      </c>
      <c r="G403" s="17" t="str">
        <f aca="false">IF(OR(F403="",F403=0),"",E403/F403)</f>
        <v/>
      </c>
      <c r="H403" s="18" t="str">
        <f aca="false">IF(OR(A403="",B403=""),"",IF(SUMIFS($E$5:$E$604,$B$5:$B$604,B403,$A$5:$A$604,"&gt;="&amp;DATE(YEAR(A403)-1,MONTH(A403),1),$A$5:$A$604,"&lt;"&amp;DATE(YEAR(A403)-1,MONTH(A403)+1,1))=0,"",SUMIFS($E$5:$E$604,$B$5:$B$604,B403,$A$5:$A$604,"&gt;="&amp;DATE(YEAR(A403)-1,MONTH(A403),1),$A$5:$A$604,"&lt;"&amp;DATE(YEAR(A403)-1,MONTH(A403)+1,1))))</f>
        <v/>
      </c>
      <c r="I403" s="19" t="str">
        <f aca="false">IF(OR(H403="",E403=""),"",E403/H403-1)</f>
        <v/>
      </c>
    </row>
    <row r="404" customFormat="false" ht="15" hidden="false" customHeight="false" outlineLevel="0" collapsed="false">
      <c r="A404" s="12"/>
      <c r="B404" s="13"/>
      <c r="C404" s="14"/>
      <c r="D404" s="14"/>
      <c r="E404" s="15"/>
      <c r="F404" s="16" t="str">
        <f aca="false">IF(OR(C404="",D404=""),"",D404-C404)</f>
        <v/>
      </c>
      <c r="G404" s="17" t="str">
        <f aca="false">IF(OR(F404="",F404=0),"",E404/F404)</f>
        <v/>
      </c>
      <c r="H404" s="18" t="str">
        <f aca="false">IF(OR(A404="",B404=""),"",IF(SUMIFS($E$5:$E$604,$B$5:$B$604,B404,$A$5:$A$604,"&gt;="&amp;DATE(YEAR(A404)-1,MONTH(A404),1),$A$5:$A$604,"&lt;"&amp;DATE(YEAR(A404)-1,MONTH(A404)+1,1))=0,"",SUMIFS($E$5:$E$604,$B$5:$B$604,B404,$A$5:$A$604,"&gt;="&amp;DATE(YEAR(A404)-1,MONTH(A404),1),$A$5:$A$604,"&lt;"&amp;DATE(YEAR(A404)-1,MONTH(A404)+1,1))))</f>
        <v/>
      </c>
      <c r="I404" s="19" t="str">
        <f aca="false">IF(OR(H404="",E404=""),"",E404/H404-1)</f>
        <v/>
      </c>
    </row>
    <row r="405" customFormat="false" ht="15" hidden="false" customHeight="false" outlineLevel="0" collapsed="false">
      <c r="A405" s="12"/>
      <c r="B405" s="13"/>
      <c r="C405" s="14"/>
      <c r="D405" s="14"/>
      <c r="E405" s="15"/>
      <c r="F405" s="16" t="str">
        <f aca="false">IF(OR(C405="",D405=""),"",D405-C405)</f>
        <v/>
      </c>
      <c r="G405" s="17" t="str">
        <f aca="false">IF(OR(F405="",F405=0),"",E405/F405)</f>
        <v/>
      </c>
      <c r="H405" s="18" t="str">
        <f aca="false">IF(OR(A405="",B405=""),"",IF(SUMIFS($E$5:$E$604,$B$5:$B$604,B405,$A$5:$A$604,"&gt;="&amp;DATE(YEAR(A405)-1,MONTH(A405),1),$A$5:$A$604,"&lt;"&amp;DATE(YEAR(A405)-1,MONTH(A405)+1,1))=0,"",SUMIFS($E$5:$E$604,$B$5:$B$604,B405,$A$5:$A$604,"&gt;="&amp;DATE(YEAR(A405)-1,MONTH(A405),1),$A$5:$A$604,"&lt;"&amp;DATE(YEAR(A405)-1,MONTH(A405)+1,1))))</f>
        <v/>
      </c>
      <c r="I405" s="19" t="str">
        <f aca="false">IF(OR(H405="",E405=""),"",E405/H405-1)</f>
        <v/>
      </c>
    </row>
    <row r="406" customFormat="false" ht="15" hidden="false" customHeight="false" outlineLevel="0" collapsed="false">
      <c r="A406" s="12"/>
      <c r="B406" s="13"/>
      <c r="C406" s="14"/>
      <c r="D406" s="14"/>
      <c r="E406" s="15"/>
      <c r="F406" s="16" t="str">
        <f aca="false">IF(OR(C406="",D406=""),"",D406-C406)</f>
        <v/>
      </c>
      <c r="G406" s="17" t="str">
        <f aca="false">IF(OR(F406="",F406=0),"",E406/F406)</f>
        <v/>
      </c>
      <c r="H406" s="18" t="str">
        <f aca="false">IF(OR(A406="",B406=""),"",IF(SUMIFS($E$5:$E$604,$B$5:$B$604,B406,$A$5:$A$604,"&gt;="&amp;DATE(YEAR(A406)-1,MONTH(A406),1),$A$5:$A$604,"&lt;"&amp;DATE(YEAR(A406)-1,MONTH(A406)+1,1))=0,"",SUMIFS($E$5:$E$604,$B$5:$B$604,B406,$A$5:$A$604,"&gt;="&amp;DATE(YEAR(A406)-1,MONTH(A406),1),$A$5:$A$604,"&lt;"&amp;DATE(YEAR(A406)-1,MONTH(A406)+1,1))))</f>
        <v/>
      </c>
      <c r="I406" s="19" t="str">
        <f aca="false">IF(OR(H406="",E406=""),"",E406/H406-1)</f>
        <v/>
      </c>
    </row>
    <row r="407" customFormat="false" ht="15" hidden="false" customHeight="false" outlineLevel="0" collapsed="false">
      <c r="A407" s="12"/>
      <c r="B407" s="13"/>
      <c r="C407" s="14"/>
      <c r="D407" s="14"/>
      <c r="E407" s="15"/>
      <c r="F407" s="16" t="str">
        <f aca="false">IF(OR(C407="",D407=""),"",D407-C407)</f>
        <v/>
      </c>
      <c r="G407" s="17" t="str">
        <f aca="false">IF(OR(F407="",F407=0),"",E407/F407)</f>
        <v/>
      </c>
      <c r="H407" s="18" t="str">
        <f aca="false">IF(OR(A407="",B407=""),"",IF(SUMIFS($E$5:$E$604,$B$5:$B$604,B407,$A$5:$A$604,"&gt;="&amp;DATE(YEAR(A407)-1,MONTH(A407),1),$A$5:$A$604,"&lt;"&amp;DATE(YEAR(A407)-1,MONTH(A407)+1,1))=0,"",SUMIFS($E$5:$E$604,$B$5:$B$604,B407,$A$5:$A$604,"&gt;="&amp;DATE(YEAR(A407)-1,MONTH(A407),1),$A$5:$A$604,"&lt;"&amp;DATE(YEAR(A407)-1,MONTH(A407)+1,1))))</f>
        <v/>
      </c>
      <c r="I407" s="19" t="str">
        <f aca="false">IF(OR(H407="",E407=""),"",E407/H407-1)</f>
        <v/>
      </c>
    </row>
    <row r="408" customFormat="false" ht="15" hidden="false" customHeight="false" outlineLevel="0" collapsed="false">
      <c r="A408" s="12"/>
      <c r="B408" s="13"/>
      <c r="C408" s="14"/>
      <c r="D408" s="14"/>
      <c r="E408" s="15"/>
      <c r="F408" s="16" t="str">
        <f aca="false">IF(OR(C408="",D408=""),"",D408-C408)</f>
        <v/>
      </c>
      <c r="G408" s="17" t="str">
        <f aca="false">IF(OR(F408="",F408=0),"",E408/F408)</f>
        <v/>
      </c>
      <c r="H408" s="18" t="str">
        <f aca="false">IF(OR(A408="",B408=""),"",IF(SUMIFS($E$5:$E$604,$B$5:$B$604,B408,$A$5:$A$604,"&gt;="&amp;DATE(YEAR(A408)-1,MONTH(A408),1),$A$5:$A$604,"&lt;"&amp;DATE(YEAR(A408)-1,MONTH(A408)+1,1))=0,"",SUMIFS($E$5:$E$604,$B$5:$B$604,B408,$A$5:$A$604,"&gt;="&amp;DATE(YEAR(A408)-1,MONTH(A408),1),$A$5:$A$604,"&lt;"&amp;DATE(YEAR(A408)-1,MONTH(A408)+1,1))))</f>
        <v/>
      </c>
      <c r="I408" s="19" t="str">
        <f aca="false">IF(OR(H408="",E408=""),"",E408/H408-1)</f>
        <v/>
      </c>
    </row>
    <row r="409" customFormat="false" ht="15" hidden="false" customHeight="false" outlineLevel="0" collapsed="false">
      <c r="A409" s="12"/>
      <c r="B409" s="13"/>
      <c r="C409" s="14"/>
      <c r="D409" s="14"/>
      <c r="E409" s="15"/>
      <c r="F409" s="16" t="str">
        <f aca="false">IF(OR(C409="",D409=""),"",D409-C409)</f>
        <v/>
      </c>
      <c r="G409" s="17" t="str">
        <f aca="false">IF(OR(F409="",F409=0),"",E409/F409)</f>
        <v/>
      </c>
      <c r="H409" s="18" t="str">
        <f aca="false">IF(OR(A409="",B409=""),"",IF(SUMIFS($E$5:$E$604,$B$5:$B$604,B409,$A$5:$A$604,"&gt;="&amp;DATE(YEAR(A409)-1,MONTH(A409),1),$A$5:$A$604,"&lt;"&amp;DATE(YEAR(A409)-1,MONTH(A409)+1,1))=0,"",SUMIFS($E$5:$E$604,$B$5:$B$604,B409,$A$5:$A$604,"&gt;="&amp;DATE(YEAR(A409)-1,MONTH(A409),1),$A$5:$A$604,"&lt;"&amp;DATE(YEAR(A409)-1,MONTH(A409)+1,1))))</f>
        <v/>
      </c>
      <c r="I409" s="19" t="str">
        <f aca="false">IF(OR(H409="",E409=""),"",E409/H409-1)</f>
        <v/>
      </c>
    </row>
    <row r="410" customFormat="false" ht="15" hidden="false" customHeight="false" outlineLevel="0" collapsed="false">
      <c r="A410" s="12"/>
      <c r="B410" s="13"/>
      <c r="C410" s="14"/>
      <c r="D410" s="14"/>
      <c r="E410" s="15"/>
      <c r="F410" s="16" t="str">
        <f aca="false">IF(OR(C410="",D410=""),"",D410-C410)</f>
        <v/>
      </c>
      <c r="G410" s="17" t="str">
        <f aca="false">IF(OR(F410="",F410=0),"",E410/F410)</f>
        <v/>
      </c>
      <c r="H410" s="18" t="str">
        <f aca="false">IF(OR(A410="",B410=""),"",IF(SUMIFS($E$5:$E$604,$B$5:$B$604,B410,$A$5:$A$604,"&gt;="&amp;DATE(YEAR(A410)-1,MONTH(A410),1),$A$5:$A$604,"&lt;"&amp;DATE(YEAR(A410)-1,MONTH(A410)+1,1))=0,"",SUMIFS($E$5:$E$604,$B$5:$B$604,B410,$A$5:$A$604,"&gt;="&amp;DATE(YEAR(A410)-1,MONTH(A410),1),$A$5:$A$604,"&lt;"&amp;DATE(YEAR(A410)-1,MONTH(A410)+1,1))))</f>
        <v/>
      </c>
      <c r="I410" s="19" t="str">
        <f aca="false">IF(OR(H410="",E410=""),"",E410/H410-1)</f>
        <v/>
      </c>
    </row>
    <row r="411" customFormat="false" ht="15" hidden="false" customHeight="false" outlineLevel="0" collapsed="false">
      <c r="A411" s="12"/>
      <c r="B411" s="13"/>
      <c r="C411" s="14"/>
      <c r="D411" s="14"/>
      <c r="E411" s="15"/>
      <c r="F411" s="16" t="str">
        <f aca="false">IF(OR(C411="",D411=""),"",D411-C411)</f>
        <v/>
      </c>
      <c r="G411" s="17" t="str">
        <f aca="false">IF(OR(F411="",F411=0),"",E411/F411)</f>
        <v/>
      </c>
      <c r="H411" s="18" t="str">
        <f aca="false">IF(OR(A411="",B411=""),"",IF(SUMIFS($E$5:$E$604,$B$5:$B$604,B411,$A$5:$A$604,"&gt;="&amp;DATE(YEAR(A411)-1,MONTH(A411),1),$A$5:$A$604,"&lt;"&amp;DATE(YEAR(A411)-1,MONTH(A411)+1,1))=0,"",SUMIFS($E$5:$E$604,$B$5:$B$604,B411,$A$5:$A$604,"&gt;="&amp;DATE(YEAR(A411)-1,MONTH(A411),1),$A$5:$A$604,"&lt;"&amp;DATE(YEAR(A411)-1,MONTH(A411)+1,1))))</f>
        <v/>
      </c>
      <c r="I411" s="19" t="str">
        <f aca="false">IF(OR(H411="",E411=""),"",E411/H411-1)</f>
        <v/>
      </c>
    </row>
    <row r="412" customFormat="false" ht="15" hidden="false" customHeight="false" outlineLevel="0" collapsed="false">
      <c r="A412" s="12"/>
      <c r="B412" s="13"/>
      <c r="C412" s="14"/>
      <c r="D412" s="14"/>
      <c r="E412" s="15"/>
      <c r="F412" s="16" t="str">
        <f aca="false">IF(OR(C412="",D412=""),"",D412-C412)</f>
        <v/>
      </c>
      <c r="G412" s="17" t="str">
        <f aca="false">IF(OR(F412="",F412=0),"",E412/F412)</f>
        <v/>
      </c>
      <c r="H412" s="18" t="str">
        <f aca="false">IF(OR(A412="",B412=""),"",IF(SUMIFS($E$5:$E$604,$B$5:$B$604,B412,$A$5:$A$604,"&gt;="&amp;DATE(YEAR(A412)-1,MONTH(A412),1),$A$5:$A$604,"&lt;"&amp;DATE(YEAR(A412)-1,MONTH(A412)+1,1))=0,"",SUMIFS($E$5:$E$604,$B$5:$B$604,B412,$A$5:$A$604,"&gt;="&amp;DATE(YEAR(A412)-1,MONTH(A412),1),$A$5:$A$604,"&lt;"&amp;DATE(YEAR(A412)-1,MONTH(A412)+1,1))))</f>
        <v/>
      </c>
      <c r="I412" s="19" t="str">
        <f aca="false">IF(OR(H412="",E412=""),"",E412/H412-1)</f>
        <v/>
      </c>
    </row>
    <row r="413" customFormat="false" ht="15" hidden="false" customHeight="false" outlineLevel="0" collapsed="false">
      <c r="A413" s="12"/>
      <c r="B413" s="13"/>
      <c r="C413" s="14"/>
      <c r="D413" s="14"/>
      <c r="E413" s="15"/>
      <c r="F413" s="16" t="str">
        <f aca="false">IF(OR(C413="",D413=""),"",D413-C413)</f>
        <v/>
      </c>
      <c r="G413" s="17" t="str">
        <f aca="false">IF(OR(F413="",F413=0),"",E413/F413)</f>
        <v/>
      </c>
      <c r="H413" s="18" t="str">
        <f aca="false">IF(OR(A413="",B413=""),"",IF(SUMIFS($E$5:$E$604,$B$5:$B$604,B413,$A$5:$A$604,"&gt;="&amp;DATE(YEAR(A413)-1,MONTH(A413),1),$A$5:$A$604,"&lt;"&amp;DATE(YEAR(A413)-1,MONTH(A413)+1,1))=0,"",SUMIFS($E$5:$E$604,$B$5:$B$604,B413,$A$5:$A$604,"&gt;="&amp;DATE(YEAR(A413)-1,MONTH(A413),1),$A$5:$A$604,"&lt;"&amp;DATE(YEAR(A413)-1,MONTH(A413)+1,1))))</f>
        <v/>
      </c>
      <c r="I413" s="19" t="str">
        <f aca="false">IF(OR(H413="",E413=""),"",E413/H413-1)</f>
        <v/>
      </c>
    </row>
    <row r="414" customFormat="false" ht="15" hidden="false" customHeight="false" outlineLevel="0" collapsed="false">
      <c r="A414" s="12"/>
      <c r="B414" s="13"/>
      <c r="C414" s="14"/>
      <c r="D414" s="14"/>
      <c r="E414" s="15"/>
      <c r="F414" s="16" t="str">
        <f aca="false">IF(OR(C414="",D414=""),"",D414-C414)</f>
        <v/>
      </c>
      <c r="G414" s="17" t="str">
        <f aca="false">IF(OR(F414="",F414=0),"",E414/F414)</f>
        <v/>
      </c>
      <c r="H414" s="18" t="str">
        <f aca="false">IF(OR(A414="",B414=""),"",IF(SUMIFS($E$5:$E$604,$B$5:$B$604,B414,$A$5:$A$604,"&gt;="&amp;DATE(YEAR(A414)-1,MONTH(A414),1),$A$5:$A$604,"&lt;"&amp;DATE(YEAR(A414)-1,MONTH(A414)+1,1))=0,"",SUMIFS($E$5:$E$604,$B$5:$B$604,B414,$A$5:$A$604,"&gt;="&amp;DATE(YEAR(A414)-1,MONTH(A414),1),$A$5:$A$604,"&lt;"&amp;DATE(YEAR(A414)-1,MONTH(A414)+1,1))))</f>
        <v/>
      </c>
      <c r="I414" s="19" t="str">
        <f aca="false">IF(OR(H414="",E414=""),"",E414/H414-1)</f>
        <v/>
      </c>
    </row>
    <row r="415" customFormat="false" ht="15" hidden="false" customHeight="false" outlineLevel="0" collapsed="false">
      <c r="A415" s="12"/>
      <c r="B415" s="13"/>
      <c r="C415" s="14"/>
      <c r="D415" s="14"/>
      <c r="E415" s="15"/>
      <c r="F415" s="16" t="str">
        <f aca="false">IF(OR(C415="",D415=""),"",D415-C415)</f>
        <v/>
      </c>
      <c r="G415" s="17" t="str">
        <f aca="false">IF(OR(F415="",F415=0),"",E415/F415)</f>
        <v/>
      </c>
      <c r="H415" s="18" t="str">
        <f aca="false">IF(OR(A415="",B415=""),"",IF(SUMIFS($E$5:$E$604,$B$5:$B$604,B415,$A$5:$A$604,"&gt;="&amp;DATE(YEAR(A415)-1,MONTH(A415),1),$A$5:$A$604,"&lt;"&amp;DATE(YEAR(A415)-1,MONTH(A415)+1,1))=0,"",SUMIFS($E$5:$E$604,$B$5:$B$604,B415,$A$5:$A$604,"&gt;="&amp;DATE(YEAR(A415)-1,MONTH(A415),1),$A$5:$A$604,"&lt;"&amp;DATE(YEAR(A415)-1,MONTH(A415)+1,1))))</f>
        <v/>
      </c>
      <c r="I415" s="19" t="str">
        <f aca="false">IF(OR(H415="",E415=""),"",E415/H415-1)</f>
        <v/>
      </c>
    </row>
    <row r="416" customFormat="false" ht="15" hidden="false" customHeight="false" outlineLevel="0" collapsed="false">
      <c r="A416" s="12"/>
      <c r="B416" s="13"/>
      <c r="C416" s="14"/>
      <c r="D416" s="14"/>
      <c r="E416" s="15"/>
      <c r="F416" s="16" t="str">
        <f aca="false">IF(OR(C416="",D416=""),"",D416-C416)</f>
        <v/>
      </c>
      <c r="G416" s="17" t="str">
        <f aca="false">IF(OR(F416="",F416=0),"",E416/F416)</f>
        <v/>
      </c>
      <c r="H416" s="18" t="str">
        <f aca="false">IF(OR(A416="",B416=""),"",IF(SUMIFS($E$5:$E$604,$B$5:$B$604,B416,$A$5:$A$604,"&gt;="&amp;DATE(YEAR(A416)-1,MONTH(A416),1),$A$5:$A$604,"&lt;"&amp;DATE(YEAR(A416)-1,MONTH(A416)+1,1))=0,"",SUMIFS($E$5:$E$604,$B$5:$B$604,B416,$A$5:$A$604,"&gt;="&amp;DATE(YEAR(A416)-1,MONTH(A416),1),$A$5:$A$604,"&lt;"&amp;DATE(YEAR(A416)-1,MONTH(A416)+1,1))))</f>
        <v/>
      </c>
      <c r="I416" s="19" t="str">
        <f aca="false">IF(OR(H416="",E416=""),"",E416/H416-1)</f>
        <v/>
      </c>
    </row>
    <row r="417" customFormat="false" ht="15" hidden="false" customHeight="false" outlineLevel="0" collapsed="false">
      <c r="A417" s="12"/>
      <c r="B417" s="13"/>
      <c r="C417" s="14"/>
      <c r="D417" s="14"/>
      <c r="E417" s="15"/>
      <c r="F417" s="16" t="str">
        <f aca="false">IF(OR(C417="",D417=""),"",D417-C417)</f>
        <v/>
      </c>
      <c r="G417" s="17" t="str">
        <f aca="false">IF(OR(F417="",F417=0),"",E417/F417)</f>
        <v/>
      </c>
      <c r="H417" s="18" t="str">
        <f aca="false">IF(OR(A417="",B417=""),"",IF(SUMIFS($E$5:$E$604,$B$5:$B$604,B417,$A$5:$A$604,"&gt;="&amp;DATE(YEAR(A417)-1,MONTH(A417),1),$A$5:$A$604,"&lt;"&amp;DATE(YEAR(A417)-1,MONTH(A417)+1,1))=0,"",SUMIFS($E$5:$E$604,$B$5:$B$604,B417,$A$5:$A$604,"&gt;="&amp;DATE(YEAR(A417)-1,MONTH(A417),1),$A$5:$A$604,"&lt;"&amp;DATE(YEAR(A417)-1,MONTH(A417)+1,1))))</f>
        <v/>
      </c>
      <c r="I417" s="19" t="str">
        <f aca="false">IF(OR(H417="",E417=""),"",E417/H417-1)</f>
        <v/>
      </c>
    </row>
    <row r="418" customFormat="false" ht="15" hidden="false" customHeight="false" outlineLevel="0" collapsed="false">
      <c r="A418" s="12"/>
      <c r="B418" s="13"/>
      <c r="C418" s="14"/>
      <c r="D418" s="14"/>
      <c r="E418" s="15"/>
      <c r="F418" s="16" t="str">
        <f aca="false">IF(OR(C418="",D418=""),"",D418-C418)</f>
        <v/>
      </c>
      <c r="G418" s="17" t="str">
        <f aca="false">IF(OR(F418="",F418=0),"",E418/F418)</f>
        <v/>
      </c>
      <c r="H418" s="18" t="str">
        <f aca="false">IF(OR(A418="",B418=""),"",IF(SUMIFS($E$5:$E$604,$B$5:$B$604,B418,$A$5:$A$604,"&gt;="&amp;DATE(YEAR(A418)-1,MONTH(A418),1),$A$5:$A$604,"&lt;"&amp;DATE(YEAR(A418)-1,MONTH(A418)+1,1))=0,"",SUMIFS($E$5:$E$604,$B$5:$B$604,B418,$A$5:$A$604,"&gt;="&amp;DATE(YEAR(A418)-1,MONTH(A418),1),$A$5:$A$604,"&lt;"&amp;DATE(YEAR(A418)-1,MONTH(A418)+1,1))))</f>
        <v/>
      </c>
      <c r="I418" s="19" t="str">
        <f aca="false">IF(OR(H418="",E418=""),"",E418/H418-1)</f>
        <v/>
      </c>
    </row>
    <row r="419" customFormat="false" ht="15" hidden="false" customHeight="false" outlineLevel="0" collapsed="false">
      <c r="A419" s="12"/>
      <c r="B419" s="13"/>
      <c r="C419" s="14"/>
      <c r="D419" s="14"/>
      <c r="E419" s="15"/>
      <c r="F419" s="16" t="str">
        <f aca="false">IF(OR(C419="",D419=""),"",D419-C419)</f>
        <v/>
      </c>
      <c r="G419" s="17" t="str">
        <f aca="false">IF(OR(F419="",F419=0),"",E419/F419)</f>
        <v/>
      </c>
      <c r="H419" s="18" t="str">
        <f aca="false">IF(OR(A419="",B419=""),"",IF(SUMIFS($E$5:$E$604,$B$5:$B$604,B419,$A$5:$A$604,"&gt;="&amp;DATE(YEAR(A419)-1,MONTH(A419),1),$A$5:$A$604,"&lt;"&amp;DATE(YEAR(A419)-1,MONTH(A419)+1,1))=0,"",SUMIFS($E$5:$E$604,$B$5:$B$604,B419,$A$5:$A$604,"&gt;="&amp;DATE(YEAR(A419)-1,MONTH(A419),1),$A$5:$A$604,"&lt;"&amp;DATE(YEAR(A419)-1,MONTH(A419)+1,1))))</f>
        <v/>
      </c>
      <c r="I419" s="19" t="str">
        <f aca="false">IF(OR(H419="",E419=""),"",E419/H419-1)</f>
        <v/>
      </c>
    </row>
    <row r="420" customFormat="false" ht="15" hidden="false" customHeight="false" outlineLevel="0" collapsed="false">
      <c r="A420" s="12"/>
      <c r="B420" s="13"/>
      <c r="C420" s="14"/>
      <c r="D420" s="14"/>
      <c r="E420" s="15"/>
      <c r="F420" s="16" t="str">
        <f aca="false">IF(OR(C420="",D420=""),"",D420-C420)</f>
        <v/>
      </c>
      <c r="G420" s="17" t="str">
        <f aca="false">IF(OR(F420="",F420=0),"",E420/F420)</f>
        <v/>
      </c>
      <c r="H420" s="18" t="str">
        <f aca="false">IF(OR(A420="",B420=""),"",IF(SUMIFS($E$5:$E$604,$B$5:$B$604,B420,$A$5:$A$604,"&gt;="&amp;DATE(YEAR(A420)-1,MONTH(A420),1),$A$5:$A$604,"&lt;"&amp;DATE(YEAR(A420)-1,MONTH(A420)+1,1))=0,"",SUMIFS($E$5:$E$604,$B$5:$B$604,B420,$A$5:$A$604,"&gt;="&amp;DATE(YEAR(A420)-1,MONTH(A420),1),$A$5:$A$604,"&lt;"&amp;DATE(YEAR(A420)-1,MONTH(A420)+1,1))))</f>
        <v/>
      </c>
      <c r="I420" s="19" t="str">
        <f aca="false">IF(OR(H420="",E420=""),"",E420/H420-1)</f>
        <v/>
      </c>
    </row>
    <row r="421" customFormat="false" ht="15" hidden="false" customHeight="false" outlineLevel="0" collapsed="false">
      <c r="A421" s="12"/>
      <c r="B421" s="13"/>
      <c r="C421" s="14"/>
      <c r="D421" s="14"/>
      <c r="E421" s="15"/>
      <c r="F421" s="16" t="str">
        <f aca="false">IF(OR(C421="",D421=""),"",D421-C421)</f>
        <v/>
      </c>
      <c r="G421" s="17" t="str">
        <f aca="false">IF(OR(F421="",F421=0),"",E421/F421)</f>
        <v/>
      </c>
      <c r="H421" s="18" t="str">
        <f aca="false">IF(OR(A421="",B421=""),"",IF(SUMIFS($E$5:$E$604,$B$5:$B$604,B421,$A$5:$A$604,"&gt;="&amp;DATE(YEAR(A421)-1,MONTH(A421),1),$A$5:$A$604,"&lt;"&amp;DATE(YEAR(A421)-1,MONTH(A421)+1,1))=0,"",SUMIFS($E$5:$E$604,$B$5:$B$604,B421,$A$5:$A$604,"&gt;="&amp;DATE(YEAR(A421)-1,MONTH(A421),1),$A$5:$A$604,"&lt;"&amp;DATE(YEAR(A421)-1,MONTH(A421)+1,1))))</f>
        <v/>
      </c>
      <c r="I421" s="19" t="str">
        <f aca="false">IF(OR(H421="",E421=""),"",E421/H421-1)</f>
        <v/>
      </c>
    </row>
    <row r="422" customFormat="false" ht="15" hidden="false" customHeight="false" outlineLevel="0" collapsed="false">
      <c r="A422" s="12"/>
      <c r="B422" s="13"/>
      <c r="C422" s="14"/>
      <c r="D422" s="14"/>
      <c r="E422" s="15"/>
      <c r="F422" s="16" t="str">
        <f aca="false">IF(OR(C422="",D422=""),"",D422-C422)</f>
        <v/>
      </c>
      <c r="G422" s="17" t="str">
        <f aca="false">IF(OR(F422="",F422=0),"",E422/F422)</f>
        <v/>
      </c>
      <c r="H422" s="18" t="str">
        <f aca="false">IF(OR(A422="",B422=""),"",IF(SUMIFS($E$5:$E$604,$B$5:$B$604,B422,$A$5:$A$604,"&gt;="&amp;DATE(YEAR(A422)-1,MONTH(A422),1),$A$5:$A$604,"&lt;"&amp;DATE(YEAR(A422)-1,MONTH(A422)+1,1))=0,"",SUMIFS($E$5:$E$604,$B$5:$B$604,B422,$A$5:$A$604,"&gt;="&amp;DATE(YEAR(A422)-1,MONTH(A422),1),$A$5:$A$604,"&lt;"&amp;DATE(YEAR(A422)-1,MONTH(A422)+1,1))))</f>
        <v/>
      </c>
      <c r="I422" s="19" t="str">
        <f aca="false">IF(OR(H422="",E422=""),"",E422/H422-1)</f>
        <v/>
      </c>
    </row>
    <row r="423" customFormat="false" ht="15" hidden="false" customHeight="false" outlineLevel="0" collapsed="false">
      <c r="A423" s="12"/>
      <c r="B423" s="13"/>
      <c r="C423" s="14"/>
      <c r="D423" s="14"/>
      <c r="E423" s="15"/>
      <c r="F423" s="16" t="str">
        <f aca="false">IF(OR(C423="",D423=""),"",D423-C423)</f>
        <v/>
      </c>
      <c r="G423" s="17" t="str">
        <f aca="false">IF(OR(F423="",F423=0),"",E423/F423)</f>
        <v/>
      </c>
      <c r="H423" s="18" t="str">
        <f aca="false">IF(OR(A423="",B423=""),"",IF(SUMIFS($E$5:$E$604,$B$5:$B$604,B423,$A$5:$A$604,"&gt;="&amp;DATE(YEAR(A423)-1,MONTH(A423),1),$A$5:$A$604,"&lt;"&amp;DATE(YEAR(A423)-1,MONTH(A423)+1,1))=0,"",SUMIFS($E$5:$E$604,$B$5:$B$604,B423,$A$5:$A$604,"&gt;="&amp;DATE(YEAR(A423)-1,MONTH(A423),1),$A$5:$A$604,"&lt;"&amp;DATE(YEAR(A423)-1,MONTH(A423)+1,1))))</f>
        <v/>
      </c>
      <c r="I423" s="19" t="str">
        <f aca="false">IF(OR(H423="",E423=""),"",E423/H423-1)</f>
        <v/>
      </c>
    </row>
    <row r="424" customFormat="false" ht="15" hidden="false" customHeight="false" outlineLevel="0" collapsed="false">
      <c r="A424" s="12"/>
      <c r="B424" s="13"/>
      <c r="C424" s="14"/>
      <c r="D424" s="14"/>
      <c r="E424" s="15"/>
      <c r="F424" s="16" t="str">
        <f aca="false">IF(OR(C424="",D424=""),"",D424-C424)</f>
        <v/>
      </c>
      <c r="G424" s="17" t="str">
        <f aca="false">IF(OR(F424="",F424=0),"",E424/F424)</f>
        <v/>
      </c>
      <c r="H424" s="18" t="str">
        <f aca="false">IF(OR(A424="",B424=""),"",IF(SUMIFS($E$5:$E$604,$B$5:$B$604,B424,$A$5:$A$604,"&gt;="&amp;DATE(YEAR(A424)-1,MONTH(A424),1),$A$5:$A$604,"&lt;"&amp;DATE(YEAR(A424)-1,MONTH(A424)+1,1))=0,"",SUMIFS($E$5:$E$604,$B$5:$B$604,B424,$A$5:$A$604,"&gt;="&amp;DATE(YEAR(A424)-1,MONTH(A424),1),$A$5:$A$604,"&lt;"&amp;DATE(YEAR(A424)-1,MONTH(A424)+1,1))))</f>
        <v/>
      </c>
      <c r="I424" s="19" t="str">
        <f aca="false">IF(OR(H424="",E424=""),"",E424/H424-1)</f>
        <v/>
      </c>
    </row>
    <row r="425" customFormat="false" ht="15" hidden="false" customHeight="false" outlineLevel="0" collapsed="false">
      <c r="A425" s="12"/>
      <c r="B425" s="13"/>
      <c r="C425" s="14"/>
      <c r="D425" s="14"/>
      <c r="E425" s="15"/>
      <c r="F425" s="16" t="str">
        <f aca="false">IF(OR(C425="",D425=""),"",D425-C425)</f>
        <v/>
      </c>
      <c r="G425" s="17" t="str">
        <f aca="false">IF(OR(F425="",F425=0),"",E425/F425)</f>
        <v/>
      </c>
      <c r="H425" s="18" t="str">
        <f aca="false">IF(OR(A425="",B425=""),"",IF(SUMIFS($E$5:$E$604,$B$5:$B$604,B425,$A$5:$A$604,"&gt;="&amp;DATE(YEAR(A425)-1,MONTH(A425),1),$A$5:$A$604,"&lt;"&amp;DATE(YEAR(A425)-1,MONTH(A425)+1,1))=0,"",SUMIFS($E$5:$E$604,$B$5:$B$604,B425,$A$5:$A$604,"&gt;="&amp;DATE(YEAR(A425)-1,MONTH(A425),1),$A$5:$A$604,"&lt;"&amp;DATE(YEAR(A425)-1,MONTH(A425)+1,1))))</f>
        <v/>
      </c>
      <c r="I425" s="19" t="str">
        <f aca="false">IF(OR(H425="",E425=""),"",E425/H425-1)</f>
        <v/>
      </c>
    </row>
    <row r="426" customFormat="false" ht="15" hidden="false" customHeight="false" outlineLevel="0" collapsed="false">
      <c r="A426" s="12"/>
      <c r="B426" s="13"/>
      <c r="C426" s="14"/>
      <c r="D426" s="14"/>
      <c r="E426" s="15"/>
      <c r="F426" s="16" t="str">
        <f aca="false">IF(OR(C426="",D426=""),"",D426-C426)</f>
        <v/>
      </c>
      <c r="G426" s="17" t="str">
        <f aca="false">IF(OR(F426="",F426=0),"",E426/F426)</f>
        <v/>
      </c>
      <c r="H426" s="18" t="str">
        <f aca="false">IF(OR(A426="",B426=""),"",IF(SUMIFS($E$5:$E$604,$B$5:$B$604,B426,$A$5:$A$604,"&gt;="&amp;DATE(YEAR(A426)-1,MONTH(A426),1),$A$5:$A$604,"&lt;"&amp;DATE(YEAR(A426)-1,MONTH(A426)+1,1))=0,"",SUMIFS($E$5:$E$604,$B$5:$B$604,B426,$A$5:$A$604,"&gt;="&amp;DATE(YEAR(A426)-1,MONTH(A426),1),$A$5:$A$604,"&lt;"&amp;DATE(YEAR(A426)-1,MONTH(A426)+1,1))))</f>
        <v/>
      </c>
      <c r="I426" s="19" t="str">
        <f aca="false">IF(OR(H426="",E426=""),"",E426/H426-1)</f>
        <v/>
      </c>
    </row>
    <row r="427" customFormat="false" ht="15" hidden="false" customHeight="false" outlineLevel="0" collapsed="false">
      <c r="A427" s="12"/>
      <c r="B427" s="13"/>
      <c r="C427" s="14"/>
      <c r="D427" s="14"/>
      <c r="E427" s="15"/>
      <c r="F427" s="16" t="str">
        <f aca="false">IF(OR(C427="",D427=""),"",D427-C427)</f>
        <v/>
      </c>
      <c r="G427" s="17" t="str">
        <f aca="false">IF(OR(F427="",F427=0),"",E427/F427)</f>
        <v/>
      </c>
      <c r="H427" s="18" t="str">
        <f aca="false">IF(OR(A427="",B427=""),"",IF(SUMIFS($E$5:$E$604,$B$5:$B$604,B427,$A$5:$A$604,"&gt;="&amp;DATE(YEAR(A427)-1,MONTH(A427),1),$A$5:$A$604,"&lt;"&amp;DATE(YEAR(A427)-1,MONTH(A427)+1,1))=0,"",SUMIFS($E$5:$E$604,$B$5:$B$604,B427,$A$5:$A$604,"&gt;="&amp;DATE(YEAR(A427)-1,MONTH(A427),1),$A$5:$A$604,"&lt;"&amp;DATE(YEAR(A427)-1,MONTH(A427)+1,1))))</f>
        <v/>
      </c>
      <c r="I427" s="19" t="str">
        <f aca="false">IF(OR(H427="",E427=""),"",E427/H427-1)</f>
        <v/>
      </c>
    </row>
    <row r="428" customFormat="false" ht="15" hidden="false" customHeight="false" outlineLevel="0" collapsed="false">
      <c r="A428" s="12"/>
      <c r="B428" s="13"/>
      <c r="C428" s="14"/>
      <c r="D428" s="14"/>
      <c r="E428" s="15"/>
      <c r="F428" s="16" t="str">
        <f aca="false">IF(OR(C428="",D428=""),"",D428-C428)</f>
        <v/>
      </c>
      <c r="G428" s="17" t="str">
        <f aca="false">IF(OR(F428="",F428=0),"",E428/F428)</f>
        <v/>
      </c>
      <c r="H428" s="18" t="str">
        <f aca="false">IF(OR(A428="",B428=""),"",IF(SUMIFS($E$5:$E$604,$B$5:$B$604,B428,$A$5:$A$604,"&gt;="&amp;DATE(YEAR(A428)-1,MONTH(A428),1),$A$5:$A$604,"&lt;"&amp;DATE(YEAR(A428)-1,MONTH(A428)+1,1))=0,"",SUMIFS($E$5:$E$604,$B$5:$B$604,B428,$A$5:$A$604,"&gt;="&amp;DATE(YEAR(A428)-1,MONTH(A428),1),$A$5:$A$604,"&lt;"&amp;DATE(YEAR(A428)-1,MONTH(A428)+1,1))))</f>
        <v/>
      </c>
      <c r="I428" s="19" t="str">
        <f aca="false">IF(OR(H428="",E428=""),"",E428/H428-1)</f>
        <v/>
      </c>
    </row>
    <row r="429" customFormat="false" ht="15" hidden="false" customHeight="false" outlineLevel="0" collapsed="false">
      <c r="A429" s="12"/>
      <c r="B429" s="13"/>
      <c r="C429" s="14"/>
      <c r="D429" s="14"/>
      <c r="E429" s="15"/>
      <c r="F429" s="16" t="str">
        <f aca="false">IF(OR(C429="",D429=""),"",D429-C429)</f>
        <v/>
      </c>
      <c r="G429" s="17" t="str">
        <f aca="false">IF(OR(F429="",F429=0),"",E429/F429)</f>
        <v/>
      </c>
      <c r="H429" s="18" t="str">
        <f aca="false">IF(OR(A429="",B429=""),"",IF(SUMIFS($E$5:$E$604,$B$5:$B$604,B429,$A$5:$A$604,"&gt;="&amp;DATE(YEAR(A429)-1,MONTH(A429),1),$A$5:$A$604,"&lt;"&amp;DATE(YEAR(A429)-1,MONTH(A429)+1,1))=0,"",SUMIFS($E$5:$E$604,$B$5:$B$604,B429,$A$5:$A$604,"&gt;="&amp;DATE(YEAR(A429)-1,MONTH(A429),1),$A$5:$A$604,"&lt;"&amp;DATE(YEAR(A429)-1,MONTH(A429)+1,1))))</f>
        <v/>
      </c>
      <c r="I429" s="19" t="str">
        <f aca="false">IF(OR(H429="",E429=""),"",E429/H429-1)</f>
        <v/>
      </c>
    </row>
    <row r="430" customFormat="false" ht="15" hidden="false" customHeight="false" outlineLevel="0" collapsed="false">
      <c r="A430" s="12"/>
      <c r="B430" s="13"/>
      <c r="C430" s="14"/>
      <c r="D430" s="14"/>
      <c r="E430" s="15"/>
      <c r="F430" s="16" t="str">
        <f aca="false">IF(OR(C430="",D430=""),"",D430-C430)</f>
        <v/>
      </c>
      <c r="G430" s="17" t="str">
        <f aca="false">IF(OR(F430="",F430=0),"",E430/F430)</f>
        <v/>
      </c>
      <c r="H430" s="18" t="str">
        <f aca="false">IF(OR(A430="",B430=""),"",IF(SUMIFS($E$5:$E$604,$B$5:$B$604,B430,$A$5:$A$604,"&gt;="&amp;DATE(YEAR(A430)-1,MONTH(A430),1),$A$5:$A$604,"&lt;"&amp;DATE(YEAR(A430)-1,MONTH(A430)+1,1))=0,"",SUMIFS($E$5:$E$604,$B$5:$B$604,B430,$A$5:$A$604,"&gt;="&amp;DATE(YEAR(A430)-1,MONTH(A430),1),$A$5:$A$604,"&lt;"&amp;DATE(YEAR(A430)-1,MONTH(A430)+1,1))))</f>
        <v/>
      </c>
      <c r="I430" s="19" t="str">
        <f aca="false">IF(OR(H430="",E430=""),"",E430/H430-1)</f>
        <v/>
      </c>
    </row>
    <row r="431" customFormat="false" ht="15" hidden="false" customHeight="false" outlineLevel="0" collapsed="false">
      <c r="A431" s="12"/>
      <c r="B431" s="13"/>
      <c r="C431" s="14"/>
      <c r="D431" s="14"/>
      <c r="E431" s="15"/>
      <c r="F431" s="16" t="str">
        <f aca="false">IF(OR(C431="",D431=""),"",D431-C431)</f>
        <v/>
      </c>
      <c r="G431" s="17" t="str">
        <f aca="false">IF(OR(F431="",F431=0),"",E431/F431)</f>
        <v/>
      </c>
      <c r="H431" s="18" t="str">
        <f aca="false">IF(OR(A431="",B431=""),"",IF(SUMIFS($E$5:$E$604,$B$5:$B$604,B431,$A$5:$A$604,"&gt;="&amp;DATE(YEAR(A431)-1,MONTH(A431),1),$A$5:$A$604,"&lt;"&amp;DATE(YEAR(A431)-1,MONTH(A431)+1,1))=0,"",SUMIFS($E$5:$E$604,$B$5:$B$604,B431,$A$5:$A$604,"&gt;="&amp;DATE(YEAR(A431)-1,MONTH(A431),1),$A$5:$A$604,"&lt;"&amp;DATE(YEAR(A431)-1,MONTH(A431)+1,1))))</f>
        <v/>
      </c>
      <c r="I431" s="19" t="str">
        <f aca="false">IF(OR(H431="",E431=""),"",E431/H431-1)</f>
        <v/>
      </c>
    </row>
    <row r="432" customFormat="false" ht="15" hidden="false" customHeight="false" outlineLevel="0" collapsed="false">
      <c r="A432" s="12"/>
      <c r="B432" s="13"/>
      <c r="C432" s="14"/>
      <c r="D432" s="14"/>
      <c r="E432" s="15"/>
      <c r="F432" s="16" t="str">
        <f aca="false">IF(OR(C432="",D432=""),"",D432-C432)</f>
        <v/>
      </c>
      <c r="G432" s="17" t="str">
        <f aca="false">IF(OR(F432="",F432=0),"",E432/F432)</f>
        <v/>
      </c>
      <c r="H432" s="18" t="str">
        <f aca="false">IF(OR(A432="",B432=""),"",IF(SUMIFS($E$5:$E$604,$B$5:$B$604,B432,$A$5:$A$604,"&gt;="&amp;DATE(YEAR(A432)-1,MONTH(A432),1),$A$5:$A$604,"&lt;"&amp;DATE(YEAR(A432)-1,MONTH(A432)+1,1))=0,"",SUMIFS($E$5:$E$604,$B$5:$B$604,B432,$A$5:$A$604,"&gt;="&amp;DATE(YEAR(A432)-1,MONTH(A432),1),$A$5:$A$604,"&lt;"&amp;DATE(YEAR(A432)-1,MONTH(A432)+1,1))))</f>
        <v/>
      </c>
      <c r="I432" s="19" t="str">
        <f aca="false">IF(OR(H432="",E432=""),"",E432/H432-1)</f>
        <v/>
      </c>
    </row>
    <row r="433" customFormat="false" ht="15" hidden="false" customHeight="false" outlineLevel="0" collapsed="false">
      <c r="A433" s="12"/>
      <c r="B433" s="13"/>
      <c r="C433" s="14"/>
      <c r="D433" s="14"/>
      <c r="E433" s="15"/>
      <c r="F433" s="16" t="str">
        <f aca="false">IF(OR(C433="",D433=""),"",D433-C433)</f>
        <v/>
      </c>
      <c r="G433" s="17" t="str">
        <f aca="false">IF(OR(F433="",F433=0),"",E433/F433)</f>
        <v/>
      </c>
      <c r="H433" s="18" t="str">
        <f aca="false">IF(OR(A433="",B433=""),"",IF(SUMIFS($E$5:$E$604,$B$5:$B$604,B433,$A$5:$A$604,"&gt;="&amp;DATE(YEAR(A433)-1,MONTH(A433),1),$A$5:$A$604,"&lt;"&amp;DATE(YEAR(A433)-1,MONTH(A433)+1,1))=0,"",SUMIFS($E$5:$E$604,$B$5:$B$604,B433,$A$5:$A$604,"&gt;="&amp;DATE(YEAR(A433)-1,MONTH(A433),1),$A$5:$A$604,"&lt;"&amp;DATE(YEAR(A433)-1,MONTH(A433)+1,1))))</f>
        <v/>
      </c>
      <c r="I433" s="19" t="str">
        <f aca="false">IF(OR(H433="",E433=""),"",E433/H433-1)</f>
        <v/>
      </c>
    </row>
    <row r="434" customFormat="false" ht="15" hidden="false" customHeight="false" outlineLevel="0" collapsed="false">
      <c r="A434" s="12"/>
      <c r="B434" s="13"/>
      <c r="C434" s="14"/>
      <c r="D434" s="14"/>
      <c r="E434" s="15"/>
      <c r="F434" s="16" t="str">
        <f aca="false">IF(OR(C434="",D434=""),"",D434-C434)</f>
        <v/>
      </c>
      <c r="G434" s="17" t="str">
        <f aca="false">IF(OR(F434="",F434=0),"",E434/F434)</f>
        <v/>
      </c>
      <c r="H434" s="18" t="str">
        <f aca="false">IF(OR(A434="",B434=""),"",IF(SUMIFS($E$5:$E$604,$B$5:$B$604,B434,$A$5:$A$604,"&gt;="&amp;DATE(YEAR(A434)-1,MONTH(A434),1),$A$5:$A$604,"&lt;"&amp;DATE(YEAR(A434)-1,MONTH(A434)+1,1))=0,"",SUMIFS($E$5:$E$604,$B$5:$B$604,B434,$A$5:$A$604,"&gt;="&amp;DATE(YEAR(A434)-1,MONTH(A434),1),$A$5:$A$604,"&lt;"&amp;DATE(YEAR(A434)-1,MONTH(A434)+1,1))))</f>
        <v/>
      </c>
      <c r="I434" s="19" t="str">
        <f aca="false">IF(OR(H434="",E434=""),"",E434/H434-1)</f>
        <v/>
      </c>
    </row>
    <row r="435" customFormat="false" ht="15" hidden="false" customHeight="false" outlineLevel="0" collapsed="false">
      <c r="A435" s="12"/>
      <c r="B435" s="13"/>
      <c r="C435" s="14"/>
      <c r="D435" s="14"/>
      <c r="E435" s="15"/>
      <c r="F435" s="16" t="str">
        <f aca="false">IF(OR(C435="",D435=""),"",D435-C435)</f>
        <v/>
      </c>
      <c r="G435" s="17" t="str">
        <f aca="false">IF(OR(F435="",F435=0),"",E435/F435)</f>
        <v/>
      </c>
      <c r="H435" s="18" t="str">
        <f aca="false">IF(OR(A435="",B435=""),"",IF(SUMIFS($E$5:$E$604,$B$5:$B$604,B435,$A$5:$A$604,"&gt;="&amp;DATE(YEAR(A435)-1,MONTH(A435),1),$A$5:$A$604,"&lt;"&amp;DATE(YEAR(A435)-1,MONTH(A435)+1,1))=0,"",SUMIFS($E$5:$E$604,$B$5:$B$604,B435,$A$5:$A$604,"&gt;="&amp;DATE(YEAR(A435)-1,MONTH(A435),1),$A$5:$A$604,"&lt;"&amp;DATE(YEAR(A435)-1,MONTH(A435)+1,1))))</f>
        <v/>
      </c>
      <c r="I435" s="19" t="str">
        <f aca="false">IF(OR(H435="",E435=""),"",E435/H435-1)</f>
        <v/>
      </c>
    </row>
    <row r="436" customFormat="false" ht="15" hidden="false" customHeight="false" outlineLevel="0" collapsed="false">
      <c r="A436" s="12"/>
      <c r="B436" s="13"/>
      <c r="C436" s="14"/>
      <c r="D436" s="14"/>
      <c r="E436" s="15"/>
      <c r="F436" s="16" t="str">
        <f aca="false">IF(OR(C436="",D436=""),"",D436-C436)</f>
        <v/>
      </c>
      <c r="G436" s="17" t="str">
        <f aca="false">IF(OR(F436="",F436=0),"",E436/F436)</f>
        <v/>
      </c>
      <c r="H436" s="18" t="str">
        <f aca="false">IF(OR(A436="",B436=""),"",IF(SUMIFS($E$5:$E$604,$B$5:$B$604,B436,$A$5:$A$604,"&gt;="&amp;DATE(YEAR(A436)-1,MONTH(A436),1),$A$5:$A$604,"&lt;"&amp;DATE(YEAR(A436)-1,MONTH(A436)+1,1))=0,"",SUMIFS($E$5:$E$604,$B$5:$B$604,B436,$A$5:$A$604,"&gt;="&amp;DATE(YEAR(A436)-1,MONTH(A436),1),$A$5:$A$604,"&lt;"&amp;DATE(YEAR(A436)-1,MONTH(A436)+1,1))))</f>
        <v/>
      </c>
      <c r="I436" s="19" t="str">
        <f aca="false">IF(OR(H436="",E436=""),"",E436/H436-1)</f>
        <v/>
      </c>
    </row>
    <row r="437" customFormat="false" ht="15" hidden="false" customHeight="false" outlineLevel="0" collapsed="false">
      <c r="A437" s="12"/>
      <c r="B437" s="13"/>
      <c r="C437" s="14"/>
      <c r="D437" s="14"/>
      <c r="E437" s="15"/>
      <c r="F437" s="16" t="str">
        <f aca="false">IF(OR(C437="",D437=""),"",D437-C437)</f>
        <v/>
      </c>
      <c r="G437" s="17" t="str">
        <f aca="false">IF(OR(F437="",F437=0),"",E437/F437)</f>
        <v/>
      </c>
      <c r="H437" s="18" t="str">
        <f aca="false">IF(OR(A437="",B437=""),"",IF(SUMIFS($E$5:$E$604,$B$5:$B$604,B437,$A$5:$A$604,"&gt;="&amp;DATE(YEAR(A437)-1,MONTH(A437),1),$A$5:$A$604,"&lt;"&amp;DATE(YEAR(A437)-1,MONTH(A437)+1,1))=0,"",SUMIFS($E$5:$E$604,$B$5:$B$604,B437,$A$5:$A$604,"&gt;="&amp;DATE(YEAR(A437)-1,MONTH(A437),1),$A$5:$A$604,"&lt;"&amp;DATE(YEAR(A437)-1,MONTH(A437)+1,1))))</f>
        <v/>
      </c>
      <c r="I437" s="19" t="str">
        <f aca="false">IF(OR(H437="",E437=""),"",E437/H437-1)</f>
        <v/>
      </c>
    </row>
    <row r="438" customFormat="false" ht="15" hidden="false" customHeight="false" outlineLevel="0" collapsed="false">
      <c r="A438" s="12"/>
      <c r="B438" s="13"/>
      <c r="C438" s="14"/>
      <c r="D438" s="14"/>
      <c r="E438" s="15"/>
      <c r="F438" s="16" t="str">
        <f aca="false">IF(OR(C438="",D438=""),"",D438-C438)</f>
        <v/>
      </c>
      <c r="G438" s="17" t="str">
        <f aca="false">IF(OR(F438="",F438=0),"",E438/F438)</f>
        <v/>
      </c>
      <c r="H438" s="18" t="str">
        <f aca="false">IF(OR(A438="",B438=""),"",IF(SUMIFS($E$5:$E$604,$B$5:$B$604,B438,$A$5:$A$604,"&gt;="&amp;DATE(YEAR(A438)-1,MONTH(A438),1),$A$5:$A$604,"&lt;"&amp;DATE(YEAR(A438)-1,MONTH(A438)+1,1))=0,"",SUMIFS($E$5:$E$604,$B$5:$B$604,B438,$A$5:$A$604,"&gt;="&amp;DATE(YEAR(A438)-1,MONTH(A438),1),$A$5:$A$604,"&lt;"&amp;DATE(YEAR(A438)-1,MONTH(A438)+1,1))))</f>
        <v/>
      </c>
      <c r="I438" s="19" t="str">
        <f aca="false">IF(OR(H438="",E438=""),"",E438/H438-1)</f>
        <v/>
      </c>
    </row>
    <row r="439" customFormat="false" ht="15" hidden="false" customHeight="false" outlineLevel="0" collapsed="false">
      <c r="A439" s="12"/>
      <c r="B439" s="13"/>
      <c r="C439" s="14"/>
      <c r="D439" s="14"/>
      <c r="E439" s="15"/>
      <c r="F439" s="16" t="str">
        <f aca="false">IF(OR(C439="",D439=""),"",D439-C439)</f>
        <v/>
      </c>
      <c r="G439" s="17" t="str">
        <f aca="false">IF(OR(F439="",F439=0),"",E439/F439)</f>
        <v/>
      </c>
      <c r="H439" s="18" t="str">
        <f aca="false">IF(OR(A439="",B439=""),"",IF(SUMIFS($E$5:$E$604,$B$5:$B$604,B439,$A$5:$A$604,"&gt;="&amp;DATE(YEAR(A439)-1,MONTH(A439),1),$A$5:$A$604,"&lt;"&amp;DATE(YEAR(A439)-1,MONTH(A439)+1,1))=0,"",SUMIFS($E$5:$E$604,$B$5:$B$604,B439,$A$5:$A$604,"&gt;="&amp;DATE(YEAR(A439)-1,MONTH(A439),1),$A$5:$A$604,"&lt;"&amp;DATE(YEAR(A439)-1,MONTH(A439)+1,1))))</f>
        <v/>
      </c>
      <c r="I439" s="19" t="str">
        <f aca="false">IF(OR(H439="",E439=""),"",E439/H439-1)</f>
        <v/>
      </c>
    </row>
    <row r="440" customFormat="false" ht="15" hidden="false" customHeight="false" outlineLevel="0" collapsed="false">
      <c r="A440" s="12"/>
      <c r="B440" s="13"/>
      <c r="C440" s="14"/>
      <c r="D440" s="14"/>
      <c r="E440" s="15"/>
      <c r="F440" s="16" t="str">
        <f aca="false">IF(OR(C440="",D440=""),"",D440-C440)</f>
        <v/>
      </c>
      <c r="G440" s="17" t="str">
        <f aca="false">IF(OR(F440="",F440=0),"",E440/F440)</f>
        <v/>
      </c>
      <c r="H440" s="18" t="str">
        <f aca="false">IF(OR(A440="",B440=""),"",IF(SUMIFS($E$5:$E$604,$B$5:$B$604,B440,$A$5:$A$604,"&gt;="&amp;DATE(YEAR(A440)-1,MONTH(A440),1),$A$5:$A$604,"&lt;"&amp;DATE(YEAR(A440)-1,MONTH(A440)+1,1))=0,"",SUMIFS($E$5:$E$604,$B$5:$B$604,B440,$A$5:$A$604,"&gt;="&amp;DATE(YEAR(A440)-1,MONTH(A440),1),$A$5:$A$604,"&lt;"&amp;DATE(YEAR(A440)-1,MONTH(A440)+1,1))))</f>
        <v/>
      </c>
      <c r="I440" s="19" t="str">
        <f aca="false">IF(OR(H440="",E440=""),"",E440/H440-1)</f>
        <v/>
      </c>
    </row>
    <row r="441" customFormat="false" ht="15" hidden="false" customHeight="false" outlineLevel="0" collapsed="false">
      <c r="A441" s="12"/>
      <c r="B441" s="13"/>
      <c r="C441" s="14"/>
      <c r="D441" s="14"/>
      <c r="E441" s="15"/>
      <c r="F441" s="16" t="str">
        <f aca="false">IF(OR(C441="",D441=""),"",D441-C441)</f>
        <v/>
      </c>
      <c r="G441" s="17" t="str">
        <f aca="false">IF(OR(F441="",F441=0),"",E441/F441)</f>
        <v/>
      </c>
      <c r="H441" s="18" t="str">
        <f aca="false">IF(OR(A441="",B441=""),"",IF(SUMIFS($E$5:$E$604,$B$5:$B$604,B441,$A$5:$A$604,"&gt;="&amp;DATE(YEAR(A441)-1,MONTH(A441),1),$A$5:$A$604,"&lt;"&amp;DATE(YEAR(A441)-1,MONTH(A441)+1,1))=0,"",SUMIFS($E$5:$E$604,$B$5:$B$604,B441,$A$5:$A$604,"&gt;="&amp;DATE(YEAR(A441)-1,MONTH(A441),1),$A$5:$A$604,"&lt;"&amp;DATE(YEAR(A441)-1,MONTH(A441)+1,1))))</f>
        <v/>
      </c>
      <c r="I441" s="19" t="str">
        <f aca="false">IF(OR(H441="",E441=""),"",E441/H441-1)</f>
        <v/>
      </c>
    </row>
    <row r="442" customFormat="false" ht="15" hidden="false" customHeight="false" outlineLevel="0" collapsed="false">
      <c r="A442" s="12"/>
      <c r="B442" s="13"/>
      <c r="C442" s="14"/>
      <c r="D442" s="14"/>
      <c r="E442" s="15"/>
      <c r="F442" s="16" t="str">
        <f aca="false">IF(OR(C442="",D442=""),"",D442-C442)</f>
        <v/>
      </c>
      <c r="G442" s="17" t="str">
        <f aca="false">IF(OR(F442="",F442=0),"",E442/F442)</f>
        <v/>
      </c>
      <c r="H442" s="18" t="str">
        <f aca="false">IF(OR(A442="",B442=""),"",IF(SUMIFS($E$5:$E$604,$B$5:$B$604,B442,$A$5:$A$604,"&gt;="&amp;DATE(YEAR(A442)-1,MONTH(A442),1),$A$5:$A$604,"&lt;"&amp;DATE(YEAR(A442)-1,MONTH(A442)+1,1))=0,"",SUMIFS($E$5:$E$604,$B$5:$B$604,B442,$A$5:$A$604,"&gt;="&amp;DATE(YEAR(A442)-1,MONTH(A442),1),$A$5:$A$604,"&lt;"&amp;DATE(YEAR(A442)-1,MONTH(A442)+1,1))))</f>
        <v/>
      </c>
      <c r="I442" s="19" t="str">
        <f aca="false">IF(OR(H442="",E442=""),"",E442/H442-1)</f>
        <v/>
      </c>
    </row>
    <row r="443" customFormat="false" ht="15" hidden="false" customHeight="false" outlineLevel="0" collapsed="false">
      <c r="A443" s="12"/>
      <c r="B443" s="13"/>
      <c r="C443" s="14"/>
      <c r="D443" s="14"/>
      <c r="E443" s="15"/>
      <c r="F443" s="16" t="str">
        <f aca="false">IF(OR(C443="",D443=""),"",D443-C443)</f>
        <v/>
      </c>
      <c r="G443" s="17" t="str">
        <f aca="false">IF(OR(F443="",F443=0),"",E443/F443)</f>
        <v/>
      </c>
      <c r="H443" s="18" t="str">
        <f aca="false">IF(OR(A443="",B443=""),"",IF(SUMIFS($E$5:$E$604,$B$5:$B$604,B443,$A$5:$A$604,"&gt;="&amp;DATE(YEAR(A443)-1,MONTH(A443),1),$A$5:$A$604,"&lt;"&amp;DATE(YEAR(A443)-1,MONTH(A443)+1,1))=0,"",SUMIFS($E$5:$E$604,$B$5:$B$604,B443,$A$5:$A$604,"&gt;="&amp;DATE(YEAR(A443)-1,MONTH(A443),1),$A$5:$A$604,"&lt;"&amp;DATE(YEAR(A443)-1,MONTH(A443)+1,1))))</f>
        <v/>
      </c>
      <c r="I443" s="19" t="str">
        <f aca="false">IF(OR(H443="",E443=""),"",E443/H443-1)</f>
        <v/>
      </c>
    </row>
    <row r="444" customFormat="false" ht="15" hidden="false" customHeight="false" outlineLevel="0" collapsed="false">
      <c r="A444" s="12"/>
      <c r="B444" s="13"/>
      <c r="C444" s="14"/>
      <c r="D444" s="14"/>
      <c r="E444" s="15"/>
      <c r="F444" s="16" t="str">
        <f aca="false">IF(OR(C444="",D444=""),"",D444-C444)</f>
        <v/>
      </c>
      <c r="G444" s="17" t="str">
        <f aca="false">IF(OR(F444="",F444=0),"",E444/F444)</f>
        <v/>
      </c>
      <c r="H444" s="18" t="str">
        <f aca="false">IF(OR(A444="",B444=""),"",IF(SUMIFS($E$5:$E$604,$B$5:$B$604,B444,$A$5:$A$604,"&gt;="&amp;DATE(YEAR(A444)-1,MONTH(A444),1),$A$5:$A$604,"&lt;"&amp;DATE(YEAR(A444)-1,MONTH(A444)+1,1))=0,"",SUMIFS($E$5:$E$604,$B$5:$B$604,B444,$A$5:$A$604,"&gt;="&amp;DATE(YEAR(A444)-1,MONTH(A444),1),$A$5:$A$604,"&lt;"&amp;DATE(YEAR(A444)-1,MONTH(A444)+1,1))))</f>
        <v/>
      </c>
      <c r="I444" s="19" t="str">
        <f aca="false">IF(OR(H444="",E444=""),"",E444/H444-1)</f>
        <v/>
      </c>
    </row>
    <row r="445" customFormat="false" ht="15" hidden="false" customHeight="false" outlineLevel="0" collapsed="false">
      <c r="A445" s="12"/>
      <c r="B445" s="13"/>
      <c r="C445" s="14"/>
      <c r="D445" s="14"/>
      <c r="E445" s="15"/>
      <c r="F445" s="16" t="str">
        <f aca="false">IF(OR(C445="",D445=""),"",D445-C445)</f>
        <v/>
      </c>
      <c r="G445" s="17" t="str">
        <f aca="false">IF(OR(F445="",F445=0),"",E445/F445)</f>
        <v/>
      </c>
      <c r="H445" s="18" t="str">
        <f aca="false">IF(OR(A445="",B445=""),"",IF(SUMIFS($E$5:$E$604,$B$5:$B$604,B445,$A$5:$A$604,"&gt;="&amp;DATE(YEAR(A445)-1,MONTH(A445),1),$A$5:$A$604,"&lt;"&amp;DATE(YEAR(A445)-1,MONTH(A445)+1,1))=0,"",SUMIFS($E$5:$E$604,$B$5:$B$604,B445,$A$5:$A$604,"&gt;="&amp;DATE(YEAR(A445)-1,MONTH(A445),1),$A$5:$A$604,"&lt;"&amp;DATE(YEAR(A445)-1,MONTH(A445)+1,1))))</f>
        <v/>
      </c>
      <c r="I445" s="19" t="str">
        <f aca="false">IF(OR(H445="",E445=""),"",E445/H445-1)</f>
        <v/>
      </c>
    </row>
    <row r="446" customFormat="false" ht="15" hidden="false" customHeight="false" outlineLevel="0" collapsed="false">
      <c r="A446" s="12"/>
      <c r="B446" s="13"/>
      <c r="C446" s="14"/>
      <c r="D446" s="14"/>
      <c r="E446" s="15"/>
      <c r="F446" s="16" t="str">
        <f aca="false">IF(OR(C446="",D446=""),"",D446-C446)</f>
        <v/>
      </c>
      <c r="G446" s="17" t="str">
        <f aca="false">IF(OR(F446="",F446=0),"",E446/F446)</f>
        <v/>
      </c>
      <c r="H446" s="18" t="str">
        <f aca="false">IF(OR(A446="",B446=""),"",IF(SUMIFS($E$5:$E$604,$B$5:$B$604,B446,$A$5:$A$604,"&gt;="&amp;DATE(YEAR(A446)-1,MONTH(A446),1),$A$5:$A$604,"&lt;"&amp;DATE(YEAR(A446)-1,MONTH(A446)+1,1))=0,"",SUMIFS($E$5:$E$604,$B$5:$B$604,B446,$A$5:$A$604,"&gt;="&amp;DATE(YEAR(A446)-1,MONTH(A446),1),$A$5:$A$604,"&lt;"&amp;DATE(YEAR(A446)-1,MONTH(A446)+1,1))))</f>
        <v/>
      </c>
      <c r="I446" s="19" t="str">
        <f aca="false">IF(OR(H446="",E446=""),"",E446/H446-1)</f>
        <v/>
      </c>
    </row>
    <row r="447" customFormat="false" ht="15" hidden="false" customHeight="false" outlineLevel="0" collapsed="false">
      <c r="A447" s="12"/>
      <c r="B447" s="13"/>
      <c r="C447" s="14"/>
      <c r="D447" s="14"/>
      <c r="E447" s="15"/>
      <c r="F447" s="16" t="str">
        <f aca="false">IF(OR(C447="",D447=""),"",D447-C447)</f>
        <v/>
      </c>
      <c r="G447" s="17" t="str">
        <f aca="false">IF(OR(F447="",F447=0),"",E447/F447)</f>
        <v/>
      </c>
      <c r="H447" s="18" t="str">
        <f aca="false">IF(OR(A447="",B447=""),"",IF(SUMIFS($E$5:$E$604,$B$5:$B$604,B447,$A$5:$A$604,"&gt;="&amp;DATE(YEAR(A447)-1,MONTH(A447),1),$A$5:$A$604,"&lt;"&amp;DATE(YEAR(A447)-1,MONTH(A447)+1,1))=0,"",SUMIFS($E$5:$E$604,$B$5:$B$604,B447,$A$5:$A$604,"&gt;="&amp;DATE(YEAR(A447)-1,MONTH(A447),1),$A$5:$A$604,"&lt;"&amp;DATE(YEAR(A447)-1,MONTH(A447)+1,1))))</f>
        <v/>
      </c>
      <c r="I447" s="19" t="str">
        <f aca="false">IF(OR(H447="",E447=""),"",E447/H447-1)</f>
        <v/>
      </c>
    </row>
    <row r="448" customFormat="false" ht="15" hidden="false" customHeight="false" outlineLevel="0" collapsed="false">
      <c r="A448" s="12"/>
      <c r="B448" s="13"/>
      <c r="C448" s="14"/>
      <c r="D448" s="14"/>
      <c r="E448" s="15"/>
      <c r="F448" s="16" t="str">
        <f aca="false">IF(OR(C448="",D448=""),"",D448-C448)</f>
        <v/>
      </c>
      <c r="G448" s="17" t="str">
        <f aca="false">IF(OR(F448="",F448=0),"",E448/F448)</f>
        <v/>
      </c>
      <c r="H448" s="18" t="str">
        <f aca="false">IF(OR(A448="",B448=""),"",IF(SUMIFS($E$5:$E$604,$B$5:$B$604,B448,$A$5:$A$604,"&gt;="&amp;DATE(YEAR(A448)-1,MONTH(A448),1),$A$5:$A$604,"&lt;"&amp;DATE(YEAR(A448)-1,MONTH(A448)+1,1))=0,"",SUMIFS($E$5:$E$604,$B$5:$B$604,B448,$A$5:$A$604,"&gt;="&amp;DATE(YEAR(A448)-1,MONTH(A448),1),$A$5:$A$604,"&lt;"&amp;DATE(YEAR(A448)-1,MONTH(A448)+1,1))))</f>
        <v/>
      </c>
      <c r="I448" s="19" t="str">
        <f aca="false">IF(OR(H448="",E448=""),"",E448/H448-1)</f>
        <v/>
      </c>
    </row>
    <row r="449" customFormat="false" ht="15" hidden="false" customHeight="false" outlineLevel="0" collapsed="false">
      <c r="A449" s="12"/>
      <c r="B449" s="13"/>
      <c r="C449" s="14"/>
      <c r="D449" s="14"/>
      <c r="E449" s="15"/>
      <c r="F449" s="16" t="str">
        <f aca="false">IF(OR(C449="",D449=""),"",D449-C449)</f>
        <v/>
      </c>
      <c r="G449" s="17" t="str">
        <f aca="false">IF(OR(F449="",F449=0),"",E449/F449)</f>
        <v/>
      </c>
      <c r="H449" s="18" t="str">
        <f aca="false">IF(OR(A449="",B449=""),"",IF(SUMIFS($E$5:$E$604,$B$5:$B$604,B449,$A$5:$A$604,"&gt;="&amp;DATE(YEAR(A449)-1,MONTH(A449),1),$A$5:$A$604,"&lt;"&amp;DATE(YEAR(A449)-1,MONTH(A449)+1,1))=0,"",SUMIFS($E$5:$E$604,$B$5:$B$604,B449,$A$5:$A$604,"&gt;="&amp;DATE(YEAR(A449)-1,MONTH(A449),1),$A$5:$A$604,"&lt;"&amp;DATE(YEAR(A449)-1,MONTH(A449)+1,1))))</f>
        <v/>
      </c>
      <c r="I449" s="19" t="str">
        <f aca="false">IF(OR(H449="",E449=""),"",E449/H449-1)</f>
        <v/>
      </c>
    </row>
    <row r="450" customFormat="false" ht="15" hidden="false" customHeight="false" outlineLevel="0" collapsed="false">
      <c r="A450" s="12"/>
      <c r="B450" s="13"/>
      <c r="C450" s="14"/>
      <c r="D450" s="14"/>
      <c r="E450" s="15"/>
      <c r="F450" s="16" t="str">
        <f aca="false">IF(OR(C450="",D450=""),"",D450-C450)</f>
        <v/>
      </c>
      <c r="G450" s="17" t="str">
        <f aca="false">IF(OR(F450="",F450=0),"",E450/F450)</f>
        <v/>
      </c>
      <c r="H450" s="18" t="str">
        <f aca="false">IF(OR(A450="",B450=""),"",IF(SUMIFS($E$5:$E$604,$B$5:$B$604,B450,$A$5:$A$604,"&gt;="&amp;DATE(YEAR(A450)-1,MONTH(A450),1),$A$5:$A$604,"&lt;"&amp;DATE(YEAR(A450)-1,MONTH(A450)+1,1))=0,"",SUMIFS($E$5:$E$604,$B$5:$B$604,B450,$A$5:$A$604,"&gt;="&amp;DATE(YEAR(A450)-1,MONTH(A450),1),$A$5:$A$604,"&lt;"&amp;DATE(YEAR(A450)-1,MONTH(A450)+1,1))))</f>
        <v/>
      </c>
      <c r="I450" s="19" t="str">
        <f aca="false">IF(OR(H450="",E450=""),"",E450/H450-1)</f>
        <v/>
      </c>
    </row>
    <row r="451" customFormat="false" ht="15" hidden="false" customHeight="false" outlineLevel="0" collapsed="false">
      <c r="A451" s="12"/>
      <c r="B451" s="13"/>
      <c r="C451" s="14"/>
      <c r="D451" s="14"/>
      <c r="E451" s="15"/>
      <c r="F451" s="16" t="str">
        <f aca="false">IF(OR(C451="",D451=""),"",D451-C451)</f>
        <v/>
      </c>
      <c r="G451" s="17" t="str">
        <f aca="false">IF(OR(F451="",F451=0),"",E451/F451)</f>
        <v/>
      </c>
      <c r="H451" s="18" t="str">
        <f aca="false">IF(OR(A451="",B451=""),"",IF(SUMIFS($E$5:$E$604,$B$5:$B$604,B451,$A$5:$A$604,"&gt;="&amp;DATE(YEAR(A451)-1,MONTH(A451),1),$A$5:$A$604,"&lt;"&amp;DATE(YEAR(A451)-1,MONTH(A451)+1,1))=0,"",SUMIFS($E$5:$E$604,$B$5:$B$604,B451,$A$5:$A$604,"&gt;="&amp;DATE(YEAR(A451)-1,MONTH(A451),1),$A$5:$A$604,"&lt;"&amp;DATE(YEAR(A451)-1,MONTH(A451)+1,1))))</f>
        <v/>
      </c>
      <c r="I451" s="19" t="str">
        <f aca="false">IF(OR(H451="",E451=""),"",E451/H451-1)</f>
        <v/>
      </c>
    </row>
    <row r="452" customFormat="false" ht="15" hidden="false" customHeight="false" outlineLevel="0" collapsed="false">
      <c r="A452" s="12"/>
      <c r="B452" s="13"/>
      <c r="C452" s="14"/>
      <c r="D452" s="14"/>
      <c r="E452" s="15"/>
      <c r="F452" s="16" t="str">
        <f aca="false">IF(OR(C452="",D452=""),"",D452-C452)</f>
        <v/>
      </c>
      <c r="G452" s="17" t="str">
        <f aca="false">IF(OR(F452="",F452=0),"",E452/F452)</f>
        <v/>
      </c>
      <c r="H452" s="18" t="str">
        <f aca="false">IF(OR(A452="",B452=""),"",IF(SUMIFS($E$5:$E$604,$B$5:$B$604,B452,$A$5:$A$604,"&gt;="&amp;DATE(YEAR(A452)-1,MONTH(A452),1),$A$5:$A$604,"&lt;"&amp;DATE(YEAR(A452)-1,MONTH(A452)+1,1))=0,"",SUMIFS($E$5:$E$604,$B$5:$B$604,B452,$A$5:$A$604,"&gt;="&amp;DATE(YEAR(A452)-1,MONTH(A452),1),$A$5:$A$604,"&lt;"&amp;DATE(YEAR(A452)-1,MONTH(A452)+1,1))))</f>
        <v/>
      </c>
      <c r="I452" s="19" t="str">
        <f aca="false">IF(OR(H452="",E452=""),"",E452/H452-1)</f>
        <v/>
      </c>
    </row>
    <row r="453" customFormat="false" ht="15" hidden="false" customHeight="false" outlineLevel="0" collapsed="false">
      <c r="A453" s="12"/>
      <c r="B453" s="13"/>
      <c r="C453" s="14"/>
      <c r="D453" s="14"/>
      <c r="E453" s="15"/>
      <c r="F453" s="16" t="str">
        <f aca="false">IF(OR(C453="",D453=""),"",D453-C453)</f>
        <v/>
      </c>
      <c r="G453" s="17" t="str">
        <f aca="false">IF(OR(F453="",F453=0),"",E453/F453)</f>
        <v/>
      </c>
      <c r="H453" s="18" t="str">
        <f aca="false">IF(OR(A453="",B453=""),"",IF(SUMIFS($E$5:$E$604,$B$5:$B$604,B453,$A$5:$A$604,"&gt;="&amp;DATE(YEAR(A453)-1,MONTH(A453),1),$A$5:$A$604,"&lt;"&amp;DATE(YEAR(A453)-1,MONTH(A453)+1,1))=0,"",SUMIFS($E$5:$E$604,$B$5:$B$604,B453,$A$5:$A$604,"&gt;="&amp;DATE(YEAR(A453)-1,MONTH(A453),1),$A$5:$A$604,"&lt;"&amp;DATE(YEAR(A453)-1,MONTH(A453)+1,1))))</f>
        <v/>
      </c>
      <c r="I453" s="19" t="str">
        <f aca="false">IF(OR(H453="",E453=""),"",E453/H453-1)</f>
        <v/>
      </c>
    </row>
    <row r="454" customFormat="false" ht="15" hidden="false" customHeight="false" outlineLevel="0" collapsed="false">
      <c r="A454" s="12"/>
      <c r="B454" s="13"/>
      <c r="C454" s="14"/>
      <c r="D454" s="14"/>
      <c r="E454" s="15"/>
      <c r="F454" s="16" t="str">
        <f aca="false">IF(OR(C454="",D454=""),"",D454-C454)</f>
        <v/>
      </c>
      <c r="G454" s="17" t="str">
        <f aca="false">IF(OR(F454="",F454=0),"",E454/F454)</f>
        <v/>
      </c>
      <c r="H454" s="18" t="str">
        <f aca="false">IF(OR(A454="",B454=""),"",IF(SUMIFS($E$5:$E$604,$B$5:$B$604,B454,$A$5:$A$604,"&gt;="&amp;DATE(YEAR(A454)-1,MONTH(A454),1),$A$5:$A$604,"&lt;"&amp;DATE(YEAR(A454)-1,MONTH(A454)+1,1))=0,"",SUMIFS($E$5:$E$604,$B$5:$B$604,B454,$A$5:$A$604,"&gt;="&amp;DATE(YEAR(A454)-1,MONTH(A454),1),$A$5:$A$604,"&lt;"&amp;DATE(YEAR(A454)-1,MONTH(A454)+1,1))))</f>
        <v/>
      </c>
      <c r="I454" s="19" t="str">
        <f aca="false">IF(OR(H454="",E454=""),"",E454/H454-1)</f>
        <v/>
      </c>
    </row>
    <row r="455" customFormat="false" ht="15" hidden="false" customHeight="false" outlineLevel="0" collapsed="false">
      <c r="A455" s="12"/>
      <c r="B455" s="13"/>
      <c r="C455" s="14"/>
      <c r="D455" s="14"/>
      <c r="E455" s="15"/>
      <c r="F455" s="16" t="str">
        <f aca="false">IF(OR(C455="",D455=""),"",D455-C455)</f>
        <v/>
      </c>
      <c r="G455" s="17" t="str">
        <f aca="false">IF(OR(F455="",F455=0),"",E455/F455)</f>
        <v/>
      </c>
      <c r="H455" s="18" t="str">
        <f aca="false">IF(OR(A455="",B455=""),"",IF(SUMIFS($E$5:$E$604,$B$5:$B$604,B455,$A$5:$A$604,"&gt;="&amp;DATE(YEAR(A455)-1,MONTH(A455),1),$A$5:$A$604,"&lt;"&amp;DATE(YEAR(A455)-1,MONTH(A455)+1,1))=0,"",SUMIFS($E$5:$E$604,$B$5:$B$604,B455,$A$5:$A$604,"&gt;="&amp;DATE(YEAR(A455)-1,MONTH(A455),1),$A$5:$A$604,"&lt;"&amp;DATE(YEAR(A455)-1,MONTH(A455)+1,1))))</f>
        <v/>
      </c>
      <c r="I455" s="19" t="str">
        <f aca="false">IF(OR(H455="",E455=""),"",E455/H455-1)</f>
        <v/>
      </c>
    </row>
    <row r="456" customFormat="false" ht="15" hidden="false" customHeight="false" outlineLevel="0" collapsed="false">
      <c r="A456" s="12"/>
      <c r="B456" s="13"/>
      <c r="C456" s="14"/>
      <c r="D456" s="14"/>
      <c r="E456" s="15"/>
      <c r="F456" s="16" t="str">
        <f aca="false">IF(OR(C456="",D456=""),"",D456-C456)</f>
        <v/>
      </c>
      <c r="G456" s="17" t="str">
        <f aca="false">IF(OR(F456="",F456=0),"",E456/F456)</f>
        <v/>
      </c>
      <c r="H456" s="18" t="str">
        <f aca="false">IF(OR(A456="",B456=""),"",IF(SUMIFS($E$5:$E$604,$B$5:$B$604,B456,$A$5:$A$604,"&gt;="&amp;DATE(YEAR(A456)-1,MONTH(A456),1),$A$5:$A$604,"&lt;"&amp;DATE(YEAR(A456)-1,MONTH(A456)+1,1))=0,"",SUMIFS($E$5:$E$604,$B$5:$B$604,B456,$A$5:$A$604,"&gt;="&amp;DATE(YEAR(A456)-1,MONTH(A456),1),$A$5:$A$604,"&lt;"&amp;DATE(YEAR(A456)-1,MONTH(A456)+1,1))))</f>
        <v/>
      </c>
      <c r="I456" s="19" t="str">
        <f aca="false">IF(OR(H456="",E456=""),"",E456/H456-1)</f>
        <v/>
      </c>
    </row>
    <row r="457" customFormat="false" ht="15" hidden="false" customHeight="false" outlineLevel="0" collapsed="false">
      <c r="A457" s="12"/>
      <c r="B457" s="13"/>
      <c r="C457" s="14"/>
      <c r="D457" s="14"/>
      <c r="E457" s="15"/>
      <c r="F457" s="16" t="str">
        <f aca="false">IF(OR(C457="",D457=""),"",D457-C457)</f>
        <v/>
      </c>
      <c r="G457" s="17" t="str">
        <f aca="false">IF(OR(F457="",F457=0),"",E457/F457)</f>
        <v/>
      </c>
      <c r="H457" s="18" t="str">
        <f aca="false">IF(OR(A457="",B457=""),"",IF(SUMIFS($E$5:$E$604,$B$5:$B$604,B457,$A$5:$A$604,"&gt;="&amp;DATE(YEAR(A457)-1,MONTH(A457),1),$A$5:$A$604,"&lt;"&amp;DATE(YEAR(A457)-1,MONTH(A457)+1,1))=0,"",SUMIFS($E$5:$E$604,$B$5:$B$604,B457,$A$5:$A$604,"&gt;="&amp;DATE(YEAR(A457)-1,MONTH(A457),1),$A$5:$A$604,"&lt;"&amp;DATE(YEAR(A457)-1,MONTH(A457)+1,1))))</f>
        <v/>
      </c>
      <c r="I457" s="19" t="str">
        <f aca="false">IF(OR(H457="",E457=""),"",E457/H457-1)</f>
        <v/>
      </c>
    </row>
    <row r="458" customFormat="false" ht="15" hidden="false" customHeight="false" outlineLevel="0" collapsed="false">
      <c r="A458" s="12"/>
      <c r="B458" s="13"/>
      <c r="C458" s="14"/>
      <c r="D458" s="14"/>
      <c r="E458" s="15"/>
      <c r="F458" s="16" t="str">
        <f aca="false">IF(OR(C458="",D458=""),"",D458-C458)</f>
        <v/>
      </c>
      <c r="G458" s="17" t="str">
        <f aca="false">IF(OR(F458="",F458=0),"",E458/F458)</f>
        <v/>
      </c>
      <c r="H458" s="18" t="str">
        <f aca="false">IF(OR(A458="",B458=""),"",IF(SUMIFS($E$5:$E$604,$B$5:$B$604,B458,$A$5:$A$604,"&gt;="&amp;DATE(YEAR(A458)-1,MONTH(A458),1),$A$5:$A$604,"&lt;"&amp;DATE(YEAR(A458)-1,MONTH(A458)+1,1))=0,"",SUMIFS($E$5:$E$604,$B$5:$B$604,B458,$A$5:$A$604,"&gt;="&amp;DATE(YEAR(A458)-1,MONTH(A458),1),$A$5:$A$604,"&lt;"&amp;DATE(YEAR(A458)-1,MONTH(A458)+1,1))))</f>
        <v/>
      </c>
      <c r="I458" s="19" t="str">
        <f aca="false">IF(OR(H458="",E458=""),"",E458/H458-1)</f>
        <v/>
      </c>
    </row>
    <row r="459" customFormat="false" ht="15" hidden="false" customHeight="false" outlineLevel="0" collapsed="false">
      <c r="A459" s="12"/>
      <c r="B459" s="13"/>
      <c r="C459" s="14"/>
      <c r="D459" s="14"/>
      <c r="E459" s="15"/>
      <c r="F459" s="16" t="str">
        <f aca="false">IF(OR(C459="",D459=""),"",D459-C459)</f>
        <v/>
      </c>
      <c r="G459" s="17" t="str">
        <f aca="false">IF(OR(F459="",F459=0),"",E459/F459)</f>
        <v/>
      </c>
      <c r="H459" s="18" t="str">
        <f aca="false">IF(OR(A459="",B459=""),"",IF(SUMIFS($E$5:$E$604,$B$5:$B$604,B459,$A$5:$A$604,"&gt;="&amp;DATE(YEAR(A459)-1,MONTH(A459),1),$A$5:$A$604,"&lt;"&amp;DATE(YEAR(A459)-1,MONTH(A459)+1,1))=0,"",SUMIFS($E$5:$E$604,$B$5:$B$604,B459,$A$5:$A$604,"&gt;="&amp;DATE(YEAR(A459)-1,MONTH(A459),1),$A$5:$A$604,"&lt;"&amp;DATE(YEAR(A459)-1,MONTH(A459)+1,1))))</f>
        <v/>
      </c>
      <c r="I459" s="19" t="str">
        <f aca="false">IF(OR(H459="",E459=""),"",E459/H459-1)</f>
        <v/>
      </c>
    </row>
    <row r="460" customFormat="false" ht="15" hidden="false" customHeight="false" outlineLevel="0" collapsed="false">
      <c r="A460" s="12"/>
      <c r="B460" s="13"/>
      <c r="C460" s="14"/>
      <c r="D460" s="14"/>
      <c r="E460" s="15"/>
      <c r="F460" s="16" t="str">
        <f aca="false">IF(OR(C460="",D460=""),"",D460-C460)</f>
        <v/>
      </c>
      <c r="G460" s="17" t="str">
        <f aca="false">IF(OR(F460="",F460=0),"",E460/F460)</f>
        <v/>
      </c>
      <c r="H460" s="18" t="str">
        <f aca="false">IF(OR(A460="",B460=""),"",IF(SUMIFS($E$5:$E$604,$B$5:$B$604,B460,$A$5:$A$604,"&gt;="&amp;DATE(YEAR(A460)-1,MONTH(A460),1),$A$5:$A$604,"&lt;"&amp;DATE(YEAR(A460)-1,MONTH(A460)+1,1))=0,"",SUMIFS($E$5:$E$604,$B$5:$B$604,B460,$A$5:$A$604,"&gt;="&amp;DATE(YEAR(A460)-1,MONTH(A460),1),$A$5:$A$604,"&lt;"&amp;DATE(YEAR(A460)-1,MONTH(A460)+1,1))))</f>
        <v/>
      </c>
      <c r="I460" s="19" t="str">
        <f aca="false">IF(OR(H460="",E460=""),"",E460/H460-1)</f>
        <v/>
      </c>
    </row>
    <row r="461" customFormat="false" ht="15" hidden="false" customHeight="false" outlineLevel="0" collapsed="false">
      <c r="A461" s="12"/>
      <c r="B461" s="13"/>
      <c r="C461" s="14"/>
      <c r="D461" s="14"/>
      <c r="E461" s="15"/>
      <c r="F461" s="16" t="str">
        <f aca="false">IF(OR(C461="",D461=""),"",D461-C461)</f>
        <v/>
      </c>
      <c r="G461" s="17" t="str">
        <f aca="false">IF(OR(F461="",F461=0),"",E461/F461)</f>
        <v/>
      </c>
      <c r="H461" s="18" t="str">
        <f aca="false">IF(OR(A461="",B461=""),"",IF(SUMIFS($E$5:$E$604,$B$5:$B$604,B461,$A$5:$A$604,"&gt;="&amp;DATE(YEAR(A461)-1,MONTH(A461),1),$A$5:$A$604,"&lt;"&amp;DATE(YEAR(A461)-1,MONTH(A461)+1,1))=0,"",SUMIFS($E$5:$E$604,$B$5:$B$604,B461,$A$5:$A$604,"&gt;="&amp;DATE(YEAR(A461)-1,MONTH(A461),1),$A$5:$A$604,"&lt;"&amp;DATE(YEAR(A461)-1,MONTH(A461)+1,1))))</f>
        <v/>
      </c>
      <c r="I461" s="19" t="str">
        <f aca="false">IF(OR(H461="",E461=""),"",E461/H461-1)</f>
        <v/>
      </c>
    </row>
    <row r="462" customFormat="false" ht="15" hidden="false" customHeight="false" outlineLevel="0" collapsed="false">
      <c r="A462" s="12"/>
      <c r="B462" s="13"/>
      <c r="C462" s="14"/>
      <c r="D462" s="14"/>
      <c r="E462" s="15"/>
      <c r="F462" s="16" t="str">
        <f aca="false">IF(OR(C462="",D462=""),"",D462-C462)</f>
        <v/>
      </c>
      <c r="G462" s="17" t="str">
        <f aca="false">IF(OR(F462="",F462=0),"",E462/F462)</f>
        <v/>
      </c>
      <c r="H462" s="18" t="str">
        <f aca="false">IF(OR(A462="",B462=""),"",IF(SUMIFS($E$5:$E$604,$B$5:$B$604,B462,$A$5:$A$604,"&gt;="&amp;DATE(YEAR(A462)-1,MONTH(A462),1),$A$5:$A$604,"&lt;"&amp;DATE(YEAR(A462)-1,MONTH(A462)+1,1))=0,"",SUMIFS($E$5:$E$604,$B$5:$B$604,B462,$A$5:$A$604,"&gt;="&amp;DATE(YEAR(A462)-1,MONTH(A462),1),$A$5:$A$604,"&lt;"&amp;DATE(YEAR(A462)-1,MONTH(A462)+1,1))))</f>
        <v/>
      </c>
      <c r="I462" s="19" t="str">
        <f aca="false">IF(OR(H462="",E462=""),"",E462/H462-1)</f>
        <v/>
      </c>
    </row>
    <row r="463" customFormat="false" ht="15" hidden="false" customHeight="false" outlineLevel="0" collapsed="false">
      <c r="A463" s="12"/>
      <c r="B463" s="13"/>
      <c r="C463" s="14"/>
      <c r="D463" s="14"/>
      <c r="E463" s="15"/>
      <c r="F463" s="16" t="str">
        <f aca="false">IF(OR(C463="",D463=""),"",D463-C463)</f>
        <v/>
      </c>
      <c r="G463" s="17" t="str">
        <f aca="false">IF(OR(F463="",F463=0),"",E463/F463)</f>
        <v/>
      </c>
      <c r="H463" s="18" t="str">
        <f aca="false">IF(OR(A463="",B463=""),"",IF(SUMIFS($E$5:$E$604,$B$5:$B$604,B463,$A$5:$A$604,"&gt;="&amp;DATE(YEAR(A463)-1,MONTH(A463),1),$A$5:$A$604,"&lt;"&amp;DATE(YEAR(A463)-1,MONTH(A463)+1,1))=0,"",SUMIFS($E$5:$E$604,$B$5:$B$604,B463,$A$5:$A$604,"&gt;="&amp;DATE(YEAR(A463)-1,MONTH(A463),1),$A$5:$A$604,"&lt;"&amp;DATE(YEAR(A463)-1,MONTH(A463)+1,1))))</f>
        <v/>
      </c>
      <c r="I463" s="19" t="str">
        <f aca="false">IF(OR(H463="",E463=""),"",E463/H463-1)</f>
        <v/>
      </c>
    </row>
    <row r="464" customFormat="false" ht="15" hidden="false" customHeight="false" outlineLevel="0" collapsed="false">
      <c r="A464" s="12"/>
      <c r="B464" s="13"/>
      <c r="C464" s="14"/>
      <c r="D464" s="14"/>
      <c r="E464" s="15"/>
      <c r="F464" s="16" t="str">
        <f aca="false">IF(OR(C464="",D464=""),"",D464-C464)</f>
        <v/>
      </c>
      <c r="G464" s="17" t="str">
        <f aca="false">IF(OR(F464="",F464=0),"",E464/F464)</f>
        <v/>
      </c>
      <c r="H464" s="18" t="str">
        <f aca="false">IF(OR(A464="",B464=""),"",IF(SUMIFS($E$5:$E$604,$B$5:$B$604,B464,$A$5:$A$604,"&gt;="&amp;DATE(YEAR(A464)-1,MONTH(A464),1),$A$5:$A$604,"&lt;"&amp;DATE(YEAR(A464)-1,MONTH(A464)+1,1))=0,"",SUMIFS($E$5:$E$604,$B$5:$B$604,B464,$A$5:$A$604,"&gt;="&amp;DATE(YEAR(A464)-1,MONTH(A464),1),$A$5:$A$604,"&lt;"&amp;DATE(YEAR(A464)-1,MONTH(A464)+1,1))))</f>
        <v/>
      </c>
      <c r="I464" s="19" t="str">
        <f aca="false">IF(OR(H464="",E464=""),"",E464/H464-1)</f>
        <v/>
      </c>
    </row>
    <row r="465" customFormat="false" ht="15" hidden="false" customHeight="false" outlineLevel="0" collapsed="false">
      <c r="A465" s="12"/>
      <c r="B465" s="13"/>
      <c r="C465" s="14"/>
      <c r="D465" s="14"/>
      <c r="E465" s="15"/>
      <c r="F465" s="16" t="str">
        <f aca="false">IF(OR(C465="",D465=""),"",D465-C465)</f>
        <v/>
      </c>
      <c r="G465" s="17" t="str">
        <f aca="false">IF(OR(F465="",F465=0),"",E465/F465)</f>
        <v/>
      </c>
      <c r="H465" s="18" t="str">
        <f aca="false">IF(OR(A465="",B465=""),"",IF(SUMIFS($E$5:$E$604,$B$5:$B$604,B465,$A$5:$A$604,"&gt;="&amp;DATE(YEAR(A465)-1,MONTH(A465),1),$A$5:$A$604,"&lt;"&amp;DATE(YEAR(A465)-1,MONTH(A465)+1,1))=0,"",SUMIFS($E$5:$E$604,$B$5:$B$604,B465,$A$5:$A$604,"&gt;="&amp;DATE(YEAR(A465)-1,MONTH(A465),1),$A$5:$A$604,"&lt;"&amp;DATE(YEAR(A465)-1,MONTH(A465)+1,1))))</f>
        <v/>
      </c>
      <c r="I465" s="19" t="str">
        <f aca="false">IF(OR(H465="",E465=""),"",E465/H465-1)</f>
        <v/>
      </c>
    </row>
    <row r="466" customFormat="false" ht="15" hidden="false" customHeight="false" outlineLevel="0" collapsed="false">
      <c r="A466" s="12"/>
      <c r="B466" s="13"/>
      <c r="C466" s="14"/>
      <c r="D466" s="14"/>
      <c r="E466" s="15"/>
      <c r="F466" s="16" t="str">
        <f aca="false">IF(OR(C466="",D466=""),"",D466-C466)</f>
        <v/>
      </c>
      <c r="G466" s="17" t="str">
        <f aca="false">IF(OR(F466="",F466=0),"",E466/F466)</f>
        <v/>
      </c>
      <c r="H466" s="18" t="str">
        <f aca="false">IF(OR(A466="",B466=""),"",IF(SUMIFS($E$5:$E$604,$B$5:$B$604,B466,$A$5:$A$604,"&gt;="&amp;DATE(YEAR(A466)-1,MONTH(A466),1),$A$5:$A$604,"&lt;"&amp;DATE(YEAR(A466)-1,MONTH(A466)+1,1))=0,"",SUMIFS($E$5:$E$604,$B$5:$B$604,B466,$A$5:$A$604,"&gt;="&amp;DATE(YEAR(A466)-1,MONTH(A466),1),$A$5:$A$604,"&lt;"&amp;DATE(YEAR(A466)-1,MONTH(A466)+1,1))))</f>
        <v/>
      </c>
      <c r="I466" s="19" t="str">
        <f aca="false">IF(OR(H466="",E466=""),"",E466/H466-1)</f>
        <v/>
      </c>
    </row>
    <row r="467" customFormat="false" ht="15" hidden="false" customHeight="false" outlineLevel="0" collapsed="false">
      <c r="A467" s="12"/>
      <c r="B467" s="13"/>
      <c r="C467" s="14"/>
      <c r="D467" s="14"/>
      <c r="E467" s="15"/>
      <c r="F467" s="16" t="str">
        <f aca="false">IF(OR(C467="",D467=""),"",D467-C467)</f>
        <v/>
      </c>
      <c r="G467" s="17" t="str">
        <f aca="false">IF(OR(F467="",F467=0),"",E467/F467)</f>
        <v/>
      </c>
      <c r="H467" s="18" t="str">
        <f aca="false">IF(OR(A467="",B467=""),"",IF(SUMIFS($E$5:$E$604,$B$5:$B$604,B467,$A$5:$A$604,"&gt;="&amp;DATE(YEAR(A467)-1,MONTH(A467),1),$A$5:$A$604,"&lt;"&amp;DATE(YEAR(A467)-1,MONTH(A467)+1,1))=0,"",SUMIFS($E$5:$E$604,$B$5:$B$604,B467,$A$5:$A$604,"&gt;="&amp;DATE(YEAR(A467)-1,MONTH(A467),1),$A$5:$A$604,"&lt;"&amp;DATE(YEAR(A467)-1,MONTH(A467)+1,1))))</f>
        <v/>
      </c>
      <c r="I467" s="19" t="str">
        <f aca="false">IF(OR(H467="",E467=""),"",E467/H467-1)</f>
        <v/>
      </c>
    </row>
    <row r="468" customFormat="false" ht="15" hidden="false" customHeight="false" outlineLevel="0" collapsed="false">
      <c r="A468" s="12"/>
      <c r="B468" s="13"/>
      <c r="C468" s="14"/>
      <c r="D468" s="14"/>
      <c r="E468" s="15"/>
      <c r="F468" s="16" t="str">
        <f aca="false">IF(OR(C468="",D468=""),"",D468-C468)</f>
        <v/>
      </c>
      <c r="G468" s="17" t="str">
        <f aca="false">IF(OR(F468="",F468=0),"",E468/F468)</f>
        <v/>
      </c>
      <c r="H468" s="18" t="str">
        <f aca="false">IF(OR(A468="",B468=""),"",IF(SUMIFS($E$5:$E$604,$B$5:$B$604,B468,$A$5:$A$604,"&gt;="&amp;DATE(YEAR(A468)-1,MONTH(A468),1),$A$5:$A$604,"&lt;"&amp;DATE(YEAR(A468)-1,MONTH(A468)+1,1))=0,"",SUMIFS($E$5:$E$604,$B$5:$B$604,B468,$A$5:$A$604,"&gt;="&amp;DATE(YEAR(A468)-1,MONTH(A468),1),$A$5:$A$604,"&lt;"&amp;DATE(YEAR(A468)-1,MONTH(A468)+1,1))))</f>
        <v/>
      </c>
      <c r="I468" s="19" t="str">
        <f aca="false">IF(OR(H468="",E468=""),"",E468/H468-1)</f>
        <v/>
      </c>
    </row>
    <row r="469" customFormat="false" ht="15" hidden="false" customHeight="false" outlineLevel="0" collapsed="false">
      <c r="A469" s="12"/>
      <c r="B469" s="13"/>
      <c r="C469" s="14"/>
      <c r="D469" s="14"/>
      <c r="E469" s="15"/>
      <c r="F469" s="16" t="str">
        <f aca="false">IF(OR(C469="",D469=""),"",D469-C469)</f>
        <v/>
      </c>
      <c r="G469" s="17" t="str">
        <f aca="false">IF(OR(F469="",F469=0),"",E469/F469)</f>
        <v/>
      </c>
      <c r="H469" s="18" t="str">
        <f aca="false">IF(OR(A469="",B469=""),"",IF(SUMIFS($E$5:$E$604,$B$5:$B$604,B469,$A$5:$A$604,"&gt;="&amp;DATE(YEAR(A469)-1,MONTH(A469),1),$A$5:$A$604,"&lt;"&amp;DATE(YEAR(A469)-1,MONTH(A469)+1,1))=0,"",SUMIFS($E$5:$E$604,$B$5:$B$604,B469,$A$5:$A$604,"&gt;="&amp;DATE(YEAR(A469)-1,MONTH(A469),1),$A$5:$A$604,"&lt;"&amp;DATE(YEAR(A469)-1,MONTH(A469)+1,1))))</f>
        <v/>
      </c>
      <c r="I469" s="19" t="str">
        <f aca="false">IF(OR(H469="",E469=""),"",E469/H469-1)</f>
        <v/>
      </c>
    </row>
    <row r="470" customFormat="false" ht="15" hidden="false" customHeight="false" outlineLevel="0" collapsed="false">
      <c r="A470" s="12"/>
      <c r="B470" s="13"/>
      <c r="C470" s="14"/>
      <c r="D470" s="14"/>
      <c r="E470" s="15"/>
      <c r="F470" s="16" t="str">
        <f aca="false">IF(OR(C470="",D470=""),"",D470-C470)</f>
        <v/>
      </c>
      <c r="G470" s="17" t="str">
        <f aca="false">IF(OR(F470="",F470=0),"",E470/F470)</f>
        <v/>
      </c>
      <c r="H470" s="18" t="str">
        <f aca="false">IF(OR(A470="",B470=""),"",IF(SUMIFS($E$5:$E$604,$B$5:$B$604,B470,$A$5:$A$604,"&gt;="&amp;DATE(YEAR(A470)-1,MONTH(A470),1),$A$5:$A$604,"&lt;"&amp;DATE(YEAR(A470)-1,MONTH(A470)+1,1))=0,"",SUMIFS($E$5:$E$604,$B$5:$B$604,B470,$A$5:$A$604,"&gt;="&amp;DATE(YEAR(A470)-1,MONTH(A470),1),$A$5:$A$604,"&lt;"&amp;DATE(YEAR(A470)-1,MONTH(A470)+1,1))))</f>
        <v/>
      </c>
      <c r="I470" s="19" t="str">
        <f aca="false">IF(OR(H470="",E470=""),"",E470/H470-1)</f>
        <v/>
      </c>
    </row>
    <row r="471" customFormat="false" ht="15" hidden="false" customHeight="false" outlineLevel="0" collapsed="false">
      <c r="A471" s="12"/>
      <c r="B471" s="13"/>
      <c r="C471" s="14"/>
      <c r="D471" s="14"/>
      <c r="E471" s="15"/>
      <c r="F471" s="16" t="str">
        <f aca="false">IF(OR(C471="",D471=""),"",D471-C471)</f>
        <v/>
      </c>
      <c r="G471" s="17" t="str">
        <f aca="false">IF(OR(F471="",F471=0),"",E471/F471)</f>
        <v/>
      </c>
      <c r="H471" s="18" t="str">
        <f aca="false">IF(OR(A471="",B471=""),"",IF(SUMIFS($E$5:$E$604,$B$5:$B$604,B471,$A$5:$A$604,"&gt;="&amp;DATE(YEAR(A471)-1,MONTH(A471),1),$A$5:$A$604,"&lt;"&amp;DATE(YEAR(A471)-1,MONTH(A471)+1,1))=0,"",SUMIFS($E$5:$E$604,$B$5:$B$604,B471,$A$5:$A$604,"&gt;="&amp;DATE(YEAR(A471)-1,MONTH(A471),1),$A$5:$A$604,"&lt;"&amp;DATE(YEAR(A471)-1,MONTH(A471)+1,1))))</f>
        <v/>
      </c>
      <c r="I471" s="19" t="str">
        <f aca="false">IF(OR(H471="",E471=""),"",E471/H471-1)</f>
        <v/>
      </c>
    </row>
    <row r="472" customFormat="false" ht="15" hidden="false" customHeight="false" outlineLevel="0" collapsed="false">
      <c r="A472" s="12"/>
      <c r="B472" s="13"/>
      <c r="C472" s="14"/>
      <c r="D472" s="14"/>
      <c r="E472" s="15"/>
      <c r="F472" s="16" t="str">
        <f aca="false">IF(OR(C472="",D472=""),"",D472-C472)</f>
        <v/>
      </c>
      <c r="G472" s="17" t="str">
        <f aca="false">IF(OR(F472="",F472=0),"",E472/F472)</f>
        <v/>
      </c>
      <c r="H472" s="18" t="str">
        <f aca="false">IF(OR(A472="",B472=""),"",IF(SUMIFS($E$5:$E$604,$B$5:$B$604,B472,$A$5:$A$604,"&gt;="&amp;DATE(YEAR(A472)-1,MONTH(A472),1),$A$5:$A$604,"&lt;"&amp;DATE(YEAR(A472)-1,MONTH(A472)+1,1))=0,"",SUMIFS($E$5:$E$604,$B$5:$B$604,B472,$A$5:$A$604,"&gt;="&amp;DATE(YEAR(A472)-1,MONTH(A472),1),$A$5:$A$604,"&lt;"&amp;DATE(YEAR(A472)-1,MONTH(A472)+1,1))))</f>
        <v/>
      </c>
      <c r="I472" s="19" t="str">
        <f aca="false">IF(OR(H472="",E472=""),"",E472/H472-1)</f>
        <v/>
      </c>
    </row>
    <row r="473" customFormat="false" ht="15" hidden="false" customHeight="false" outlineLevel="0" collapsed="false">
      <c r="A473" s="12"/>
      <c r="B473" s="13"/>
      <c r="C473" s="14"/>
      <c r="D473" s="14"/>
      <c r="E473" s="15"/>
      <c r="F473" s="16" t="str">
        <f aca="false">IF(OR(C473="",D473=""),"",D473-C473)</f>
        <v/>
      </c>
      <c r="G473" s="17" t="str">
        <f aca="false">IF(OR(F473="",F473=0),"",E473/F473)</f>
        <v/>
      </c>
      <c r="H473" s="18" t="str">
        <f aca="false">IF(OR(A473="",B473=""),"",IF(SUMIFS($E$5:$E$604,$B$5:$B$604,B473,$A$5:$A$604,"&gt;="&amp;DATE(YEAR(A473)-1,MONTH(A473),1),$A$5:$A$604,"&lt;"&amp;DATE(YEAR(A473)-1,MONTH(A473)+1,1))=0,"",SUMIFS($E$5:$E$604,$B$5:$B$604,B473,$A$5:$A$604,"&gt;="&amp;DATE(YEAR(A473)-1,MONTH(A473),1),$A$5:$A$604,"&lt;"&amp;DATE(YEAR(A473)-1,MONTH(A473)+1,1))))</f>
        <v/>
      </c>
      <c r="I473" s="19" t="str">
        <f aca="false">IF(OR(H473="",E473=""),"",E473/H473-1)</f>
        <v/>
      </c>
    </row>
    <row r="474" customFormat="false" ht="15" hidden="false" customHeight="false" outlineLevel="0" collapsed="false">
      <c r="A474" s="12"/>
      <c r="B474" s="13"/>
      <c r="C474" s="14"/>
      <c r="D474" s="14"/>
      <c r="E474" s="15"/>
      <c r="F474" s="16" t="str">
        <f aca="false">IF(OR(C474="",D474=""),"",D474-C474)</f>
        <v/>
      </c>
      <c r="G474" s="17" t="str">
        <f aca="false">IF(OR(F474="",F474=0),"",E474/F474)</f>
        <v/>
      </c>
      <c r="H474" s="18" t="str">
        <f aca="false">IF(OR(A474="",B474=""),"",IF(SUMIFS($E$5:$E$604,$B$5:$B$604,B474,$A$5:$A$604,"&gt;="&amp;DATE(YEAR(A474)-1,MONTH(A474),1),$A$5:$A$604,"&lt;"&amp;DATE(YEAR(A474)-1,MONTH(A474)+1,1))=0,"",SUMIFS($E$5:$E$604,$B$5:$B$604,B474,$A$5:$A$604,"&gt;="&amp;DATE(YEAR(A474)-1,MONTH(A474),1),$A$5:$A$604,"&lt;"&amp;DATE(YEAR(A474)-1,MONTH(A474)+1,1))))</f>
        <v/>
      </c>
      <c r="I474" s="19" t="str">
        <f aca="false">IF(OR(H474="",E474=""),"",E474/H474-1)</f>
        <v/>
      </c>
    </row>
    <row r="475" customFormat="false" ht="15" hidden="false" customHeight="false" outlineLevel="0" collapsed="false">
      <c r="A475" s="12"/>
      <c r="B475" s="13"/>
      <c r="C475" s="14"/>
      <c r="D475" s="14"/>
      <c r="E475" s="15"/>
      <c r="F475" s="16" t="str">
        <f aca="false">IF(OR(C475="",D475=""),"",D475-C475)</f>
        <v/>
      </c>
      <c r="G475" s="17" t="str">
        <f aca="false">IF(OR(F475="",F475=0),"",E475/F475)</f>
        <v/>
      </c>
      <c r="H475" s="18" t="str">
        <f aca="false">IF(OR(A475="",B475=""),"",IF(SUMIFS($E$5:$E$604,$B$5:$B$604,B475,$A$5:$A$604,"&gt;="&amp;DATE(YEAR(A475)-1,MONTH(A475),1),$A$5:$A$604,"&lt;"&amp;DATE(YEAR(A475)-1,MONTH(A475)+1,1))=0,"",SUMIFS($E$5:$E$604,$B$5:$B$604,B475,$A$5:$A$604,"&gt;="&amp;DATE(YEAR(A475)-1,MONTH(A475),1),$A$5:$A$604,"&lt;"&amp;DATE(YEAR(A475)-1,MONTH(A475)+1,1))))</f>
        <v/>
      </c>
      <c r="I475" s="19" t="str">
        <f aca="false">IF(OR(H475="",E475=""),"",E475/H475-1)</f>
        <v/>
      </c>
    </row>
    <row r="476" customFormat="false" ht="15" hidden="false" customHeight="false" outlineLevel="0" collapsed="false">
      <c r="A476" s="12"/>
      <c r="B476" s="13"/>
      <c r="C476" s="14"/>
      <c r="D476" s="14"/>
      <c r="E476" s="15"/>
      <c r="F476" s="16" t="str">
        <f aca="false">IF(OR(C476="",D476=""),"",D476-C476)</f>
        <v/>
      </c>
      <c r="G476" s="17" t="str">
        <f aca="false">IF(OR(F476="",F476=0),"",E476/F476)</f>
        <v/>
      </c>
      <c r="H476" s="18" t="str">
        <f aca="false">IF(OR(A476="",B476=""),"",IF(SUMIFS($E$5:$E$604,$B$5:$B$604,B476,$A$5:$A$604,"&gt;="&amp;DATE(YEAR(A476)-1,MONTH(A476),1),$A$5:$A$604,"&lt;"&amp;DATE(YEAR(A476)-1,MONTH(A476)+1,1))=0,"",SUMIFS($E$5:$E$604,$B$5:$B$604,B476,$A$5:$A$604,"&gt;="&amp;DATE(YEAR(A476)-1,MONTH(A476),1),$A$5:$A$604,"&lt;"&amp;DATE(YEAR(A476)-1,MONTH(A476)+1,1))))</f>
        <v/>
      </c>
      <c r="I476" s="19" t="str">
        <f aca="false">IF(OR(H476="",E476=""),"",E476/H476-1)</f>
        <v/>
      </c>
    </row>
    <row r="477" customFormat="false" ht="15" hidden="false" customHeight="false" outlineLevel="0" collapsed="false">
      <c r="A477" s="12"/>
      <c r="B477" s="13"/>
      <c r="C477" s="14"/>
      <c r="D477" s="14"/>
      <c r="E477" s="15"/>
      <c r="F477" s="16" t="str">
        <f aca="false">IF(OR(C477="",D477=""),"",D477-C477)</f>
        <v/>
      </c>
      <c r="G477" s="17" t="str">
        <f aca="false">IF(OR(F477="",F477=0),"",E477/F477)</f>
        <v/>
      </c>
      <c r="H477" s="18" t="str">
        <f aca="false">IF(OR(A477="",B477=""),"",IF(SUMIFS($E$5:$E$604,$B$5:$B$604,B477,$A$5:$A$604,"&gt;="&amp;DATE(YEAR(A477)-1,MONTH(A477),1),$A$5:$A$604,"&lt;"&amp;DATE(YEAR(A477)-1,MONTH(A477)+1,1))=0,"",SUMIFS($E$5:$E$604,$B$5:$B$604,B477,$A$5:$A$604,"&gt;="&amp;DATE(YEAR(A477)-1,MONTH(A477),1),$A$5:$A$604,"&lt;"&amp;DATE(YEAR(A477)-1,MONTH(A477)+1,1))))</f>
        <v/>
      </c>
      <c r="I477" s="19" t="str">
        <f aca="false">IF(OR(H477="",E477=""),"",E477/H477-1)</f>
        <v/>
      </c>
    </row>
    <row r="478" customFormat="false" ht="15" hidden="false" customHeight="false" outlineLevel="0" collapsed="false">
      <c r="A478" s="12"/>
      <c r="B478" s="13"/>
      <c r="C478" s="14"/>
      <c r="D478" s="14"/>
      <c r="E478" s="15"/>
      <c r="F478" s="16" t="str">
        <f aca="false">IF(OR(C478="",D478=""),"",D478-C478)</f>
        <v/>
      </c>
      <c r="G478" s="17" t="str">
        <f aca="false">IF(OR(F478="",F478=0),"",E478/F478)</f>
        <v/>
      </c>
      <c r="H478" s="18" t="str">
        <f aca="false">IF(OR(A478="",B478=""),"",IF(SUMIFS($E$5:$E$604,$B$5:$B$604,B478,$A$5:$A$604,"&gt;="&amp;DATE(YEAR(A478)-1,MONTH(A478),1),$A$5:$A$604,"&lt;"&amp;DATE(YEAR(A478)-1,MONTH(A478)+1,1))=0,"",SUMIFS($E$5:$E$604,$B$5:$B$604,B478,$A$5:$A$604,"&gt;="&amp;DATE(YEAR(A478)-1,MONTH(A478),1),$A$5:$A$604,"&lt;"&amp;DATE(YEAR(A478)-1,MONTH(A478)+1,1))))</f>
        <v/>
      </c>
      <c r="I478" s="19" t="str">
        <f aca="false">IF(OR(H478="",E478=""),"",E478/H478-1)</f>
        <v/>
      </c>
    </row>
    <row r="479" customFormat="false" ht="15" hidden="false" customHeight="false" outlineLevel="0" collapsed="false">
      <c r="A479" s="12"/>
      <c r="B479" s="13"/>
      <c r="C479" s="14"/>
      <c r="D479" s="14"/>
      <c r="E479" s="15"/>
      <c r="F479" s="16" t="str">
        <f aca="false">IF(OR(C479="",D479=""),"",D479-C479)</f>
        <v/>
      </c>
      <c r="G479" s="17" t="str">
        <f aca="false">IF(OR(F479="",F479=0),"",E479/F479)</f>
        <v/>
      </c>
      <c r="H479" s="18" t="str">
        <f aca="false">IF(OR(A479="",B479=""),"",IF(SUMIFS($E$5:$E$604,$B$5:$B$604,B479,$A$5:$A$604,"&gt;="&amp;DATE(YEAR(A479)-1,MONTH(A479),1),$A$5:$A$604,"&lt;"&amp;DATE(YEAR(A479)-1,MONTH(A479)+1,1))=0,"",SUMIFS($E$5:$E$604,$B$5:$B$604,B479,$A$5:$A$604,"&gt;="&amp;DATE(YEAR(A479)-1,MONTH(A479),1),$A$5:$A$604,"&lt;"&amp;DATE(YEAR(A479)-1,MONTH(A479)+1,1))))</f>
        <v/>
      </c>
      <c r="I479" s="19" t="str">
        <f aca="false">IF(OR(H479="",E479=""),"",E479/H479-1)</f>
        <v/>
      </c>
    </row>
    <row r="480" customFormat="false" ht="15" hidden="false" customHeight="false" outlineLevel="0" collapsed="false">
      <c r="A480" s="12"/>
      <c r="B480" s="13"/>
      <c r="C480" s="14"/>
      <c r="D480" s="14"/>
      <c r="E480" s="15"/>
      <c r="F480" s="16" t="str">
        <f aca="false">IF(OR(C480="",D480=""),"",D480-C480)</f>
        <v/>
      </c>
      <c r="G480" s="17" t="str">
        <f aca="false">IF(OR(F480="",F480=0),"",E480/F480)</f>
        <v/>
      </c>
      <c r="H480" s="18" t="str">
        <f aca="false">IF(OR(A480="",B480=""),"",IF(SUMIFS($E$5:$E$604,$B$5:$B$604,B480,$A$5:$A$604,"&gt;="&amp;DATE(YEAR(A480)-1,MONTH(A480),1),$A$5:$A$604,"&lt;"&amp;DATE(YEAR(A480)-1,MONTH(A480)+1,1))=0,"",SUMIFS($E$5:$E$604,$B$5:$B$604,B480,$A$5:$A$604,"&gt;="&amp;DATE(YEAR(A480)-1,MONTH(A480),1),$A$5:$A$604,"&lt;"&amp;DATE(YEAR(A480)-1,MONTH(A480)+1,1))))</f>
        <v/>
      </c>
      <c r="I480" s="19" t="str">
        <f aca="false">IF(OR(H480="",E480=""),"",E480/H480-1)</f>
        <v/>
      </c>
    </row>
    <row r="481" customFormat="false" ht="15" hidden="false" customHeight="false" outlineLevel="0" collapsed="false">
      <c r="A481" s="12"/>
      <c r="B481" s="13"/>
      <c r="C481" s="14"/>
      <c r="D481" s="14"/>
      <c r="E481" s="15"/>
      <c r="F481" s="16" t="str">
        <f aca="false">IF(OR(C481="",D481=""),"",D481-C481)</f>
        <v/>
      </c>
      <c r="G481" s="17" t="str">
        <f aca="false">IF(OR(F481="",F481=0),"",E481/F481)</f>
        <v/>
      </c>
      <c r="H481" s="18" t="str">
        <f aca="false">IF(OR(A481="",B481=""),"",IF(SUMIFS($E$5:$E$604,$B$5:$B$604,B481,$A$5:$A$604,"&gt;="&amp;DATE(YEAR(A481)-1,MONTH(A481),1),$A$5:$A$604,"&lt;"&amp;DATE(YEAR(A481)-1,MONTH(A481)+1,1))=0,"",SUMIFS($E$5:$E$604,$B$5:$B$604,B481,$A$5:$A$604,"&gt;="&amp;DATE(YEAR(A481)-1,MONTH(A481),1),$A$5:$A$604,"&lt;"&amp;DATE(YEAR(A481)-1,MONTH(A481)+1,1))))</f>
        <v/>
      </c>
      <c r="I481" s="19" t="str">
        <f aca="false">IF(OR(H481="",E481=""),"",E481/H481-1)</f>
        <v/>
      </c>
    </row>
    <row r="482" customFormat="false" ht="15" hidden="false" customHeight="false" outlineLevel="0" collapsed="false">
      <c r="A482" s="12"/>
      <c r="B482" s="13"/>
      <c r="C482" s="14"/>
      <c r="D482" s="14"/>
      <c r="E482" s="15"/>
      <c r="F482" s="16" t="str">
        <f aca="false">IF(OR(C482="",D482=""),"",D482-C482)</f>
        <v/>
      </c>
      <c r="G482" s="17" t="str">
        <f aca="false">IF(OR(F482="",F482=0),"",E482/F482)</f>
        <v/>
      </c>
      <c r="H482" s="18" t="str">
        <f aca="false">IF(OR(A482="",B482=""),"",IF(SUMIFS($E$5:$E$604,$B$5:$B$604,B482,$A$5:$A$604,"&gt;="&amp;DATE(YEAR(A482)-1,MONTH(A482),1),$A$5:$A$604,"&lt;"&amp;DATE(YEAR(A482)-1,MONTH(A482)+1,1))=0,"",SUMIFS($E$5:$E$604,$B$5:$B$604,B482,$A$5:$A$604,"&gt;="&amp;DATE(YEAR(A482)-1,MONTH(A482),1),$A$5:$A$604,"&lt;"&amp;DATE(YEAR(A482)-1,MONTH(A482)+1,1))))</f>
        <v/>
      </c>
      <c r="I482" s="19" t="str">
        <f aca="false">IF(OR(H482="",E482=""),"",E482/H482-1)</f>
        <v/>
      </c>
    </row>
    <row r="483" customFormat="false" ht="15" hidden="false" customHeight="false" outlineLevel="0" collapsed="false">
      <c r="A483" s="12"/>
      <c r="B483" s="13"/>
      <c r="C483" s="14"/>
      <c r="D483" s="14"/>
      <c r="E483" s="15"/>
      <c r="F483" s="16" t="str">
        <f aca="false">IF(OR(C483="",D483=""),"",D483-C483)</f>
        <v/>
      </c>
      <c r="G483" s="17" t="str">
        <f aca="false">IF(OR(F483="",F483=0),"",E483/F483)</f>
        <v/>
      </c>
      <c r="H483" s="18" t="str">
        <f aca="false">IF(OR(A483="",B483=""),"",IF(SUMIFS($E$5:$E$604,$B$5:$B$604,B483,$A$5:$A$604,"&gt;="&amp;DATE(YEAR(A483)-1,MONTH(A483),1),$A$5:$A$604,"&lt;"&amp;DATE(YEAR(A483)-1,MONTH(A483)+1,1))=0,"",SUMIFS($E$5:$E$604,$B$5:$B$604,B483,$A$5:$A$604,"&gt;="&amp;DATE(YEAR(A483)-1,MONTH(A483),1),$A$5:$A$604,"&lt;"&amp;DATE(YEAR(A483)-1,MONTH(A483)+1,1))))</f>
        <v/>
      </c>
      <c r="I483" s="19" t="str">
        <f aca="false">IF(OR(H483="",E483=""),"",E483/H483-1)</f>
        <v/>
      </c>
    </row>
    <row r="484" customFormat="false" ht="15" hidden="false" customHeight="false" outlineLevel="0" collapsed="false">
      <c r="A484" s="12"/>
      <c r="B484" s="13"/>
      <c r="C484" s="14"/>
      <c r="D484" s="14"/>
      <c r="E484" s="15"/>
      <c r="F484" s="16" t="str">
        <f aca="false">IF(OR(C484="",D484=""),"",D484-C484)</f>
        <v/>
      </c>
      <c r="G484" s="17" t="str">
        <f aca="false">IF(OR(F484="",F484=0),"",E484/F484)</f>
        <v/>
      </c>
      <c r="H484" s="18" t="str">
        <f aca="false">IF(OR(A484="",B484=""),"",IF(SUMIFS($E$5:$E$604,$B$5:$B$604,B484,$A$5:$A$604,"&gt;="&amp;DATE(YEAR(A484)-1,MONTH(A484),1),$A$5:$A$604,"&lt;"&amp;DATE(YEAR(A484)-1,MONTH(A484)+1,1))=0,"",SUMIFS($E$5:$E$604,$B$5:$B$604,B484,$A$5:$A$604,"&gt;="&amp;DATE(YEAR(A484)-1,MONTH(A484),1),$A$5:$A$604,"&lt;"&amp;DATE(YEAR(A484)-1,MONTH(A484)+1,1))))</f>
        <v/>
      </c>
      <c r="I484" s="19" t="str">
        <f aca="false">IF(OR(H484="",E484=""),"",E484/H484-1)</f>
        <v/>
      </c>
    </row>
    <row r="485" customFormat="false" ht="15" hidden="false" customHeight="false" outlineLevel="0" collapsed="false">
      <c r="A485" s="12"/>
      <c r="B485" s="13"/>
      <c r="C485" s="14"/>
      <c r="D485" s="14"/>
      <c r="E485" s="15"/>
      <c r="F485" s="16" t="str">
        <f aca="false">IF(OR(C485="",D485=""),"",D485-C485)</f>
        <v/>
      </c>
      <c r="G485" s="17" t="str">
        <f aca="false">IF(OR(F485="",F485=0),"",E485/F485)</f>
        <v/>
      </c>
      <c r="H485" s="18" t="str">
        <f aca="false">IF(OR(A485="",B485=""),"",IF(SUMIFS($E$5:$E$604,$B$5:$B$604,B485,$A$5:$A$604,"&gt;="&amp;DATE(YEAR(A485)-1,MONTH(A485),1),$A$5:$A$604,"&lt;"&amp;DATE(YEAR(A485)-1,MONTH(A485)+1,1))=0,"",SUMIFS($E$5:$E$604,$B$5:$B$604,B485,$A$5:$A$604,"&gt;="&amp;DATE(YEAR(A485)-1,MONTH(A485),1),$A$5:$A$604,"&lt;"&amp;DATE(YEAR(A485)-1,MONTH(A485)+1,1))))</f>
        <v/>
      </c>
      <c r="I485" s="19" t="str">
        <f aca="false">IF(OR(H485="",E485=""),"",E485/H485-1)</f>
        <v/>
      </c>
    </row>
    <row r="486" customFormat="false" ht="15" hidden="false" customHeight="false" outlineLevel="0" collapsed="false">
      <c r="A486" s="12"/>
      <c r="B486" s="13"/>
      <c r="C486" s="14"/>
      <c r="D486" s="14"/>
      <c r="E486" s="15"/>
      <c r="F486" s="16" t="str">
        <f aca="false">IF(OR(C486="",D486=""),"",D486-C486)</f>
        <v/>
      </c>
      <c r="G486" s="17" t="str">
        <f aca="false">IF(OR(F486="",F486=0),"",E486/F486)</f>
        <v/>
      </c>
      <c r="H486" s="18" t="str">
        <f aca="false">IF(OR(A486="",B486=""),"",IF(SUMIFS($E$5:$E$604,$B$5:$B$604,B486,$A$5:$A$604,"&gt;="&amp;DATE(YEAR(A486)-1,MONTH(A486),1),$A$5:$A$604,"&lt;"&amp;DATE(YEAR(A486)-1,MONTH(A486)+1,1))=0,"",SUMIFS($E$5:$E$604,$B$5:$B$604,B486,$A$5:$A$604,"&gt;="&amp;DATE(YEAR(A486)-1,MONTH(A486),1),$A$5:$A$604,"&lt;"&amp;DATE(YEAR(A486)-1,MONTH(A486)+1,1))))</f>
        <v/>
      </c>
      <c r="I486" s="19" t="str">
        <f aca="false">IF(OR(H486="",E486=""),"",E486/H486-1)</f>
        <v/>
      </c>
    </row>
    <row r="487" customFormat="false" ht="15" hidden="false" customHeight="false" outlineLevel="0" collapsed="false">
      <c r="A487" s="12"/>
      <c r="B487" s="13"/>
      <c r="C487" s="14"/>
      <c r="D487" s="14"/>
      <c r="E487" s="15"/>
      <c r="F487" s="16" t="str">
        <f aca="false">IF(OR(C487="",D487=""),"",D487-C487)</f>
        <v/>
      </c>
      <c r="G487" s="17" t="str">
        <f aca="false">IF(OR(F487="",F487=0),"",E487/F487)</f>
        <v/>
      </c>
      <c r="H487" s="18" t="str">
        <f aca="false">IF(OR(A487="",B487=""),"",IF(SUMIFS($E$5:$E$604,$B$5:$B$604,B487,$A$5:$A$604,"&gt;="&amp;DATE(YEAR(A487)-1,MONTH(A487),1),$A$5:$A$604,"&lt;"&amp;DATE(YEAR(A487)-1,MONTH(A487)+1,1))=0,"",SUMIFS($E$5:$E$604,$B$5:$B$604,B487,$A$5:$A$604,"&gt;="&amp;DATE(YEAR(A487)-1,MONTH(A487),1),$A$5:$A$604,"&lt;"&amp;DATE(YEAR(A487)-1,MONTH(A487)+1,1))))</f>
        <v/>
      </c>
      <c r="I487" s="19" t="str">
        <f aca="false">IF(OR(H487="",E487=""),"",E487/H487-1)</f>
        <v/>
      </c>
    </row>
    <row r="488" customFormat="false" ht="15" hidden="false" customHeight="false" outlineLevel="0" collapsed="false">
      <c r="A488" s="12"/>
      <c r="B488" s="13"/>
      <c r="C488" s="14"/>
      <c r="D488" s="14"/>
      <c r="E488" s="15"/>
      <c r="F488" s="16" t="str">
        <f aca="false">IF(OR(C488="",D488=""),"",D488-C488)</f>
        <v/>
      </c>
      <c r="G488" s="17" t="str">
        <f aca="false">IF(OR(F488="",F488=0),"",E488/F488)</f>
        <v/>
      </c>
      <c r="H488" s="18" t="str">
        <f aca="false">IF(OR(A488="",B488=""),"",IF(SUMIFS($E$5:$E$604,$B$5:$B$604,B488,$A$5:$A$604,"&gt;="&amp;DATE(YEAR(A488)-1,MONTH(A488),1),$A$5:$A$604,"&lt;"&amp;DATE(YEAR(A488)-1,MONTH(A488)+1,1))=0,"",SUMIFS($E$5:$E$604,$B$5:$B$604,B488,$A$5:$A$604,"&gt;="&amp;DATE(YEAR(A488)-1,MONTH(A488),1),$A$5:$A$604,"&lt;"&amp;DATE(YEAR(A488)-1,MONTH(A488)+1,1))))</f>
        <v/>
      </c>
      <c r="I488" s="19" t="str">
        <f aca="false">IF(OR(H488="",E488=""),"",E488/H488-1)</f>
        <v/>
      </c>
    </row>
    <row r="489" customFormat="false" ht="15" hidden="false" customHeight="false" outlineLevel="0" collapsed="false">
      <c r="A489" s="12"/>
      <c r="B489" s="13"/>
      <c r="C489" s="14"/>
      <c r="D489" s="14"/>
      <c r="E489" s="15"/>
      <c r="F489" s="16" t="str">
        <f aca="false">IF(OR(C489="",D489=""),"",D489-C489)</f>
        <v/>
      </c>
      <c r="G489" s="17" t="str">
        <f aca="false">IF(OR(F489="",F489=0),"",E489/F489)</f>
        <v/>
      </c>
      <c r="H489" s="18" t="str">
        <f aca="false">IF(OR(A489="",B489=""),"",IF(SUMIFS($E$5:$E$604,$B$5:$B$604,B489,$A$5:$A$604,"&gt;="&amp;DATE(YEAR(A489)-1,MONTH(A489),1),$A$5:$A$604,"&lt;"&amp;DATE(YEAR(A489)-1,MONTH(A489)+1,1))=0,"",SUMIFS($E$5:$E$604,$B$5:$B$604,B489,$A$5:$A$604,"&gt;="&amp;DATE(YEAR(A489)-1,MONTH(A489),1),$A$5:$A$604,"&lt;"&amp;DATE(YEAR(A489)-1,MONTH(A489)+1,1))))</f>
        <v/>
      </c>
      <c r="I489" s="19" t="str">
        <f aca="false">IF(OR(H489="",E489=""),"",E489/H489-1)</f>
        <v/>
      </c>
    </row>
    <row r="490" customFormat="false" ht="15" hidden="false" customHeight="false" outlineLevel="0" collapsed="false">
      <c r="A490" s="12"/>
      <c r="B490" s="13"/>
      <c r="C490" s="14"/>
      <c r="D490" s="14"/>
      <c r="E490" s="15"/>
      <c r="F490" s="16" t="str">
        <f aca="false">IF(OR(C490="",D490=""),"",D490-C490)</f>
        <v/>
      </c>
      <c r="G490" s="17" t="str">
        <f aca="false">IF(OR(F490="",F490=0),"",E490/F490)</f>
        <v/>
      </c>
      <c r="H490" s="18" t="str">
        <f aca="false">IF(OR(A490="",B490=""),"",IF(SUMIFS($E$5:$E$604,$B$5:$B$604,B490,$A$5:$A$604,"&gt;="&amp;DATE(YEAR(A490)-1,MONTH(A490),1),$A$5:$A$604,"&lt;"&amp;DATE(YEAR(A490)-1,MONTH(A490)+1,1))=0,"",SUMIFS($E$5:$E$604,$B$5:$B$604,B490,$A$5:$A$604,"&gt;="&amp;DATE(YEAR(A490)-1,MONTH(A490),1),$A$5:$A$604,"&lt;"&amp;DATE(YEAR(A490)-1,MONTH(A490)+1,1))))</f>
        <v/>
      </c>
      <c r="I490" s="19" t="str">
        <f aca="false">IF(OR(H490="",E490=""),"",E490/H490-1)</f>
        <v/>
      </c>
    </row>
    <row r="491" customFormat="false" ht="15" hidden="false" customHeight="false" outlineLevel="0" collapsed="false">
      <c r="A491" s="12"/>
      <c r="B491" s="13"/>
      <c r="C491" s="14"/>
      <c r="D491" s="14"/>
      <c r="E491" s="15"/>
      <c r="F491" s="16" t="str">
        <f aca="false">IF(OR(C491="",D491=""),"",D491-C491)</f>
        <v/>
      </c>
      <c r="G491" s="17" t="str">
        <f aca="false">IF(OR(F491="",F491=0),"",E491/F491)</f>
        <v/>
      </c>
      <c r="H491" s="18" t="str">
        <f aca="false">IF(OR(A491="",B491=""),"",IF(SUMIFS($E$5:$E$604,$B$5:$B$604,B491,$A$5:$A$604,"&gt;="&amp;DATE(YEAR(A491)-1,MONTH(A491),1),$A$5:$A$604,"&lt;"&amp;DATE(YEAR(A491)-1,MONTH(A491)+1,1))=0,"",SUMIFS($E$5:$E$604,$B$5:$B$604,B491,$A$5:$A$604,"&gt;="&amp;DATE(YEAR(A491)-1,MONTH(A491),1),$A$5:$A$604,"&lt;"&amp;DATE(YEAR(A491)-1,MONTH(A491)+1,1))))</f>
        <v/>
      </c>
      <c r="I491" s="19" t="str">
        <f aca="false">IF(OR(H491="",E491=""),"",E491/H491-1)</f>
        <v/>
      </c>
    </row>
    <row r="492" customFormat="false" ht="15" hidden="false" customHeight="false" outlineLevel="0" collapsed="false">
      <c r="A492" s="12"/>
      <c r="B492" s="13"/>
      <c r="C492" s="14"/>
      <c r="D492" s="14"/>
      <c r="E492" s="15"/>
      <c r="F492" s="16" t="str">
        <f aca="false">IF(OR(C492="",D492=""),"",D492-C492)</f>
        <v/>
      </c>
      <c r="G492" s="17" t="str">
        <f aca="false">IF(OR(F492="",F492=0),"",E492/F492)</f>
        <v/>
      </c>
      <c r="H492" s="18" t="str">
        <f aca="false">IF(OR(A492="",B492=""),"",IF(SUMIFS($E$5:$E$604,$B$5:$B$604,B492,$A$5:$A$604,"&gt;="&amp;DATE(YEAR(A492)-1,MONTH(A492),1),$A$5:$A$604,"&lt;"&amp;DATE(YEAR(A492)-1,MONTH(A492)+1,1))=0,"",SUMIFS($E$5:$E$604,$B$5:$B$604,B492,$A$5:$A$604,"&gt;="&amp;DATE(YEAR(A492)-1,MONTH(A492),1),$A$5:$A$604,"&lt;"&amp;DATE(YEAR(A492)-1,MONTH(A492)+1,1))))</f>
        <v/>
      </c>
      <c r="I492" s="19" t="str">
        <f aca="false">IF(OR(H492="",E492=""),"",E492/H492-1)</f>
        <v/>
      </c>
    </row>
    <row r="493" customFormat="false" ht="15" hidden="false" customHeight="false" outlineLevel="0" collapsed="false">
      <c r="A493" s="12"/>
      <c r="B493" s="13"/>
      <c r="C493" s="14"/>
      <c r="D493" s="14"/>
      <c r="E493" s="15"/>
      <c r="F493" s="16" t="str">
        <f aca="false">IF(OR(C493="",D493=""),"",D493-C493)</f>
        <v/>
      </c>
      <c r="G493" s="17" t="str">
        <f aca="false">IF(OR(F493="",F493=0),"",E493/F493)</f>
        <v/>
      </c>
      <c r="H493" s="18" t="str">
        <f aca="false">IF(OR(A493="",B493=""),"",IF(SUMIFS($E$5:$E$604,$B$5:$B$604,B493,$A$5:$A$604,"&gt;="&amp;DATE(YEAR(A493)-1,MONTH(A493),1),$A$5:$A$604,"&lt;"&amp;DATE(YEAR(A493)-1,MONTH(A493)+1,1))=0,"",SUMIFS($E$5:$E$604,$B$5:$B$604,B493,$A$5:$A$604,"&gt;="&amp;DATE(YEAR(A493)-1,MONTH(A493),1),$A$5:$A$604,"&lt;"&amp;DATE(YEAR(A493)-1,MONTH(A493)+1,1))))</f>
        <v/>
      </c>
      <c r="I493" s="19" t="str">
        <f aca="false">IF(OR(H493="",E493=""),"",E493/H493-1)</f>
        <v/>
      </c>
    </row>
    <row r="494" customFormat="false" ht="15" hidden="false" customHeight="false" outlineLevel="0" collapsed="false">
      <c r="A494" s="12"/>
      <c r="B494" s="13"/>
      <c r="C494" s="14"/>
      <c r="D494" s="14"/>
      <c r="E494" s="15"/>
      <c r="F494" s="16" t="str">
        <f aca="false">IF(OR(C494="",D494=""),"",D494-C494)</f>
        <v/>
      </c>
      <c r="G494" s="17" t="str">
        <f aca="false">IF(OR(F494="",F494=0),"",E494/F494)</f>
        <v/>
      </c>
      <c r="H494" s="18" t="str">
        <f aca="false">IF(OR(A494="",B494=""),"",IF(SUMIFS($E$5:$E$604,$B$5:$B$604,B494,$A$5:$A$604,"&gt;="&amp;DATE(YEAR(A494)-1,MONTH(A494),1),$A$5:$A$604,"&lt;"&amp;DATE(YEAR(A494)-1,MONTH(A494)+1,1))=0,"",SUMIFS($E$5:$E$604,$B$5:$B$604,B494,$A$5:$A$604,"&gt;="&amp;DATE(YEAR(A494)-1,MONTH(A494),1),$A$5:$A$604,"&lt;"&amp;DATE(YEAR(A494)-1,MONTH(A494)+1,1))))</f>
        <v/>
      </c>
      <c r="I494" s="19" t="str">
        <f aca="false">IF(OR(H494="",E494=""),"",E494/H494-1)</f>
        <v/>
      </c>
    </row>
    <row r="495" customFormat="false" ht="15" hidden="false" customHeight="false" outlineLevel="0" collapsed="false">
      <c r="A495" s="12"/>
      <c r="B495" s="13"/>
      <c r="C495" s="14"/>
      <c r="D495" s="14"/>
      <c r="E495" s="15"/>
      <c r="F495" s="16" t="str">
        <f aca="false">IF(OR(C495="",D495=""),"",D495-C495)</f>
        <v/>
      </c>
      <c r="G495" s="17" t="str">
        <f aca="false">IF(OR(F495="",F495=0),"",E495/F495)</f>
        <v/>
      </c>
      <c r="H495" s="18" t="str">
        <f aca="false">IF(OR(A495="",B495=""),"",IF(SUMIFS($E$5:$E$604,$B$5:$B$604,B495,$A$5:$A$604,"&gt;="&amp;DATE(YEAR(A495)-1,MONTH(A495),1),$A$5:$A$604,"&lt;"&amp;DATE(YEAR(A495)-1,MONTH(A495)+1,1))=0,"",SUMIFS($E$5:$E$604,$B$5:$B$604,B495,$A$5:$A$604,"&gt;="&amp;DATE(YEAR(A495)-1,MONTH(A495),1),$A$5:$A$604,"&lt;"&amp;DATE(YEAR(A495)-1,MONTH(A495)+1,1))))</f>
        <v/>
      </c>
      <c r="I495" s="19" t="str">
        <f aca="false">IF(OR(H495="",E495=""),"",E495/H495-1)</f>
        <v/>
      </c>
    </row>
    <row r="496" customFormat="false" ht="15" hidden="false" customHeight="false" outlineLevel="0" collapsed="false">
      <c r="A496" s="12"/>
      <c r="B496" s="13"/>
      <c r="C496" s="14"/>
      <c r="D496" s="14"/>
      <c r="E496" s="15"/>
      <c r="F496" s="16" t="str">
        <f aca="false">IF(OR(C496="",D496=""),"",D496-C496)</f>
        <v/>
      </c>
      <c r="G496" s="17" t="str">
        <f aca="false">IF(OR(F496="",F496=0),"",E496/F496)</f>
        <v/>
      </c>
      <c r="H496" s="18" t="str">
        <f aca="false">IF(OR(A496="",B496=""),"",IF(SUMIFS($E$5:$E$604,$B$5:$B$604,B496,$A$5:$A$604,"&gt;="&amp;DATE(YEAR(A496)-1,MONTH(A496),1),$A$5:$A$604,"&lt;"&amp;DATE(YEAR(A496)-1,MONTH(A496)+1,1))=0,"",SUMIFS($E$5:$E$604,$B$5:$B$604,B496,$A$5:$A$604,"&gt;="&amp;DATE(YEAR(A496)-1,MONTH(A496),1),$A$5:$A$604,"&lt;"&amp;DATE(YEAR(A496)-1,MONTH(A496)+1,1))))</f>
        <v/>
      </c>
      <c r="I496" s="19" t="str">
        <f aca="false">IF(OR(H496="",E496=""),"",E496/H496-1)</f>
        <v/>
      </c>
    </row>
    <row r="497" customFormat="false" ht="15" hidden="false" customHeight="false" outlineLevel="0" collapsed="false">
      <c r="A497" s="12"/>
      <c r="B497" s="13"/>
      <c r="C497" s="14"/>
      <c r="D497" s="14"/>
      <c r="E497" s="15"/>
      <c r="F497" s="16" t="str">
        <f aca="false">IF(OR(C497="",D497=""),"",D497-C497)</f>
        <v/>
      </c>
      <c r="G497" s="17" t="str">
        <f aca="false">IF(OR(F497="",F497=0),"",E497/F497)</f>
        <v/>
      </c>
      <c r="H497" s="18" t="str">
        <f aca="false">IF(OR(A497="",B497=""),"",IF(SUMIFS($E$5:$E$604,$B$5:$B$604,B497,$A$5:$A$604,"&gt;="&amp;DATE(YEAR(A497)-1,MONTH(A497),1),$A$5:$A$604,"&lt;"&amp;DATE(YEAR(A497)-1,MONTH(A497)+1,1))=0,"",SUMIFS($E$5:$E$604,$B$5:$B$604,B497,$A$5:$A$604,"&gt;="&amp;DATE(YEAR(A497)-1,MONTH(A497),1),$A$5:$A$604,"&lt;"&amp;DATE(YEAR(A497)-1,MONTH(A497)+1,1))))</f>
        <v/>
      </c>
      <c r="I497" s="19" t="str">
        <f aca="false">IF(OR(H497="",E497=""),"",E497/H497-1)</f>
        <v/>
      </c>
    </row>
    <row r="498" customFormat="false" ht="15" hidden="false" customHeight="false" outlineLevel="0" collapsed="false">
      <c r="A498" s="12"/>
      <c r="B498" s="13"/>
      <c r="C498" s="14"/>
      <c r="D498" s="14"/>
      <c r="E498" s="15"/>
      <c r="F498" s="16" t="str">
        <f aca="false">IF(OR(C498="",D498=""),"",D498-C498)</f>
        <v/>
      </c>
      <c r="G498" s="17" t="str">
        <f aca="false">IF(OR(F498="",F498=0),"",E498/F498)</f>
        <v/>
      </c>
      <c r="H498" s="18" t="str">
        <f aca="false">IF(OR(A498="",B498=""),"",IF(SUMIFS($E$5:$E$604,$B$5:$B$604,B498,$A$5:$A$604,"&gt;="&amp;DATE(YEAR(A498)-1,MONTH(A498),1),$A$5:$A$604,"&lt;"&amp;DATE(YEAR(A498)-1,MONTH(A498)+1,1))=0,"",SUMIFS($E$5:$E$604,$B$5:$B$604,B498,$A$5:$A$604,"&gt;="&amp;DATE(YEAR(A498)-1,MONTH(A498),1),$A$5:$A$604,"&lt;"&amp;DATE(YEAR(A498)-1,MONTH(A498)+1,1))))</f>
        <v/>
      </c>
      <c r="I498" s="19" t="str">
        <f aca="false">IF(OR(H498="",E498=""),"",E498/H498-1)</f>
        <v/>
      </c>
    </row>
    <row r="499" customFormat="false" ht="15" hidden="false" customHeight="false" outlineLevel="0" collapsed="false">
      <c r="A499" s="12"/>
      <c r="B499" s="13"/>
      <c r="C499" s="14"/>
      <c r="D499" s="14"/>
      <c r="E499" s="15"/>
      <c r="F499" s="16" t="str">
        <f aca="false">IF(OR(C499="",D499=""),"",D499-C499)</f>
        <v/>
      </c>
      <c r="G499" s="17" t="str">
        <f aca="false">IF(OR(F499="",F499=0),"",E499/F499)</f>
        <v/>
      </c>
      <c r="H499" s="18" t="str">
        <f aca="false">IF(OR(A499="",B499=""),"",IF(SUMIFS($E$5:$E$604,$B$5:$B$604,B499,$A$5:$A$604,"&gt;="&amp;DATE(YEAR(A499)-1,MONTH(A499),1),$A$5:$A$604,"&lt;"&amp;DATE(YEAR(A499)-1,MONTH(A499)+1,1))=0,"",SUMIFS($E$5:$E$604,$B$5:$B$604,B499,$A$5:$A$604,"&gt;="&amp;DATE(YEAR(A499)-1,MONTH(A499),1),$A$5:$A$604,"&lt;"&amp;DATE(YEAR(A499)-1,MONTH(A499)+1,1))))</f>
        <v/>
      </c>
      <c r="I499" s="19" t="str">
        <f aca="false">IF(OR(H499="",E499=""),"",E499/H499-1)</f>
        <v/>
      </c>
    </row>
    <row r="500" customFormat="false" ht="15" hidden="false" customHeight="false" outlineLevel="0" collapsed="false">
      <c r="A500" s="12"/>
      <c r="B500" s="13"/>
      <c r="C500" s="14"/>
      <c r="D500" s="14"/>
      <c r="E500" s="15"/>
      <c r="F500" s="16" t="str">
        <f aca="false">IF(OR(C500="",D500=""),"",D500-C500)</f>
        <v/>
      </c>
      <c r="G500" s="17" t="str">
        <f aca="false">IF(OR(F500="",F500=0),"",E500/F500)</f>
        <v/>
      </c>
      <c r="H500" s="18" t="str">
        <f aca="false">IF(OR(A500="",B500=""),"",IF(SUMIFS($E$5:$E$604,$B$5:$B$604,B500,$A$5:$A$604,"&gt;="&amp;DATE(YEAR(A500)-1,MONTH(A500),1),$A$5:$A$604,"&lt;"&amp;DATE(YEAR(A500)-1,MONTH(A500)+1,1))=0,"",SUMIFS($E$5:$E$604,$B$5:$B$604,B500,$A$5:$A$604,"&gt;="&amp;DATE(YEAR(A500)-1,MONTH(A500),1),$A$5:$A$604,"&lt;"&amp;DATE(YEAR(A500)-1,MONTH(A500)+1,1))))</f>
        <v/>
      </c>
      <c r="I500" s="19" t="str">
        <f aca="false">IF(OR(H500="",E500=""),"",E500/H500-1)</f>
        <v/>
      </c>
    </row>
    <row r="501" customFormat="false" ht="15" hidden="false" customHeight="false" outlineLevel="0" collapsed="false">
      <c r="A501" s="12"/>
      <c r="B501" s="13"/>
      <c r="C501" s="14"/>
      <c r="D501" s="14"/>
      <c r="E501" s="15"/>
      <c r="F501" s="16" t="str">
        <f aca="false">IF(OR(C501="",D501=""),"",D501-C501)</f>
        <v/>
      </c>
      <c r="G501" s="17" t="str">
        <f aca="false">IF(OR(F501="",F501=0),"",E501/F501)</f>
        <v/>
      </c>
      <c r="H501" s="18" t="str">
        <f aca="false">IF(OR(A501="",B501=""),"",IF(SUMIFS($E$5:$E$604,$B$5:$B$604,B501,$A$5:$A$604,"&gt;="&amp;DATE(YEAR(A501)-1,MONTH(A501),1),$A$5:$A$604,"&lt;"&amp;DATE(YEAR(A501)-1,MONTH(A501)+1,1))=0,"",SUMIFS($E$5:$E$604,$B$5:$B$604,B501,$A$5:$A$604,"&gt;="&amp;DATE(YEAR(A501)-1,MONTH(A501),1),$A$5:$A$604,"&lt;"&amp;DATE(YEAR(A501)-1,MONTH(A501)+1,1))))</f>
        <v/>
      </c>
      <c r="I501" s="19" t="str">
        <f aca="false">IF(OR(H501="",E501=""),"",E501/H501-1)</f>
        <v/>
      </c>
    </row>
    <row r="502" customFormat="false" ht="15" hidden="false" customHeight="false" outlineLevel="0" collapsed="false">
      <c r="A502" s="12"/>
      <c r="B502" s="13"/>
      <c r="C502" s="14"/>
      <c r="D502" s="14"/>
      <c r="E502" s="15"/>
      <c r="F502" s="16" t="str">
        <f aca="false">IF(OR(C502="",D502=""),"",D502-C502)</f>
        <v/>
      </c>
      <c r="G502" s="17" t="str">
        <f aca="false">IF(OR(F502="",F502=0),"",E502/F502)</f>
        <v/>
      </c>
      <c r="H502" s="18" t="str">
        <f aca="false">IF(OR(A502="",B502=""),"",IF(SUMIFS($E$5:$E$604,$B$5:$B$604,B502,$A$5:$A$604,"&gt;="&amp;DATE(YEAR(A502)-1,MONTH(A502),1),$A$5:$A$604,"&lt;"&amp;DATE(YEAR(A502)-1,MONTH(A502)+1,1))=0,"",SUMIFS($E$5:$E$604,$B$5:$B$604,B502,$A$5:$A$604,"&gt;="&amp;DATE(YEAR(A502)-1,MONTH(A502),1),$A$5:$A$604,"&lt;"&amp;DATE(YEAR(A502)-1,MONTH(A502)+1,1))))</f>
        <v/>
      </c>
      <c r="I502" s="19" t="str">
        <f aca="false">IF(OR(H502="",E502=""),"",E502/H502-1)</f>
        <v/>
      </c>
    </row>
    <row r="503" customFormat="false" ht="15" hidden="false" customHeight="false" outlineLevel="0" collapsed="false">
      <c r="A503" s="12"/>
      <c r="B503" s="13"/>
      <c r="C503" s="14"/>
      <c r="D503" s="14"/>
      <c r="E503" s="15"/>
      <c r="F503" s="16" t="str">
        <f aca="false">IF(OR(C503="",D503=""),"",D503-C503)</f>
        <v/>
      </c>
      <c r="G503" s="17" t="str">
        <f aca="false">IF(OR(F503="",F503=0),"",E503/F503)</f>
        <v/>
      </c>
      <c r="H503" s="18" t="str">
        <f aca="false">IF(OR(A503="",B503=""),"",IF(SUMIFS($E$5:$E$604,$B$5:$B$604,B503,$A$5:$A$604,"&gt;="&amp;DATE(YEAR(A503)-1,MONTH(A503),1),$A$5:$A$604,"&lt;"&amp;DATE(YEAR(A503)-1,MONTH(A503)+1,1))=0,"",SUMIFS($E$5:$E$604,$B$5:$B$604,B503,$A$5:$A$604,"&gt;="&amp;DATE(YEAR(A503)-1,MONTH(A503),1),$A$5:$A$604,"&lt;"&amp;DATE(YEAR(A503)-1,MONTH(A503)+1,1))))</f>
        <v/>
      </c>
      <c r="I503" s="19" t="str">
        <f aca="false">IF(OR(H503="",E503=""),"",E503/H503-1)</f>
        <v/>
      </c>
    </row>
    <row r="504" customFormat="false" ht="15" hidden="false" customHeight="false" outlineLevel="0" collapsed="false">
      <c r="A504" s="12"/>
      <c r="B504" s="13"/>
      <c r="C504" s="14"/>
      <c r="D504" s="14"/>
      <c r="E504" s="15"/>
      <c r="F504" s="16" t="str">
        <f aca="false">IF(OR(C504="",D504=""),"",D504-C504)</f>
        <v/>
      </c>
      <c r="G504" s="17" t="str">
        <f aca="false">IF(OR(F504="",F504=0),"",E504/F504)</f>
        <v/>
      </c>
      <c r="H504" s="18" t="str">
        <f aca="false">IF(OR(A504="",B504=""),"",IF(SUMIFS($E$5:$E$604,$B$5:$B$604,B504,$A$5:$A$604,"&gt;="&amp;DATE(YEAR(A504)-1,MONTH(A504),1),$A$5:$A$604,"&lt;"&amp;DATE(YEAR(A504)-1,MONTH(A504)+1,1))=0,"",SUMIFS($E$5:$E$604,$B$5:$B$604,B504,$A$5:$A$604,"&gt;="&amp;DATE(YEAR(A504)-1,MONTH(A504),1),$A$5:$A$604,"&lt;"&amp;DATE(YEAR(A504)-1,MONTH(A504)+1,1))))</f>
        <v/>
      </c>
      <c r="I504" s="19" t="str">
        <f aca="false">IF(OR(H504="",E504=""),"",E504/H504-1)</f>
        <v/>
      </c>
    </row>
    <row r="505" customFormat="false" ht="15" hidden="false" customHeight="false" outlineLevel="0" collapsed="false">
      <c r="A505" s="12"/>
      <c r="B505" s="13"/>
      <c r="C505" s="14"/>
      <c r="D505" s="14"/>
      <c r="E505" s="15"/>
      <c r="F505" s="16" t="str">
        <f aca="false">IF(OR(C505="",D505=""),"",D505-C505)</f>
        <v/>
      </c>
      <c r="G505" s="17" t="str">
        <f aca="false">IF(OR(F505="",F505=0),"",E505/F505)</f>
        <v/>
      </c>
      <c r="H505" s="18" t="str">
        <f aca="false">IF(OR(A505="",B505=""),"",IF(SUMIFS($E$5:$E$604,$B$5:$B$604,B505,$A$5:$A$604,"&gt;="&amp;DATE(YEAR(A505)-1,MONTH(A505),1),$A$5:$A$604,"&lt;"&amp;DATE(YEAR(A505)-1,MONTH(A505)+1,1))=0,"",SUMIFS($E$5:$E$604,$B$5:$B$604,B505,$A$5:$A$604,"&gt;="&amp;DATE(YEAR(A505)-1,MONTH(A505),1),$A$5:$A$604,"&lt;"&amp;DATE(YEAR(A505)-1,MONTH(A505)+1,1))))</f>
        <v/>
      </c>
      <c r="I505" s="19" t="str">
        <f aca="false">IF(OR(H505="",E505=""),"",E505/H505-1)</f>
        <v/>
      </c>
    </row>
    <row r="506" customFormat="false" ht="15" hidden="false" customHeight="false" outlineLevel="0" collapsed="false">
      <c r="A506" s="12"/>
      <c r="B506" s="13"/>
      <c r="C506" s="14"/>
      <c r="D506" s="14"/>
      <c r="E506" s="15"/>
      <c r="F506" s="16" t="str">
        <f aca="false">IF(OR(C506="",D506=""),"",D506-C506)</f>
        <v/>
      </c>
      <c r="G506" s="17" t="str">
        <f aca="false">IF(OR(F506="",F506=0),"",E506/F506)</f>
        <v/>
      </c>
      <c r="H506" s="18" t="str">
        <f aca="false">IF(OR(A506="",B506=""),"",IF(SUMIFS($E$5:$E$604,$B$5:$B$604,B506,$A$5:$A$604,"&gt;="&amp;DATE(YEAR(A506)-1,MONTH(A506),1),$A$5:$A$604,"&lt;"&amp;DATE(YEAR(A506)-1,MONTH(A506)+1,1))=0,"",SUMIFS($E$5:$E$604,$B$5:$B$604,B506,$A$5:$A$604,"&gt;="&amp;DATE(YEAR(A506)-1,MONTH(A506),1),$A$5:$A$604,"&lt;"&amp;DATE(YEAR(A506)-1,MONTH(A506)+1,1))))</f>
        <v/>
      </c>
      <c r="I506" s="19" t="str">
        <f aca="false">IF(OR(H506="",E506=""),"",E506/H506-1)</f>
        <v/>
      </c>
    </row>
    <row r="507" customFormat="false" ht="15" hidden="false" customHeight="false" outlineLevel="0" collapsed="false">
      <c r="A507" s="12"/>
      <c r="B507" s="13"/>
      <c r="C507" s="14"/>
      <c r="D507" s="14"/>
      <c r="E507" s="15"/>
      <c r="F507" s="16" t="str">
        <f aca="false">IF(OR(C507="",D507=""),"",D507-C507)</f>
        <v/>
      </c>
      <c r="G507" s="17" t="str">
        <f aca="false">IF(OR(F507="",F507=0),"",E507/F507)</f>
        <v/>
      </c>
      <c r="H507" s="18" t="str">
        <f aca="false">IF(OR(A507="",B507=""),"",IF(SUMIFS($E$5:$E$604,$B$5:$B$604,B507,$A$5:$A$604,"&gt;="&amp;DATE(YEAR(A507)-1,MONTH(A507),1),$A$5:$A$604,"&lt;"&amp;DATE(YEAR(A507)-1,MONTH(A507)+1,1))=0,"",SUMIFS($E$5:$E$604,$B$5:$B$604,B507,$A$5:$A$604,"&gt;="&amp;DATE(YEAR(A507)-1,MONTH(A507),1),$A$5:$A$604,"&lt;"&amp;DATE(YEAR(A507)-1,MONTH(A507)+1,1))))</f>
        <v/>
      </c>
      <c r="I507" s="19" t="str">
        <f aca="false">IF(OR(H507="",E507=""),"",E507/H507-1)</f>
        <v/>
      </c>
    </row>
    <row r="508" customFormat="false" ht="15" hidden="false" customHeight="false" outlineLevel="0" collapsed="false">
      <c r="A508" s="12"/>
      <c r="B508" s="13"/>
      <c r="C508" s="14"/>
      <c r="D508" s="14"/>
      <c r="E508" s="15"/>
      <c r="F508" s="16" t="str">
        <f aca="false">IF(OR(C508="",D508=""),"",D508-C508)</f>
        <v/>
      </c>
      <c r="G508" s="17" t="str">
        <f aca="false">IF(OR(F508="",F508=0),"",E508/F508)</f>
        <v/>
      </c>
      <c r="H508" s="18" t="str">
        <f aca="false">IF(OR(A508="",B508=""),"",IF(SUMIFS($E$5:$E$604,$B$5:$B$604,B508,$A$5:$A$604,"&gt;="&amp;DATE(YEAR(A508)-1,MONTH(A508),1),$A$5:$A$604,"&lt;"&amp;DATE(YEAR(A508)-1,MONTH(A508)+1,1))=0,"",SUMIFS($E$5:$E$604,$B$5:$B$604,B508,$A$5:$A$604,"&gt;="&amp;DATE(YEAR(A508)-1,MONTH(A508),1),$A$5:$A$604,"&lt;"&amp;DATE(YEAR(A508)-1,MONTH(A508)+1,1))))</f>
        <v/>
      </c>
      <c r="I508" s="19" t="str">
        <f aca="false">IF(OR(H508="",E508=""),"",E508/H508-1)</f>
        <v/>
      </c>
    </row>
    <row r="509" customFormat="false" ht="15" hidden="false" customHeight="false" outlineLevel="0" collapsed="false">
      <c r="A509" s="12"/>
      <c r="B509" s="13"/>
      <c r="C509" s="14"/>
      <c r="D509" s="14"/>
      <c r="E509" s="15"/>
      <c r="F509" s="16" t="str">
        <f aca="false">IF(OR(C509="",D509=""),"",D509-C509)</f>
        <v/>
      </c>
      <c r="G509" s="17" t="str">
        <f aca="false">IF(OR(F509="",F509=0),"",E509/F509)</f>
        <v/>
      </c>
      <c r="H509" s="18" t="str">
        <f aca="false">IF(OR(A509="",B509=""),"",IF(SUMIFS($E$5:$E$604,$B$5:$B$604,B509,$A$5:$A$604,"&gt;="&amp;DATE(YEAR(A509)-1,MONTH(A509),1),$A$5:$A$604,"&lt;"&amp;DATE(YEAR(A509)-1,MONTH(A509)+1,1))=0,"",SUMIFS($E$5:$E$604,$B$5:$B$604,B509,$A$5:$A$604,"&gt;="&amp;DATE(YEAR(A509)-1,MONTH(A509),1),$A$5:$A$604,"&lt;"&amp;DATE(YEAR(A509)-1,MONTH(A509)+1,1))))</f>
        <v/>
      </c>
      <c r="I509" s="19" t="str">
        <f aca="false">IF(OR(H509="",E509=""),"",E509/H509-1)</f>
        <v/>
      </c>
    </row>
    <row r="510" customFormat="false" ht="15" hidden="false" customHeight="false" outlineLevel="0" collapsed="false">
      <c r="A510" s="12"/>
      <c r="B510" s="13"/>
      <c r="C510" s="14"/>
      <c r="D510" s="14"/>
      <c r="E510" s="15"/>
      <c r="F510" s="16" t="str">
        <f aca="false">IF(OR(C510="",D510=""),"",D510-C510)</f>
        <v/>
      </c>
      <c r="G510" s="17" t="str">
        <f aca="false">IF(OR(F510="",F510=0),"",E510/F510)</f>
        <v/>
      </c>
      <c r="H510" s="18" t="str">
        <f aca="false">IF(OR(A510="",B510=""),"",IF(SUMIFS($E$5:$E$604,$B$5:$B$604,B510,$A$5:$A$604,"&gt;="&amp;DATE(YEAR(A510)-1,MONTH(A510),1),$A$5:$A$604,"&lt;"&amp;DATE(YEAR(A510)-1,MONTH(A510)+1,1))=0,"",SUMIFS($E$5:$E$604,$B$5:$B$604,B510,$A$5:$A$604,"&gt;="&amp;DATE(YEAR(A510)-1,MONTH(A510),1),$A$5:$A$604,"&lt;"&amp;DATE(YEAR(A510)-1,MONTH(A510)+1,1))))</f>
        <v/>
      </c>
      <c r="I510" s="19" t="str">
        <f aca="false">IF(OR(H510="",E510=""),"",E510/H510-1)</f>
        <v/>
      </c>
    </row>
    <row r="511" customFormat="false" ht="15" hidden="false" customHeight="false" outlineLevel="0" collapsed="false">
      <c r="A511" s="12"/>
      <c r="B511" s="13"/>
      <c r="C511" s="14"/>
      <c r="D511" s="14"/>
      <c r="E511" s="15"/>
      <c r="F511" s="16" t="str">
        <f aca="false">IF(OR(C511="",D511=""),"",D511-C511)</f>
        <v/>
      </c>
      <c r="G511" s="17" t="str">
        <f aca="false">IF(OR(F511="",F511=0),"",E511/F511)</f>
        <v/>
      </c>
      <c r="H511" s="18" t="str">
        <f aca="false">IF(OR(A511="",B511=""),"",IF(SUMIFS($E$5:$E$604,$B$5:$B$604,B511,$A$5:$A$604,"&gt;="&amp;DATE(YEAR(A511)-1,MONTH(A511),1),$A$5:$A$604,"&lt;"&amp;DATE(YEAR(A511)-1,MONTH(A511)+1,1))=0,"",SUMIFS($E$5:$E$604,$B$5:$B$604,B511,$A$5:$A$604,"&gt;="&amp;DATE(YEAR(A511)-1,MONTH(A511),1),$A$5:$A$604,"&lt;"&amp;DATE(YEAR(A511)-1,MONTH(A511)+1,1))))</f>
        <v/>
      </c>
      <c r="I511" s="19" t="str">
        <f aca="false">IF(OR(H511="",E511=""),"",E511/H511-1)</f>
        <v/>
      </c>
    </row>
    <row r="512" customFormat="false" ht="15" hidden="false" customHeight="false" outlineLevel="0" collapsed="false">
      <c r="A512" s="12"/>
      <c r="B512" s="13"/>
      <c r="C512" s="14"/>
      <c r="D512" s="14"/>
      <c r="E512" s="15"/>
      <c r="F512" s="16" t="str">
        <f aca="false">IF(OR(C512="",D512=""),"",D512-C512)</f>
        <v/>
      </c>
      <c r="G512" s="17" t="str">
        <f aca="false">IF(OR(F512="",F512=0),"",E512/F512)</f>
        <v/>
      </c>
      <c r="H512" s="18" t="str">
        <f aca="false">IF(OR(A512="",B512=""),"",IF(SUMIFS($E$5:$E$604,$B$5:$B$604,B512,$A$5:$A$604,"&gt;="&amp;DATE(YEAR(A512)-1,MONTH(A512),1),$A$5:$A$604,"&lt;"&amp;DATE(YEAR(A512)-1,MONTH(A512)+1,1))=0,"",SUMIFS($E$5:$E$604,$B$5:$B$604,B512,$A$5:$A$604,"&gt;="&amp;DATE(YEAR(A512)-1,MONTH(A512),1),$A$5:$A$604,"&lt;"&amp;DATE(YEAR(A512)-1,MONTH(A512)+1,1))))</f>
        <v/>
      </c>
      <c r="I512" s="19" t="str">
        <f aca="false">IF(OR(H512="",E512=""),"",E512/H512-1)</f>
        <v/>
      </c>
    </row>
    <row r="513" customFormat="false" ht="15" hidden="false" customHeight="false" outlineLevel="0" collapsed="false">
      <c r="A513" s="12"/>
      <c r="B513" s="13"/>
      <c r="C513" s="14"/>
      <c r="D513" s="14"/>
      <c r="E513" s="15"/>
      <c r="F513" s="16" t="str">
        <f aca="false">IF(OR(C513="",D513=""),"",D513-C513)</f>
        <v/>
      </c>
      <c r="G513" s="17" t="str">
        <f aca="false">IF(OR(F513="",F513=0),"",E513/F513)</f>
        <v/>
      </c>
      <c r="H513" s="18" t="str">
        <f aca="false">IF(OR(A513="",B513=""),"",IF(SUMIFS($E$5:$E$604,$B$5:$B$604,B513,$A$5:$A$604,"&gt;="&amp;DATE(YEAR(A513)-1,MONTH(A513),1),$A$5:$A$604,"&lt;"&amp;DATE(YEAR(A513)-1,MONTH(A513)+1,1))=0,"",SUMIFS($E$5:$E$604,$B$5:$B$604,B513,$A$5:$A$604,"&gt;="&amp;DATE(YEAR(A513)-1,MONTH(A513),1),$A$5:$A$604,"&lt;"&amp;DATE(YEAR(A513)-1,MONTH(A513)+1,1))))</f>
        <v/>
      </c>
      <c r="I513" s="19" t="str">
        <f aca="false">IF(OR(H513="",E513=""),"",E513/H513-1)</f>
        <v/>
      </c>
    </row>
    <row r="514" customFormat="false" ht="15" hidden="false" customHeight="false" outlineLevel="0" collapsed="false">
      <c r="A514" s="12"/>
      <c r="B514" s="13"/>
      <c r="C514" s="14"/>
      <c r="D514" s="14"/>
      <c r="E514" s="15"/>
      <c r="F514" s="16" t="str">
        <f aca="false">IF(OR(C514="",D514=""),"",D514-C514)</f>
        <v/>
      </c>
      <c r="G514" s="17" t="str">
        <f aca="false">IF(OR(F514="",F514=0),"",E514/F514)</f>
        <v/>
      </c>
      <c r="H514" s="18" t="str">
        <f aca="false">IF(OR(A514="",B514=""),"",IF(SUMIFS($E$5:$E$604,$B$5:$B$604,B514,$A$5:$A$604,"&gt;="&amp;DATE(YEAR(A514)-1,MONTH(A514),1),$A$5:$A$604,"&lt;"&amp;DATE(YEAR(A514)-1,MONTH(A514)+1,1))=0,"",SUMIFS($E$5:$E$604,$B$5:$B$604,B514,$A$5:$A$604,"&gt;="&amp;DATE(YEAR(A514)-1,MONTH(A514),1),$A$5:$A$604,"&lt;"&amp;DATE(YEAR(A514)-1,MONTH(A514)+1,1))))</f>
        <v/>
      </c>
      <c r="I514" s="19" t="str">
        <f aca="false">IF(OR(H514="",E514=""),"",E514/H514-1)</f>
        <v/>
      </c>
    </row>
    <row r="515" customFormat="false" ht="15" hidden="false" customHeight="false" outlineLevel="0" collapsed="false">
      <c r="A515" s="12"/>
      <c r="B515" s="13"/>
      <c r="C515" s="14"/>
      <c r="D515" s="14"/>
      <c r="E515" s="15"/>
      <c r="F515" s="16" t="str">
        <f aca="false">IF(OR(C515="",D515=""),"",D515-C515)</f>
        <v/>
      </c>
      <c r="G515" s="17" t="str">
        <f aca="false">IF(OR(F515="",F515=0),"",E515/F515)</f>
        <v/>
      </c>
      <c r="H515" s="18" t="str">
        <f aca="false">IF(OR(A515="",B515=""),"",IF(SUMIFS($E$5:$E$604,$B$5:$B$604,B515,$A$5:$A$604,"&gt;="&amp;DATE(YEAR(A515)-1,MONTH(A515),1),$A$5:$A$604,"&lt;"&amp;DATE(YEAR(A515)-1,MONTH(A515)+1,1))=0,"",SUMIFS($E$5:$E$604,$B$5:$B$604,B515,$A$5:$A$604,"&gt;="&amp;DATE(YEAR(A515)-1,MONTH(A515),1),$A$5:$A$604,"&lt;"&amp;DATE(YEAR(A515)-1,MONTH(A515)+1,1))))</f>
        <v/>
      </c>
      <c r="I515" s="19" t="str">
        <f aca="false">IF(OR(H515="",E515=""),"",E515/H515-1)</f>
        <v/>
      </c>
    </row>
    <row r="516" customFormat="false" ht="15" hidden="false" customHeight="false" outlineLevel="0" collapsed="false">
      <c r="A516" s="12"/>
      <c r="B516" s="13"/>
      <c r="C516" s="14"/>
      <c r="D516" s="14"/>
      <c r="E516" s="15"/>
      <c r="F516" s="16" t="str">
        <f aca="false">IF(OR(C516="",D516=""),"",D516-C516)</f>
        <v/>
      </c>
      <c r="G516" s="17" t="str">
        <f aca="false">IF(OR(F516="",F516=0),"",E516/F516)</f>
        <v/>
      </c>
      <c r="H516" s="18" t="str">
        <f aca="false">IF(OR(A516="",B516=""),"",IF(SUMIFS($E$5:$E$604,$B$5:$B$604,B516,$A$5:$A$604,"&gt;="&amp;DATE(YEAR(A516)-1,MONTH(A516),1),$A$5:$A$604,"&lt;"&amp;DATE(YEAR(A516)-1,MONTH(A516)+1,1))=0,"",SUMIFS($E$5:$E$604,$B$5:$B$604,B516,$A$5:$A$604,"&gt;="&amp;DATE(YEAR(A516)-1,MONTH(A516),1),$A$5:$A$604,"&lt;"&amp;DATE(YEAR(A516)-1,MONTH(A516)+1,1))))</f>
        <v/>
      </c>
      <c r="I516" s="19" t="str">
        <f aca="false">IF(OR(H516="",E516=""),"",E516/H516-1)</f>
        <v/>
      </c>
    </row>
    <row r="517" customFormat="false" ht="15" hidden="false" customHeight="false" outlineLevel="0" collapsed="false">
      <c r="A517" s="12"/>
      <c r="B517" s="13"/>
      <c r="C517" s="14"/>
      <c r="D517" s="14"/>
      <c r="E517" s="15"/>
      <c r="F517" s="16" t="str">
        <f aca="false">IF(OR(C517="",D517=""),"",D517-C517)</f>
        <v/>
      </c>
      <c r="G517" s="17" t="str">
        <f aca="false">IF(OR(F517="",F517=0),"",E517/F517)</f>
        <v/>
      </c>
      <c r="H517" s="18" t="str">
        <f aca="false">IF(OR(A517="",B517=""),"",IF(SUMIFS($E$5:$E$604,$B$5:$B$604,B517,$A$5:$A$604,"&gt;="&amp;DATE(YEAR(A517)-1,MONTH(A517),1),$A$5:$A$604,"&lt;"&amp;DATE(YEAR(A517)-1,MONTH(A517)+1,1))=0,"",SUMIFS($E$5:$E$604,$B$5:$B$604,B517,$A$5:$A$604,"&gt;="&amp;DATE(YEAR(A517)-1,MONTH(A517),1),$A$5:$A$604,"&lt;"&amp;DATE(YEAR(A517)-1,MONTH(A517)+1,1))))</f>
        <v/>
      </c>
      <c r="I517" s="19" t="str">
        <f aca="false">IF(OR(H517="",E517=""),"",E517/H517-1)</f>
        <v/>
      </c>
    </row>
    <row r="518" customFormat="false" ht="15" hidden="false" customHeight="false" outlineLevel="0" collapsed="false">
      <c r="A518" s="12"/>
      <c r="B518" s="13"/>
      <c r="C518" s="14"/>
      <c r="D518" s="14"/>
      <c r="E518" s="15"/>
      <c r="F518" s="16" t="str">
        <f aca="false">IF(OR(C518="",D518=""),"",D518-C518)</f>
        <v/>
      </c>
      <c r="G518" s="17" t="str">
        <f aca="false">IF(OR(F518="",F518=0),"",E518/F518)</f>
        <v/>
      </c>
      <c r="H518" s="18" t="str">
        <f aca="false">IF(OR(A518="",B518=""),"",IF(SUMIFS($E$5:$E$604,$B$5:$B$604,B518,$A$5:$A$604,"&gt;="&amp;DATE(YEAR(A518)-1,MONTH(A518),1),$A$5:$A$604,"&lt;"&amp;DATE(YEAR(A518)-1,MONTH(A518)+1,1))=0,"",SUMIFS($E$5:$E$604,$B$5:$B$604,B518,$A$5:$A$604,"&gt;="&amp;DATE(YEAR(A518)-1,MONTH(A518),1),$A$5:$A$604,"&lt;"&amp;DATE(YEAR(A518)-1,MONTH(A518)+1,1))))</f>
        <v/>
      </c>
      <c r="I518" s="19" t="str">
        <f aca="false">IF(OR(H518="",E518=""),"",E518/H518-1)</f>
        <v/>
      </c>
    </row>
    <row r="519" customFormat="false" ht="15" hidden="false" customHeight="false" outlineLevel="0" collapsed="false">
      <c r="A519" s="12"/>
      <c r="B519" s="13"/>
      <c r="C519" s="14"/>
      <c r="D519" s="14"/>
      <c r="E519" s="15"/>
      <c r="F519" s="16" t="str">
        <f aca="false">IF(OR(C519="",D519=""),"",D519-C519)</f>
        <v/>
      </c>
      <c r="G519" s="17" t="str">
        <f aca="false">IF(OR(F519="",F519=0),"",E519/F519)</f>
        <v/>
      </c>
      <c r="H519" s="18" t="str">
        <f aca="false">IF(OR(A519="",B519=""),"",IF(SUMIFS($E$5:$E$604,$B$5:$B$604,B519,$A$5:$A$604,"&gt;="&amp;DATE(YEAR(A519)-1,MONTH(A519),1),$A$5:$A$604,"&lt;"&amp;DATE(YEAR(A519)-1,MONTH(A519)+1,1))=0,"",SUMIFS($E$5:$E$604,$B$5:$B$604,B519,$A$5:$A$604,"&gt;="&amp;DATE(YEAR(A519)-1,MONTH(A519),1),$A$5:$A$604,"&lt;"&amp;DATE(YEAR(A519)-1,MONTH(A519)+1,1))))</f>
        <v/>
      </c>
      <c r="I519" s="19" t="str">
        <f aca="false">IF(OR(H519="",E519=""),"",E519/H519-1)</f>
        <v/>
      </c>
    </row>
    <row r="520" customFormat="false" ht="15" hidden="false" customHeight="false" outlineLevel="0" collapsed="false">
      <c r="A520" s="12"/>
      <c r="B520" s="13"/>
      <c r="C520" s="14"/>
      <c r="D520" s="14"/>
      <c r="E520" s="15"/>
      <c r="F520" s="16" t="str">
        <f aca="false">IF(OR(C520="",D520=""),"",D520-C520)</f>
        <v/>
      </c>
      <c r="G520" s="17" t="str">
        <f aca="false">IF(OR(F520="",F520=0),"",E520/F520)</f>
        <v/>
      </c>
      <c r="H520" s="18" t="str">
        <f aca="false">IF(OR(A520="",B520=""),"",IF(SUMIFS($E$5:$E$604,$B$5:$B$604,B520,$A$5:$A$604,"&gt;="&amp;DATE(YEAR(A520)-1,MONTH(A520),1),$A$5:$A$604,"&lt;"&amp;DATE(YEAR(A520)-1,MONTH(A520)+1,1))=0,"",SUMIFS($E$5:$E$604,$B$5:$B$604,B520,$A$5:$A$604,"&gt;="&amp;DATE(YEAR(A520)-1,MONTH(A520),1),$A$5:$A$604,"&lt;"&amp;DATE(YEAR(A520)-1,MONTH(A520)+1,1))))</f>
        <v/>
      </c>
      <c r="I520" s="19" t="str">
        <f aca="false">IF(OR(H520="",E520=""),"",E520/H520-1)</f>
        <v/>
      </c>
    </row>
    <row r="521" customFormat="false" ht="15" hidden="false" customHeight="false" outlineLevel="0" collapsed="false">
      <c r="A521" s="12"/>
      <c r="B521" s="13"/>
      <c r="C521" s="14"/>
      <c r="D521" s="14"/>
      <c r="E521" s="15"/>
      <c r="F521" s="16" t="str">
        <f aca="false">IF(OR(C521="",D521=""),"",D521-C521)</f>
        <v/>
      </c>
      <c r="G521" s="17" t="str">
        <f aca="false">IF(OR(F521="",F521=0),"",E521/F521)</f>
        <v/>
      </c>
      <c r="H521" s="18" t="str">
        <f aca="false">IF(OR(A521="",B521=""),"",IF(SUMIFS($E$5:$E$604,$B$5:$B$604,B521,$A$5:$A$604,"&gt;="&amp;DATE(YEAR(A521)-1,MONTH(A521),1),$A$5:$A$604,"&lt;"&amp;DATE(YEAR(A521)-1,MONTH(A521)+1,1))=0,"",SUMIFS($E$5:$E$604,$B$5:$B$604,B521,$A$5:$A$604,"&gt;="&amp;DATE(YEAR(A521)-1,MONTH(A521),1),$A$5:$A$604,"&lt;"&amp;DATE(YEAR(A521)-1,MONTH(A521)+1,1))))</f>
        <v/>
      </c>
      <c r="I521" s="19" t="str">
        <f aca="false">IF(OR(H521="",E521=""),"",E521/H521-1)</f>
        <v/>
      </c>
    </row>
    <row r="522" customFormat="false" ht="15" hidden="false" customHeight="false" outlineLevel="0" collapsed="false">
      <c r="A522" s="12"/>
      <c r="B522" s="13"/>
      <c r="C522" s="14"/>
      <c r="D522" s="14"/>
      <c r="E522" s="15"/>
      <c r="F522" s="16" t="str">
        <f aca="false">IF(OR(C522="",D522=""),"",D522-C522)</f>
        <v/>
      </c>
      <c r="G522" s="17" t="str">
        <f aca="false">IF(OR(F522="",F522=0),"",E522/F522)</f>
        <v/>
      </c>
      <c r="H522" s="18" t="str">
        <f aca="false">IF(OR(A522="",B522=""),"",IF(SUMIFS($E$5:$E$604,$B$5:$B$604,B522,$A$5:$A$604,"&gt;="&amp;DATE(YEAR(A522)-1,MONTH(A522),1),$A$5:$A$604,"&lt;"&amp;DATE(YEAR(A522)-1,MONTH(A522)+1,1))=0,"",SUMIFS($E$5:$E$604,$B$5:$B$604,B522,$A$5:$A$604,"&gt;="&amp;DATE(YEAR(A522)-1,MONTH(A522),1),$A$5:$A$604,"&lt;"&amp;DATE(YEAR(A522)-1,MONTH(A522)+1,1))))</f>
        <v/>
      </c>
      <c r="I522" s="19" t="str">
        <f aca="false">IF(OR(H522="",E522=""),"",E522/H522-1)</f>
        <v/>
      </c>
    </row>
    <row r="523" customFormat="false" ht="15" hidden="false" customHeight="false" outlineLevel="0" collapsed="false">
      <c r="A523" s="12"/>
      <c r="B523" s="13"/>
      <c r="C523" s="14"/>
      <c r="D523" s="14"/>
      <c r="E523" s="15"/>
      <c r="F523" s="16" t="str">
        <f aca="false">IF(OR(C523="",D523=""),"",D523-C523)</f>
        <v/>
      </c>
      <c r="G523" s="17" t="str">
        <f aca="false">IF(OR(F523="",F523=0),"",E523/F523)</f>
        <v/>
      </c>
      <c r="H523" s="18" t="str">
        <f aca="false">IF(OR(A523="",B523=""),"",IF(SUMIFS($E$5:$E$604,$B$5:$B$604,B523,$A$5:$A$604,"&gt;="&amp;DATE(YEAR(A523)-1,MONTH(A523),1),$A$5:$A$604,"&lt;"&amp;DATE(YEAR(A523)-1,MONTH(A523)+1,1))=0,"",SUMIFS($E$5:$E$604,$B$5:$B$604,B523,$A$5:$A$604,"&gt;="&amp;DATE(YEAR(A523)-1,MONTH(A523),1),$A$5:$A$604,"&lt;"&amp;DATE(YEAR(A523)-1,MONTH(A523)+1,1))))</f>
        <v/>
      </c>
      <c r="I523" s="19" t="str">
        <f aca="false">IF(OR(H523="",E523=""),"",E523/H523-1)</f>
        <v/>
      </c>
    </row>
    <row r="524" customFormat="false" ht="15" hidden="false" customHeight="false" outlineLevel="0" collapsed="false">
      <c r="A524" s="12"/>
      <c r="B524" s="13"/>
      <c r="C524" s="14"/>
      <c r="D524" s="14"/>
      <c r="E524" s="15"/>
      <c r="F524" s="16" t="str">
        <f aca="false">IF(OR(C524="",D524=""),"",D524-C524)</f>
        <v/>
      </c>
      <c r="G524" s="17" t="str">
        <f aca="false">IF(OR(F524="",F524=0),"",E524/F524)</f>
        <v/>
      </c>
      <c r="H524" s="18" t="str">
        <f aca="false">IF(OR(A524="",B524=""),"",IF(SUMIFS($E$5:$E$604,$B$5:$B$604,B524,$A$5:$A$604,"&gt;="&amp;DATE(YEAR(A524)-1,MONTH(A524),1),$A$5:$A$604,"&lt;"&amp;DATE(YEAR(A524)-1,MONTH(A524)+1,1))=0,"",SUMIFS($E$5:$E$604,$B$5:$B$604,B524,$A$5:$A$604,"&gt;="&amp;DATE(YEAR(A524)-1,MONTH(A524),1),$A$5:$A$604,"&lt;"&amp;DATE(YEAR(A524)-1,MONTH(A524)+1,1))))</f>
        <v/>
      </c>
      <c r="I524" s="19" t="str">
        <f aca="false">IF(OR(H524="",E524=""),"",E524/H524-1)</f>
        <v/>
      </c>
    </row>
    <row r="525" customFormat="false" ht="15" hidden="false" customHeight="false" outlineLevel="0" collapsed="false">
      <c r="A525" s="12"/>
      <c r="B525" s="13"/>
      <c r="C525" s="14"/>
      <c r="D525" s="14"/>
      <c r="E525" s="15"/>
      <c r="F525" s="16" t="str">
        <f aca="false">IF(OR(C525="",D525=""),"",D525-C525)</f>
        <v/>
      </c>
      <c r="G525" s="17" t="str">
        <f aca="false">IF(OR(F525="",F525=0),"",E525/F525)</f>
        <v/>
      </c>
      <c r="H525" s="18" t="str">
        <f aca="false">IF(OR(A525="",B525=""),"",IF(SUMIFS($E$5:$E$604,$B$5:$B$604,B525,$A$5:$A$604,"&gt;="&amp;DATE(YEAR(A525)-1,MONTH(A525),1),$A$5:$A$604,"&lt;"&amp;DATE(YEAR(A525)-1,MONTH(A525)+1,1))=0,"",SUMIFS($E$5:$E$604,$B$5:$B$604,B525,$A$5:$A$604,"&gt;="&amp;DATE(YEAR(A525)-1,MONTH(A525),1),$A$5:$A$604,"&lt;"&amp;DATE(YEAR(A525)-1,MONTH(A525)+1,1))))</f>
        <v/>
      </c>
      <c r="I525" s="19" t="str">
        <f aca="false">IF(OR(H525="",E525=""),"",E525/H525-1)</f>
        <v/>
      </c>
    </row>
    <row r="526" customFormat="false" ht="15" hidden="false" customHeight="false" outlineLevel="0" collapsed="false">
      <c r="A526" s="12"/>
      <c r="B526" s="13"/>
      <c r="C526" s="14"/>
      <c r="D526" s="14"/>
      <c r="E526" s="15"/>
      <c r="F526" s="16" t="str">
        <f aca="false">IF(OR(C526="",D526=""),"",D526-C526)</f>
        <v/>
      </c>
      <c r="G526" s="17" t="str">
        <f aca="false">IF(OR(F526="",F526=0),"",E526/F526)</f>
        <v/>
      </c>
      <c r="H526" s="18" t="str">
        <f aca="false">IF(OR(A526="",B526=""),"",IF(SUMIFS($E$5:$E$604,$B$5:$B$604,B526,$A$5:$A$604,"&gt;="&amp;DATE(YEAR(A526)-1,MONTH(A526),1),$A$5:$A$604,"&lt;"&amp;DATE(YEAR(A526)-1,MONTH(A526)+1,1))=0,"",SUMIFS($E$5:$E$604,$B$5:$B$604,B526,$A$5:$A$604,"&gt;="&amp;DATE(YEAR(A526)-1,MONTH(A526),1),$A$5:$A$604,"&lt;"&amp;DATE(YEAR(A526)-1,MONTH(A526)+1,1))))</f>
        <v/>
      </c>
      <c r="I526" s="19" t="str">
        <f aca="false">IF(OR(H526="",E526=""),"",E526/H526-1)</f>
        <v/>
      </c>
    </row>
    <row r="527" customFormat="false" ht="15" hidden="false" customHeight="false" outlineLevel="0" collapsed="false">
      <c r="A527" s="12"/>
      <c r="B527" s="13"/>
      <c r="C527" s="14"/>
      <c r="D527" s="14"/>
      <c r="E527" s="15"/>
      <c r="F527" s="16" t="str">
        <f aca="false">IF(OR(C527="",D527=""),"",D527-C527)</f>
        <v/>
      </c>
      <c r="G527" s="17" t="str">
        <f aca="false">IF(OR(F527="",F527=0),"",E527/F527)</f>
        <v/>
      </c>
      <c r="H527" s="18" t="str">
        <f aca="false">IF(OR(A527="",B527=""),"",IF(SUMIFS($E$5:$E$604,$B$5:$B$604,B527,$A$5:$A$604,"&gt;="&amp;DATE(YEAR(A527)-1,MONTH(A527),1),$A$5:$A$604,"&lt;"&amp;DATE(YEAR(A527)-1,MONTH(A527)+1,1))=0,"",SUMIFS($E$5:$E$604,$B$5:$B$604,B527,$A$5:$A$604,"&gt;="&amp;DATE(YEAR(A527)-1,MONTH(A527),1),$A$5:$A$604,"&lt;"&amp;DATE(YEAR(A527)-1,MONTH(A527)+1,1))))</f>
        <v/>
      </c>
      <c r="I527" s="19" t="str">
        <f aca="false">IF(OR(H527="",E527=""),"",E527/H527-1)</f>
        <v/>
      </c>
    </row>
    <row r="528" customFormat="false" ht="15" hidden="false" customHeight="false" outlineLevel="0" collapsed="false">
      <c r="A528" s="12"/>
      <c r="B528" s="13"/>
      <c r="C528" s="14"/>
      <c r="D528" s="14"/>
      <c r="E528" s="15"/>
      <c r="F528" s="16" t="str">
        <f aca="false">IF(OR(C528="",D528=""),"",D528-C528)</f>
        <v/>
      </c>
      <c r="G528" s="17" t="str">
        <f aca="false">IF(OR(F528="",F528=0),"",E528/F528)</f>
        <v/>
      </c>
      <c r="H528" s="18" t="str">
        <f aca="false">IF(OR(A528="",B528=""),"",IF(SUMIFS($E$5:$E$604,$B$5:$B$604,B528,$A$5:$A$604,"&gt;="&amp;DATE(YEAR(A528)-1,MONTH(A528),1),$A$5:$A$604,"&lt;"&amp;DATE(YEAR(A528)-1,MONTH(A528)+1,1))=0,"",SUMIFS($E$5:$E$604,$B$5:$B$604,B528,$A$5:$A$604,"&gt;="&amp;DATE(YEAR(A528)-1,MONTH(A528),1),$A$5:$A$604,"&lt;"&amp;DATE(YEAR(A528)-1,MONTH(A528)+1,1))))</f>
        <v/>
      </c>
      <c r="I528" s="19" t="str">
        <f aca="false">IF(OR(H528="",E528=""),"",E528/H528-1)</f>
        <v/>
      </c>
    </row>
    <row r="529" customFormat="false" ht="15" hidden="false" customHeight="false" outlineLevel="0" collapsed="false">
      <c r="A529" s="12"/>
      <c r="B529" s="13"/>
      <c r="C529" s="14"/>
      <c r="D529" s="14"/>
      <c r="E529" s="15"/>
      <c r="F529" s="16" t="str">
        <f aca="false">IF(OR(C529="",D529=""),"",D529-C529)</f>
        <v/>
      </c>
      <c r="G529" s="17" t="str">
        <f aca="false">IF(OR(F529="",F529=0),"",E529/F529)</f>
        <v/>
      </c>
      <c r="H529" s="18" t="str">
        <f aca="false">IF(OR(A529="",B529=""),"",IF(SUMIFS($E$5:$E$604,$B$5:$B$604,B529,$A$5:$A$604,"&gt;="&amp;DATE(YEAR(A529)-1,MONTH(A529),1),$A$5:$A$604,"&lt;"&amp;DATE(YEAR(A529)-1,MONTH(A529)+1,1))=0,"",SUMIFS($E$5:$E$604,$B$5:$B$604,B529,$A$5:$A$604,"&gt;="&amp;DATE(YEAR(A529)-1,MONTH(A529),1),$A$5:$A$604,"&lt;"&amp;DATE(YEAR(A529)-1,MONTH(A529)+1,1))))</f>
        <v/>
      </c>
      <c r="I529" s="19" t="str">
        <f aca="false">IF(OR(H529="",E529=""),"",E529/H529-1)</f>
        <v/>
      </c>
    </row>
    <row r="530" customFormat="false" ht="15" hidden="false" customHeight="false" outlineLevel="0" collapsed="false">
      <c r="A530" s="12"/>
      <c r="B530" s="13"/>
      <c r="C530" s="14"/>
      <c r="D530" s="14"/>
      <c r="E530" s="15"/>
      <c r="F530" s="16" t="str">
        <f aca="false">IF(OR(C530="",D530=""),"",D530-C530)</f>
        <v/>
      </c>
      <c r="G530" s="17" t="str">
        <f aca="false">IF(OR(F530="",F530=0),"",E530/F530)</f>
        <v/>
      </c>
      <c r="H530" s="18" t="str">
        <f aca="false">IF(OR(A530="",B530=""),"",IF(SUMIFS($E$5:$E$604,$B$5:$B$604,B530,$A$5:$A$604,"&gt;="&amp;DATE(YEAR(A530)-1,MONTH(A530),1),$A$5:$A$604,"&lt;"&amp;DATE(YEAR(A530)-1,MONTH(A530)+1,1))=0,"",SUMIFS($E$5:$E$604,$B$5:$B$604,B530,$A$5:$A$604,"&gt;="&amp;DATE(YEAR(A530)-1,MONTH(A530),1),$A$5:$A$604,"&lt;"&amp;DATE(YEAR(A530)-1,MONTH(A530)+1,1))))</f>
        <v/>
      </c>
      <c r="I530" s="19" t="str">
        <f aca="false">IF(OR(H530="",E530=""),"",E530/H530-1)</f>
        <v/>
      </c>
    </row>
    <row r="531" customFormat="false" ht="15" hidden="false" customHeight="false" outlineLevel="0" collapsed="false">
      <c r="A531" s="12"/>
      <c r="B531" s="13"/>
      <c r="C531" s="14"/>
      <c r="D531" s="14"/>
      <c r="E531" s="15"/>
      <c r="F531" s="16" t="str">
        <f aca="false">IF(OR(C531="",D531=""),"",D531-C531)</f>
        <v/>
      </c>
      <c r="G531" s="17" t="str">
        <f aca="false">IF(OR(F531="",F531=0),"",E531/F531)</f>
        <v/>
      </c>
      <c r="H531" s="18" t="str">
        <f aca="false">IF(OR(A531="",B531=""),"",IF(SUMIFS($E$5:$E$604,$B$5:$B$604,B531,$A$5:$A$604,"&gt;="&amp;DATE(YEAR(A531)-1,MONTH(A531),1),$A$5:$A$604,"&lt;"&amp;DATE(YEAR(A531)-1,MONTH(A531)+1,1))=0,"",SUMIFS($E$5:$E$604,$B$5:$B$604,B531,$A$5:$A$604,"&gt;="&amp;DATE(YEAR(A531)-1,MONTH(A531),1),$A$5:$A$604,"&lt;"&amp;DATE(YEAR(A531)-1,MONTH(A531)+1,1))))</f>
        <v/>
      </c>
      <c r="I531" s="19" t="str">
        <f aca="false">IF(OR(H531="",E531=""),"",E531/H531-1)</f>
        <v/>
      </c>
    </row>
    <row r="532" customFormat="false" ht="15" hidden="false" customHeight="false" outlineLevel="0" collapsed="false">
      <c r="A532" s="12"/>
      <c r="B532" s="13"/>
      <c r="C532" s="14"/>
      <c r="D532" s="14"/>
      <c r="E532" s="15"/>
      <c r="F532" s="16" t="str">
        <f aca="false">IF(OR(C532="",D532=""),"",D532-C532)</f>
        <v/>
      </c>
      <c r="G532" s="17" t="str">
        <f aca="false">IF(OR(F532="",F532=0),"",E532/F532)</f>
        <v/>
      </c>
      <c r="H532" s="18" t="str">
        <f aca="false">IF(OR(A532="",B532=""),"",IF(SUMIFS($E$5:$E$604,$B$5:$B$604,B532,$A$5:$A$604,"&gt;="&amp;DATE(YEAR(A532)-1,MONTH(A532),1),$A$5:$A$604,"&lt;"&amp;DATE(YEAR(A532)-1,MONTH(A532)+1,1))=0,"",SUMIFS($E$5:$E$604,$B$5:$B$604,B532,$A$5:$A$604,"&gt;="&amp;DATE(YEAR(A532)-1,MONTH(A532),1),$A$5:$A$604,"&lt;"&amp;DATE(YEAR(A532)-1,MONTH(A532)+1,1))))</f>
        <v/>
      </c>
      <c r="I532" s="19" t="str">
        <f aca="false">IF(OR(H532="",E532=""),"",E532/H532-1)</f>
        <v/>
      </c>
    </row>
    <row r="533" customFormat="false" ht="15" hidden="false" customHeight="false" outlineLevel="0" collapsed="false">
      <c r="A533" s="12"/>
      <c r="B533" s="13"/>
      <c r="C533" s="14"/>
      <c r="D533" s="14"/>
      <c r="E533" s="15"/>
      <c r="F533" s="16" t="str">
        <f aca="false">IF(OR(C533="",D533=""),"",D533-C533)</f>
        <v/>
      </c>
      <c r="G533" s="17" t="str">
        <f aca="false">IF(OR(F533="",F533=0),"",E533/F533)</f>
        <v/>
      </c>
      <c r="H533" s="18" t="str">
        <f aca="false">IF(OR(A533="",B533=""),"",IF(SUMIFS($E$5:$E$604,$B$5:$B$604,B533,$A$5:$A$604,"&gt;="&amp;DATE(YEAR(A533)-1,MONTH(A533),1),$A$5:$A$604,"&lt;"&amp;DATE(YEAR(A533)-1,MONTH(A533)+1,1))=0,"",SUMIFS($E$5:$E$604,$B$5:$B$604,B533,$A$5:$A$604,"&gt;="&amp;DATE(YEAR(A533)-1,MONTH(A533),1),$A$5:$A$604,"&lt;"&amp;DATE(YEAR(A533)-1,MONTH(A533)+1,1))))</f>
        <v/>
      </c>
      <c r="I533" s="19" t="str">
        <f aca="false">IF(OR(H533="",E533=""),"",E533/H533-1)</f>
        <v/>
      </c>
    </row>
    <row r="534" customFormat="false" ht="15" hidden="false" customHeight="false" outlineLevel="0" collapsed="false">
      <c r="A534" s="12"/>
      <c r="B534" s="13"/>
      <c r="C534" s="14"/>
      <c r="D534" s="14"/>
      <c r="E534" s="15"/>
      <c r="F534" s="16" t="str">
        <f aca="false">IF(OR(C534="",D534=""),"",D534-C534)</f>
        <v/>
      </c>
      <c r="G534" s="17" t="str">
        <f aca="false">IF(OR(F534="",F534=0),"",E534/F534)</f>
        <v/>
      </c>
      <c r="H534" s="18" t="str">
        <f aca="false">IF(OR(A534="",B534=""),"",IF(SUMIFS($E$5:$E$604,$B$5:$B$604,B534,$A$5:$A$604,"&gt;="&amp;DATE(YEAR(A534)-1,MONTH(A534),1),$A$5:$A$604,"&lt;"&amp;DATE(YEAR(A534)-1,MONTH(A534)+1,1))=0,"",SUMIFS($E$5:$E$604,$B$5:$B$604,B534,$A$5:$A$604,"&gt;="&amp;DATE(YEAR(A534)-1,MONTH(A534),1),$A$5:$A$604,"&lt;"&amp;DATE(YEAR(A534)-1,MONTH(A534)+1,1))))</f>
        <v/>
      </c>
      <c r="I534" s="19" t="str">
        <f aca="false">IF(OR(H534="",E534=""),"",E534/H534-1)</f>
        <v/>
      </c>
    </row>
    <row r="535" customFormat="false" ht="15" hidden="false" customHeight="false" outlineLevel="0" collapsed="false">
      <c r="A535" s="12"/>
      <c r="B535" s="13"/>
      <c r="C535" s="14"/>
      <c r="D535" s="14"/>
      <c r="E535" s="15"/>
      <c r="F535" s="16" t="str">
        <f aca="false">IF(OR(C535="",D535=""),"",D535-C535)</f>
        <v/>
      </c>
      <c r="G535" s="17" t="str">
        <f aca="false">IF(OR(F535="",F535=0),"",E535/F535)</f>
        <v/>
      </c>
      <c r="H535" s="18" t="str">
        <f aca="false">IF(OR(A535="",B535=""),"",IF(SUMIFS($E$5:$E$604,$B$5:$B$604,B535,$A$5:$A$604,"&gt;="&amp;DATE(YEAR(A535)-1,MONTH(A535),1),$A$5:$A$604,"&lt;"&amp;DATE(YEAR(A535)-1,MONTH(A535)+1,1))=0,"",SUMIFS($E$5:$E$604,$B$5:$B$604,B535,$A$5:$A$604,"&gt;="&amp;DATE(YEAR(A535)-1,MONTH(A535),1),$A$5:$A$604,"&lt;"&amp;DATE(YEAR(A535)-1,MONTH(A535)+1,1))))</f>
        <v/>
      </c>
      <c r="I535" s="19" t="str">
        <f aca="false">IF(OR(H535="",E535=""),"",E535/H535-1)</f>
        <v/>
      </c>
    </row>
    <row r="536" customFormat="false" ht="15" hidden="false" customHeight="false" outlineLevel="0" collapsed="false">
      <c r="A536" s="12"/>
      <c r="B536" s="13"/>
      <c r="C536" s="14"/>
      <c r="D536" s="14"/>
      <c r="E536" s="15"/>
      <c r="F536" s="16" t="str">
        <f aca="false">IF(OR(C536="",D536=""),"",D536-C536)</f>
        <v/>
      </c>
      <c r="G536" s="17" t="str">
        <f aca="false">IF(OR(F536="",F536=0),"",E536/F536)</f>
        <v/>
      </c>
      <c r="H536" s="18" t="str">
        <f aca="false">IF(OR(A536="",B536=""),"",IF(SUMIFS($E$5:$E$604,$B$5:$B$604,B536,$A$5:$A$604,"&gt;="&amp;DATE(YEAR(A536)-1,MONTH(A536),1),$A$5:$A$604,"&lt;"&amp;DATE(YEAR(A536)-1,MONTH(A536)+1,1))=0,"",SUMIFS($E$5:$E$604,$B$5:$B$604,B536,$A$5:$A$604,"&gt;="&amp;DATE(YEAR(A536)-1,MONTH(A536),1),$A$5:$A$604,"&lt;"&amp;DATE(YEAR(A536)-1,MONTH(A536)+1,1))))</f>
        <v/>
      </c>
      <c r="I536" s="19" t="str">
        <f aca="false">IF(OR(H536="",E536=""),"",E536/H536-1)</f>
        <v/>
      </c>
    </row>
    <row r="537" customFormat="false" ht="15" hidden="false" customHeight="false" outlineLevel="0" collapsed="false">
      <c r="A537" s="12"/>
      <c r="B537" s="13"/>
      <c r="C537" s="14"/>
      <c r="D537" s="14"/>
      <c r="E537" s="15"/>
      <c r="F537" s="16" t="str">
        <f aca="false">IF(OR(C537="",D537=""),"",D537-C537)</f>
        <v/>
      </c>
      <c r="G537" s="17" t="str">
        <f aca="false">IF(OR(F537="",F537=0),"",E537/F537)</f>
        <v/>
      </c>
      <c r="H537" s="18" t="str">
        <f aca="false">IF(OR(A537="",B537=""),"",IF(SUMIFS($E$5:$E$604,$B$5:$B$604,B537,$A$5:$A$604,"&gt;="&amp;DATE(YEAR(A537)-1,MONTH(A537),1),$A$5:$A$604,"&lt;"&amp;DATE(YEAR(A537)-1,MONTH(A537)+1,1))=0,"",SUMIFS($E$5:$E$604,$B$5:$B$604,B537,$A$5:$A$604,"&gt;="&amp;DATE(YEAR(A537)-1,MONTH(A537),1),$A$5:$A$604,"&lt;"&amp;DATE(YEAR(A537)-1,MONTH(A537)+1,1))))</f>
        <v/>
      </c>
      <c r="I537" s="19" t="str">
        <f aca="false">IF(OR(H537="",E537=""),"",E537/H537-1)</f>
        <v/>
      </c>
    </row>
    <row r="538" customFormat="false" ht="15" hidden="false" customHeight="false" outlineLevel="0" collapsed="false">
      <c r="A538" s="12"/>
      <c r="B538" s="13"/>
      <c r="C538" s="14"/>
      <c r="D538" s="14"/>
      <c r="E538" s="15"/>
      <c r="F538" s="16" t="str">
        <f aca="false">IF(OR(C538="",D538=""),"",D538-C538)</f>
        <v/>
      </c>
      <c r="G538" s="17" t="str">
        <f aca="false">IF(OR(F538="",F538=0),"",E538/F538)</f>
        <v/>
      </c>
      <c r="H538" s="18" t="str">
        <f aca="false">IF(OR(A538="",B538=""),"",IF(SUMIFS($E$5:$E$604,$B$5:$B$604,B538,$A$5:$A$604,"&gt;="&amp;DATE(YEAR(A538)-1,MONTH(A538),1),$A$5:$A$604,"&lt;"&amp;DATE(YEAR(A538)-1,MONTH(A538)+1,1))=0,"",SUMIFS($E$5:$E$604,$B$5:$B$604,B538,$A$5:$A$604,"&gt;="&amp;DATE(YEAR(A538)-1,MONTH(A538),1),$A$5:$A$604,"&lt;"&amp;DATE(YEAR(A538)-1,MONTH(A538)+1,1))))</f>
        <v/>
      </c>
      <c r="I538" s="19" t="str">
        <f aca="false">IF(OR(H538="",E538=""),"",E538/H538-1)</f>
        <v/>
      </c>
    </row>
    <row r="539" customFormat="false" ht="15" hidden="false" customHeight="false" outlineLevel="0" collapsed="false">
      <c r="A539" s="12"/>
      <c r="B539" s="13"/>
      <c r="C539" s="14"/>
      <c r="D539" s="14"/>
      <c r="E539" s="15"/>
      <c r="F539" s="16" t="str">
        <f aca="false">IF(OR(C539="",D539=""),"",D539-C539)</f>
        <v/>
      </c>
      <c r="G539" s="17" t="str">
        <f aca="false">IF(OR(F539="",F539=0),"",E539/F539)</f>
        <v/>
      </c>
      <c r="H539" s="18" t="str">
        <f aca="false">IF(OR(A539="",B539=""),"",IF(SUMIFS($E$5:$E$604,$B$5:$B$604,B539,$A$5:$A$604,"&gt;="&amp;DATE(YEAR(A539)-1,MONTH(A539),1),$A$5:$A$604,"&lt;"&amp;DATE(YEAR(A539)-1,MONTH(A539)+1,1))=0,"",SUMIFS($E$5:$E$604,$B$5:$B$604,B539,$A$5:$A$604,"&gt;="&amp;DATE(YEAR(A539)-1,MONTH(A539),1),$A$5:$A$604,"&lt;"&amp;DATE(YEAR(A539)-1,MONTH(A539)+1,1))))</f>
        <v/>
      </c>
      <c r="I539" s="19" t="str">
        <f aca="false">IF(OR(H539="",E539=""),"",E539/H539-1)</f>
        <v/>
      </c>
    </row>
    <row r="540" customFormat="false" ht="15" hidden="false" customHeight="false" outlineLevel="0" collapsed="false">
      <c r="A540" s="12"/>
      <c r="B540" s="13"/>
      <c r="C540" s="14"/>
      <c r="D540" s="14"/>
      <c r="E540" s="15"/>
      <c r="F540" s="16" t="str">
        <f aca="false">IF(OR(C540="",D540=""),"",D540-C540)</f>
        <v/>
      </c>
      <c r="G540" s="17" t="str">
        <f aca="false">IF(OR(F540="",F540=0),"",E540/F540)</f>
        <v/>
      </c>
      <c r="H540" s="18" t="str">
        <f aca="false">IF(OR(A540="",B540=""),"",IF(SUMIFS($E$5:$E$604,$B$5:$B$604,B540,$A$5:$A$604,"&gt;="&amp;DATE(YEAR(A540)-1,MONTH(A540),1),$A$5:$A$604,"&lt;"&amp;DATE(YEAR(A540)-1,MONTH(A540)+1,1))=0,"",SUMIFS($E$5:$E$604,$B$5:$B$604,B540,$A$5:$A$604,"&gt;="&amp;DATE(YEAR(A540)-1,MONTH(A540),1),$A$5:$A$604,"&lt;"&amp;DATE(YEAR(A540)-1,MONTH(A540)+1,1))))</f>
        <v/>
      </c>
      <c r="I540" s="19" t="str">
        <f aca="false">IF(OR(H540="",E540=""),"",E540/H540-1)</f>
        <v/>
      </c>
    </row>
    <row r="541" customFormat="false" ht="15" hidden="false" customHeight="false" outlineLevel="0" collapsed="false">
      <c r="A541" s="12"/>
      <c r="B541" s="13"/>
      <c r="C541" s="14"/>
      <c r="D541" s="14"/>
      <c r="E541" s="15"/>
      <c r="F541" s="16" t="str">
        <f aca="false">IF(OR(C541="",D541=""),"",D541-C541)</f>
        <v/>
      </c>
      <c r="G541" s="17" t="str">
        <f aca="false">IF(OR(F541="",F541=0),"",E541/F541)</f>
        <v/>
      </c>
      <c r="H541" s="18" t="str">
        <f aca="false">IF(OR(A541="",B541=""),"",IF(SUMIFS($E$5:$E$604,$B$5:$B$604,B541,$A$5:$A$604,"&gt;="&amp;DATE(YEAR(A541)-1,MONTH(A541),1),$A$5:$A$604,"&lt;"&amp;DATE(YEAR(A541)-1,MONTH(A541)+1,1))=0,"",SUMIFS($E$5:$E$604,$B$5:$B$604,B541,$A$5:$A$604,"&gt;="&amp;DATE(YEAR(A541)-1,MONTH(A541),1),$A$5:$A$604,"&lt;"&amp;DATE(YEAR(A541)-1,MONTH(A541)+1,1))))</f>
        <v/>
      </c>
      <c r="I541" s="19" t="str">
        <f aca="false">IF(OR(H541="",E541=""),"",E541/H541-1)</f>
        <v/>
      </c>
    </row>
    <row r="542" customFormat="false" ht="15" hidden="false" customHeight="false" outlineLevel="0" collapsed="false">
      <c r="A542" s="12"/>
      <c r="B542" s="13"/>
      <c r="C542" s="14"/>
      <c r="D542" s="14"/>
      <c r="E542" s="15"/>
      <c r="F542" s="16" t="str">
        <f aca="false">IF(OR(C542="",D542=""),"",D542-C542)</f>
        <v/>
      </c>
      <c r="G542" s="17" t="str">
        <f aca="false">IF(OR(F542="",F542=0),"",E542/F542)</f>
        <v/>
      </c>
      <c r="H542" s="18" t="str">
        <f aca="false">IF(OR(A542="",B542=""),"",IF(SUMIFS($E$5:$E$604,$B$5:$B$604,B542,$A$5:$A$604,"&gt;="&amp;DATE(YEAR(A542)-1,MONTH(A542),1),$A$5:$A$604,"&lt;"&amp;DATE(YEAR(A542)-1,MONTH(A542)+1,1))=0,"",SUMIFS($E$5:$E$604,$B$5:$B$604,B542,$A$5:$A$604,"&gt;="&amp;DATE(YEAR(A542)-1,MONTH(A542),1),$A$5:$A$604,"&lt;"&amp;DATE(YEAR(A542)-1,MONTH(A542)+1,1))))</f>
        <v/>
      </c>
      <c r="I542" s="19" t="str">
        <f aca="false">IF(OR(H542="",E542=""),"",E542/H542-1)</f>
        <v/>
      </c>
    </row>
    <row r="543" customFormat="false" ht="15" hidden="false" customHeight="false" outlineLevel="0" collapsed="false">
      <c r="A543" s="12"/>
      <c r="B543" s="13"/>
      <c r="C543" s="14"/>
      <c r="D543" s="14"/>
      <c r="E543" s="15"/>
      <c r="F543" s="16" t="str">
        <f aca="false">IF(OR(C543="",D543=""),"",D543-C543)</f>
        <v/>
      </c>
      <c r="G543" s="17" t="str">
        <f aca="false">IF(OR(F543="",F543=0),"",E543/F543)</f>
        <v/>
      </c>
      <c r="H543" s="18" t="str">
        <f aca="false">IF(OR(A543="",B543=""),"",IF(SUMIFS($E$5:$E$604,$B$5:$B$604,B543,$A$5:$A$604,"&gt;="&amp;DATE(YEAR(A543)-1,MONTH(A543),1),$A$5:$A$604,"&lt;"&amp;DATE(YEAR(A543)-1,MONTH(A543)+1,1))=0,"",SUMIFS($E$5:$E$604,$B$5:$B$604,B543,$A$5:$A$604,"&gt;="&amp;DATE(YEAR(A543)-1,MONTH(A543),1),$A$5:$A$604,"&lt;"&amp;DATE(YEAR(A543)-1,MONTH(A543)+1,1))))</f>
        <v/>
      </c>
      <c r="I543" s="19" t="str">
        <f aca="false">IF(OR(H543="",E543=""),"",E543/H543-1)</f>
        <v/>
      </c>
    </row>
    <row r="544" customFormat="false" ht="15" hidden="false" customHeight="false" outlineLevel="0" collapsed="false">
      <c r="A544" s="12"/>
      <c r="B544" s="13"/>
      <c r="C544" s="14"/>
      <c r="D544" s="14"/>
      <c r="E544" s="15"/>
      <c r="F544" s="16" t="str">
        <f aca="false">IF(OR(C544="",D544=""),"",D544-C544)</f>
        <v/>
      </c>
      <c r="G544" s="17" t="str">
        <f aca="false">IF(OR(F544="",F544=0),"",E544/F544)</f>
        <v/>
      </c>
      <c r="H544" s="18" t="str">
        <f aca="false">IF(OR(A544="",B544=""),"",IF(SUMIFS($E$5:$E$604,$B$5:$B$604,B544,$A$5:$A$604,"&gt;="&amp;DATE(YEAR(A544)-1,MONTH(A544),1),$A$5:$A$604,"&lt;"&amp;DATE(YEAR(A544)-1,MONTH(A544)+1,1))=0,"",SUMIFS($E$5:$E$604,$B$5:$B$604,B544,$A$5:$A$604,"&gt;="&amp;DATE(YEAR(A544)-1,MONTH(A544),1),$A$5:$A$604,"&lt;"&amp;DATE(YEAR(A544)-1,MONTH(A544)+1,1))))</f>
        <v/>
      </c>
      <c r="I544" s="19" t="str">
        <f aca="false">IF(OR(H544="",E544=""),"",E544/H544-1)</f>
        <v/>
      </c>
    </row>
    <row r="545" customFormat="false" ht="15" hidden="false" customHeight="false" outlineLevel="0" collapsed="false">
      <c r="A545" s="12"/>
      <c r="B545" s="13"/>
      <c r="C545" s="14"/>
      <c r="D545" s="14"/>
      <c r="E545" s="15"/>
      <c r="F545" s="16" t="str">
        <f aca="false">IF(OR(C545="",D545=""),"",D545-C545)</f>
        <v/>
      </c>
      <c r="G545" s="17" t="str">
        <f aca="false">IF(OR(F545="",F545=0),"",E545/F545)</f>
        <v/>
      </c>
      <c r="H545" s="18" t="str">
        <f aca="false">IF(OR(A545="",B545=""),"",IF(SUMIFS($E$5:$E$604,$B$5:$B$604,B545,$A$5:$A$604,"&gt;="&amp;DATE(YEAR(A545)-1,MONTH(A545),1),$A$5:$A$604,"&lt;"&amp;DATE(YEAR(A545)-1,MONTH(A545)+1,1))=0,"",SUMIFS($E$5:$E$604,$B$5:$B$604,B545,$A$5:$A$604,"&gt;="&amp;DATE(YEAR(A545)-1,MONTH(A545),1),$A$5:$A$604,"&lt;"&amp;DATE(YEAR(A545)-1,MONTH(A545)+1,1))))</f>
        <v/>
      </c>
      <c r="I545" s="19" t="str">
        <f aca="false">IF(OR(H545="",E545=""),"",E545/H545-1)</f>
        <v/>
      </c>
    </row>
    <row r="546" customFormat="false" ht="15" hidden="false" customHeight="false" outlineLevel="0" collapsed="false">
      <c r="A546" s="12"/>
      <c r="B546" s="13"/>
      <c r="C546" s="14"/>
      <c r="D546" s="14"/>
      <c r="E546" s="15"/>
      <c r="F546" s="16" t="str">
        <f aca="false">IF(OR(C546="",D546=""),"",D546-C546)</f>
        <v/>
      </c>
      <c r="G546" s="17" t="str">
        <f aca="false">IF(OR(F546="",F546=0),"",E546/F546)</f>
        <v/>
      </c>
      <c r="H546" s="18" t="str">
        <f aca="false">IF(OR(A546="",B546=""),"",IF(SUMIFS($E$5:$E$604,$B$5:$B$604,B546,$A$5:$A$604,"&gt;="&amp;DATE(YEAR(A546)-1,MONTH(A546),1),$A$5:$A$604,"&lt;"&amp;DATE(YEAR(A546)-1,MONTH(A546)+1,1))=0,"",SUMIFS($E$5:$E$604,$B$5:$B$604,B546,$A$5:$A$604,"&gt;="&amp;DATE(YEAR(A546)-1,MONTH(A546),1),$A$5:$A$604,"&lt;"&amp;DATE(YEAR(A546)-1,MONTH(A546)+1,1))))</f>
        <v/>
      </c>
      <c r="I546" s="19" t="str">
        <f aca="false">IF(OR(H546="",E546=""),"",E546/H546-1)</f>
        <v/>
      </c>
    </row>
    <row r="547" customFormat="false" ht="15" hidden="false" customHeight="false" outlineLevel="0" collapsed="false">
      <c r="A547" s="12"/>
      <c r="B547" s="13"/>
      <c r="C547" s="14"/>
      <c r="D547" s="14"/>
      <c r="E547" s="15"/>
      <c r="F547" s="16" t="str">
        <f aca="false">IF(OR(C547="",D547=""),"",D547-C547)</f>
        <v/>
      </c>
      <c r="G547" s="17" t="str">
        <f aca="false">IF(OR(F547="",F547=0),"",E547/F547)</f>
        <v/>
      </c>
      <c r="H547" s="18" t="str">
        <f aca="false">IF(OR(A547="",B547=""),"",IF(SUMIFS($E$5:$E$604,$B$5:$B$604,B547,$A$5:$A$604,"&gt;="&amp;DATE(YEAR(A547)-1,MONTH(A547),1),$A$5:$A$604,"&lt;"&amp;DATE(YEAR(A547)-1,MONTH(A547)+1,1))=0,"",SUMIFS($E$5:$E$604,$B$5:$B$604,B547,$A$5:$A$604,"&gt;="&amp;DATE(YEAR(A547)-1,MONTH(A547),1),$A$5:$A$604,"&lt;"&amp;DATE(YEAR(A547)-1,MONTH(A547)+1,1))))</f>
        <v/>
      </c>
      <c r="I547" s="19" t="str">
        <f aca="false">IF(OR(H547="",E547=""),"",E547/H547-1)</f>
        <v/>
      </c>
    </row>
    <row r="548" customFormat="false" ht="15" hidden="false" customHeight="false" outlineLevel="0" collapsed="false">
      <c r="A548" s="12"/>
      <c r="B548" s="13"/>
      <c r="C548" s="14"/>
      <c r="D548" s="14"/>
      <c r="E548" s="15"/>
      <c r="F548" s="16" t="str">
        <f aca="false">IF(OR(C548="",D548=""),"",D548-C548)</f>
        <v/>
      </c>
      <c r="G548" s="17" t="str">
        <f aca="false">IF(OR(F548="",F548=0),"",E548/F548)</f>
        <v/>
      </c>
      <c r="H548" s="18" t="str">
        <f aca="false">IF(OR(A548="",B548=""),"",IF(SUMIFS($E$5:$E$604,$B$5:$B$604,B548,$A$5:$A$604,"&gt;="&amp;DATE(YEAR(A548)-1,MONTH(A548),1),$A$5:$A$604,"&lt;"&amp;DATE(YEAR(A548)-1,MONTH(A548)+1,1))=0,"",SUMIFS($E$5:$E$604,$B$5:$B$604,B548,$A$5:$A$604,"&gt;="&amp;DATE(YEAR(A548)-1,MONTH(A548),1),$A$5:$A$604,"&lt;"&amp;DATE(YEAR(A548)-1,MONTH(A548)+1,1))))</f>
        <v/>
      </c>
      <c r="I548" s="19" t="str">
        <f aca="false">IF(OR(H548="",E548=""),"",E548/H548-1)</f>
        <v/>
      </c>
    </row>
    <row r="549" customFormat="false" ht="15" hidden="false" customHeight="false" outlineLevel="0" collapsed="false">
      <c r="A549" s="12"/>
      <c r="B549" s="13"/>
      <c r="C549" s="14"/>
      <c r="D549" s="14"/>
      <c r="E549" s="15"/>
      <c r="F549" s="16" t="str">
        <f aca="false">IF(OR(C549="",D549=""),"",D549-C549)</f>
        <v/>
      </c>
      <c r="G549" s="17" t="str">
        <f aca="false">IF(OR(F549="",F549=0),"",E549/F549)</f>
        <v/>
      </c>
      <c r="H549" s="18" t="str">
        <f aca="false">IF(OR(A549="",B549=""),"",IF(SUMIFS($E$5:$E$604,$B$5:$B$604,B549,$A$5:$A$604,"&gt;="&amp;DATE(YEAR(A549)-1,MONTH(A549),1),$A$5:$A$604,"&lt;"&amp;DATE(YEAR(A549)-1,MONTH(A549)+1,1))=0,"",SUMIFS($E$5:$E$604,$B$5:$B$604,B549,$A$5:$A$604,"&gt;="&amp;DATE(YEAR(A549)-1,MONTH(A549),1),$A$5:$A$604,"&lt;"&amp;DATE(YEAR(A549)-1,MONTH(A549)+1,1))))</f>
        <v/>
      </c>
      <c r="I549" s="19" t="str">
        <f aca="false">IF(OR(H549="",E549=""),"",E549/H549-1)</f>
        <v/>
      </c>
    </row>
    <row r="550" customFormat="false" ht="15" hidden="false" customHeight="false" outlineLevel="0" collapsed="false">
      <c r="A550" s="12"/>
      <c r="B550" s="13"/>
      <c r="C550" s="14"/>
      <c r="D550" s="14"/>
      <c r="E550" s="15"/>
      <c r="F550" s="16" t="str">
        <f aca="false">IF(OR(C550="",D550=""),"",D550-C550)</f>
        <v/>
      </c>
      <c r="G550" s="17" t="str">
        <f aca="false">IF(OR(F550="",F550=0),"",E550/F550)</f>
        <v/>
      </c>
      <c r="H550" s="18" t="str">
        <f aca="false">IF(OR(A550="",B550=""),"",IF(SUMIFS($E$5:$E$604,$B$5:$B$604,B550,$A$5:$A$604,"&gt;="&amp;DATE(YEAR(A550)-1,MONTH(A550),1),$A$5:$A$604,"&lt;"&amp;DATE(YEAR(A550)-1,MONTH(A550)+1,1))=0,"",SUMIFS($E$5:$E$604,$B$5:$B$604,B550,$A$5:$A$604,"&gt;="&amp;DATE(YEAR(A550)-1,MONTH(A550),1),$A$5:$A$604,"&lt;"&amp;DATE(YEAR(A550)-1,MONTH(A550)+1,1))))</f>
        <v/>
      </c>
      <c r="I550" s="19" t="str">
        <f aca="false">IF(OR(H550="",E550=""),"",E550/H550-1)</f>
        <v/>
      </c>
    </row>
    <row r="551" customFormat="false" ht="15" hidden="false" customHeight="false" outlineLevel="0" collapsed="false">
      <c r="A551" s="12"/>
      <c r="B551" s="13"/>
      <c r="C551" s="14"/>
      <c r="D551" s="14"/>
      <c r="E551" s="15"/>
      <c r="F551" s="16" t="str">
        <f aca="false">IF(OR(C551="",D551=""),"",D551-C551)</f>
        <v/>
      </c>
      <c r="G551" s="17" t="str">
        <f aca="false">IF(OR(F551="",F551=0),"",E551/F551)</f>
        <v/>
      </c>
      <c r="H551" s="18" t="str">
        <f aca="false">IF(OR(A551="",B551=""),"",IF(SUMIFS($E$5:$E$604,$B$5:$B$604,B551,$A$5:$A$604,"&gt;="&amp;DATE(YEAR(A551)-1,MONTH(A551),1),$A$5:$A$604,"&lt;"&amp;DATE(YEAR(A551)-1,MONTH(A551)+1,1))=0,"",SUMIFS($E$5:$E$604,$B$5:$B$604,B551,$A$5:$A$604,"&gt;="&amp;DATE(YEAR(A551)-1,MONTH(A551),1),$A$5:$A$604,"&lt;"&amp;DATE(YEAR(A551)-1,MONTH(A551)+1,1))))</f>
        <v/>
      </c>
      <c r="I551" s="19" t="str">
        <f aca="false">IF(OR(H551="",E551=""),"",E551/H551-1)</f>
        <v/>
      </c>
    </row>
    <row r="552" customFormat="false" ht="15" hidden="false" customHeight="false" outlineLevel="0" collapsed="false">
      <c r="A552" s="12"/>
      <c r="B552" s="13"/>
      <c r="C552" s="14"/>
      <c r="D552" s="14"/>
      <c r="E552" s="15"/>
      <c r="F552" s="16" t="str">
        <f aca="false">IF(OR(C552="",D552=""),"",D552-C552)</f>
        <v/>
      </c>
      <c r="G552" s="17" t="str">
        <f aca="false">IF(OR(F552="",F552=0),"",E552/F552)</f>
        <v/>
      </c>
      <c r="H552" s="18" t="str">
        <f aca="false">IF(OR(A552="",B552=""),"",IF(SUMIFS($E$5:$E$604,$B$5:$B$604,B552,$A$5:$A$604,"&gt;="&amp;DATE(YEAR(A552)-1,MONTH(A552),1),$A$5:$A$604,"&lt;"&amp;DATE(YEAR(A552)-1,MONTH(A552)+1,1))=0,"",SUMIFS($E$5:$E$604,$B$5:$B$604,B552,$A$5:$A$604,"&gt;="&amp;DATE(YEAR(A552)-1,MONTH(A552),1),$A$5:$A$604,"&lt;"&amp;DATE(YEAR(A552)-1,MONTH(A552)+1,1))))</f>
        <v/>
      </c>
      <c r="I552" s="19" t="str">
        <f aca="false">IF(OR(H552="",E552=""),"",E552/H552-1)</f>
        <v/>
      </c>
    </row>
    <row r="553" customFormat="false" ht="15" hidden="false" customHeight="false" outlineLevel="0" collapsed="false">
      <c r="A553" s="12"/>
      <c r="B553" s="13"/>
      <c r="C553" s="14"/>
      <c r="D553" s="14"/>
      <c r="E553" s="15"/>
      <c r="F553" s="16" t="str">
        <f aca="false">IF(OR(C553="",D553=""),"",D553-C553)</f>
        <v/>
      </c>
      <c r="G553" s="17" t="str">
        <f aca="false">IF(OR(F553="",F553=0),"",E553/F553)</f>
        <v/>
      </c>
      <c r="H553" s="18" t="str">
        <f aca="false">IF(OR(A553="",B553=""),"",IF(SUMIFS($E$5:$E$604,$B$5:$B$604,B553,$A$5:$A$604,"&gt;="&amp;DATE(YEAR(A553)-1,MONTH(A553),1),$A$5:$A$604,"&lt;"&amp;DATE(YEAR(A553)-1,MONTH(A553)+1,1))=0,"",SUMIFS($E$5:$E$604,$B$5:$B$604,B553,$A$5:$A$604,"&gt;="&amp;DATE(YEAR(A553)-1,MONTH(A553),1),$A$5:$A$604,"&lt;"&amp;DATE(YEAR(A553)-1,MONTH(A553)+1,1))))</f>
        <v/>
      </c>
      <c r="I553" s="19" t="str">
        <f aca="false">IF(OR(H553="",E553=""),"",E553/H553-1)</f>
        <v/>
      </c>
    </row>
    <row r="554" customFormat="false" ht="15" hidden="false" customHeight="false" outlineLevel="0" collapsed="false">
      <c r="A554" s="12"/>
      <c r="B554" s="13"/>
      <c r="C554" s="14"/>
      <c r="D554" s="14"/>
      <c r="E554" s="15"/>
      <c r="F554" s="16" t="str">
        <f aca="false">IF(OR(C554="",D554=""),"",D554-C554)</f>
        <v/>
      </c>
      <c r="G554" s="17" t="str">
        <f aca="false">IF(OR(F554="",F554=0),"",E554/F554)</f>
        <v/>
      </c>
      <c r="H554" s="18" t="str">
        <f aca="false">IF(OR(A554="",B554=""),"",IF(SUMIFS($E$5:$E$604,$B$5:$B$604,B554,$A$5:$A$604,"&gt;="&amp;DATE(YEAR(A554)-1,MONTH(A554),1),$A$5:$A$604,"&lt;"&amp;DATE(YEAR(A554)-1,MONTH(A554)+1,1))=0,"",SUMIFS($E$5:$E$604,$B$5:$B$604,B554,$A$5:$A$604,"&gt;="&amp;DATE(YEAR(A554)-1,MONTH(A554),1),$A$5:$A$604,"&lt;"&amp;DATE(YEAR(A554)-1,MONTH(A554)+1,1))))</f>
        <v/>
      </c>
      <c r="I554" s="19" t="str">
        <f aca="false">IF(OR(H554="",E554=""),"",E554/H554-1)</f>
        <v/>
      </c>
    </row>
    <row r="555" customFormat="false" ht="15" hidden="false" customHeight="false" outlineLevel="0" collapsed="false">
      <c r="A555" s="12"/>
      <c r="B555" s="13"/>
      <c r="C555" s="14"/>
      <c r="D555" s="14"/>
      <c r="E555" s="15"/>
      <c r="F555" s="16" t="str">
        <f aca="false">IF(OR(C555="",D555=""),"",D555-C555)</f>
        <v/>
      </c>
      <c r="G555" s="17" t="str">
        <f aca="false">IF(OR(F555="",F555=0),"",E555/F555)</f>
        <v/>
      </c>
      <c r="H555" s="18" t="str">
        <f aca="false">IF(OR(A555="",B555=""),"",IF(SUMIFS($E$5:$E$604,$B$5:$B$604,B555,$A$5:$A$604,"&gt;="&amp;DATE(YEAR(A555)-1,MONTH(A555),1),$A$5:$A$604,"&lt;"&amp;DATE(YEAR(A555)-1,MONTH(A555)+1,1))=0,"",SUMIFS($E$5:$E$604,$B$5:$B$604,B555,$A$5:$A$604,"&gt;="&amp;DATE(YEAR(A555)-1,MONTH(A555),1),$A$5:$A$604,"&lt;"&amp;DATE(YEAR(A555)-1,MONTH(A555)+1,1))))</f>
        <v/>
      </c>
      <c r="I555" s="19" t="str">
        <f aca="false">IF(OR(H555="",E555=""),"",E555/H555-1)</f>
        <v/>
      </c>
    </row>
    <row r="556" customFormat="false" ht="15" hidden="false" customHeight="false" outlineLevel="0" collapsed="false">
      <c r="A556" s="12"/>
      <c r="B556" s="13"/>
      <c r="C556" s="14"/>
      <c r="D556" s="14"/>
      <c r="E556" s="15"/>
      <c r="F556" s="16" t="str">
        <f aca="false">IF(OR(C556="",D556=""),"",D556-C556)</f>
        <v/>
      </c>
      <c r="G556" s="17" t="str">
        <f aca="false">IF(OR(F556="",F556=0),"",E556/F556)</f>
        <v/>
      </c>
      <c r="H556" s="18" t="str">
        <f aca="false">IF(OR(A556="",B556=""),"",IF(SUMIFS($E$5:$E$604,$B$5:$B$604,B556,$A$5:$A$604,"&gt;="&amp;DATE(YEAR(A556)-1,MONTH(A556),1),$A$5:$A$604,"&lt;"&amp;DATE(YEAR(A556)-1,MONTH(A556)+1,1))=0,"",SUMIFS($E$5:$E$604,$B$5:$B$604,B556,$A$5:$A$604,"&gt;="&amp;DATE(YEAR(A556)-1,MONTH(A556),1),$A$5:$A$604,"&lt;"&amp;DATE(YEAR(A556)-1,MONTH(A556)+1,1))))</f>
        <v/>
      </c>
      <c r="I556" s="19" t="str">
        <f aca="false">IF(OR(H556="",E556=""),"",E556/H556-1)</f>
        <v/>
      </c>
    </row>
    <row r="557" customFormat="false" ht="15" hidden="false" customHeight="false" outlineLevel="0" collapsed="false">
      <c r="A557" s="12"/>
      <c r="B557" s="13"/>
      <c r="C557" s="14"/>
      <c r="D557" s="14"/>
      <c r="E557" s="15"/>
      <c r="F557" s="16" t="str">
        <f aca="false">IF(OR(C557="",D557=""),"",D557-C557)</f>
        <v/>
      </c>
      <c r="G557" s="17" t="str">
        <f aca="false">IF(OR(F557="",F557=0),"",E557/F557)</f>
        <v/>
      </c>
      <c r="H557" s="18" t="str">
        <f aca="false">IF(OR(A557="",B557=""),"",IF(SUMIFS($E$5:$E$604,$B$5:$B$604,B557,$A$5:$A$604,"&gt;="&amp;DATE(YEAR(A557)-1,MONTH(A557),1),$A$5:$A$604,"&lt;"&amp;DATE(YEAR(A557)-1,MONTH(A557)+1,1))=0,"",SUMIFS($E$5:$E$604,$B$5:$B$604,B557,$A$5:$A$604,"&gt;="&amp;DATE(YEAR(A557)-1,MONTH(A557),1),$A$5:$A$604,"&lt;"&amp;DATE(YEAR(A557)-1,MONTH(A557)+1,1))))</f>
        <v/>
      </c>
      <c r="I557" s="19" t="str">
        <f aca="false">IF(OR(H557="",E557=""),"",E557/H557-1)</f>
        <v/>
      </c>
    </row>
    <row r="558" customFormat="false" ht="15" hidden="false" customHeight="false" outlineLevel="0" collapsed="false">
      <c r="A558" s="12"/>
      <c r="B558" s="13"/>
      <c r="C558" s="14"/>
      <c r="D558" s="14"/>
      <c r="E558" s="15"/>
      <c r="F558" s="16" t="str">
        <f aca="false">IF(OR(C558="",D558=""),"",D558-C558)</f>
        <v/>
      </c>
      <c r="G558" s="17" t="str">
        <f aca="false">IF(OR(F558="",F558=0),"",E558/F558)</f>
        <v/>
      </c>
      <c r="H558" s="18" t="str">
        <f aca="false">IF(OR(A558="",B558=""),"",IF(SUMIFS($E$5:$E$604,$B$5:$B$604,B558,$A$5:$A$604,"&gt;="&amp;DATE(YEAR(A558)-1,MONTH(A558),1),$A$5:$A$604,"&lt;"&amp;DATE(YEAR(A558)-1,MONTH(A558)+1,1))=0,"",SUMIFS($E$5:$E$604,$B$5:$B$604,B558,$A$5:$A$604,"&gt;="&amp;DATE(YEAR(A558)-1,MONTH(A558),1),$A$5:$A$604,"&lt;"&amp;DATE(YEAR(A558)-1,MONTH(A558)+1,1))))</f>
        <v/>
      </c>
      <c r="I558" s="19" t="str">
        <f aca="false">IF(OR(H558="",E558=""),"",E558/H558-1)</f>
        <v/>
      </c>
    </row>
    <row r="559" customFormat="false" ht="15" hidden="false" customHeight="false" outlineLevel="0" collapsed="false">
      <c r="A559" s="12"/>
      <c r="B559" s="13"/>
      <c r="C559" s="14"/>
      <c r="D559" s="14"/>
      <c r="E559" s="15"/>
      <c r="F559" s="16" t="str">
        <f aca="false">IF(OR(C559="",D559=""),"",D559-C559)</f>
        <v/>
      </c>
      <c r="G559" s="17" t="str">
        <f aca="false">IF(OR(F559="",F559=0),"",E559/F559)</f>
        <v/>
      </c>
      <c r="H559" s="18" t="str">
        <f aca="false">IF(OR(A559="",B559=""),"",IF(SUMIFS($E$5:$E$604,$B$5:$B$604,B559,$A$5:$A$604,"&gt;="&amp;DATE(YEAR(A559)-1,MONTH(A559),1),$A$5:$A$604,"&lt;"&amp;DATE(YEAR(A559)-1,MONTH(A559)+1,1))=0,"",SUMIFS($E$5:$E$604,$B$5:$B$604,B559,$A$5:$A$604,"&gt;="&amp;DATE(YEAR(A559)-1,MONTH(A559),1),$A$5:$A$604,"&lt;"&amp;DATE(YEAR(A559)-1,MONTH(A559)+1,1))))</f>
        <v/>
      </c>
      <c r="I559" s="19" t="str">
        <f aca="false">IF(OR(H559="",E559=""),"",E559/H559-1)</f>
        <v/>
      </c>
    </row>
    <row r="560" customFormat="false" ht="15" hidden="false" customHeight="false" outlineLevel="0" collapsed="false">
      <c r="A560" s="12"/>
      <c r="B560" s="13"/>
      <c r="C560" s="14"/>
      <c r="D560" s="14"/>
      <c r="E560" s="15"/>
      <c r="F560" s="16" t="str">
        <f aca="false">IF(OR(C560="",D560=""),"",D560-C560)</f>
        <v/>
      </c>
      <c r="G560" s="17" t="str">
        <f aca="false">IF(OR(F560="",F560=0),"",E560/F560)</f>
        <v/>
      </c>
      <c r="H560" s="18" t="str">
        <f aca="false">IF(OR(A560="",B560=""),"",IF(SUMIFS($E$5:$E$604,$B$5:$B$604,B560,$A$5:$A$604,"&gt;="&amp;DATE(YEAR(A560)-1,MONTH(A560),1),$A$5:$A$604,"&lt;"&amp;DATE(YEAR(A560)-1,MONTH(A560)+1,1))=0,"",SUMIFS($E$5:$E$604,$B$5:$B$604,B560,$A$5:$A$604,"&gt;="&amp;DATE(YEAR(A560)-1,MONTH(A560),1),$A$5:$A$604,"&lt;"&amp;DATE(YEAR(A560)-1,MONTH(A560)+1,1))))</f>
        <v/>
      </c>
      <c r="I560" s="19" t="str">
        <f aca="false">IF(OR(H560="",E560=""),"",E560/H560-1)</f>
        <v/>
      </c>
    </row>
    <row r="561" customFormat="false" ht="15" hidden="false" customHeight="false" outlineLevel="0" collapsed="false">
      <c r="A561" s="12"/>
      <c r="B561" s="13"/>
      <c r="C561" s="14"/>
      <c r="D561" s="14"/>
      <c r="E561" s="15"/>
      <c r="F561" s="16" t="str">
        <f aca="false">IF(OR(C561="",D561=""),"",D561-C561)</f>
        <v/>
      </c>
      <c r="G561" s="17" t="str">
        <f aca="false">IF(OR(F561="",F561=0),"",E561/F561)</f>
        <v/>
      </c>
      <c r="H561" s="18" t="str">
        <f aca="false">IF(OR(A561="",B561=""),"",IF(SUMIFS($E$5:$E$604,$B$5:$B$604,B561,$A$5:$A$604,"&gt;="&amp;DATE(YEAR(A561)-1,MONTH(A561),1),$A$5:$A$604,"&lt;"&amp;DATE(YEAR(A561)-1,MONTH(A561)+1,1))=0,"",SUMIFS($E$5:$E$604,$B$5:$B$604,B561,$A$5:$A$604,"&gt;="&amp;DATE(YEAR(A561)-1,MONTH(A561),1),$A$5:$A$604,"&lt;"&amp;DATE(YEAR(A561)-1,MONTH(A561)+1,1))))</f>
        <v/>
      </c>
      <c r="I561" s="19" t="str">
        <f aca="false">IF(OR(H561="",E561=""),"",E561/H561-1)</f>
        <v/>
      </c>
    </row>
    <row r="562" customFormat="false" ht="15" hidden="false" customHeight="false" outlineLevel="0" collapsed="false">
      <c r="A562" s="12"/>
      <c r="B562" s="13"/>
      <c r="C562" s="14"/>
      <c r="D562" s="14"/>
      <c r="E562" s="15"/>
      <c r="F562" s="16" t="str">
        <f aca="false">IF(OR(C562="",D562=""),"",D562-C562)</f>
        <v/>
      </c>
      <c r="G562" s="17" t="str">
        <f aca="false">IF(OR(F562="",F562=0),"",E562/F562)</f>
        <v/>
      </c>
      <c r="H562" s="18" t="str">
        <f aca="false">IF(OR(A562="",B562=""),"",IF(SUMIFS($E$5:$E$604,$B$5:$B$604,B562,$A$5:$A$604,"&gt;="&amp;DATE(YEAR(A562)-1,MONTH(A562),1),$A$5:$A$604,"&lt;"&amp;DATE(YEAR(A562)-1,MONTH(A562)+1,1))=0,"",SUMIFS($E$5:$E$604,$B$5:$B$604,B562,$A$5:$A$604,"&gt;="&amp;DATE(YEAR(A562)-1,MONTH(A562),1),$A$5:$A$604,"&lt;"&amp;DATE(YEAR(A562)-1,MONTH(A562)+1,1))))</f>
        <v/>
      </c>
      <c r="I562" s="19" t="str">
        <f aca="false">IF(OR(H562="",E562=""),"",E562/H562-1)</f>
        <v/>
      </c>
    </row>
    <row r="563" customFormat="false" ht="15" hidden="false" customHeight="false" outlineLevel="0" collapsed="false">
      <c r="A563" s="12"/>
      <c r="B563" s="13"/>
      <c r="C563" s="14"/>
      <c r="D563" s="14"/>
      <c r="E563" s="15"/>
      <c r="F563" s="16" t="str">
        <f aca="false">IF(OR(C563="",D563=""),"",D563-C563)</f>
        <v/>
      </c>
      <c r="G563" s="17" t="str">
        <f aca="false">IF(OR(F563="",F563=0),"",E563/F563)</f>
        <v/>
      </c>
      <c r="H563" s="18" t="str">
        <f aca="false">IF(OR(A563="",B563=""),"",IF(SUMIFS($E$5:$E$604,$B$5:$B$604,B563,$A$5:$A$604,"&gt;="&amp;DATE(YEAR(A563)-1,MONTH(A563),1),$A$5:$A$604,"&lt;"&amp;DATE(YEAR(A563)-1,MONTH(A563)+1,1))=0,"",SUMIFS($E$5:$E$604,$B$5:$B$604,B563,$A$5:$A$604,"&gt;="&amp;DATE(YEAR(A563)-1,MONTH(A563),1),$A$5:$A$604,"&lt;"&amp;DATE(YEAR(A563)-1,MONTH(A563)+1,1))))</f>
        <v/>
      </c>
      <c r="I563" s="19" t="str">
        <f aca="false">IF(OR(H563="",E563=""),"",E563/H563-1)</f>
        <v/>
      </c>
    </row>
    <row r="564" customFormat="false" ht="15" hidden="false" customHeight="false" outlineLevel="0" collapsed="false">
      <c r="A564" s="12"/>
      <c r="B564" s="13"/>
      <c r="C564" s="14"/>
      <c r="D564" s="14"/>
      <c r="E564" s="15"/>
      <c r="F564" s="16" t="str">
        <f aca="false">IF(OR(C564="",D564=""),"",D564-C564)</f>
        <v/>
      </c>
      <c r="G564" s="17" t="str">
        <f aca="false">IF(OR(F564="",F564=0),"",E564/F564)</f>
        <v/>
      </c>
      <c r="H564" s="18" t="str">
        <f aca="false">IF(OR(A564="",B564=""),"",IF(SUMIFS($E$5:$E$604,$B$5:$B$604,B564,$A$5:$A$604,"&gt;="&amp;DATE(YEAR(A564)-1,MONTH(A564),1),$A$5:$A$604,"&lt;"&amp;DATE(YEAR(A564)-1,MONTH(A564)+1,1))=0,"",SUMIFS($E$5:$E$604,$B$5:$B$604,B564,$A$5:$A$604,"&gt;="&amp;DATE(YEAR(A564)-1,MONTH(A564),1),$A$5:$A$604,"&lt;"&amp;DATE(YEAR(A564)-1,MONTH(A564)+1,1))))</f>
        <v/>
      </c>
      <c r="I564" s="19" t="str">
        <f aca="false">IF(OR(H564="",E564=""),"",E564/H564-1)</f>
        <v/>
      </c>
    </row>
    <row r="565" customFormat="false" ht="15" hidden="false" customHeight="false" outlineLevel="0" collapsed="false">
      <c r="A565" s="12"/>
      <c r="B565" s="13"/>
      <c r="C565" s="14"/>
      <c r="D565" s="14"/>
      <c r="E565" s="15"/>
      <c r="F565" s="16" t="str">
        <f aca="false">IF(OR(C565="",D565=""),"",D565-C565)</f>
        <v/>
      </c>
      <c r="G565" s="17" t="str">
        <f aca="false">IF(OR(F565="",F565=0),"",E565/F565)</f>
        <v/>
      </c>
      <c r="H565" s="18" t="str">
        <f aca="false">IF(OR(A565="",B565=""),"",IF(SUMIFS($E$5:$E$604,$B$5:$B$604,B565,$A$5:$A$604,"&gt;="&amp;DATE(YEAR(A565)-1,MONTH(A565),1),$A$5:$A$604,"&lt;"&amp;DATE(YEAR(A565)-1,MONTH(A565)+1,1))=0,"",SUMIFS($E$5:$E$604,$B$5:$B$604,B565,$A$5:$A$604,"&gt;="&amp;DATE(YEAR(A565)-1,MONTH(A565),1),$A$5:$A$604,"&lt;"&amp;DATE(YEAR(A565)-1,MONTH(A565)+1,1))))</f>
        <v/>
      </c>
      <c r="I565" s="19" t="str">
        <f aca="false">IF(OR(H565="",E565=""),"",E565/H565-1)</f>
        <v/>
      </c>
    </row>
    <row r="566" customFormat="false" ht="15" hidden="false" customHeight="false" outlineLevel="0" collapsed="false">
      <c r="A566" s="12"/>
      <c r="B566" s="13"/>
      <c r="C566" s="14"/>
      <c r="D566" s="14"/>
      <c r="E566" s="15"/>
      <c r="F566" s="16" t="str">
        <f aca="false">IF(OR(C566="",D566=""),"",D566-C566)</f>
        <v/>
      </c>
      <c r="G566" s="17" t="str">
        <f aca="false">IF(OR(F566="",F566=0),"",E566/F566)</f>
        <v/>
      </c>
      <c r="H566" s="18" t="str">
        <f aca="false">IF(OR(A566="",B566=""),"",IF(SUMIFS($E$5:$E$604,$B$5:$B$604,B566,$A$5:$A$604,"&gt;="&amp;DATE(YEAR(A566)-1,MONTH(A566),1),$A$5:$A$604,"&lt;"&amp;DATE(YEAR(A566)-1,MONTH(A566)+1,1))=0,"",SUMIFS($E$5:$E$604,$B$5:$B$604,B566,$A$5:$A$604,"&gt;="&amp;DATE(YEAR(A566)-1,MONTH(A566),1),$A$5:$A$604,"&lt;"&amp;DATE(YEAR(A566)-1,MONTH(A566)+1,1))))</f>
        <v/>
      </c>
      <c r="I566" s="19" t="str">
        <f aca="false">IF(OR(H566="",E566=""),"",E566/H566-1)</f>
        <v/>
      </c>
    </row>
    <row r="567" customFormat="false" ht="15" hidden="false" customHeight="false" outlineLevel="0" collapsed="false">
      <c r="A567" s="12"/>
      <c r="B567" s="13"/>
      <c r="C567" s="14"/>
      <c r="D567" s="14"/>
      <c r="E567" s="15"/>
      <c r="F567" s="16" t="str">
        <f aca="false">IF(OR(C567="",D567=""),"",D567-C567)</f>
        <v/>
      </c>
      <c r="G567" s="17" t="str">
        <f aca="false">IF(OR(F567="",F567=0),"",E567/F567)</f>
        <v/>
      </c>
      <c r="H567" s="18" t="str">
        <f aca="false">IF(OR(A567="",B567=""),"",IF(SUMIFS($E$5:$E$604,$B$5:$B$604,B567,$A$5:$A$604,"&gt;="&amp;DATE(YEAR(A567)-1,MONTH(A567),1),$A$5:$A$604,"&lt;"&amp;DATE(YEAR(A567)-1,MONTH(A567)+1,1))=0,"",SUMIFS($E$5:$E$604,$B$5:$B$604,B567,$A$5:$A$604,"&gt;="&amp;DATE(YEAR(A567)-1,MONTH(A567),1),$A$5:$A$604,"&lt;"&amp;DATE(YEAR(A567)-1,MONTH(A567)+1,1))))</f>
        <v/>
      </c>
      <c r="I567" s="19" t="str">
        <f aca="false">IF(OR(H567="",E567=""),"",E567/H567-1)</f>
        <v/>
      </c>
    </row>
    <row r="568" customFormat="false" ht="15" hidden="false" customHeight="false" outlineLevel="0" collapsed="false">
      <c r="A568" s="12"/>
      <c r="B568" s="13"/>
      <c r="C568" s="14"/>
      <c r="D568" s="14"/>
      <c r="E568" s="15"/>
      <c r="F568" s="16" t="str">
        <f aca="false">IF(OR(C568="",D568=""),"",D568-C568)</f>
        <v/>
      </c>
      <c r="G568" s="17" t="str">
        <f aca="false">IF(OR(F568="",F568=0),"",E568/F568)</f>
        <v/>
      </c>
      <c r="H568" s="18" t="str">
        <f aca="false">IF(OR(A568="",B568=""),"",IF(SUMIFS($E$5:$E$604,$B$5:$B$604,B568,$A$5:$A$604,"&gt;="&amp;DATE(YEAR(A568)-1,MONTH(A568),1),$A$5:$A$604,"&lt;"&amp;DATE(YEAR(A568)-1,MONTH(A568)+1,1))=0,"",SUMIFS($E$5:$E$604,$B$5:$B$604,B568,$A$5:$A$604,"&gt;="&amp;DATE(YEAR(A568)-1,MONTH(A568),1),$A$5:$A$604,"&lt;"&amp;DATE(YEAR(A568)-1,MONTH(A568)+1,1))))</f>
        <v/>
      </c>
      <c r="I568" s="19" t="str">
        <f aca="false">IF(OR(H568="",E568=""),"",E568/H568-1)</f>
        <v/>
      </c>
    </row>
    <row r="569" customFormat="false" ht="15" hidden="false" customHeight="false" outlineLevel="0" collapsed="false">
      <c r="A569" s="12"/>
      <c r="B569" s="13"/>
      <c r="C569" s="14"/>
      <c r="D569" s="14"/>
      <c r="E569" s="15"/>
      <c r="F569" s="16" t="str">
        <f aca="false">IF(OR(C569="",D569=""),"",D569-C569)</f>
        <v/>
      </c>
      <c r="G569" s="17" t="str">
        <f aca="false">IF(OR(F569="",F569=0),"",E569/F569)</f>
        <v/>
      </c>
      <c r="H569" s="18" t="str">
        <f aca="false">IF(OR(A569="",B569=""),"",IF(SUMIFS($E$5:$E$604,$B$5:$B$604,B569,$A$5:$A$604,"&gt;="&amp;DATE(YEAR(A569)-1,MONTH(A569),1),$A$5:$A$604,"&lt;"&amp;DATE(YEAR(A569)-1,MONTH(A569)+1,1))=0,"",SUMIFS($E$5:$E$604,$B$5:$B$604,B569,$A$5:$A$604,"&gt;="&amp;DATE(YEAR(A569)-1,MONTH(A569),1),$A$5:$A$604,"&lt;"&amp;DATE(YEAR(A569)-1,MONTH(A569)+1,1))))</f>
        <v/>
      </c>
      <c r="I569" s="19" t="str">
        <f aca="false">IF(OR(H569="",E569=""),"",E569/H569-1)</f>
        <v/>
      </c>
    </row>
    <row r="570" customFormat="false" ht="15" hidden="false" customHeight="false" outlineLevel="0" collapsed="false">
      <c r="A570" s="12"/>
      <c r="B570" s="13"/>
      <c r="C570" s="14"/>
      <c r="D570" s="14"/>
      <c r="E570" s="15"/>
      <c r="F570" s="16" t="str">
        <f aca="false">IF(OR(C570="",D570=""),"",D570-C570)</f>
        <v/>
      </c>
      <c r="G570" s="17" t="str">
        <f aca="false">IF(OR(F570="",F570=0),"",E570/F570)</f>
        <v/>
      </c>
      <c r="H570" s="18" t="str">
        <f aca="false">IF(OR(A570="",B570=""),"",IF(SUMIFS($E$5:$E$604,$B$5:$B$604,B570,$A$5:$A$604,"&gt;="&amp;DATE(YEAR(A570)-1,MONTH(A570),1),$A$5:$A$604,"&lt;"&amp;DATE(YEAR(A570)-1,MONTH(A570)+1,1))=0,"",SUMIFS($E$5:$E$604,$B$5:$B$604,B570,$A$5:$A$604,"&gt;="&amp;DATE(YEAR(A570)-1,MONTH(A570),1),$A$5:$A$604,"&lt;"&amp;DATE(YEAR(A570)-1,MONTH(A570)+1,1))))</f>
        <v/>
      </c>
      <c r="I570" s="19" t="str">
        <f aca="false">IF(OR(H570="",E570=""),"",E570/H570-1)</f>
        <v/>
      </c>
    </row>
    <row r="571" customFormat="false" ht="15" hidden="false" customHeight="false" outlineLevel="0" collapsed="false">
      <c r="A571" s="12"/>
      <c r="B571" s="13"/>
      <c r="C571" s="14"/>
      <c r="D571" s="14"/>
      <c r="E571" s="15"/>
      <c r="F571" s="16" t="str">
        <f aca="false">IF(OR(C571="",D571=""),"",D571-C571)</f>
        <v/>
      </c>
      <c r="G571" s="17" t="str">
        <f aca="false">IF(OR(F571="",F571=0),"",E571/F571)</f>
        <v/>
      </c>
      <c r="H571" s="18" t="str">
        <f aca="false">IF(OR(A571="",B571=""),"",IF(SUMIFS($E$5:$E$604,$B$5:$B$604,B571,$A$5:$A$604,"&gt;="&amp;DATE(YEAR(A571)-1,MONTH(A571),1),$A$5:$A$604,"&lt;"&amp;DATE(YEAR(A571)-1,MONTH(A571)+1,1))=0,"",SUMIFS($E$5:$E$604,$B$5:$B$604,B571,$A$5:$A$604,"&gt;="&amp;DATE(YEAR(A571)-1,MONTH(A571),1),$A$5:$A$604,"&lt;"&amp;DATE(YEAR(A571)-1,MONTH(A571)+1,1))))</f>
        <v/>
      </c>
      <c r="I571" s="19" t="str">
        <f aca="false">IF(OR(H571="",E571=""),"",E571/H571-1)</f>
        <v/>
      </c>
    </row>
    <row r="572" customFormat="false" ht="15" hidden="false" customHeight="false" outlineLevel="0" collapsed="false">
      <c r="A572" s="12"/>
      <c r="B572" s="13"/>
      <c r="C572" s="14"/>
      <c r="D572" s="14"/>
      <c r="E572" s="15"/>
      <c r="F572" s="16" t="str">
        <f aca="false">IF(OR(C572="",D572=""),"",D572-C572)</f>
        <v/>
      </c>
      <c r="G572" s="17" t="str">
        <f aca="false">IF(OR(F572="",F572=0),"",E572/F572)</f>
        <v/>
      </c>
      <c r="H572" s="18" t="str">
        <f aca="false">IF(OR(A572="",B572=""),"",IF(SUMIFS($E$5:$E$604,$B$5:$B$604,B572,$A$5:$A$604,"&gt;="&amp;DATE(YEAR(A572)-1,MONTH(A572),1),$A$5:$A$604,"&lt;"&amp;DATE(YEAR(A572)-1,MONTH(A572)+1,1))=0,"",SUMIFS($E$5:$E$604,$B$5:$B$604,B572,$A$5:$A$604,"&gt;="&amp;DATE(YEAR(A572)-1,MONTH(A572),1),$A$5:$A$604,"&lt;"&amp;DATE(YEAR(A572)-1,MONTH(A572)+1,1))))</f>
        <v/>
      </c>
      <c r="I572" s="19" t="str">
        <f aca="false">IF(OR(H572="",E572=""),"",E572/H572-1)</f>
        <v/>
      </c>
    </row>
    <row r="573" customFormat="false" ht="15" hidden="false" customHeight="false" outlineLevel="0" collapsed="false">
      <c r="A573" s="12"/>
      <c r="B573" s="13"/>
      <c r="C573" s="14"/>
      <c r="D573" s="14"/>
      <c r="E573" s="15"/>
      <c r="F573" s="16" t="str">
        <f aca="false">IF(OR(C573="",D573=""),"",D573-C573)</f>
        <v/>
      </c>
      <c r="G573" s="17" t="str">
        <f aca="false">IF(OR(F573="",F573=0),"",E573/F573)</f>
        <v/>
      </c>
      <c r="H573" s="18" t="str">
        <f aca="false">IF(OR(A573="",B573=""),"",IF(SUMIFS($E$5:$E$604,$B$5:$B$604,B573,$A$5:$A$604,"&gt;="&amp;DATE(YEAR(A573)-1,MONTH(A573),1),$A$5:$A$604,"&lt;"&amp;DATE(YEAR(A573)-1,MONTH(A573)+1,1))=0,"",SUMIFS($E$5:$E$604,$B$5:$B$604,B573,$A$5:$A$604,"&gt;="&amp;DATE(YEAR(A573)-1,MONTH(A573),1),$A$5:$A$604,"&lt;"&amp;DATE(YEAR(A573)-1,MONTH(A573)+1,1))))</f>
        <v/>
      </c>
      <c r="I573" s="19" t="str">
        <f aca="false">IF(OR(H573="",E573=""),"",E573/H573-1)</f>
        <v/>
      </c>
    </row>
    <row r="574" customFormat="false" ht="15" hidden="false" customHeight="false" outlineLevel="0" collapsed="false">
      <c r="A574" s="12"/>
      <c r="B574" s="13"/>
      <c r="C574" s="14"/>
      <c r="D574" s="14"/>
      <c r="E574" s="15"/>
      <c r="F574" s="16" t="str">
        <f aca="false">IF(OR(C574="",D574=""),"",D574-C574)</f>
        <v/>
      </c>
      <c r="G574" s="17" t="str">
        <f aca="false">IF(OR(F574="",F574=0),"",E574/F574)</f>
        <v/>
      </c>
      <c r="H574" s="18" t="str">
        <f aca="false">IF(OR(A574="",B574=""),"",IF(SUMIFS($E$5:$E$604,$B$5:$B$604,B574,$A$5:$A$604,"&gt;="&amp;DATE(YEAR(A574)-1,MONTH(A574),1),$A$5:$A$604,"&lt;"&amp;DATE(YEAR(A574)-1,MONTH(A574)+1,1))=0,"",SUMIFS($E$5:$E$604,$B$5:$B$604,B574,$A$5:$A$604,"&gt;="&amp;DATE(YEAR(A574)-1,MONTH(A574),1),$A$5:$A$604,"&lt;"&amp;DATE(YEAR(A574)-1,MONTH(A574)+1,1))))</f>
        <v/>
      </c>
      <c r="I574" s="19" t="str">
        <f aca="false">IF(OR(H574="",E574=""),"",E574/H574-1)</f>
        <v/>
      </c>
    </row>
    <row r="575" customFormat="false" ht="15" hidden="false" customHeight="false" outlineLevel="0" collapsed="false">
      <c r="A575" s="12"/>
      <c r="B575" s="13"/>
      <c r="C575" s="14"/>
      <c r="D575" s="14"/>
      <c r="E575" s="15"/>
      <c r="F575" s="16" t="str">
        <f aca="false">IF(OR(C575="",D575=""),"",D575-C575)</f>
        <v/>
      </c>
      <c r="G575" s="17" t="str">
        <f aca="false">IF(OR(F575="",F575=0),"",E575/F575)</f>
        <v/>
      </c>
      <c r="H575" s="18" t="str">
        <f aca="false">IF(OR(A575="",B575=""),"",IF(SUMIFS($E$5:$E$604,$B$5:$B$604,B575,$A$5:$A$604,"&gt;="&amp;DATE(YEAR(A575)-1,MONTH(A575),1),$A$5:$A$604,"&lt;"&amp;DATE(YEAR(A575)-1,MONTH(A575)+1,1))=0,"",SUMIFS($E$5:$E$604,$B$5:$B$604,B575,$A$5:$A$604,"&gt;="&amp;DATE(YEAR(A575)-1,MONTH(A575),1),$A$5:$A$604,"&lt;"&amp;DATE(YEAR(A575)-1,MONTH(A575)+1,1))))</f>
        <v/>
      </c>
      <c r="I575" s="19" t="str">
        <f aca="false">IF(OR(H575="",E575=""),"",E575/H575-1)</f>
        <v/>
      </c>
    </row>
    <row r="576" customFormat="false" ht="15" hidden="false" customHeight="false" outlineLevel="0" collapsed="false">
      <c r="A576" s="12"/>
      <c r="B576" s="13"/>
      <c r="C576" s="14"/>
      <c r="D576" s="14"/>
      <c r="E576" s="15"/>
      <c r="F576" s="16" t="str">
        <f aca="false">IF(OR(C576="",D576=""),"",D576-C576)</f>
        <v/>
      </c>
      <c r="G576" s="17" t="str">
        <f aca="false">IF(OR(F576="",F576=0),"",E576/F576)</f>
        <v/>
      </c>
      <c r="H576" s="18" t="str">
        <f aca="false">IF(OR(A576="",B576=""),"",IF(SUMIFS($E$5:$E$604,$B$5:$B$604,B576,$A$5:$A$604,"&gt;="&amp;DATE(YEAR(A576)-1,MONTH(A576),1),$A$5:$A$604,"&lt;"&amp;DATE(YEAR(A576)-1,MONTH(A576)+1,1))=0,"",SUMIFS($E$5:$E$604,$B$5:$B$604,B576,$A$5:$A$604,"&gt;="&amp;DATE(YEAR(A576)-1,MONTH(A576),1),$A$5:$A$604,"&lt;"&amp;DATE(YEAR(A576)-1,MONTH(A576)+1,1))))</f>
        <v/>
      </c>
      <c r="I576" s="19" t="str">
        <f aca="false">IF(OR(H576="",E576=""),"",E576/H576-1)</f>
        <v/>
      </c>
    </row>
    <row r="577" customFormat="false" ht="15" hidden="false" customHeight="false" outlineLevel="0" collapsed="false">
      <c r="A577" s="12"/>
      <c r="B577" s="13"/>
      <c r="C577" s="14"/>
      <c r="D577" s="14"/>
      <c r="E577" s="15"/>
      <c r="F577" s="16" t="str">
        <f aca="false">IF(OR(C577="",D577=""),"",D577-C577)</f>
        <v/>
      </c>
      <c r="G577" s="17" t="str">
        <f aca="false">IF(OR(F577="",F577=0),"",E577/F577)</f>
        <v/>
      </c>
      <c r="H577" s="18" t="str">
        <f aca="false">IF(OR(A577="",B577=""),"",IF(SUMIFS($E$5:$E$604,$B$5:$B$604,B577,$A$5:$A$604,"&gt;="&amp;DATE(YEAR(A577)-1,MONTH(A577),1),$A$5:$A$604,"&lt;"&amp;DATE(YEAR(A577)-1,MONTH(A577)+1,1))=0,"",SUMIFS($E$5:$E$604,$B$5:$B$604,B577,$A$5:$A$604,"&gt;="&amp;DATE(YEAR(A577)-1,MONTH(A577),1),$A$5:$A$604,"&lt;"&amp;DATE(YEAR(A577)-1,MONTH(A577)+1,1))))</f>
        <v/>
      </c>
      <c r="I577" s="19" t="str">
        <f aca="false">IF(OR(H577="",E577=""),"",E577/H577-1)</f>
        <v/>
      </c>
    </row>
    <row r="578" customFormat="false" ht="15" hidden="false" customHeight="false" outlineLevel="0" collapsed="false">
      <c r="A578" s="12"/>
      <c r="B578" s="13"/>
      <c r="C578" s="14"/>
      <c r="D578" s="14"/>
      <c r="E578" s="15"/>
      <c r="F578" s="16" t="str">
        <f aca="false">IF(OR(C578="",D578=""),"",D578-C578)</f>
        <v/>
      </c>
      <c r="G578" s="17" t="str">
        <f aca="false">IF(OR(F578="",F578=0),"",E578/F578)</f>
        <v/>
      </c>
      <c r="H578" s="18" t="str">
        <f aca="false">IF(OR(A578="",B578=""),"",IF(SUMIFS($E$5:$E$604,$B$5:$B$604,B578,$A$5:$A$604,"&gt;="&amp;DATE(YEAR(A578)-1,MONTH(A578),1),$A$5:$A$604,"&lt;"&amp;DATE(YEAR(A578)-1,MONTH(A578)+1,1))=0,"",SUMIFS($E$5:$E$604,$B$5:$B$604,B578,$A$5:$A$604,"&gt;="&amp;DATE(YEAR(A578)-1,MONTH(A578),1),$A$5:$A$604,"&lt;"&amp;DATE(YEAR(A578)-1,MONTH(A578)+1,1))))</f>
        <v/>
      </c>
      <c r="I578" s="19" t="str">
        <f aca="false">IF(OR(H578="",E578=""),"",E578/H578-1)</f>
        <v/>
      </c>
    </row>
    <row r="579" customFormat="false" ht="15" hidden="false" customHeight="false" outlineLevel="0" collapsed="false">
      <c r="A579" s="12"/>
      <c r="B579" s="13"/>
      <c r="C579" s="14"/>
      <c r="D579" s="14"/>
      <c r="E579" s="15"/>
      <c r="F579" s="16" t="str">
        <f aca="false">IF(OR(C579="",D579=""),"",D579-C579)</f>
        <v/>
      </c>
      <c r="G579" s="17" t="str">
        <f aca="false">IF(OR(F579="",F579=0),"",E579/F579)</f>
        <v/>
      </c>
      <c r="H579" s="18" t="str">
        <f aca="false">IF(OR(A579="",B579=""),"",IF(SUMIFS($E$5:$E$604,$B$5:$B$604,B579,$A$5:$A$604,"&gt;="&amp;DATE(YEAR(A579)-1,MONTH(A579),1),$A$5:$A$604,"&lt;"&amp;DATE(YEAR(A579)-1,MONTH(A579)+1,1))=0,"",SUMIFS($E$5:$E$604,$B$5:$B$604,B579,$A$5:$A$604,"&gt;="&amp;DATE(YEAR(A579)-1,MONTH(A579),1),$A$5:$A$604,"&lt;"&amp;DATE(YEAR(A579)-1,MONTH(A579)+1,1))))</f>
        <v/>
      </c>
      <c r="I579" s="19" t="str">
        <f aca="false">IF(OR(H579="",E579=""),"",E579/H579-1)</f>
        <v/>
      </c>
    </row>
    <row r="580" customFormat="false" ht="15" hidden="false" customHeight="false" outlineLevel="0" collapsed="false">
      <c r="A580" s="12"/>
      <c r="B580" s="13"/>
      <c r="C580" s="14"/>
      <c r="D580" s="14"/>
      <c r="E580" s="15"/>
      <c r="F580" s="16" t="str">
        <f aca="false">IF(OR(C580="",D580=""),"",D580-C580)</f>
        <v/>
      </c>
      <c r="G580" s="17" t="str">
        <f aca="false">IF(OR(F580="",F580=0),"",E580/F580)</f>
        <v/>
      </c>
      <c r="H580" s="18" t="str">
        <f aca="false">IF(OR(A580="",B580=""),"",IF(SUMIFS($E$5:$E$604,$B$5:$B$604,B580,$A$5:$A$604,"&gt;="&amp;DATE(YEAR(A580)-1,MONTH(A580),1),$A$5:$A$604,"&lt;"&amp;DATE(YEAR(A580)-1,MONTH(A580)+1,1))=0,"",SUMIFS($E$5:$E$604,$B$5:$B$604,B580,$A$5:$A$604,"&gt;="&amp;DATE(YEAR(A580)-1,MONTH(A580),1),$A$5:$A$604,"&lt;"&amp;DATE(YEAR(A580)-1,MONTH(A580)+1,1))))</f>
        <v/>
      </c>
      <c r="I580" s="19" t="str">
        <f aca="false">IF(OR(H580="",E580=""),"",E580/H580-1)</f>
        <v/>
      </c>
    </row>
    <row r="581" customFormat="false" ht="15" hidden="false" customHeight="false" outlineLevel="0" collapsed="false">
      <c r="A581" s="12"/>
      <c r="B581" s="13"/>
      <c r="C581" s="14"/>
      <c r="D581" s="14"/>
      <c r="E581" s="15"/>
      <c r="F581" s="16" t="str">
        <f aca="false">IF(OR(C581="",D581=""),"",D581-C581)</f>
        <v/>
      </c>
      <c r="G581" s="17" t="str">
        <f aca="false">IF(OR(F581="",F581=0),"",E581/F581)</f>
        <v/>
      </c>
      <c r="H581" s="18" t="str">
        <f aca="false">IF(OR(A581="",B581=""),"",IF(SUMIFS($E$5:$E$604,$B$5:$B$604,B581,$A$5:$A$604,"&gt;="&amp;DATE(YEAR(A581)-1,MONTH(A581),1),$A$5:$A$604,"&lt;"&amp;DATE(YEAR(A581)-1,MONTH(A581)+1,1))=0,"",SUMIFS($E$5:$E$604,$B$5:$B$604,B581,$A$5:$A$604,"&gt;="&amp;DATE(YEAR(A581)-1,MONTH(A581),1),$A$5:$A$604,"&lt;"&amp;DATE(YEAR(A581)-1,MONTH(A581)+1,1))))</f>
        <v/>
      </c>
      <c r="I581" s="19" t="str">
        <f aca="false">IF(OR(H581="",E581=""),"",E581/H581-1)</f>
        <v/>
      </c>
    </row>
    <row r="582" customFormat="false" ht="15" hidden="false" customHeight="false" outlineLevel="0" collapsed="false">
      <c r="A582" s="12"/>
      <c r="B582" s="13"/>
      <c r="C582" s="14"/>
      <c r="D582" s="14"/>
      <c r="E582" s="15"/>
      <c r="F582" s="16" t="str">
        <f aca="false">IF(OR(C582="",D582=""),"",D582-C582)</f>
        <v/>
      </c>
      <c r="G582" s="17" t="str">
        <f aca="false">IF(OR(F582="",F582=0),"",E582/F582)</f>
        <v/>
      </c>
      <c r="H582" s="18" t="str">
        <f aca="false">IF(OR(A582="",B582=""),"",IF(SUMIFS($E$5:$E$604,$B$5:$B$604,B582,$A$5:$A$604,"&gt;="&amp;DATE(YEAR(A582)-1,MONTH(A582),1),$A$5:$A$604,"&lt;"&amp;DATE(YEAR(A582)-1,MONTH(A582)+1,1))=0,"",SUMIFS($E$5:$E$604,$B$5:$B$604,B582,$A$5:$A$604,"&gt;="&amp;DATE(YEAR(A582)-1,MONTH(A582),1),$A$5:$A$604,"&lt;"&amp;DATE(YEAR(A582)-1,MONTH(A582)+1,1))))</f>
        <v/>
      </c>
      <c r="I582" s="19" t="str">
        <f aca="false">IF(OR(H582="",E582=""),"",E582/H582-1)</f>
        <v/>
      </c>
    </row>
    <row r="583" customFormat="false" ht="15" hidden="false" customHeight="false" outlineLevel="0" collapsed="false">
      <c r="A583" s="12"/>
      <c r="B583" s="13"/>
      <c r="C583" s="14"/>
      <c r="D583" s="14"/>
      <c r="E583" s="15"/>
      <c r="F583" s="16" t="str">
        <f aca="false">IF(OR(C583="",D583=""),"",D583-C583)</f>
        <v/>
      </c>
      <c r="G583" s="17" t="str">
        <f aca="false">IF(OR(F583="",F583=0),"",E583/F583)</f>
        <v/>
      </c>
      <c r="H583" s="18" t="str">
        <f aca="false">IF(OR(A583="",B583=""),"",IF(SUMIFS($E$5:$E$604,$B$5:$B$604,B583,$A$5:$A$604,"&gt;="&amp;DATE(YEAR(A583)-1,MONTH(A583),1),$A$5:$A$604,"&lt;"&amp;DATE(YEAR(A583)-1,MONTH(A583)+1,1))=0,"",SUMIFS($E$5:$E$604,$B$5:$B$604,B583,$A$5:$A$604,"&gt;="&amp;DATE(YEAR(A583)-1,MONTH(A583),1),$A$5:$A$604,"&lt;"&amp;DATE(YEAR(A583)-1,MONTH(A583)+1,1))))</f>
        <v/>
      </c>
      <c r="I583" s="19" t="str">
        <f aca="false">IF(OR(H583="",E583=""),"",E583/H583-1)</f>
        <v/>
      </c>
    </row>
    <row r="584" customFormat="false" ht="15" hidden="false" customHeight="false" outlineLevel="0" collapsed="false">
      <c r="A584" s="12"/>
      <c r="B584" s="13"/>
      <c r="C584" s="14"/>
      <c r="D584" s="14"/>
      <c r="E584" s="15"/>
      <c r="F584" s="16" t="str">
        <f aca="false">IF(OR(C584="",D584=""),"",D584-C584)</f>
        <v/>
      </c>
      <c r="G584" s="17" t="str">
        <f aca="false">IF(OR(F584="",F584=0),"",E584/F584)</f>
        <v/>
      </c>
      <c r="H584" s="18" t="str">
        <f aca="false">IF(OR(A584="",B584=""),"",IF(SUMIFS($E$5:$E$604,$B$5:$B$604,B584,$A$5:$A$604,"&gt;="&amp;DATE(YEAR(A584)-1,MONTH(A584),1),$A$5:$A$604,"&lt;"&amp;DATE(YEAR(A584)-1,MONTH(A584)+1,1))=0,"",SUMIFS($E$5:$E$604,$B$5:$B$604,B584,$A$5:$A$604,"&gt;="&amp;DATE(YEAR(A584)-1,MONTH(A584),1),$A$5:$A$604,"&lt;"&amp;DATE(YEAR(A584)-1,MONTH(A584)+1,1))))</f>
        <v/>
      </c>
      <c r="I584" s="19" t="str">
        <f aca="false">IF(OR(H584="",E584=""),"",E584/H584-1)</f>
        <v/>
      </c>
    </row>
    <row r="585" customFormat="false" ht="15" hidden="false" customHeight="false" outlineLevel="0" collapsed="false">
      <c r="A585" s="12"/>
      <c r="B585" s="13"/>
      <c r="C585" s="14"/>
      <c r="D585" s="14"/>
      <c r="E585" s="15"/>
      <c r="F585" s="16" t="str">
        <f aca="false">IF(OR(C585="",D585=""),"",D585-C585)</f>
        <v/>
      </c>
      <c r="G585" s="17" t="str">
        <f aca="false">IF(OR(F585="",F585=0),"",E585/F585)</f>
        <v/>
      </c>
      <c r="H585" s="18" t="str">
        <f aca="false">IF(OR(A585="",B585=""),"",IF(SUMIFS($E$5:$E$604,$B$5:$B$604,B585,$A$5:$A$604,"&gt;="&amp;DATE(YEAR(A585)-1,MONTH(A585),1),$A$5:$A$604,"&lt;"&amp;DATE(YEAR(A585)-1,MONTH(A585)+1,1))=0,"",SUMIFS($E$5:$E$604,$B$5:$B$604,B585,$A$5:$A$604,"&gt;="&amp;DATE(YEAR(A585)-1,MONTH(A585),1),$A$5:$A$604,"&lt;"&amp;DATE(YEAR(A585)-1,MONTH(A585)+1,1))))</f>
        <v/>
      </c>
      <c r="I585" s="19" t="str">
        <f aca="false">IF(OR(H585="",E585=""),"",E585/H585-1)</f>
        <v/>
      </c>
    </row>
    <row r="586" customFormat="false" ht="15" hidden="false" customHeight="false" outlineLevel="0" collapsed="false">
      <c r="A586" s="12"/>
      <c r="B586" s="13"/>
      <c r="C586" s="14"/>
      <c r="D586" s="14"/>
      <c r="E586" s="15"/>
      <c r="F586" s="16" t="str">
        <f aca="false">IF(OR(C586="",D586=""),"",D586-C586)</f>
        <v/>
      </c>
      <c r="G586" s="17" t="str">
        <f aca="false">IF(OR(F586="",F586=0),"",E586/F586)</f>
        <v/>
      </c>
      <c r="H586" s="18" t="str">
        <f aca="false">IF(OR(A586="",B586=""),"",IF(SUMIFS($E$5:$E$604,$B$5:$B$604,B586,$A$5:$A$604,"&gt;="&amp;DATE(YEAR(A586)-1,MONTH(A586),1),$A$5:$A$604,"&lt;"&amp;DATE(YEAR(A586)-1,MONTH(A586)+1,1))=0,"",SUMIFS($E$5:$E$604,$B$5:$B$604,B586,$A$5:$A$604,"&gt;="&amp;DATE(YEAR(A586)-1,MONTH(A586),1),$A$5:$A$604,"&lt;"&amp;DATE(YEAR(A586)-1,MONTH(A586)+1,1))))</f>
        <v/>
      </c>
      <c r="I586" s="19" t="str">
        <f aca="false">IF(OR(H586="",E586=""),"",E586/H586-1)</f>
        <v/>
      </c>
    </row>
    <row r="587" customFormat="false" ht="15" hidden="false" customHeight="false" outlineLevel="0" collapsed="false">
      <c r="A587" s="12"/>
      <c r="B587" s="13"/>
      <c r="C587" s="14"/>
      <c r="D587" s="14"/>
      <c r="E587" s="15"/>
      <c r="F587" s="16" t="str">
        <f aca="false">IF(OR(C587="",D587=""),"",D587-C587)</f>
        <v/>
      </c>
      <c r="G587" s="17" t="str">
        <f aca="false">IF(OR(F587="",F587=0),"",E587/F587)</f>
        <v/>
      </c>
      <c r="H587" s="18" t="str">
        <f aca="false">IF(OR(A587="",B587=""),"",IF(SUMIFS($E$5:$E$604,$B$5:$B$604,B587,$A$5:$A$604,"&gt;="&amp;DATE(YEAR(A587)-1,MONTH(A587),1),$A$5:$A$604,"&lt;"&amp;DATE(YEAR(A587)-1,MONTH(A587)+1,1))=0,"",SUMIFS($E$5:$E$604,$B$5:$B$604,B587,$A$5:$A$604,"&gt;="&amp;DATE(YEAR(A587)-1,MONTH(A587),1),$A$5:$A$604,"&lt;"&amp;DATE(YEAR(A587)-1,MONTH(A587)+1,1))))</f>
        <v/>
      </c>
      <c r="I587" s="19" t="str">
        <f aca="false">IF(OR(H587="",E587=""),"",E587/H587-1)</f>
        <v/>
      </c>
    </row>
    <row r="588" customFormat="false" ht="15" hidden="false" customHeight="false" outlineLevel="0" collapsed="false">
      <c r="A588" s="12"/>
      <c r="B588" s="13"/>
      <c r="C588" s="14"/>
      <c r="D588" s="14"/>
      <c r="E588" s="15"/>
      <c r="F588" s="16" t="str">
        <f aca="false">IF(OR(C588="",D588=""),"",D588-C588)</f>
        <v/>
      </c>
      <c r="G588" s="17" t="str">
        <f aca="false">IF(OR(F588="",F588=0),"",E588/F588)</f>
        <v/>
      </c>
      <c r="H588" s="18" t="str">
        <f aca="false">IF(OR(A588="",B588=""),"",IF(SUMIFS($E$5:$E$604,$B$5:$B$604,B588,$A$5:$A$604,"&gt;="&amp;DATE(YEAR(A588)-1,MONTH(A588),1),$A$5:$A$604,"&lt;"&amp;DATE(YEAR(A588)-1,MONTH(A588)+1,1))=0,"",SUMIFS($E$5:$E$604,$B$5:$B$604,B588,$A$5:$A$604,"&gt;="&amp;DATE(YEAR(A588)-1,MONTH(A588),1),$A$5:$A$604,"&lt;"&amp;DATE(YEAR(A588)-1,MONTH(A588)+1,1))))</f>
        <v/>
      </c>
      <c r="I588" s="19" t="str">
        <f aca="false">IF(OR(H588="",E588=""),"",E588/H588-1)</f>
        <v/>
      </c>
    </row>
    <row r="589" customFormat="false" ht="15" hidden="false" customHeight="false" outlineLevel="0" collapsed="false">
      <c r="A589" s="12"/>
      <c r="B589" s="13"/>
      <c r="C589" s="14"/>
      <c r="D589" s="14"/>
      <c r="E589" s="15"/>
      <c r="F589" s="16" t="str">
        <f aca="false">IF(OR(C589="",D589=""),"",D589-C589)</f>
        <v/>
      </c>
      <c r="G589" s="17" t="str">
        <f aca="false">IF(OR(F589="",F589=0),"",E589/F589)</f>
        <v/>
      </c>
      <c r="H589" s="18" t="str">
        <f aca="false">IF(OR(A589="",B589=""),"",IF(SUMIFS($E$5:$E$604,$B$5:$B$604,B589,$A$5:$A$604,"&gt;="&amp;DATE(YEAR(A589)-1,MONTH(A589),1),$A$5:$A$604,"&lt;"&amp;DATE(YEAR(A589)-1,MONTH(A589)+1,1))=0,"",SUMIFS($E$5:$E$604,$B$5:$B$604,B589,$A$5:$A$604,"&gt;="&amp;DATE(YEAR(A589)-1,MONTH(A589),1),$A$5:$A$604,"&lt;"&amp;DATE(YEAR(A589)-1,MONTH(A589)+1,1))))</f>
        <v/>
      </c>
      <c r="I589" s="19" t="str">
        <f aca="false">IF(OR(H589="",E589=""),"",E589/H589-1)</f>
        <v/>
      </c>
    </row>
    <row r="590" customFormat="false" ht="15" hidden="false" customHeight="false" outlineLevel="0" collapsed="false">
      <c r="A590" s="12"/>
      <c r="B590" s="13"/>
      <c r="C590" s="14"/>
      <c r="D590" s="14"/>
      <c r="E590" s="15"/>
      <c r="F590" s="16" t="str">
        <f aca="false">IF(OR(C590="",D590=""),"",D590-C590)</f>
        <v/>
      </c>
      <c r="G590" s="17" t="str">
        <f aca="false">IF(OR(F590="",F590=0),"",E590/F590)</f>
        <v/>
      </c>
      <c r="H590" s="18" t="str">
        <f aca="false">IF(OR(A590="",B590=""),"",IF(SUMIFS($E$5:$E$604,$B$5:$B$604,B590,$A$5:$A$604,"&gt;="&amp;DATE(YEAR(A590)-1,MONTH(A590),1),$A$5:$A$604,"&lt;"&amp;DATE(YEAR(A590)-1,MONTH(A590)+1,1))=0,"",SUMIFS($E$5:$E$604,$B$5:$B$604,B590,$A$5:$A$604,"&gt;="&amp;DATE(YEAR(A590)-1,MONTH(A590),1),$A$5:$A$604,"&lt;"&amp;DATE(YEAR(A590)-1,MONTH(A590)+1,1))))</f>
        <v/>
      </c>
      <c r="I590" s="19" t="str">
        <f aca="false">IF(OR(H590="",E590=""),"",E590/H590-1)</f>
        <v/>
      </c>
    </row>
    <row r="591" customFormat="false" ht="15" hidden="false" customHeight="false" outlineLevel="0" collapsed="false">
      <c r="A591" s="12"/>
      <c r="B591" s="13"/>
      <c r="C591" s="14"/>
      <c r="D591" s="14"/>
      <c r="E591" s="15"/>
      <c r="F591" s="16" t="str">
        <f aca="false">IF(OR(C591="",D591=""),"",D591-C591)</f>
        <v/>
      </c>
      <c r="G591" s="17" t="str">
        <f aca="false">IF(OR(F591="",F591=0),"",E591/F591)</f>
        <v/>
      </c>
      <c r="H591" s="18" t="str">
        <f aca="false">IF(OR(A591="",B591=""),"",IF(SUMIFS($E$5:$E$604,$B$5:$B$604,B591,$A$5:$A$604,"&gt;="&amp;DATE(YEAR(A591)-1,MONTH(A591),1),$A$5:$A$604,"&lt;"&amp;DATE(YEAR(A591)-1,MONTH(A591)+1,1))=0,"",SUMIFS($E$5:$E$604,$B$5:$B$604,B591,$A$5:$A$604,"&gt;="&amp;DATE(YEAR(A591)-1,MONTH(A591),1),$A$5:$A$604,"&lt;"&amp;DATE(YEAR(A591)-1,MONTH(A591)+1,1))))</f>
        <v/>
      </c>
      <c r="I591" s="19" t="str">
        <f aca="false">IF(OR(H591="",E591=""),"",E591/H591-1)</f>
        <v/>
      </c>
    </row>
    <row r="592" customFormat="false" ht="15" hidden="false" customHeight="false" outlineLevel="0" collapsed="false">
      <c r="A592" s="12"/>
      <c r="B592" s="13"/>
      <c r="C592" s="14"/>
      <c r="D592" s="14"/>
      <c r="E592" s="15"/>
      <c r="F592" s="16" t="str">
        <f aca="false">IF(OR(C592="",D592=""),"",D592-C592)</f>
        <v/>
      </c>
      <c r="G592" s="17" t="str">
        <f aca="false">IF(OR(F592="",F592=0),"",E592/F592)</f>
        <v/>
      </c>
      <c r="H592" s="18" t="str">
        <f aca="false">IF(OR(A592="",B592=""),"",IF(SUMIFS($E$5:$E$604,$B$5:$B$604,B592,$A$5:$A$604,"&gt;="&amp;DATE(YEAR(A592)-1,MONTH(A592),1),$A$5:$A$604,"&lt;"&amp;DATE(YEAR(A592)-1,MONTH(A592)+1,1))=0,"",SUMIFS($E$5:$E$604,$B$5:$B$604,B592,$A$5:$A$604,"&gt;="&amp;DATE(YEAR(A592)-1,MONTH(A592),1),$A$5:$A$604,"&lt;"&amp;DATE(YEAR(A592)-1,MONTH(A592)+1,1))))</f>
        <v/>
      </c>
      <c r="I592" s="19" t="str">
        <f aca="false">IF(OR(H592="",E592=""),"",E592/H592-1)</f>
        <v/>
      </c>
    </row>
    <row r="593" customFormat="false" ht="15" hidden="false" customHeight="false" outlineLevel="0" collapsed="false">
      <c r="A593" s="12"/>
      <c r="B593" s="13"/>
      <c r="C593" s="14"/>
      <c r="D593" s="14"/>
      <c r="E593" s="15"/>
      <c r="F593" s="16" t="str">
        <f aca="false">IF(OR(C593="",D593=""),"",D593-C593)</f>
        <v/>
      </c>
      <c r="G593" s="17" t="str">
        <f aca="false">IF(OR(F593="",F593=0),"",E593/F593)</f>
        <v/>
      </c>
      <c r="H593" s="18" t="str">
        <f aca="false">IF(OR(A593="",B593=""),"",IF(SUMIFS($E$5:$E$604,$B$5:$B$604,B593,$A$5:$A$604,"&gt;="&amp;DATE(YEAR(A593)-1,MONTH(A593),1),$A$5:$A$604,"&lt;"&amp;DATE(YEAR(A593)-1,MONTH(A593)+1,1))=0,"",SUMIFS($E$5:$E$604,$B$5:$B$604,B593,$A$5:$A$604,"&gt;="&amp;DATE(YEAR(A593)-1,MONTH(A593),1),$A$5:$A$604,"&lt;"&amp;DATE(YEAR(A593)-1,MONTH(A593)+1,1))))</f>
        <v/>
      </c>
      <c r="I593" s="19" t="str">
        <f aca="false">IF(OR(H593="",E593=""),"",E593/H593-1)</f>
        <v/>
      </c>
    </row>
    <row r="594" customFormat="false" ht="15" hidden="false" customHeight="false" outlineLevel="0" collapsed="false">
      <c r="A594" s="12"/>
      <c r="B594" s="13"/>
      <c r="C594" s="14"/>
      <c r="D594" s="14"/>
      <c r="E594" s="15"/>
      <c r="F594" s="16" t="str">
        <f aca="false">IF(OR(C594="",D594=""),"",D594-C594)</f>
        <v/>
      </c>
      <c r="G594" s="17" t="str">
        <f aca="false">IF(OR(F594="",F594=0),"",E594/F594)</f>
        <v/>
      </c>
      <c r="H594" s="18" t="str">
        <f aca="false">IF(OR(A594="",B594=""),"",IF(SUMIFS($E$5:$E$604,$B$5:$B$604,B594,$A$5:$A$604,"&gt;="&amp;DATE(YEAR(A594)-1,MONTH(A594),1),$A$5:$A$604,"&lt;"&amp;DATE(YEAR(A594)-1,MONTH(A594)+1,1))=0,"",SUMIFS($E$5:$E$604,$B$5:$B$604,B594,$A$5:$A$604,"&gt;="&amp;DATE(YEAR(A594)-1,MONTH(A594),1),$A$5:$A$604,"&lt;"&amp;DATE(YEAR(A594)-1,MONTH(A594)+1,1))))</f>
        <v/>
      </c>
      <c r="I594" s="19" t="str">
        <f aca="false">IF(OR(H594="",E594=""),"",E594/H594-1)</f>
        <v/>
      </c>
    </row>
    <row r="595" customFormat="false" ht="15" hidden="false" customHeight="false" outlineLevel="0" collapsed="false">
      <c r="A595" s="12"/>
      <c r="B595" s="13"/>
      <c r="C595" s="14"/>
      <c r="D595" s="14"/>
      <c r="E595" s="15"/>
      <c r="F595" s="16" t="str">
        <f aca="false">IF(OR(C595="",D595=""),"",D595-C595)</f>
        <v/>
      </c>
      <c r="G595" s="17" t="str">
        <f aca="false">IF(OR(F595="",F595=0),"",E595/F595)</f>
        <v/>
      </c>
      <c r="H595" s="18" t="str">
        <f aca="false">IF(OR(A595="",B595=""),"",IF(SUMIFS($E$5:$E$604,$B$5:$B$604,B595,$A$5:$A$604,"&gt;="&amp;DATE(YEAR(A595)-1,MONTH(A595),1),$A$5:$A$604,"&lt;"&amp;DATE(YEAR(A595)-1,MONTH(A595)+1,1))=0,"",SUMIFS($E$5:$E$604,$B$5:$B$604,B595,$A$5:$A$604,"&gt;="&amp;DATE(YEAR(A595)-1,MONTH(A595),1),$A$5:$A$604,"&lt;"&amp;DATE(YEAR(A595)-1,MONTH(A595)+1,1))))</f>
        <v/>
      </c>
      <c r="I595" s="19" t="str">
        <f aca="false">IF(OR(H595="",E595=""),"",E595/H595-1)</f>
        <v/>
      </c>
    </row>
    <row r="596" customFormat="false" ht="15" hidden="false" customHeight="false" outlineLevel="0" collapsed="false">
      <c r="A596" s="12"/>
      <c r="B596" s="13"/>
      <c r="C596" s="14"/>
      <c r="D596" s="14"/>
      <c r="E596" s="15"/>
      <c r="F596" s="16" t="str">
        <f aca="false">IF(OR(C596="",D596=""),"",D596-C596)</f>
        <v/>
      </c>
      <c r="G596" s="17" t="str">
        <f aca="false">IF(OR(F596="",F596=0),"",E596/F596)</f>
        <v/>
      </c>
      <c r="H596" s="18" t="str">
        <f aca="false">IF(OR(A596="",B596=""),"",IF(SUMIFS($E$5:$E$604,$B$5:$B$604,B596,$A$5:$A$604,"&gt;="&amp;DATE(YEAR(A596)-1,MONTH(A596),1),$A$5:$A$604,"&lt;"&amp;DATE(YEAR(A596)-1,MONTH(A596)+1,1))=0,"",SUMIFS($E$5:$E$604,$B$5:$B$604,B596,$A$5:$A$604,"&gt;="&amp;DATE(YEAR(A596)-1,MONTH(A596),1),$A$5:$A$604,"&lt;"&amp;DATE(YEAR(A596)-1,MONTH(A596)+1,1))))</f>
        <v/>
      </c>
      <c r="I596" s="19" t="str">
        <f aca="false">IF(OR(H596="",E596=""),"",E596/H596-1)</f>
        <v/>
      </c>
    </row>
    <row r="597" customFormat="false" ht="15" hidden="false" customHeight="false" outlineLevel="0" collapsed="false">
      <c r="A597" s="12"/>
      <c r="B597" s="13"/>
      <c r="C597" s="14"/>
      <c r="D597" s="14"/>
      <c r="E597" s="15"/>
      <c r="F597" s="16" t="str">
        <f aca="false">IF(OR(C597="",D597=""),"",D597-C597)</f>
        <v/>
      </c>
      <c r="G597" s="17" t="str">
        <f aca="false">IF(OR(F597="",F597=0),"",E597/F597)</f>
        <v/>
      </c>
      <c r="H597" s="18" t="str">
        <f aca="false">IF(OR(A597="",B597=""),"",IF(SUMIFS($E$5:$E$604,$B$5:$B$604,B597,$A$5:$A$604,"&gt;="&amp;DATE(YEAR(A597)-1,MONTH(A597),1),$A$5:$A$604,"&lt;"&amp;DATE(YEAR(A597)-1,MONTH(A597)+1,1))=0,"",SUMIFS($E$5:$E$604,$B$5:$B$604,B597,$A$5:$A$604,"&gt;="&amp;DATE(YEAR(A597)-1,MONTH(A597),1),$A$5:$A$604,"&lt;"&amp;DATE(YEAR(A597)-1,MONTH(A597)+1,1))))</f>
        <v/>
      </c>
      <c r="I597" s="19" t="str">
        <f aca="false">IF(OR(H597="",E597=""),"",E597/H597-1)</f>
        <v/>
      </c>
    </row>
    <row r="598" customFormat="false" ht="15" hidden="false" customHeight="false" outlineLevel="0" collapsed="false">
      <c r="A598" s="12"/>
      <c r="B598" s="13"/>
      <c r="C598" s="14"/>
      <c r="D598" s="14"/>
      <c r="E598" s="15"/>
      <c r="F598" s="16" t="str">
        <f aca="false">IF(OR(C598="",D598=""),"",D598-C598)</f>
        <v/>
      </c>
      <c r="G598" s="17" t="str">
        <f aca="false">IF(OR(F598="",F598=0),"",E598/F598)</f>
        <v/>
      </c>
      <c r="H598" s="18" t="str">
        <f aca="false">IF(OR(A598="",B598=""),"",IF(SUMIFS($E$5:$E$604,$B$5:$B$604,B598,$A$5:$A$604,"&gt;="&amp;DATE(YEAR(A598)-1,MONTH(A598),1),$A$5:$A$604,"&lt;"&amp;DATE(YEAR(A598)-1,MONTH(A598)+1,1))=0,"",SUMIFS($E$5:$E$604,$B$5:$B$604,B598,$A$5:$A$604,"&gt;="&amp;DATE(YEAR(A598)-1,MONTH(A598),1),$A$5:$A$604,"&lt;"&amp;DATE(YEAR(A598)-1,MONTH(A598)+1,1))))</f>
        <v/>
      </c>
      <c r="I598" s="19" t="str">
        <f aca="false">IF(OR(H598="",E598=""),"",E598/H598-1)</f>
        <v/>
      </c>
    </row>
    <row r="599" customFormat="false" ht="15" hidden="false" customHeight="false" outlineLevel="0" collapsed="false">
      <c r="A599" s="12"/>
      <c r="B599" s="13"/>
      <c r="C599" s="14"/>
      <c r="D599" s="14"/>
      <c r="E599" s="15"/>
      <c r="F599" s="16" t="str">
        <f aca="false">IF(OR(C599="",D599=""),"",D599-C599)</f>
        <v/>
      </c>
      <c r="G599" s="17" t="str">
        <f aca="false">IF(OR(F599="",F599=0),"",E599/F599)</f>
        <v/>
      </c>
      <c r="H599" s="18" t="str">
        <f aca="false">IF(OR(A599="",B599=""),"",IF(SUMIFS($E$5:$E$604,$B$5:$B$604,B599,$A$5:$A$604,"&gt;="&amp;DATE(YEAR(A599)-1,MONTH(A599),1),$A$5:$A$604,"&lt;"&amp;DATE(YEAR(A599)-1,MONTH(A599)+1,1))=0,"",SUMIFS($E$5:$E$604,$B$5:$B$604,B599,$A$5:$A$604,"&gt;="&amp;DATE(YEAR(A599)-1,MONTH(A599),1),$A$5:$A$604,"&lt;"&amp;DATE(YEAR(A599)-1,MONTH(A599)+1,1))))</f>
        <v/>
      </c>
      <c r="I599" s="19" t="str">
        <f aca="false">IF(OR(H599="",E599=""),"",E599/H599-1)</f>
        <v/>
      </c>
    </row>
    <row r="600" customFormat="false" ht="15" hidden="false" customHeight="false" outlineLevel="0" collapsed="false">
      <c r="A600" s="12"/>
      <c r="B600" s="13"/>
      <c r="C600" s="14"/>
      <c r="D600" s="14"/>
      <c r="E600" s="15"/>
      <c r="F600" s="16" t="str">
        <f aca="false">IF(OR(C600="",D600=""),"",D600-C600)</f>
        <v/>
      </c>
      <c r="G600" s="17" t="str">
        <f aca="false">IF(OR(F600="",F600=0),"",E600/F600)</f>
        <v/>
      </c>
      <c r="H600" s="18" t="str">
        <f aca="false">IF(OR(A600="",B600=""),"",IF(SUMIFS($E$5:$E$604,$B$5:$B$604,B600,$A$5:$A$604,"&gt;="&amp;DATE(YEAR(A600)-1,MONTH(A600),1),$A$5:$A$604,"&lt;"&amp;DATE(YEAR(A600)-1,MONTH(A600)+1,1))=0,"",SUMIFS($E$5:$E$604,$B$5:$B$604,B600,$A$5:$A$604,"&gt;="&amp;DATE(YEAR(A600)-1,MONTH(A600),1),$A$5:$A$604,"&lt;"&amp;DATE(YEAR(A600)-1,MONTH(A600)+1,1))))</f>
        <v/>
      </c>
      <c r="I600" s="19" t="str">
        <f aca="false">IF(OR(H600="",E600=""),"",E600/H600-1)</f>
        <v/>
      </c>
    </row>
    <row r="601" customFormat="false" ht="15" hidden="false" customHeight="false" outlineLevel="0" collapsed="false">
      <c r="A601" s="12"/>
      <c r="B601" s="13"/>
      <c r="C601" s="14"/>
      <c r="D601" s="14"/>
      <c r="E601" s="15"/>
      <c r="F601" s="16" t="str">
        <f aca="false">IF(OR(C601="",D601=""),"",D601-C601)</f>
        <v/>
      </c>
      <c r="G601" s="17" t="str">
        <f aca="false">IF(OR(F601="",F601=0),"",E601/F601)</f>
        <v/>
      </c>
      <c r="H601" s="18" t="str">
        <f aca="false">IF(OR(A601="",B601=""),"",IF(SUMIFS($E$5:$E$604,$B$5:$B$604,B601,$A$5:$A$604,"&gt;="&amp;DATE(YEAR(A601)-1,MONTH(A601),1),$A$5:$A$604,"&lt;"&amp;DATE(YEAR(A601)-1,MONTH(A601)+1,1))=0,"",SUMIFS($E$5:$E$604,$B$5:$B$604,B601,$A$5:$A$604,"&gt;="&amp;DATE(YEAR(A601)-1,MONTH(A601),1),$A$5:$A$604,"&lt;"&amp;DATE(YEAR(A601)-1,MONTH(A601)+1,1))))</f>
        <v/>
      </c>
      <c r="I601" s="19" t="str">
        <f aca="false">IF(OR(H601="",E601=""),"",E601/H601-1)</f>
        <v/>
      </c>
    </row>
    <row r="602" customFormat="false" ht="15" hidden="false" customHeight="false" outlineLevel="0" collapsed="false">
      <c r="A602" s="12"/>
      <c r="B602" s="13"/>
      <c r="C602" s="14"/>
      <c r="D602" s="14"/>
      <c r="E602" s="15"/>
      <c r="F602" s="16" t="str">
        <f aca="false">IF(OR(C602="",D602=""),"",D602-C602)</f>
        <v/>
      </c>
      <c r="G602" s="17" t="str">
        <f aca="false">IF(OR(F602="",F602=0),"",E602/F602)</f>
        <v/>
      </c>
      <c r="H602" s="18" t="str">
        <f aca="false">IF(OR(A602="",B602=""),"",IF(SUMIFS($E$5:$E$604,$B$5:$B$604,B602,$A$5:$A$604,"&gt;="&amp;DATE(YEAR(A602)-1,MONTH(A602),1),$A$5:$A$604,"&lt;"&amp;DATE(YEAR(A602)-1,MONTH(A602)+1,1))=0,"",SUMIFS($E$5:$E$604,$B$5:$B$604,B602,$A$5:$A$604,"&gt;="&amp;DATE(YEAR(A602)-1,MONTH(A602),1),$A$5:$A$604,"&lt;"&amp;DATE(YEAR(A602)-1,MONTH(A602)+1,1))))</f>
        <v/>
      </c>
      <c r="I602" s="19" t="str">
        <f aca="false">IF(OR(H602="",E602=""),"",E602/H602-1)</f>
        <v/>
      </c>
    </row>
    <row r="603" customFormat="false" ht="15" hidden="false" customHeight="false" outlineLevel="0" collapsed="false">
      <c r="A603" s="12"/>
      <c r="B603" s="13"/>
      <c r="C603" s="14"/>
      <c r="D603" s="14"/>
      <c r="E603" s="15"/>
      <c r="F603" s="16" t="str">
        <f aca="false">IF(OR(C603="",D603=""),"",D603-C603)</f>
        <v/>
      </c>
      <c r="G603" s="17" t="str">
        <f aca="false">IF(OR(F603="",F603=0),"",E603/F603)</f>
        <v/>
      </c>
      <c r="H603" s="18" t="str">
        <f aca="false">IF(OR(A603="",B603=""),"",IF(SUMIFS($E$5:$E$604,$B$5:$B$604,B603,$A$5:$A$604,"&gt;="&amp;DATE(YEAR(A603)-1,MONTH(A603),1),$A$5:$A$604,"&lt;"&amp;DATE(YEAR(A603)-1,MONTH(A603)+1,1))=0,"",SUMIFS($E$5:$E$604,$B$5:$B$604,B603,$A$5:$A$604,"&gt;="&amp;DATE(YEAR(A603)-1,MONTH(A603),1),$A$5:$A$604,"&lt;"&amp;DATE(YEAR(A603)-1,MONTH(A603)+1,1))))</f>
        <v/>
      </c>
      <c r="I603" s="19" t="str">
        <f aca="false">IF(OR(H603="",E603=""),"",E603/H603-1)</f>
        <v/>
      </c>
    </row>
    <row r="604" customFormat="false" ht="15" hidden="false" customHeight="false" outlineLevel="0" collapsed="false">
      <c r="A604" s="12"/>
      <c r="B604" s="13"/>
      <c r="C604" s="14"/>
      <c r="D604" s="14"/>
      <c r="E604" s="15"/>
      <c r="F604" s="16" t="str">
        <f aca="false">IF(OR(C604="",D604=""),"",D604-C604)</f>
        <v/>
      </c>
      <c r="G604" s="17" t="str">
        <f aca="false">IF(OR(F604="",F604=0),"",E604/F604)</f>
        <v/>
      </c>
      <c r="H604" s="18" t="str">
        <f aca="false">IF(OR(A604="",B604=""),"",IF(SUMIFS($E$5:$E$604,$B$5:$B$604,B604,$A$5:$A$604,"&gt;="&amp;DATE(YEAR(A604)-1,MONTH(A604),1),$A$5:$A$604,"&lt;"&amp;DATE(YEAR(A604)-1,MONTH(A604)+1,1))=0,"",SUMIFS($E$5:$E$604,$B$5:$B$604,B604,$A$5:$A$604,"&gt;="&amp;DATE(YEAR(A604)-1,MONTH(A604),1),$A$5:$A$604,"&lt;"&amp;DATE(YEAR(A604)-1,MONTH(A604)+1,1))))</f>
        <v/>
      </c>
      <c r="I604" s="19" t="str">
        <f aca="false">IF(OR(H604="",E604=""),"",E604/H604-1)</f>
        <v/>
      </c>
    </row>
  </sheetData>
  <dataValidations count="3">
    <dataValidation allowBlank="true" error="Geçerli bir tarih gir (örnek: 05.10.2026)." errorStyle="stop" errorTitle="Kontrol" operator="greaterThan" showDropDown="false" showErrorMessage="true" showInputMessage="false" sqref="A5:A604" type="date">
      <formula1>36526</formula1>
      <formula2>0</formula2>
    </dataValidation>
    <dataValidation allowBlank="true" error="Listeden seç." errorStyle="stop" errorTitle="Kontrol" operator="between" showDropDown="false" showErrorMessage="true" showInputMessage="false" sqref="B5:B604" type="list">
      <formula1>Listeler!$A$5:$A$34</formula1>
      <formula2>0</formula2>
    </dataValidation>
    <dataValidation allowBlank="true" error="Sıfır ya da daha büyük bir sayı gir." errorStyle="stop" errorTitle="Kontrol" operator="greaterThanOrEqual" showDropDown="false" showErrorMessage="true" showInputMessage="false" sqref="C5:E604" type="decimal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L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7" min="3" style="0" width="16"/>
    <col collapsed="false" customWidth="true" hidden="false" outlineLevel="0" max="8" min="8" style="0" width="3"/>
    <col collapsed="false" customWidth="true" hidden="false" outlineLevel="0" max="9" min="9" style="0" width="26"/>
    <col collapsed="false" customWidth="true" hidden="false" outlineLevel="0" max="12" min="10" style="0" width="15"/>
  </cols>
  <sheetData>
    <row r="1" customFormat="false" ht="19.7" hidden="false" customHeight="false" outlineLevel="0" collapsed="false">
      <c r="A1" s="8" t="s">
        <v>37</v>
      </c>
    </row>
    <row r="2" customFormat="false" ht="15" hidden="false" customHeight="false" outlineLevel="0" collapsed="false">
      <c r="A2" s="9" t="s">
        <v>38</v>
      </c>
    </row>
    <row r="3" customFormat="false" ht="15" hidden="false" customHeight="false" outlineLevel="0" collapsed="false">
      <c r="B3" s="20" t="s">
        <v>39</v>
      </c>
      <c r="C3" s="21" t="n">
        <v>2026</v>
      </c>
    </row>
    <row r="5" customFormat="false" ht="30" hidden="false" customHeight="true" outlineLevel="0" collapsed="false">
      <c r="B5" s="22" t="s">
        <v>40</v>
      </c>
      <c r="C5" s="22" t="s">
        <v>41</v>
      </c>
      <c r="D5" s="22" t="s">
        <v>33</v>
      </c>
      <c r="E5" s="22" t="s">
        <v>34</v>
      </c>
      <c r="F5" s="22" t="s">
        <v>35</v>
      </c>
    </row>
    <row r="6" customFormat="false" ht="27.75" hidden="false" customHeight="true" outlineLevel="0" collapsed="false">
      <c r="B6" s="23" t="n">
        <f aca="false">F23</f>
        <v>4780</v>
      </c>
      <c r="C6" s="23" t="n">
        <f aca="false">IF(COUNTIF(F11:F22,"&gt;0")=0,0,F23/COUNTIF(F11:F22,"&gt;0"))</f>
        <v>2390</v>
      </c>
      <c r="D6" s="23" t="n">
        <f aca="false">C23</f>
        <v>3150</v>
      </c>
      <c r="E6" s="23" t="n">
        <f aca="false">D23</f>
        <v>560</v>
      </c>
      <c r="F6" s="23" t="n">
        <f aca="false">E23</f>
        <v>420</v>
      </c>
    </row>
    <row r="9" customFormat="false" ht="15" hidden="false" customHeight="false" outlineLevel="0" collapsed="false">
      <c r="B9" s="24" t="s">
        <v>13</v>
      </c>
      <c r="I9" s="24" t="s">
        <v>42</v>
      </c>
    </row>
    <row r="10" customFormat="false" ht="21.75" hidden="false" customHeight="true" outlineLevel="0" collapsed="false">
      <c r="B10" s="10" t="s">
        <v>43</v>
      </c>
      <c r="C10" s="10" t="s">
        <v>44</v>
      </c>
      <c r="D10" s="10" t="s">
        <v>45</v>
      </c>
      <c r="E10" s="10" t="s">
        <v>46</v>
      </c>
      <c r="F10" s="10" t="s">
        <v>47</v>
      </c>
      <c r="I10" s="10" t="s">
        <v>25</v>
      </c>
      <c r="J10" s="10" t="s">
        <v>28</v>
      </c>
      <c r="K10" s="10" t="s">
        <v>29</v>
      </c>
      <c r="L10" s="10" t="s">
        <v>48</v>
      </c>
    </row>
    <row r="11" customFormat="false" ht="15" hidden="false" customHeight="false" outlineLevel="0" collapsed="false">
      <c r="B11" s="25" t="s">
        <v>49</v>
      </c>
      <c r="C11" s="18" t="n">
        <f aca="false">SUMIFS(Faturalar!$E$5:$E$604,Faturalar!$A$5:$A$604,"&gt;="&amp;DATE($C$3,1,1),Faturalar!$A$5:$A$604,"&lt;"&amp;DATE($C$3,2,1),Faturalar!$B$5:$B$604,"Elektrik")</f>
        <v>0</v>
      </c>
      <c r="D11" s="18" t="n">
        <f aca="false">SUMIFS(Faturalar!$E$5:$E$604,Faturalar!$A$5:$A$604,"&gt;="&amp;DATE($C$3,1,1),Faturalar!$A$5:$A$604,"&lt;"&amp;DATE($C$3,2,1),Faturalar!$B$5:$B$604,"Su")</f>
        <v>0</v>
      </c>
      <c r="E11" s="18" t="n">
        <f aca="false">SUMIFS(Faturalar!$E$5:$E$604,Faturalar!$A$5:$A$604,"&gt;="&amp;DATE($C$3,1,1),Faturalar!$A$5:$A$604,"&lt;"&amp;DATE($C$3,2,1),Faturalar!$B$5:$B$604,"Doğalgaz")</f>
        <v>0</v>
      </c>
      <c r="F11" s="18" t="n">
        <f aca="false">SUMIFS(Faturalar!$E$5:$E$604,Faturalar!$A$5:$A$604,"&gt;="&amp;DATE($C$3,1,1),Faturalar!$A$5:$A$604,"&lt;"&amp;DATE($C$3,2,1))</f>
        <v>0</v>
      </c>
      <c r="I11" s="25" t="str">
        <f aca="false">IF(Listeler!A5="","",Listeler!A5)</f>
        <v>Elektrik</v>
      </c>
      <c r="J11" s="18" t="n">
        <f aca="false">IF(I11="","",SUMIFS(Faturalar!$E$5:$E$604,Faturalar!$B$5:$B$604,I11,Faturalar!$A$5:$A$604,"&gt;="&amp;DATE($C$3,1,1),Faturalar!$A$5:$A$604,"&lt;"&amp;DATE($C$3+1,1,1)))</f>
        <v>3150</v>
      </c>
      <c r="K11" s="26" t="n">
        <f aca="false">IF(I11="","",SUMIFS(Faturalar!$F$5:$F$604,Faturalar!$B$5:$B$604,I11,Faturalar!$A$5:$A$604,"&gt;="&amp;DATE($C$3,1,1),Faturalar!$A$5:$A$604,"&lt;"&amp;DATE($C$3+1,1,1)))</f>
        <v>620</v>
      </c>
      <c r="L11" s="27" t="n">
        <f aca="false">IF(I11="","",COUNTIFS(Faturalar!$B$5:$B$604,I11,Faturalar!$A$5:$A$604,"&gt;="&amp;DATE($C$3,1,1),Faturalar!$A$5:$A$604,"&lt;"&amp;DATE($C$3+1,1,1)))</f>
        <v>2</v>
      </c>
    </row>
    <row r="12" customFormat="false" ht="15" hidden="false" customHeight="false" outlineLevel="0" collapsed="false">
      <c r="B12" s="28" t="s">
        <v>50</v>
      </c>
      <c r="C12" s="29" t="n">
        <f aca="false">SUMIFS(Faturalar!$E$5:$E$604,Faturalar!$A$5:$A$604,"&gt;="&amp;DATE($C$3,2,1),Faturalar!$A$5:$A$604,"&lt;"&amp;DATE($C$3,3,1),Faturalar!$B$5:$B$604,"Elektrik")</f>
        <v>0</v>
      </c>
      <c r="D12" s="29" t="n">
        <f aca="false">SUMIFS(Faturalar!$E$5:$E$604,Faturalar!$A$5:$A$604,"&gt;="&amp;DATE($C$3,2,1),Faturalar!$A$5:$A$604,"&lt;"&amp;DATE($C$3,3,1),Faturalar!$B$5:$B$604,"Su")</f>
        <v>0</v>
      </c>
      <c r="E12" s="29" t="n">
        <f aca="false">SUMIFS(Faturalar!$E$5:$E$604,Faturalar!$A$5:$A$604,"&gt;="&amp;DATE($C$3,2,1),Faturalar!$A$5:$A$604,"&lt;"&amp;DATE($C$3,3,1),Faturalar!$B$5:$B$604,"Doğalgaz")</f>
        <v>0</v>
      </c>
      <c r="F12" s="29" t="n">
        <f aca="false">SUMIFS(Faturalar!$E$5:$E$604,Faturalar!$A$5:$A$604,"&gt;="&amp;DATE($C$3,2,1),Faturalar!$A$5:$A$604,"&lt;"&amp;DATE($C$3,3,1))</f>
        <v>0</v>
      </c>
      <c r="I12" s="28" t="str">
        <f aca="false">IF(Listeler!A6="","",Listeler!A6)</f>
        <v>Su</v>
      </c>
      <c r="J12" s="29" t="n">
        <f aca="false">IF(I12="","",SUMIFS(Faturalar!$E$5:$E$604,Faturalar!$B$5:$B$604,I12,Faturalar!$A$5:$A$604,"&gt;="&amp;DATE($C$3,1,1),Faturalar!$A$5:$A$604,"&lt;"&amp;DATE($C$3+1,1,1)))</f>
        <v>560</v>
      </c>
      <c r="K12" s="30" t="n">
        <f aca="false">IF(I12="","",SUMIFS(Faturalar!$F$5:$F$604,Faturalar!$B$5:$B$604,I12,Faturalar!$A$5:$A$604,"&gt;="&amp;DATE($C$3,1,1),Faturalar!$A$5:$A$604,"&lt;"&amp;DATE($C$3+1,1,1)))</f>
        <v>14</v>
      </c>
      <c r="L12" s="31" t="n">
        <f aca="false">IF(I12="","",COUNTIFS(Faturalar!$B$5:$B$604,I12,Faturalar!$A$5:$A$604,"&gt;="&amp;DATE($C$3,1,1),Faturalar!$A$5:$A$604,"&lt;"&amp;DATE($C$3+1,1,1)))</f>
        <v>1</v>
      </c>
    </row>
    <row r="13" customFormat="false" ht="15" hidden="false" customHeight="false" outlineLevel="0" collapsed="false">
      <c r="B13" s="25" t="s">
        <v>51</v>
      </c>
      <c r="C13" s="18" t="n">
        <f aca="false">SUMIFS(Faturalar!$E$5:$E$604,Faturalar!$A$5:$A$604,"&gt;="&amp;DATE($C$3,3,1),Faturalar!$A$5:$A$604,"&lt;"&amp;DATE($C$3,4,1),Faturalar!$B$5:$B$604,"Elektrik")</f>
        <v>0</v>
      </c>
      <c r="D13" s="18" t="n">
        <f aca="false">SUMIFS(Faturalar!$E$5:$E$604,Faturalar!$A$5:$A$604,"&gt;="&amp;DATE($C$3,3,1),Faturalar!$A$5:$A$604,"&lt;"&amp;DATE($C$3,4,1),Faturalar!$B$5:$B$604,"Su")</f>
        <v>0</v>
      </c>
      <c r="E13" s="18" t="n">
        <f aca="false">SUMIFS(Faturalar!$E$5:$E$604,Faturalar!$A$5:$A$604,"&gt;="&amp;DATE($C$3,3,1),Faturalar!$A$5:$A$604,"&lt;"&amp;DATE($C$3,4,1),Faturalar!$B$5:$B$604,"Doğalgaz")</f>
        <v>0</v>
      </c>
      <c r="F13" s="18" t="n">
        <f aca="false">SUMIFS(Faturalar!$E$5:$E$604,Faturalar!$A$5:$A$604,"&gt;="&amp;DATE($C$3,3,1),Faturalar!$A$5:$A$604,"&lt;"&amp;DATE($C$3,4,1))</f>
        <v>0</v>
      </c>
      <c r="I13" s="25" t="str">
        <f aca="false">IF(Listeler!A7="","",Listeler!A7)</f>
        <v>Doğalgaz</v>
      </c>
      <c r="J13" s="18" t="n">
        <f aca="false">IF(I13="","",SUMIFS(Faturalar!$E$5:$E$604,Faturalar!$B$5:$B$604,I13,Faturalar!$A$5:$A$604,"&gt;="&amp;DATE($C$3,1,1),Faturalar!$A$5:$A$604,"&lt;"&amp;DATE($C$3+1,1,1)))</f>
        <v>420</v>
      </c>
      <c r="K13" s="26" t="n">
        <f aca="false">IF(I13="","",SUMIFS(Faturalar!$F$5:$F$604,Faturalar!$B$5:$B$604,I13,Faturalar!$A$5:$A$604,"&gt;="&amp;DATE($C$3,1,1),Faturalar!$A$5:$A$604,"&lt;"&amp;DATE($C$3+1,1,1)))</f>
        <v>35</v>
      </c>
      <c r="L13" s="27" t="n">
        <f aca="false">IF(I13="","",COUNTIFS(Faturalar!$B$5:$B$604,I13,Faturalar!$A$5:$A$604,"&gt;="&amp;DATE($C$3,1,1),Faturalar!$A$5:$A$604,"&lt;"&amp;DATE($C$3+1,1,1)))</f>
        <v>1</v>
      </c>
    </row>
    <row r="14" customFormat="false" ht="15" hidden="false" customHeight="false" outlineLevel="0" collapsed="false">
      <c r="B14" s="28" t="s">
        <v>52</v>
      </c>
      <c r="C14" s="29" t="n">
        <f aca="false">SUMIFS(Faturalar!$E$5:$E$604,Faturalar!$A$5:$A$604,"&gt;="&amp;DATE($C$3,4,1),Faturalar!$A$5:$A$604,"&lt;"&amp;DATE($C$3,5,1),Faturalar!$B$5:$B$604,"Elektrik")</f>
        <v>0</v>
      </c>
      <c r="D14" s="29" t="n">
        <f aca="false">SUMIFS(Faturalar!$E$5:$E$604,Faturalar!$A$5:$A$604,"&gt;="&amp;DATE($C$3,4,1),Faturalar!$A$5:$A$604,"&lt;"&amp;DATE($C$3,5,1),Faturalar!$B$5:$B$604,"Su")</f>
        <v>0</v>
      </c>
      <c r="E14" s="29" t="n">
        <f aca="false">SUMIFS(Faturalar!$E$5:$E$604,Faturalar!$A$5:$A$604,"&gt;="&amp;DATE($C$3,4,1),Faturalar!$A$5:$A$604,"&lt;"&amp;DATE($C$3,5,1),Faturalar!$B$5:$B$604,"Doğalgaz")</f>
        <v>0</v>
      </c>
      <c r="F14" s="29" t="n">
        <f aca="false">SUMIFS(Faturalar!$E$5:$E$604,Faturalar!$A$5:$A$604,"&gt;="&amp;DATE($C$3,4,1),Faturalar!$A$5:$A$604,"&lt;"&amp;DATE($C$3,5,1))</f>
        <v>0</v>
      </c>
      <c r="I14" s="28" t="str">
        <f aca="false">IF(Listeler!A8="","",Listeler!A8)</f>
        <v>İnternet</v>
      </c>
      <c r="J14" s="29" t="n">
        <f aca="false">IF(I14="","",SUMIFS(Faturalar!$E$5:$E$604,Faturalar!$B$5:$B$604,I14,Faturalar!$A$5:$A$604,"&gt;="&amp;DATE($C$3,1,1),Faturalar!$A$5:$A$604,"&lt;"&amp;DATE($C$3+1,1,1)))</f>
        <v>650</v>
      </c>
      <c r="K14" s="30" t="n">
        <f aca="false">IF(I14="","",SUMIFS(Faturalar!$F$5:$F$604,Faturalar!$B$5:$B$604,I14,Faturalar!$A$5:$A$604,"&gt;="&amp;DATE($C$3,1,1),Faturalar!$A$5:$A$604,"&lt;"&amp;DATE($C$3+1,1,1)))</f>
        <v>0</v>
      </c>
      <c r="L14" s="31" t="n">
        <f aca="false">IF(I14="","",COUNTIFS(Faturalar!$B$5:$B$604,I14,Faturalar!$A$5:$A$604,"&gt;="&amp;DATE($C$3,1,1),Faturalar!$A$5:$A$604,"&lt;"&amp;DATE($C$3+1,1,1)))</f>
        <v>1</v>
      </c>
    </row>
    <row r="15" customFormat="false" ht="15" hidden="false" customHeight="false" outlineLevel="0" collapsed="false">
      <c r="B15" s="25" t="s">
        <v>53</v>
      </c>
      <c r="C15" s="18" t="n">
        <f aca="false">SUMIFS(Faturalar!$E$5:$E$604,Faturalar!$A$5:$A$604,"&gt;="&amp;DATE($C$3,5,1),Faturalar!$A$5:$A$604,"&lt;"&amp;DATE($C$3,6,1),Faturalar!$B$5:$B$604,"Elektrik")</f>
        <v>0</v>
      </c>
      <c r="D15" s="18" t="n">
        <f aca="false">SUMIFS(Faturalar!$E$5:$E$604,Faturalar!$A$5:$A$604,"&gt;="&amp;DATE($C$3,5,1),Faturalar!$A$5:$A$604,"&lt;"&amp;DATE($C$3,6,1),Faturalar!$B$5:$B$604,"Su")</f>
        <v>0</v>
      </c>
      <c r="E15" s="18" t="n">
        <f aca="false">SUMIFS(Faturalar!$E$5:$E$604,Faturalar!$A$5:$A$604,"&gt;="&amp;DATE($C$3,5,1),Faturalar!$A$5:$A$604,"&lt;"&amp;DATE($C$3,6,1),Faturalar!$B$5:$B$604,"Doğalgaz")</f>
        <v>0</v>
      </c>
      <c r="F15" s="18" t="n">
        <f aca="false">SUMIFS(Faturalar!$E$5:$E$604,Faturalar!$A$5:$A$604,"&gt;="&amp;DATE($C$3,5,1),Faturalar!$A$5:$A$604,"&lt;"&amp;DATE($C$3,6,1))</f>
        <v>0</v>
      </c>
      <c r="I15" s="25" t="str">
        <f aca="false">IF(Listeler!A9="","",Listeler!A9)</f>
        <v/>
      </c>
      <c r="J15" s="18" t="str">
        <f aca="false">IF(I15="","",SUMIFS(Faturalar!$E$5:$E$604,Faturalar!$B$5:$B$604,I15,Faturalar!$A$5:$A$604,"&gt;="&amp;DATE($C$3,1,1),Faturalar!$A$5:$A$604,"&lt;"&amp;DATE($C$3+1,1,1)))</f>
        <v/>
      </c>
      <c r="K15" s="26" t="str">
        <f aca="false">IF(I15="","",SUMIFS(Faturalar!$F$5:$F$604,Faturalar!$B$5:$B$604,I15,Faturalar!$A$5:$A$604,"&gt;="&amp;DATE($C$3,1,1),Faturalar!$A$5:$A$604,"&lt;"&amp;DATE($C$3+1,1,1)))</f>
        <v/>
      </c>
      <c r="L15" s="27" t="str">
        <f aca="false">IF(I15="","",COUNTIFS(Faturalar!$B$5:$B$604,I15,Faturalar!$A$5:$A$604,"&gt;="&amp;DATE($C$3,1,1),Faturalar!$A$5:$A$604,"&lt;"&amp;DATE($C$3+1,1,1)))</f>
        <v/>
      </c>
    </row>
    <row r="16" customFormat="false" ht="15" hidden="false" customHeight="false" outlineLevel="0" collapsed="false">
      <c r="B16" s="28" t="s">
        <v>54</v>
      </c>
      <c r="C16" s="29" t="n">
        <f aca="false">SUMIFS(Faturalar!$E$5:$E$604,Faturalar!$A$5:$A$604,"&gt;="&amp;DATE($C$3,6,1),Faturalar!$A$5:$A$604,"&lt;"&amp;DATE($C$3,7,1),Faturalar!$B$5:$B$604,"Elektrik")</f>
        <v>0</v>
      </c>
      <c r="D16" s="29" t="n">
        <f aca="false">SUMIFS(Faturalar!$E$5:$E$604,Faturalar!$A$5:$A$604,"&gt;="&amp;DATE($C$3,6,1),Faturalar!$A$5:$A$604,"&lt;"&amp;DATE($C$3,7,1),Faturalar!$B$5:$B$604,"Su")</f>
        <v>0</v>
      </c>
      <c r="E16" s="29" t="n">
        <f aca="false">SUMIFS(Faturalar!$E$5:$E$604,Faturalar!$A$5:$A$604,"&gt;="&amp;DATE($C$3,6,1),Faturalar!$A$5:$A$604,"&lt;"&amp;DATE($C$3,7,1),Faturalar!$B$5:$B$604,"Doğalgaz")</f>
        <v>0</v>
      </c>
      <c r="F16" s="29" t="n">
        <f aca="false">SUMIFS(Faturalar!$E$5:$E$604,Faturalar!$A$5:$A$604,"&gt;="&amp;DATE($C$3,6,1),Faturalar!$A$5:$A$604,"&lt;"&amp;DATE($C$3,7,1))</f>
        <v>0</v>
      </c>
      <c r="I16" s="28" t="str">
        <f aca="false">IF(Listeler!A10="","",Listeler!A10)</f>
        <v/>
      </c>
      <c r="J16" s="29" t="str">
        <f aca="false">IF(I16="","",SUMIFS(Faturalar!$E$5:$E$604,Faturalar!$B$5:$B$604,I16,Faturalar!$A$5:$A$604,"&gt;="&amp;DATE($C$3,1,1),Faturalar!$A$5:$A$604,"&lt;"&amp;DATE($C$3+1,1,1)))</f>
        <v/>
      </c>
      <c r="K16" s="30" t="str">
        <f aca="false">IF(I16="","",SUMIFS(Faturalar!$F$5:$F$604,Faturalar!$B$5:$B$604,I16,Faturalar!$A$5:$A$604,"&gt;="&amp;DATE($C$3,1,1),Faturalar!$A$5:$A$604,"&lt;"&amp;DATE($C$3+1,1,1)))</f>
        <v/>
      </c>
      <c r="L16" s="31" t="str">
        <f aca="false">IF(I16="","",COUNTIFS(Faturalar!$B$5:$B$604,I16,Faturalar!$A$5:$A$604,"&gt;="&amp;DATE($C$3,1,1),Faturalar!$A$5:$A$604,"&lt;"&amp;DATE($C$3+1,1,1)))</f>
        <v/>
      </c>
    </row>
    <row r="17" customFormat="false" ht="15" hidden="false" customHeight="false" outlineLevel="0" collapsed="false">
      <c r="B17" s="25" t="s">
        <v>55</v>
      </c>
      <c r="C17" s="18" t="n">
        <f aca="false">SUMIFS(Faturalar!$E$5:$E$604,Faturalar!$A$5:$A$604,"&gt;="&amp;DATE($C$3,7,1),Faturalar!$A$5:$A$604,"&lt;"&amp;DATE($C$3,8,1),Faturalar!$B$5:$B$604,"Elektrik")</f>
        <v>0</v>
      </c>
      <c r="D17" s="18" t="n">
        <f aca="false">SUMIFS(Faturalar!$E$5:$E$604,Faturalar!$A$5:$A$604,"&gt;="&amp;DATE($C$3,7,1),Faturalar!$A$5:$A$604,"&lt;"&amp;DATE($C$3,8,1),Faturalar!$B$5:$B$604,"Su")</f>
        <v>0</v>
      </c>
      <c r="E17" s="18" t="n">
        <f aca="false">SUMIFS(Faturalar!$E$5:$E$604,Faturalar!$A$5:$A$604,"&gt;="&amp;DATE($C$3,7,1),Faturalar!$A$5:$A$604,"&lt;"&amp;DATE($C$3,8,1),Faturalar!$B$5:$B$604,"Doğalgaz")</f>
        <v>0</v>
      </c>
      <c r="F17" s="18" t="n">
        <f aca="false">SUMIFS(Faturalar!$E$5:$E$604,Faturalar!$A$5:$A$604,"&gt;="&amp;DATE($C$3,7,1),Faturalar!$A$5:$A$604,"&lt;"&amp;DATE($C$3,8,1))</f>
        <v>0</v>
      </c>
      <c r="I17" s="25" t="str">
        <f aca="false">IF(Listeler!A11="","",Listeler!A11)</f>
        <v/>
      </c>
      <c r="J17" s="18" t="str">
        <f aca="false">IF(I17="","",SUMIFS(Faturalar!$E$5:$E$604,Faturalar!$B$5:$B$604,I17,Faturalar!$A$5:$A$604,"&gt;="&amp;DATE($C$3,1,1),Faturalar!$A$5:$A$604,"&lt;"&amp;DATE($C$3+1,1,1)))</f>
        <v/>
      </c>
      <c r="K17" s="26" t="str">
        <f aca="false">IF(I17="","",SUMIFS(Faturalar!$F$5:$F$604,Faturalar!$B$5:$B$604,I17,Faturalar!$A$5:$A$604,"&gt;="&amp;DATE($C$3,1,1),Faturalar!$A$5:$A$604,"&lt;"&amp;DATE($C$3+1,1,1)))</f>
        <v/>
      </c>
      <c r="L17" s="27" t="str">
        <f aca="false">IF(I17="","",COUNTIFS(Faturalar!$B$5:$B$604,I17,Faturalar!$A$5:$A$604,"&gt;="&amp;DATE($C$3,1,1),Faturalar!$A$5:$A$604,"&lt;"&amp;DATE($C$3+1,1,1)))</f>
        <v/>
      </c>
    </row>
    <row r="18" customFormat="false" ht="15" hidden="false" customHeight="false" outlineLevel="0" collapsed="false">
      <c r="B18" s="28" t="s">
        <v>56</v>
      </c>
      <c r="C18" s="29" t="n">
        <f aca="false">SUMIFS(Faturalar!$E$5:$E$604,Faturalar!$A$5:$A$604,"&gt;="&amp;DATE($C$3,8,1),Faturalar!$A$5:$A$604,"&lt;"&amp;DATE($C$3,9,1),Faturalar!$B$5:$B$604,"Elektrik")</f>
        <v>1650</v>
      </c>
      <c r="D18" s="29" t="n">
        <f aca="false">SUMIFS(Faturalar!$E$5:$E$604,Faturalar!$A$5:$A$604,"&gt;="&amp;DATE($C$3,8,1),Faturalar!$A$5:$A$604,"&lt;"&amp;DATE($C$3,9,1),Faturalar!$B$5:$B$604,"Su")</f>
        <v>0</v>
      </c>
      <c r="E18" s="29" t="n">
        <f aca="false">SUMIFS(Faturalar!$E$5:$E$604,Faturalar!$A$5:$A$604,"&gt;="&amp;DATE($C$3,8,1),Faturalar!$A$5:$A$604,"&lt;"&amp;DATE($C$3,9,1),Faturalar!$B$5:$B$604,"Doğalgaz")</f>
        <v>0</v>
      </c>
      <c r="F18" s="29" t="n">
        <f aca="false">SUMIFS(Faturalar!$E$5:$E$604,Faturalar!$A$5:$A$604,"&gt;="&amp;DATE($C$3,8,1),Faturalar!$A$5:$A$604,"&lt;"&amp;DATE($C$3,9,1))</f>
        <v>1650</v>
      </c>
      <c r="I18" s="28" t="str">
        <f aca="false">IF(Listeler!A12="","",Listeler!A12)</f>
        <v/>
      </c>
      <c r="J18" s="29" t="str">
        <f aca="false">IF(I18="","",SUMIFS(Faturalar!$E$5:$E$604,Faturalar!$B$5:$B$604,I18,Faturalar!$A$5:$A$604,"&gt;="&amp;DATE($C$3,1,1),Faturalar!$A$5:$A$604,"&lt;"&amp;DATE($C$3+1,1,1)))</f>
        <v/>
      </c>
      <c r="K18" s="30" t="str">
        <f aca="false">IF(I18="","",SUMIFS(Faturalar!$F$5:$F$604,Faturalar!$B$5:$B$604,I18,Faturalar!$A$5:$A$604,"&gt;="&amp;DATE($C$3,1,1),Faturalar!$A$5:$A$604,"&lt;"&amp;DATE($C$3+1,1,1)))</f>
        <v/>
      </c>
      <c r="L18" s="31" t="str">
        <f aca="false">IF(I18="","",COUNTIFS(Faturalar!$B$5:$B$604,I18,Faturalar!$A$5:$A$604,"&gt;="&amp;DATE($C$3,1,1),Faturalar!$A$5:$A$604,"&lt;"&amp;DATE($C$3+1,1,1)))</f>
        <v/>
      </c>
    </row>
    <row r="19" customFormat="false" ht="15" hidden="false" customHeight="false" outlineLevel="0" collapsed="false">
      <c r="B19" s="25" t="s">
        <v>57</v>
      </c>
      <c r="C19" s="18" t="n">
        <f aca="false">SUMIFS(Faturalar!$E$5:$E$604,Faturalar!$A$5:$A$604,"&gt;="&amp;DATE($C$3,9,1),Faturalar!$A$5:$A$604,"&lt;"&amp;DATE($C$3,10,1),Faturalar!$B$5:$B$604,"Elektrik")</f>
        <v>1500</v>
      </c>
      <c r="D19" s="18" t="n">
        <f aca="false">SUMIFS(Faturalar!$E$5:$E$604,Faturalar!$A$5:$A$604,"&gt;="&amp;DATE($C$3,9,1),Faturalar!$A$5:$A$604,"&lt;"&amp;DATE($C$3,10,1),Faturalar!$B$5:$B$604,"Su")</f>
        <v>560</v>
      </c>
      <c r="E19" s="18" t="n">
        <f aca="false">SUMIFS(Faturalar!$E$5:$E$604,Faturalar!$A$5:$A$604,"&gt;="&amp;DATE($C$3,9,1),Faturalar!$A$5:$A$604,"&lt;"&amp;DATE($C$3,10,1),Faturalar!$B$5:$B$604,"Doğalgaz")</f>
        <v>420</v>
      </c>
      <c r="F19" s="18" t="n">
        <f aca="false">SUMIFS(Faturalar!$E$5:$E$604,Faturalar!$A$5:$A$604,"&gt;="&amp;DATE($C$3,9,1),Faturalar!$A$5:$A$604,"&lt;"&amp;DATE($C$3,10,1))</f>
        <v>3130</v>
      </c>
      <c r="I19" s="25" t="str">
        <f aca="false">IF(Listeler!A13="","",Listeler!A13)</f>
        <v/>
      </c>
      <c r="J19" s="18" t="str">
        <f aca="false">IF(I19="","",SUMIFS(Faturalar!$E$5:$E$604,Faturalar!$B$5:$B$604,I19,Faturalar!$A$5:$A$604,"&gt;="&amp;DATE($C$3,1,1),Faturalar!$A$5:$A$604,"&lt;"&amp;DATE($C$3+1,1,1)))</f>
        <v/>
      </c>
      <c r="K19" s="26" t="str">
        <f aca="false">IF(I19="","",SUMIFS(Faturalar!$F$5:$F$604,Faturalar!$B$5:$B$604,I19,Faturalar!$A$5:$A$604,"&gt;="&amp;DATE($C$3,1,1),Faturalar!$A$5:$A$604,"&lt;"&amp;DATE($C$3+1,1,1)))</f>
        <v/>
      </c>
      <c r="L19" s="27" t="str">
        <f aca="false">IF(I19="","",COUNTIFS(Faturalar!$B$5:$B$604,I19,Faturalar!$A$5:$A$604,"&gt;="&amp;DATE($C$3,1,1),Faturalar!$A$5:$A$604,"&lt;"&amp;DATE($C$3+1,1,1)))</f>
        <v/>
      </c>
    </row>
    <row r="20" customFormat="false" ht="15" hidden="false" customHeight="false" outlineLevel="0" collapsed="false">
      <c r="B20" s="28" t="s">
        <v>58</v>
      </c>
      <c r="C20" s="29" t="n">
        <f aca="false">SUMIFS(Faturalar!$E$5:$E$604,Faturalar!$A$5:$A$604,"&gt;="&amp;DATE($C$3,10,1),Faturalar!$A$5:$A$604,"&lt;"&amp;DATE($C$3,11,1),Faturalar!$B$5:$B$604,"Elektrik")</f>
        <v>0</v>
      </c>
      <c r="D20" s="29" t="n">
        <f aca="false">SUMIFS(Faturalar!$E$5:$E$604,Faturalar!$A$5:$A$604,"&gt;="&amp;DATE($C$3,10,1),Faturalar!$A$5:$A$604,"&lt;"&amp;DATE($C$3,11,1),Faturalar!$B$5:$B$604,"Su")</f>
        <v>0</v>
      </c>
      <c r="E20" s="29" t="n">
        <f aca="false">SUMIFS(Faturalar!$E$5:$E$604,Faturalar!$A$5:$A$604,"&gt;="&amp;DATE($C$3,10,1),Faturalar!$A$5:$A$604,"&lt;"&amp;DATE($C$3,11,1),Faturalar!$B$5:$B$604,"Doğalgaz")</f>
        <v>0</v>
      </c>
      <c r="F20" s="29" t="n">
        <f aca="false">SUMIFS(Faturalar!$E$5:$E$604,Faturalar!$A$5:$A$604,"&gt;="&amp;DATE($C$3,10,1),Faturalar!$A$5:$A$604,"&lt;"&amp;DATE($C$3,11,1))</f>
        <v>0</v>
      </c>
      <c r="I20" s="28" t="str">
        <f aca="false">IF(Listeler!A14="","",Listeler!A14)</f>
        <v/>
      </c>
      <c r="J20" s="29" t="str">
        <f aca="false">IF(I20="","",SUMIFS(Faturalar!$E$5:$E$604,Faturalar!$B$5:$B$604,I20,Faturalar!$A$5:$A$604,"&gt;="&amp;DATE($C$3,1,1),Faturalar!$A$5:$A$604,"&lt;"&amp;DATE($C$3+1,1,1)))</f>
        <v/>
      </c>
      <c r="K20" s="30" t="str">
        <f aca="false">IF(I20="","",SUMIFS(Faturalar!$F$5:$F$604,Faturalar!$B$5:$B$604,I20,Faturalar!$A$5:$A$604,"&gt;="&amp;DATE($C$3,1,1),Faturalar!$A$5:$A$604,"&lt;"&amp;DATE($C$3+1,1,1)))</f>
        <v/>
      </c>
      <c r="L20" s="31" t="str">
        <f aca="false">IF(I20="","",COUNTIFS(Faturalar!$B$5:$B$604,I20,Faturalar!$A$5:$A$604,"&gt;="&amp;DATE($C$3,1,1),Faturalar!$A$5:$A$604,"&lt;"&amp;DATE($C$3+1,1,1)))</f>
        <v/>
      </c>
    </row>
    <row r="21" customFormat="false" ht="15" hidden="false" customHeight="false" outlineLevel="0" collapsed="false">
      <c r="B21" s="25" t="s">
        <v>59</v>
      </c>
      <c r="C21" s="18" t="n">
        <f aca="false">SUMIFS(Faturalar!$E$5:$E$604,Faturalar!$A$5:$A$604,"&gt;="&amp;DATE($C$3,11,1),Faturalar!$A$5:$A$604,"&lt;"&amp;DATE($C$3,12,1),Faturalar!$B$5:$B$604,"Elektrik")</f>
        <v>0</v>
      </c>
      <c r="D21" s="18" t="n">
        <f aca="false">SUMIFS(Faturalar!$E$5:$E$604,Faturalar!$A$5:$A$604,"&gt;="&amp;DATE($C$3,11,1),Faturalar!$A$5:$A$604,"&lt;"&amp;DATE($C$3,12,1),Faturalar!$B$5:$B$604,"Su")</f>
        <v>0</v>
      </c>
      <c r="E21" s="18" t="n">
        <f aca="false">SUMIFS(Faturalar!$E$5:$E$604,Faturalar!$A$5:$A$604,"&gt;="&amp;DATE($C$3,11,1),Faturalar!$A$5:$A$604,"&lt;"&amp;DATE($C$3,12,1),Faturalar!$B$5:$B$604,"Doğalgaz")</f>
        <v>0</v>
      </c>
      <c r="F21" s="18" t="n">
        <f aca="false">SUMIFS(Faturalar!$E$5:$E$604,Faturalar!$A$5:$A$604,"&gt;="&amp;DATE($C$3,11,1),Faturalar!$A$5:$A$604,"&lt;"&amp;DATE($C$3,12,1))</f>
        <v>0</v>
      </c>
    </row>
    <row r="22" customFormat="false" ht="15" hidden="false" customHeight="false" outlineLevel="0" collapsed="false">
      <c r="B22" s="28" t="s">
        <v>60</v>
      </c>
      <c r="C22" s="29" t="n">
        <f aca="false">SUMIFS(Faturalar!$E$5:$E$604,Faturalar!$A$5:$A$604,"&gt;="&amp;DATE($C$3,12,1),Faturalar!$A$5:$A$604,"&lt;"&amp;DATE($C$3,13,1),Faturalar!$B$5:$B$604,"Elektrik")</f>
        <v>0</v>
      </c>
      <c r="D22" s="29" t="n">
        <f aca="false">SUMIFS(Faturalar!$E$5:$E$604,Faturalar!$A$5:$A$604,"&gt;="&amp;DATE($C$3,12,1),Faturalar!$A$5:$A$604,"&lt;"&amp;DATE($C$3,13,1),Faturalar!$B$5:$B$604,"Su")</f>
        <v>0</v>
      </c>
      <c r="E22" s="29" t="n">
        <f aca="false">SUMIFS(Faturalar!$E$5:$E$604,Faturalar!$A$5:$A$604,"&gt;="&amp;DATE($C$3,12,1),Faturalar!$A$5:$A$604,"&lt;"&amp;DATE($C$3,13,1),Faturalar!$B$5:$B$604,"Doğalgaz")</f>
        <v>0</v>
      </c>
      <c r="F22" s="29" t="n">
        <f aca="false">SUMIFS(Faturalar!$E$5:$E$604,Faturalar!$A$5:$A$604,"&gt;="&amp;DATE($C$3,12,1),Faturalar!$A$5:$A$604,"&lt;"&amp;DATE($C$3,13,1))</f>
        <v>0</v>
      </c>
    </row>
    <row r="23" customFormat="false" ht="15" hidden="false" customHeight="false" outlineLevel="0" collapsed="false">
      <c r="B23" s="32" t="s">
        <v>61</v>
      </c>
      <c r="C23" s="33" t="n">
        <f aca="false">SUM(C11:C22)</f>
        <v>3150</v>
      </c>
      <c r="D23" s="33" t="n">
        <f aca="false">SUM(D11:D22)</f>
        <v>560</v>
      </c>
      <c r="E23" s="33" t="n">
        <f aca="false">SUM(E11:E22)</f>
        <v>420</v>
      </c>
      <c r="F23" s="33" t="n">
        <f aca="false">SUM(F11:F22)</f>
        <v>4780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A1:A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</cols>
  <sheetData>
    <row r="1" customFormat="false" ht="19.7" hidden="false" customHeight="false" outlineLevel="0" collapsed="false">
      <c r="A1" s="8" t="s">
        <v>62</v>
      </c>
    </row>
    <row r="2" customFormat="false" ht="15" hidden="false" customHeight="false" outlineLevel="0" collapsed="false">
      <c r="A2" s="9" t="s">
        <v>63</v>
      </c>
    </row>
    <row r="4" customFormat="false" ht="21.75" hidden="false" customHeight="true" outlineLevel="0" collapsed="false">
      <c r="A4" s="10" t="s">
        <v>25</v>
      </c>
    </row>
    <row r="5" customFormat="false" ht="15" hidden="false" customHeight="false" outlineLevel="0" collapsed="false">
      <c r="A5" s="34" t="s">
        <v>33</v>
      </c>
    </row>
    <row r="6" customFormat="false" ht="15" hidden="false" customHeight="false" outlineLevel="0" collapsed="false">
      <c r="A6" s="34" t="s">
        <v>34</v>
      </c>
    </row>
    <row r="7" customFormat="false" ht="15" hidden="false" customHeight="false" outlineLevel="0" collapsed="false">
      <c r="A7" s="34" t="s">
        <v>35</v>
      </c>
    </row>
    <row r="8" customFormat="false" ht="15" hidden="false" customHeight="false" outlineLevel="0" collapsed="false">
      <c r="A8" s="34" t="s">
        <v>36</v>
      </c>
    </row>
    <row r="9" customFormat="false" ht="15" hidden="false" customHeight="false" outlineLevel="0" collapsed="false">
      <c r="A9" s="34"/>
    </row>
    <row r="10" customFormat="false" ht="15" hidden="false" customHeight="false" outlineLevel="0" collapsed="false">
      <c r="A10" s="34"/>
    </row>
    <row r="11" customFormat="false" ht="15" hidden="false" customHeight="false" outlineLevel="0" collapsed="false">
      <c r="A11" s="34"/>
    </row>
    <row r="12" customFormat="false" ht="15" hidden="false" customHeight="false" outlineLevel="0" collapsed="false">
      <c r="A12" s="34"/>
    </row>
    <row r="13" customFormat="false" ht="15" hidden="false" customHeight="false" outlineLevel="0" collapsed="false">
      <c r="A13" s="34"/>
    </row>
    <row r="14" customFormat="false" ht="15" hidden="false" customHeight="false" outlineLevel="0" collapsed="false">
      <c r="A14" s="34"/>
    </row>
    <row r="15" customFormat="false" ht="15" hidden="false" customHeight="false" outlineLevel="0" collapsed="false">
      <c r="A15" s="34"/>
    </row>
    <row r="16" customFormat="false" ht="15" hidden="false" customHeight="false" outlineLevel="0" collapsed="false">
      <c r="A16" s="34"/>
    </row>
    <row r="17" customFormat="false" ht="15" hidden="false" customHeight="false" outlineLevel="0" collapsed="false">
      <c r="A17" s="34"/>
    </row>
    <row r="18" customFormat="false" ht="15" hidden="false" customHeight="false" outlineLevel="0" collapsed="false">
      <c r="A18" s="34"/>
    </row>
    <row r="19" customFormat="false" ht="15" hidden="false" customHeight="false" outlineLevel="0" collapsed="false">
      <c r="A19" s="34"/>
    </row>
    <row r="20" customFormat="false" ht="15" hidden="false" customHeight="false" outlineLevel="0" collapsed="false">
      <c r="A20" s="34"/>
    </row>
    <row r="21" customFormat="false" ht="15" hidden="false" customHeight="false" outlineLevel="0" collapsed="false">
      <c r="A21" s="34"/>
    </row>
    <row r="22" customFormat="false" ht="15" hidden="false" customHeight="false" outlineLevel="0" collapsed="false">
      <c r="A22" s="34"/>
    </row>
    <row r="23" customFormat="false" ht="15" hidden="false" customHeight="false" outlineLevel="0" collapsed="false">
      <c r="A23" s="34"/>
    </row>
    <row r="24" customFormat="false" ht="15" hidden="false" customHeight="false" outlineLevel="0" collapsed="false">
      <c r="A24" s="34"/>
    </row>
    <row r="25" customFormat="false" ht="15" hidden="false" customHeight="false" outlineLevel="0" collapsed="false">
      <c r="A25" s="34"/>
    </row>
    <row r="26" customFormat="false" ht="15" hidden="false" customHeight="false" outlineLevel="0" collapsed="false">
      <c r="A26" s="34"/>
    </row>
    <row r="27" customFormat="false" ht="15" hidden="false" customHeight="false" outlineLevel="0" collapsed="false">
      <c r="A27" s="34"/>
    </row>
    <row r="28" customFormat="false" ht="15" hidden="false" customHeight="false" outlineLevel="0" collapsed="false">
      <c r="A28" s="34"/>
    </row>
    <row r="29" customFormat="false" ht="15" hidden="false" customHeight="false" outlineLevel="0" collapsed="false">
      <c r="A29" s="34"/>
    </row>
    <row r="30" customFormat="false" ht="15" hidden="false" customHeight="false" outlineLevel="0" collapsed="false">
      <c r="A30" s="34"/>
    </row>
    <row r="31" customFormat="false" ht="15" hidden="false" customHeight="false" outlineLevel="0" collapsed="false">
      <c r="A31" s="34"/>
    </row>
    <row r="32" customFormat="false" ht="15" hidden="false" customHeight="false" outlineLevel="0" collapsed="false">
      <c r="A32" s="34"/>
    </row>
    <row r="33" customFormat="false" ht="15" hidden="false" customHeight="false" outlineLevel="0" collapsed="false">
      <c r="A33" s="34"/>
    </row>
    <row r="34" customFormat="false" ht="15" hidden="false" customHeight="false" outlineLevel="0" collapsed="false">
      <c r="A34" s="3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43"/>
    <pageSetUpPr fitToPage="true"/>
  </sheetPr>
  <dimension ref="B1:C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6"/>
  </cols>
  <sheetData>
    <row r="1" customFormat="false" ht="19.7" hidden="false" customHeight="false" outlineLevel="0" collapsed="false">
      <c r="B1" s="8" t="s">
        <v>64</v>
      </c>
    </row>
    <row r="2" customFormat="false" ht="30" hidden="false" customHeight="true" outlineLevel="0" collapsed="false">
      <c r="B2" s="35" t="s">
        <v>65</v>
      </c>
      <c r="C2" s="35"/>
    </row>
    <row r="3" customFormat="false" ht="31.5" hidden="false" customHeight="true" outlineLevel="0" collapsed="false">
      <c r="B3" s="36" t="s">
        <v>66</v>
      </c>
      <c r="C3" s="36"/>
    </row>
    <row r="5" customFormat="false" ht="15" hidden="false" customHeight="false" outlineLevel="0" collapsed="false">
      <c r="B5" s="37" t="s">
        <v>67</v>
      </c>
      <c r="C5" s="37" t="s">
        <v>68</v>
      </c>
    </row>
    <row r="6" customFormat="false" ht="31.5" hidden="false" customHeight="true" outlineLevel="0" collapsed="false">
      <c r="B6" s="38" t="s">
        <v>69</v>
      </c>
      <c r="C6" s="39" t="s">
        <v>70</v>
      </c>
    </row>
    <row r="7" customFormat="false" ht="31.5" hidden="false" customHeight="true" outlineLevel="0" collapsed="false">
      <c r="B7" s="40" t="s">
        <v>71</v>
      </c>
      <c r="C7" s="41" t="s">
        <v>72</v>
      </c>
    </row>
    <row r="8" customFormat="false" ht="31.5" hidden="false" customHeight="true" outlineLevel="0" collapsed="false">
      <c r="B8" s="38" t="s">
        <v>73</v>
      </c>
      <c r="C8" s="39" t="s">
        <v>74</v>
      </c>
    </row>
    <row r="9" customFormat="false" ht="31.5" hidden="false" customHeight="true" outlineLevel="0" collapsed="false">
      <c r="B9" s="40" t="s">
        <v>75</v>
      </c>
      <c r="C9" s="41" t="s">
        <v>76</v>
      </c>
    </row>
  </sheetData>
  <mergeCells count="2">
    <mergeCell ref="B2:C2"/>
    <mergeCell ref="B3:C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2026-10-04T22:00:05Z</dcterms:created>
  <dc:creator>openpyxl</dc:creator>
  <dc:description/>
  <dc:language>en-US</dc:language>
  <cp:lastModifiedBy/>
  <dcterms:modified xsi:type="dcterms:W3CDTF">2026-10-04T22:00:06Z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