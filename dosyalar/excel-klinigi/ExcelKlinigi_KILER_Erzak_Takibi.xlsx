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Kiler" sheetId="2" state="visible" r:id="rId4"/>
    <sheet name="Özet" sheetId="3" state="visible" r:id="rId5"/>
    <sheet name="Listeler" sheetId="4" state="visible" r:id="rId6"/>
    <sheet name="AI Komutlar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<sst xmlns="http://schemas.openxmlformats.org/spreadsheetml/2006/main" count="88" uniqueCount="72">
  <si>
    <t xml:space="preserve">EXCEL KLİNİĞİ</t>
  </si>
  <si>
    <t xml:space="preserve">KİLER  |  Erzak ve son kullanma tarihi takibi</t>
  </si>
  <si>
    <t xml:space="preserve">Evde ne var, ne azaldı, hangisinin tarihi geçmek üzere; alışveriş listesi kendiliğinden çıksın.</t>
  </si>
  <si>
    <t xml:space="preserve">NASIL KULLANILIR</t>
  </si>
  <si>
    <t xml:space="preserve">1. Kiler</t>
  </si>
  <si>
    <t xml:space="preserve">Ürünleri, miktarı, en az miktarı ve son kullanma tarihini yaz. Kullandıkça miktarı güncelle.</t>
  </si>
  <si>
    <t xml:space="preserve">2. Özet</t>
  </si>
  <si>
    <t xml:space="preserve">Tarihi yaklaşan ürünler ve alışveriş listesi kendiliğinden çıkar.</t>
  </si>
  <si>
    <t xml:space="preserve">BİLMEN GEREKENLER</t>
  </si>
  <si>
    <t xml:space="preserve">Azaldı</t>
  </si>
  <si>
    <t xml:space="preserve">Miktar, en az miktara eşit ya da altındaysa ürün alışveriş listesine girer.</t>
  </si>
  <si>
    <t xml:space="preserve">Tek tarih</t>
  </si>
  <si>
    <t xml:space="preserve">Aynı üründen farklı tarihli paketler varsa en yakın tarihi yaz ya da ayrı satır aç.</t>
  </si>
  <si>
    <t xml:space="preserve">Kapasite</t>
  </si>
  <si>
    <t xml:space="preserve">Kiler: 300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</si>
  <si>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</si>
  <si>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</si>
  <si>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</si>
  <si>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</si>
  <si>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</si>
  <si>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Kiler</t>
  </si>
  <si>
    <t xml:space="preserve">Ürünleri, elindeki miktarı, altına düşünce almak istediğin miktarı ve son kullanma tarihini yaz.</t>
  </si>
  <si>
    <t xml:space="preserve">Ürün</t>
  </si>
  <si>
    <t xml:space="preserve">Kategori</t>
  </si>
  <si>
    <t xml:space="preserve">Miktar</t>
  </si>
  <si>
    <t xml:space="preserve">Birim</t>
  </si>
  <si>
    <t xml:space="preserve">En az</t>
  </si>
  <si>
    <t xml:space="preserve">Son kullanma</t>
  </si>
  <si>
    <t xml:space="preserve">Kalan gün</t>
  </si>
  <si>
    <t xml:space="preserve">Durum</t>
  </si>
  <si>
    <t xml:space="preserve">y1</t>
  </si>
  <si>
    <t xml:space="preserve">y2</t>
  </si>
  <si>
    <t xml:space="preserve">Kırmızı mercimek</t>
  </si>
  <si>
    <t xml:space="preserve">Bakliyat</t>
  </si>
  <si>
    <t xml:space="preserve">kg</t>
  </si>
  <si>
    <t xml:space="preserve">Yoğurt</t>
  </si>
  <si>
    <t xml:space="preserve">Süt ürünleri</t>
  </si>
  <si>
    <t xml:space="preserve">Ton balığı</t>
  </si>
  <si>
    <t xml:space="preserve">Konserve</t>
  </si>
  <si>
    <t xml:space="preserve">adet</t>
  </si>
  <si>
    <t xml:space="preserve">Süt</t>
  </si>
  <si>
    <t xml:space="preserve">L</t>
  </si>
  <si>
    <t xml:space="preserve">Bulaşık deterjanı</t>
  </si>
  <si>
    <t xml:space="preserve">Temizlik</t>
  </si>
  <si>
    <t xml:space="preserve">Pirinç</t>
  </si>
  <si>
    <t xml:space="preserve">Özet</t>
  </si>
  <si>
    <t xml:space="preserve">Bu sayfaya yazma.</t>
  </si>
  <si>
    <t xml:space="preserve">Tarihi geçen</t>
  </si>
  <si>
    <t xml:space="preserve">Bu hafta biten</t>
  </si>
  <si>
    <t xml:space="preserve">Azalan</t>
  </si>
  <si>
    <t xml:space="preserve">Son kullanma tarihi en yakın 10 ürün</t>
  </si>
  <si>
    <t xml:space="preserve">Alışveriş listesi (azalanlar)</t>
  </si>
  <si>
    <t xml:space="preserve">Elde</t>
  </si>
  <si>
    <t xml:space="preserve">Listeler</t>
  </si>
  <si>
    <t xml:space="preserve">Açılır listelerde çıkan seçenekler. Sarı hücrelere kendi seçeneklerini yaz.</t>
  </si>
  <si>
    <t xml:space="preserve">Dondurulmuş</t>
  </si>
  <si>
    <t xml:space="preserve">İçecek</t>
  </si>
  <si>
    <t xml:space="preserve">Baharat</t>
  </si>
  <si>
    <t xml:space="preserve">Diğer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</si>
  <si>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</si>
  <si>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</si>
  <si>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Paylaşılacak kişisel bilgi yok; yine de adres yazma. Yapay zekanın verdiği rakamları dosyadaki özet sayfasıyla karşılaştır.</t>
  </si>
  <si>
    <t xml:space="preserve">Ne için</t>
  </si>
  <si>
    <t xml:space="preserve">Komut (kopyala, yapıştır)</t>
  </si>
  <si>
    <t xml:space="preserve">Yemek fikri</t>
  </si>
  <si>
    <t xml:space="preserve">[Özet sayfasındaki tarihi yaklaşanlar] Bu ürünleri kullanarak yapılabilecek üç yemek öner.</t>
  </si>
  <si>
    <t xml:space="preserve">Alışveriş listesi</t>
  </si>
  <si>
    <t xml:space="preserve">[Alışveriş listesi] Bu listeyi market reyonlarına göre grupla.</t>
  </si>
  <si>
    <t xml:space="preserve">İsraf analizi</t>
  </si>
  <si>
    <t xml:space="preserve">Tarihi geçen ürünlerime bakarak israfı azaltmak için üç alışkanlık öner.</t>
  </si>
  <si>
    <t xml:space="preserve">Stok önerisi</t>
  </si>
  <si>
    <t xml:space="preserve">Dört kişilik bir ev için bu ürünlerin en az miktarlarını gözden geçir.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</si>
</sst>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##"/>
    <numFmt numFmtId="166" formatCode="dd\.mm\.yyyy"/>
    <numFmt numFmtId="167" formatCode="#,##0;[RED]\-#,##0;\-"/>
    <numFmt numFmtId="168" formatCode="mm/dd/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EF0C7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  <dxf>
      <font>
        <name val="Arial"/>
        <charset val="1"/>
        <family val="0"/>
        <b val="1"/>
        <color rgb="FF93370D"/>
      </font>
      <fill>
        <patternFill>
          <bgColor rgb="FFFEF0C7"/>
        </patternFill>
      </fill>
    </dxf>
    <dxf>
      <font>
        <name val="Arial"/>
        <charset val="1"/>
        <family val="0"/>
        <b val="1"/>
        <color rgb="FF1D4ED8"/>
      </font>
      <fill>
        <patternFill>
          <bgColor rgb="FFDBEAF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B42318"/>
      <rgbColor rgb="FFFFF9DB"/>
      <rgbColor rgb="FFE8F5EE"/>
      <rgbColor rgb="FF660066"/>
      <rgbColor rgb="FFFF8080"/>
      <rgbColor rgb="FF1D4ED8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3F4F6"/>
      <rgbColor rgb="FFFEF0C7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93370D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10" customFormat="false" ht="19.5" hidden="false" customHeight="true" outlineLevel="0" collapsed="false">
      <c r="B10" s="4" t="s">
        <v>8</v>
      </c>
      <c r="C10" s="4"/>
    </row>
    <row r="11" customFormat="false" ht="18" hidden="false" customHeight="true" outlineLevel="0" collapsed="false">
      <c r="B11" s="5" t="s">
        <v>9</v>
      </c>
      <c r="C11" s="6" t="s">
        <v>10</v>
      </c>
    </row>
    <row r="12" customFormat="false" ht="18" hidden="false" customHeight="true" outlineLevel="0" collapsed="false">
      <c r="B12" s="5" t="s">
        <v>11</v>
      </c>
      <c r="C12" s="6" t="s">
        <v>12</v>
      </c>
    </row>
    <row r="13" customFormat="false" ht="18" hidden="false" customHeight="true" outlineLevel="0" collapsed="false">
      <c r="B13" s="5" t="s">
        <v>13</v>
      </c>
      <c r="C13" s="6" t="s">
        <v>14</v>
      </c>
    </row>
    <row r="15" customFormat="false" ht="19.5" hidden="false" customHeight="true" outlineLevel="0" collapsed="false">
      <c r="B15" s="4" t="s">
        <v>15</v>
      </c>
      <c r="C15" s="4"/>
    </row>
    <row r="16" customFormat="false" ht="18" hidden="false" customHeight="true" outlineLevel="0" collapsed="false">
      <c r="B16" s="7" t="s">
        <v>16</v>
      </c>
      <c r="C16" s="6" t="s">
        <v>17</v>
      </c>
    </row>
    <row r="17" customFormat="false" ht="18" hidden="false" customHeight="true" outlineLevel="0" collapsed="false">
      <c r="B17" s="5" t="s">
        <v>18</v>
      </c>
      <c r="C17" s="6" t="s">
        <v>19</v>
      </c>
    </row>
  </sheetData>
  <mergeCells count="6">
    <mergeCell ref="B2:C2"/>
    <mergeCell ref="B3:C3"/>
    <mergeCell ref="B4:C4"/>
    <mergeCell ref="B6:C6"/>
    <mergeCell ref="B10:C10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J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7" min="5" style="0" width="14"/>
    <col collapsed="false" customWidth="true" hidden="false" outlineLevel="0" max="8" min="8" style="0" width="16"/>
    <col collapsed="false" customWidth="true" hidden="true" outlineLevel="0" max="10" min="9" style="0" width="14"/>
  </cols>
  <sheetData>
    <row r="1" customFormat="false" ht="19.7" hidden="false" customHeight="false" outlineLevel="0" collapsed="false">
      <c r="A1" s="8" t="s">
        <v>20</v>
      </c>
    </row>
    <row r="2" customFormat="false" ht="15" hidden="false" customHeight="false" outlineLevel="0" collapsed="false">
      <c r="A2" s="9" t="s">
        <v>21</v>
      </c>
    </row>
    <row r="4" customFormat="false" ht="27.75" hidden="false" customHeight="true" outlineLevel="0" collapsed="false">
      <c r="A4" s="10" t="s">
        <v>22</v>
      </c>
      <c r="B4" s="10" t="s">
        <v>23</v>
      </c>
      <c r="C4" s="10" t="s">
        <v>24</v>
      </c>
      <c r="D4" s="10" t="s">
        <v>25</v>
      </c>
      <c r="E4" s="10" t="s">
        <v>26</v>
      </c>
      <c r="F4" s="10" t="s">
        <v>27</v>
      </c>
      <c r="G4" s="11" t="s">
        <v>28</v>
      </c>
      <c r="H4" s="11" t="s">
        <v>29</v>
      </c>
      <c r="I4" s="11" t="s">
        <v>30</v>
      </c>
      <c r="J4" s="11" t="s">
        <v>31</v>
      </c>
    </row>
    <row r="5" customFormat="false" ht="15" hidden="false" customHeight="false" outlineLevel="0" collapsed="false">
      <c r="A5" s="12" t="s">
        <v>32</v>
      </c>
      <c r="B5" s="13" t="s">
        <v>33</v>
      </c>
      <c r="C5" s="14" t="n">
        <v>2</v>
      </c>
      <c r="D5" s="12" t="s">
        <v>34</v>
      </c>
      <c r="E5" s="14" t="n">
        <v>1</v>
      </c>
      <c r="F5" s="15" t="n">
        <v>46499</v>
      </c>
      <c r="G5" s="16" t="n">
        <f aca="true">IF(OR(A5="",F5=""),"",F5-TODAY())</f>
        <v>200</v>
      </c>
      <c r="H5" s="17" t="str">
        <f aca="true">IF(A5="","",IF(AND(F5&lt;&gt;"",F5&lt;TODAY()),"Tarihi geçti",IF(AND(F5&lt;&gt;"",F5&lt;=TODAY()+7),"Bu hafta bitiyor",IF(C5&lt;=E5,"Azaldı","Tamam"))))</f>
        <v>Tamam</v>
      </c>
      <c r="I5" s="18" t="n">
        <f aca="false">IF(AND(A5&lt;&gt;"",F5&lt;&gt;""),F5+ROW()/1000000,"")</f>
        <v>46499.000005</v>
      </c>
      <c r="J5" s="17" t="str">
        <f aca="false">IF(AND(A5&lt;&gt;"",C5&lt;=E5),ROW(),"")</f>
        <v/>
      </c>
    </row>
    <row r="6" customFormat="false" ht="15" hidden="false" customHeight="false" outlineLevel="0" collapsed="false">
      <c r="A6" s="12" t="s">
        <v>35</v>
      </c>
      <c r="B6" s="13" t="s">
        <v>36</v>
      </c>
      <c r="C6" s="14" t="n">
        <v>1</v>
      </c>
      <c r="D6" s="12" t="s">
        <v>34</v>
      </c>
      <c r="E6" s="14" t="n">
        <v>1</v>
      </c>
      <c r="F6" s="15" t="n">
        <v>46303</v>
      </c>
      <c r="G6" s="16" t="n">
        <f aca="true">IF(OR(A6="",F6=""),"",F6-TODAY())</f>
        <v>4</v>
      </c>
      <c r="H6" s="17" t="str">
        <f aca="true">IF(A6="","",IF(AND(F6&lt;&gt;"",F6&lt;TODAY()),"Tarihi geçti",IF(AND(F6&lt;&gt;"",F6&lt;=TODAY()+7),"Bu hafta bitiyor",IF(C6&lt;=E6,"Azaldı","Tamam"))))</f>
        <v>Bu hafta bitiyor</v>
      </c>
      <c r="I6" s="18" t="n">
        <f aca="false">IF(AND(A6&lt;&gt;"",F6&lt;&gt;""),F6+ROW()/1000000,"")</f>
        <v>46303.000006</v>
      </c>
      <c r="J6" s="17" t="n">
        <f aca="false">IF(AND(A6&lt;&gt;"",C6&lt;=E6),ROW(),"")</f>
        <v>6</v>
      </c>
    </row>
    <row r="7" customFormat="false" ht="15" hidden="false" customHeight="false" outlineLevel="0" collapsed="false">
      <c r="A7" s="12" t="s">
        <v>37</v>
      </c>
      <c r="B7" s="13" t="s">
        <v>38</v>
      </c>
      <c r="C7" s="14" t="n">
        <v>6</v>
      </c>
      <c r="D7" s="12" t="s">
        <v>39</v>
      </c>
      <c r="E7" s="14" t="n">
        <v>2</v>
      </c>
      <c r="F7" s="15" t="n">
        <v>46699</v>
      </c>
      <c r="G7" s="16" t="n">
        <f aca="true">IF(OR(A7="",F7=""),"",F7-TODAY())</f>
        <v>400</v>
      </c>
      <c r="H7" s="17" t="str">
        <f aca="true">IF(A7="","",IF(AND(F7&lt;&gt;"",F7&lt;TODAY()),"Tarihi geçti",IF(AND(F7&lt;&gt;"",F7&lt;=TODAY()+7),"Bu hafta bitiyor",IF(C7&lt;=E7,"Azaldı","Tamam"))))</f>
        <v>Tamam</v>
      </c>
      <c r="I7" s="18" t="n">
        <f aca="false">IF(AND(A7&lt;&gt;"",F7&lt;&gt;""),F7+ROW()/1000000,"")</f>
        <v>46699.000007</v>
      </c>
      <c r="J7" s="17" t="str">
        <f aca="false">IF(AND(A7&lt;&gt;"",C7&lt;=E7),ROW(),"")</f>
        <v/>
      </c>
    </row>
    <row r="8" customFormat="false" ht="15" hidden="false" customHeight="false" outlineLevel="0" collapsed="false">
      <c r="A8" s="12" t="s">
        <v>40</v>
      </c>
      <c r="B8" s="13" t="s">
        <v>36</v>
      </c>
      <c r="C8" s="14" t="n">
        <v>3</v>
      </c>
      <c r="D8" s="12" t="s">
        <v>41</v>
      </c>
      <c r="E8" s="14" t="n">
        <v>2</v>
      </c>
      <c r="F8" s="15" t="n">
        <v>46297</v>
      </c>
      <c r="G8" s="16" t="n">
        <f aca="true">IF(OR(A8="",F8=""),"",F8-TODAY())</f>
        <v>-2</v>
      </c>
      <c r="H8" s="17" t="str">
        <f aca="true">IF(A8="","",IF(AND(F8&lt;&gt;"",F8&lt;TODAY()),"Tarihi geçti",IF(AND(F8&lt;&gt;"",F8&lt;=TODAY()+7),"Bu hafta bitiyor",IF(C8&lt;=E8,"Azaldı","Tamam"))))</f>
        <v>Tarihi geçti</v>
      </c>
      <c r="I8" s="18" t="n">
        <f aca="false">IF(AND(A8&lt;&gt;"",F8&lt;&gt;""),F8+ROW()/1000000,"")</f>
        <v>46297.000008</v>
      </c>
      <c r="J8" s="17" t="str">
        <f aca="false">IF(AND(A8&lt;&gt;"",C8&lt;=E8),ROW(),"")</f>
        <v/>
      </c>
    </row>
    <row r="9" customFormat="false" ht="15" hidden="false" customHeight="false" outlineLevel="0" collapsed="false">
      <c r="A9" s="12" t="s">
        <v>42</v>
      </c>
      <c r="B9" s="13" t="s">
        <v>43</v>
      </c>
      <c r="C9" s="14" t="n">
        <v>0</v>
      </c>
      <c r="D9" s="12" t="s">
        <v>39</v>
      </c>
      <c r="E9" s="14" t="n">
        <v>1</v>
      </c>
      <c r="F9" s="15"/>
      <c r="G9" s="16" t="str">
        <f aca="true">IF(OR(A9="",F9=""),"",F9-TODAY())</f>
        <v/>
      </c>
      <c r="H9" s="17" t="str">
        <f aca="true">IF(A9="","",IF(AND(F9&lt;&gt;"",F9&lt;TODAY()),"Tarihi geçti",IF(AND(F9&lt;&gt;"",F9&lt;=TODAY()+7),"Bu hafta bitiyor",IF(C9&lt;=E9,"Azaldı","Tamam"))))</f>
        <v>Azaldı</v>
      </c>
      <c r="I9" s="17" t="str">
        <f aca="false">IF(AND(A9&lt;&gt;"",F9&lt;&gt;""),F9+ROW()/1000000,"")</f>
        <v/>
      </c>
      <c r="J9" s="17" t="n">
        <f aca="false">IF(AND(A9&lt;&gt;"",C9&lt;=E9),ROW(),"")</f>
        <v>9</v>
      </c>
    </row>
    <row r="10" customFormat="false" ht="15" hidden="false" customHeight="false" outlineLevel="0" collapsed="false">
      <c r="A10" s="12" t="s">
        <v>44</v>
      </c>
      <c r="B10" s="13" t="s">
        <v>33</v>
      </c>
      <c r="C10" s="14" t="n">
        <v>5</v>
      </c>
      <c r="D10" s="12" t="s">
        <v>34</v>
      </c>
      <c r="E10" s="14" t="n">
        <v>2</v>
      </c>
      <c r="F10" s="15" t="n">
        <v>46389</v>
      </c>
      <c r="G10" s="16" t="n">
        <f aca="true">IF(OR(A10="",F10=""),"",F10-TODAY())</f>
        <v>90</v>
      </c>
      <c r="H10" s="17" t="str">
        <f aca="true">IF(A10="","",IF(AND(F10&lt;&gt;"",F10&lt;TODAY()),"Tarihi geçti",IF(AND(F10&lt;&gt;"",F10&lt;=TODAY()+7),"Bu hafta bitiyor",IF(C10&lt;=E10,"Azaldı","Tamam"))))</f>
        <v>Tamam</v>
      </c>
      <c r="I10" s="18" t="n">
        <f aca="false">IF(AND(A10&lt;&gt;"",F10&lt;&gt;""),F10+ROW()/1000000,"")</f>
        <v>46389.00001</v>
      </c>
      <c r="J10" s="17" t="str">
        <f aca="false">IF(AND(A10&lt;&gt;"",C10&lt;=E10),ROW(),"")</f>
        <v/>
      </c>
    </row>
    <row r="11" customFormat="false" ht="15" hidden="false" customHeight="false" outlineLevel="0" collapsed="false">
      <c r="A11" s="12"/>
      <c r="B11" s="13"/>
      <c r="C11" s="14"/>
      <c r="D11" s="12"/>
      <c r="E11" s="14"/>
      <c r="F11" s="15"/>
      <c r="G11" s="16" t="str">
        <f aca="true">IF(OR(A11="",F11=""),"",F11-TODAY())</f>
        <v/>
      </c>
      <c r="H11" s="17" t="str">
        <f aca="true">IF(A11="","",IF(AND(F11&lt;&gt;"",F11&lt;TODAY()),"Tarihi geçti",IF(AND(F11&lt;&gt;"",F11&lt;=TODAY()+7),"Bu hafta bitiyor",IF(C11&lt;=E11,"Azaldı","Tamam"))))</f>
        <v/>
      </c>
      <c r="I11" s="17" t="str">
        <f aca="false">IF(AND(A11&lt;&gt;"",F11&lt;&gt;""),F11+ROW()/1000000,"")</f>
        <v/>
      </c>
      <c r="J11" s="17" t="str">
        <f aca="false">IF(AND(A11&lt;&gt;"",C11&lt;=E11),ROW(),"")</f>
        <v/>
      </c>
    </row>
    <row r="12" customFormat="false" ht="15" hidden="false" customHeight="false" outlineLevel="0" collapsed="false">
      <c r="A12" s="12"/>
      <c r="B12" s="13"/>
      <c r="C12" s="14"/>
      <c r="D12" s="12"/>
      <c r="E12" s="14"/>
      <c r="F12" s="15"/>
      <c r="G12" s="16" t="str">
        <f aca="true">IF(OR(A12="",F12=""),"",F12-TODAY())</f>
        <v/>
      </c>
      <c r="H12" s="17" t="str">
        <f aca="true">IF(A12="","",IF(AND(F12&lt;&gt;"",F12&lt;TODAY()),"Tarihi geçti",IF(AND(F12&lt;&gt;"",F12&lt;=TODAY()+7),"Bu hafta bitiyor",IF(C12&lt;=E12,"Azaldı","Tamam"))))</f>
        <v/>
      </c>
      <c r="I12" s="17" t="str">
        <f aca="false">IF(AND(A12&lt;&gt;"",F12&lt;&gt;""),F12+ROW()/1000000,"")</f>
        <v/>
      </c>
      <c r="J12" s="17" t="str">
        <f aca="false">IF(AND(A12&lt;&gt;"",C12&lt;=E12),ROW(),"")</f>
        <v/>
      </c>
    </row>
    <row r="13" customFormat="false" ht="15" hidden="false" customHeight="false" outlineLevel="0" collapsed="false">
      <c r="A13" s="12"/>
      <c r="B13" s="13"/>
      <c r="C13" s="14"/>
      <c r="D13" s="12"/>
      <c r="E13" s="14"/>
      <c r="F13" s="15"/>
      <c r="G13" s="16" t="str">
        <f aca="true">IF(OR(A13="",F13=""),"",F13-TODAY())</f>
        <v/>
      </c>
      <c r="H13" s="17" t="str">
        <f aca="true">IF(A13="","",IF(AND(F13&lt;&gt;"",F13&lt;TODAY()),"Tarihi geçti",IF(AND(F13&lt;&gt;"",F13&lt;=TODAY()+7),"Bu hafta bitiyor",IF(C13&lt;=E13,"Azaldı","Tamam"))))</f>
        <v/>
      </c>
      <c r="I13" s="17" t="str">
        <f aca="false">IF(AND(A13&lt;&gt;"",F13&lt;&gt;""),F13+ROW()/1000000,"")</f>
        <v/>
      </c>
      <c r="J13" s="17" t="str">
        <f aca="false">IF(AND(A13&lt;&gt;"",C13&lt;=E13),ROW(),"")</f>
        <v/>
      </c>
    </row>
    <row r="14" customFormat="false" ht="15" hidden="false" customHeight="false" outlineLevel="0" collapsed="false">
      <c r="A14" s="12"/>
      <c r="B14" s="13"/>
      <c r="C14" s="14"/>
      <c r="D14" s="12"/>
      <c r="E14" s="14"/>
      <c r="F14" s="15"/>
      <c r="G14" s="16" t="str">
        <f aca="true">IF(OR(A14="",F14=""),"",F14-TODAY())</f>
        <v/>
      </c>
      <c r="H14" s="17" t="str">
        <f aca="true">IF(A14="","",IF(AND(F14&lt;&gt;"",F14&lt;TODAY()),"Tarihi geçti",IF(AND(F14&lt;&gt;"",F14&lt;=TODAY()+7),"Bu hafta bitiyor",IF(C14&lt;=E14,"Azaldı","Tamam"))))</f>
        <v/>
      </c>
      <c r="I14" s="17" t="str">
        <f aca="false">IF(AND(A14&lt;&gt;"",F14&lt;&gt;""),F14+ROW()/1000000,"")</f>
        <v/>
      </c>
      <c r="J14" s="17" t="str">
        <f aca="false">IF(AND(A14&lt;&gt;"",C14&lt;=E14),ROW(),"")</f>
        <v/>
      </c>
    </row>
    <row r="15" customFormat="false" ht="15" hidden="false" customHeight="false" outlineLevel="0" collapsed="false">
      <c r="A15" s="12"/>
      <c r="B15" s="13"/>
      <c r="C15" s="14"/>
      <c r="D15" s="12"/>
      <c r="E15" s="14"/>
      <c r="F15" s="15"/>
      <c r="G15" s="16" t="str">
        <f aca="true">IF(OR(A15="",F15=""),"",F15-TODAY())</f>
        <v/>
      </c>
      <c r="H15" s="17" t="str">
        <f aca="true">IF(A15="","",IF(AND(F15&lt;&gt;"",F15&lt;TODAY()),"Tarihi geçti",IF(AND(F15&lt;&gt;"",F15&lt;=TODAY()+7),"Bu hafta bitiyor",IF(C15&lt;=E15,"Azaldı","Tamam"))))</f>
        <v/>
      </c>
      <c r="I15" s="17" t="str">
        <f aca="false">IF(AND(A15&lt;&gt;"",F15&lt;&gt;""),F15+ROW()/1000000,"")</f>
        <v/>
      </c>
      <c r="J15" s="17" t="str">
        <f aca="false">IF(AND(A15&lt;&gt;"",C15&lt;=E15),ROW(),"")</f>
        <v/>
      </c>
    </row>
    <row r="16" customFormat="false" ht="15" hidden="false" customHeight="false" outlineLevel="0" collapsed="false">
      <c r="A16" s="12"/>
      <c r="B16" s="13"/>
      <c r="C16" s="14"/>
      <c r="D16" s="12"/>
      <c r="E16" s="14"/>
      <c r="F16" s="15"/>
      <c r="G16" s="16" t="str">
        <f aca="true">IF(OR(A16="",F16=""),"",F16-TODAY())</f>
        <v/>
      </c>
      <c r="H16" s="17" t="str">
        <f aca="true">IF(A16="","",IF(AND(F16&lt;&gt;"",F16&lt;TODAY()),"Tarihi geçti",IF(AND(F16&lt;&gt;"",F16&lt;=TODAY()+7),"Bu hafta bitiyor",IF(C16&lt;=E16,"Azaldı","Tamam"))))</f>
        <v/>
      </c>
      <c r="I16" s="17" t="str">
        <f aca="false">IF(AND(A16&lt;&gt;"",F16&lt;&gt;""),F16+ROW()/1000000,"")</f>
        <v/>
      </c>
      <c r="J16" s="17" t="str">
        <f aca="false">IF(AND(A16&lt;&gt;"",C16&lt;=E16),ROW(),"")</f>
        <v/>
      </c>
    </row>
    <row r="17" customFormat="false" ht="15" hidden="false" customHeight="false" outlineLevel="0" collapsed="false">
      <c r="A17" s="12"/>
      <c r="B17" s="13"/>
      <c r="C17" s="14"/>
      <c r="D17" s="12"/>
      <c r="E17" s="14"/>
      <c r="F17" s="15"/>
      <c r="G17" s="16" t="str">
        <f aca="true">IF(OR(A17="",F17=""),"",F17-TODAY())</f>
        <v/>
      </c>
      <c r="H17" s="17" t="str">
        <f aca="true">IF(A17="","",IF(AND(F17&lt;&gt;"",F17&lt;TODAY()),"Tarihi geçti",IF(AND(F17&lt;&gt;"",F17&lt;=TODAY()+7),"Bu hafta bitiyor",IF(C17&lt;=E17,"Azaldı","Tamam"))))</f>
        <v/>
      </c>
      <c r="I17" s="17" t="str">
        <f aca="false">IF(AND(A17&lt;&gt;"",F17&lt;&gt;""),F17+ROW()/1000000,"")</f>
        <v/>
      </c>
      <c r="J17" s="17" t="str">
        <f aca="false">IF(AND(A17&lt;&gt;"",C17&lt;=E17),ROW(),"")</f>
        <v/>
      </c>
    </row>
    <row r="18" customFormat="false" ht="15" hidden="false" customHeight="false" outlineLevel="0" collapsed="false">
      <c r="A18" s="12"/>
      <c r="B18" s="13"/>
      <c r="C18" s="14"/>
      <c r="D18" s="12"/>
      <c r="E18" s="14"/>
      <c r="F18" s="15"/>
      <c r="G18" s="16" t="str">
        <f aca="true">IF(OR(A18="",F18=""),"",F18-TODAY())</f>
        <v/>
      </c>
      <c r="H18" s="17" t="str">
        <f aca="true">IF(A18="","",IF(AND(F18&lt;&gt;"",F18&lt;TODAY()),"Tarihi geçti",IF(AND(F18&lt;&gt;"",F18&lt;=TODAY()+7),"Bu hafta bitiyor",IF(C18&lt;=E18,"Azaldı","Tamam"))))</f>
        <v/>
      </c>
      <c r="I18" s="17" t="str">
        <f aca="false">IF(AND(A18&lt;&gt;"",F18&lt;&gt;""),F18+ROW()/1000000,"")</f>
        <v/>
      </c>
      <c r="J18" s="17" t="str">
        <f aca="false">IF(AND(A18&lt;&gt;"",C18&lt;=E18),ROW(),"")</f>
        <v/>
      </c>
    </row>
    <row r="19" customFormat="false" ht="15" hidden="false" customHeight="false" outlineLevel="0" collapsed="false">
      <c r="A19" s="12"/>
      <c r="B19" s="13"/>
      <c r="C19" s="14"/>
      <c r="D19" s="12"/>
      <c r="E19" s="14"/>
      <c r="F19" s="15"/>
      <c r="G19" s="16" t="str">
        <f aca="true">IF(OR(A19="",F19=""),"",F19-TODAY())</f>
        <v/>
      </c>
      <c r="H19" s="17" t="str">
        <f aca="true">IF(A19="","",IF(AND(F19&lt;&gt;"",F19&lt;TODAY()),"Tarihi geçti",IF(AND(F19&lt;&gt;"",F19&lt;=TODAY()+7),"Bu hafta bitiyor",IF(C19&lt;=E19,"Azaldı","Tamam"))))</f>
        <v/>
      </c>
      <c r="I19" s="17" t="str">
        <f aca="false">IF(AND(A19&lt;&gt;"",F19&lt;&gt;""),F19+ROW()/1000000,"")</f>
        <v/>
      </c>
      <c r="J19" s="17" t="str">
        <f aca="false">IF(AND(A19&lt;&gt;"",C19&lt;=E19),ROW(),"")</f>
        <v/>
      </c>
    </row>
    <row r="20" customFormat="false" ht="15" hidden="false" customHeight="false" outlineLevel="0" collapsed="false">
      <c r="A20" s="12"/>
      <c r="B20" s="13"/>
      <c r="C20" s="14"/>
      <c r="D20" s="12"/>
      <c r="E20" s="14"/>
      <c r="F20" s="15"/>
      <c r="G20" s="16" t="str">
        <f aca="true">IF(OR(A20="",F20=""),"",F20-TODAY())</f>
        <v/>
      </c>
      <c r="H20" s="17" t="str">
        <f aca="true">IF(A20="","",IF(AND(F20&lt;&gt;"",F20&lt;TODAY()),"Tarihi geçti",IF(AND(F20&lt;&gt;"",F20&lt;=TODAY()+7),"Bu hafta bitiyor",IF(C20&lt;=E20,"Azaldı","Tamam"))))</f>
        <v/>
      </c>
      <c r="I20" s="17" t="str">
        <f aca="false">IF(AND(A20&lt;&gt;"",F20&lt;&gt;""),F20+ROW()/1000000,"")</f>
        <v/>
      </c>
      <c r="J20" s="17" t="str">
        <f aca="false">IF(AND(A20&lt;&gt;"",C20&lt;=E20),ROW(),"")</f>
        <v/>
      </c>
    </row>
    <row r="21" customFormat="false" ht="15" hidden="false" customHeight="false" outlineLevel="0" collapsed="false">
      <c r="A21" s="12"/>
      <c r="B21" s="13"/>
      <c r="C21" s="14"/>
      <c r="D21" s="12"/>
      <c r="E21" s="14"/>
      <c r="F21" s="15"/>
      <c r="G21" s="16" t="str">
        <f aca="true">IF(OR(A21="",F21=""),"",F21-TODAY())</f>
        <v/>
      </c>
      <c r="H21" s="17" t="str">
        <f aca="true">IF(A21="","",IF(AND(F21&lt;&gt;"",F21&lt;TODAY()),"Tarihi geçti",IF(AND(F21&lt;&gt;"",F21&lt;=TODAY()+7),"Bu hafta bitiyor",IF(C21&lt;=E21,"Azaldı","Tamam"))))</f>
        <v/>
      </c>
      <c r="I21" s="17" t="str">
        <f aca="false">IF(AND(A21&lt;&gt;"",F21&lt;&gt;""),F21+ROW()/1000000,"")</f>
        <v/>
      </c>
      <c r="J21" s="17" t="str">
        <f aca="false">IF(AND(A21&lt;&gt;"",C21&lt;=E21),ROW(),"")</f>
        <v/>
      </c>
    </row>
    <row r="22" customFormat="false" ht="15" hidden="false" customHeight="false" outlineLevel="0" collapsed="false">
      <c r="A22" s="12"/>
      <c r="B22" s="13"/>
      <c r="C22" s="14"/>
      <c r="D22" s="12"/>
      <c r="E22" s="14"/>
      <c r="F22" s="15"/>
      <c r="G22" s="16" t="str">
        <f aca="true">IF(OR(A22="",F22=""),"",F22-TODAY())</f>
        <v/>
      </c>
      <c r="H22" s="17" t="str">
        <f aca="true">IF(A22="","",IF(AND(F22&lt;&gt;"",F22&lt;TODAY()),"Tarihi geçti",IF(AND(F22&lt;&gt;"",F22&lt;=TODAY()+7),"Bu hafta bitiyor",IF(C22&lt;=E22,"Azaldı","Tamam"))))</f>
        <v/>
      </c>
      <c r="I22" s="17" t="str">
        <f aca="false">IF(AND(A22&lt;&gt;"",F22&lt;&gt;""),F22+ROW()/1000000,"")</f>
        <v/>
      </c>
      <c r="J22" s="17" t="str">
        <f aca="false">IF(AND(A22&lt;&gt;"",C22&lt;=E22),ROW(),"")</f>
        <v/>
      </c>
    </row>
    <row r="23" customFormat="false" ht="15" hidden="false" customHeight="false" outlineLevel="0" collapsed="false">
      <c r="A23" s="12"/>
      <c r="B23" s="13"/>
      <c r="C23" s="14"/>
      <c r="D23" s="12"/>
      <c r="E23" s="14"/>
      <c r="F23" s="15"/>
      <c r="G23" s="16" t="str">
        <f aca="true">IF(OR(A23="",F23=""),"",F23-TODAY())</f>
        <v/>
      </c>
      <c r="H23" s="17" t="str">
        <f aca="true">IF(A23="","",IF(AND(F23&lt;&gt;"",F23&lt;TODAY()),"Tarihi geçti",IF(AND(F23&lt;&gt;"",F23&lt;=TODAY()+7),"Bu hafta bitiyor",IF(C23&lt;=E23,"Azaldı","Tamam"))))</f>
        <v/>
      </c>
      <c r="I23" s="17" t="str">
        <f aca="false">IF(AND(A23&lt;&gt;"",F23&lt;&gt;""),F23+ROW()/1000000,"")</f>
        <v/>
      </c>
      <c r="J23" s="17" t="str">
        <f aca="false">IF(AND(A23&lt;&gt;"",C23&lt;=E23),ROW(),"")</f>
        <v/>
      </c>
    </row>
    <row r="24" customFormat="false" ht="15" hidden="false" customHeight="false" outlineLevel="0" collapsed="false">
      <c r="A24" s="12"/>
      <c r="B24" s="13"/>
      <c r="C24" s="14"/>
      <c r="D24" s="12"/>
      <c r="E24" s="14"/>
      <c r="F24" s="15"/>
      <c r="G24" s="16" t="str">
        <f aca="true">IF(OR(A24="",F24=""),"",F24-TODAY())</f>
        <v/>
      </c>
      <c r="H24" s="17" t="str">
        <f aca="true">IF(A24="","",IF(AND(F24&lt;&gt;"",F24&lt;TODAY()),"Tarihi geçti",IF(AND(F24&lt;&gt;"",F24&lt;=TODAY()+7),"Bu hafta bitiyor",IF(C24&lt;=E24,"Azaldı","Tamam"))))</f>
        <v/>
      </c>
      <c r="I24" s="17" t="str">
        <f aca="false">IF(AND(A24&lt;&gt;"",F24&lt;&gt;""),F24+ROW()/1000000,"")</f>
        <v/>
      </c>
      <c r="J24" s="17" t="str">
        <f aca="false">IF(AND(A24&lt;&gt;"",C24&lt;=E24),ROW(),"")</f>
        <v/>
      </c>
    </row>
    <row r="25" customFormat="false" ht="15" hidden="false" customHeight="false" outlineLevel="0" collapsed="false">
      <c r="A25" s="12"/>
      <c r="B25" s="13"/>
      <c r="C25" s="14"/>
      <c r="D25" s="12"/>
      <c r="E25" s="14"/>
      <c r="F25" s="15"/>
      <c r="G25" s="16" t="str">
        <f aca="true">IF(OR(A25="",F25=""),"",F25-TODAY())</f>
        <v/>
      </c>
      <c r="H25" s="17" t="str">
        <f aca="true">IF(A25="","",IF(AND(F25&lt;&gt;"",F25&lt;TODAY()),"Tarihi geçti",IF(AND(F25&lt;&gt;"",F25&lt;=TODAY()+7),"Bu hafta bitiyor",IF(C25&lt;=E25,"Azaldı","Tamam"))))</f>
        <v/>
      </c>
      <c r="I25" s="17" t="str">
        <f aca="false">IF(AND(A25&lt;&gt;"",F25&lt;&gt;""),F25+ROW()/1000000,"")</f>
        <v/>
      </c>
      <c r="J25" s="17" t="str">
        <f aca="false">IF(AND(A25&lt;&gt;"",C25&lt;=E25),ROW(),"")</f>
        <v/>
      </c>
    </row>
    <row r="26" customFormat="false" ht="15" hidden="false" customHeight="false" outlineLevel="0" collapsed="false">
      <c r="A26" s="12"/>
      <c r="B26" s="13"/>
      <c r="C26" s="14"/>
      <c r="D26" s="12"/>
      <c r="E26" s="14"/>
      <c r="F26" s="15"/>
      <c r="G26" s="16" t="str">
        <f aca="true">IF(OR(A26="",F26=""),"",F26-TODAY())</f>
        <v/>
      </c>
      <c r="H26" s="17" t="str">
        <f aca="true">IF(A26="","",IF(AND(F26&lt;&gt;"",F26&lt;TODAY()),"Tarihi geçti",IF(AND(F26&lt;&gt;"",F26&lt;=TODAY()+7),"Bu hafta bitiyor",IF(C26&lt;=E26,"Azaldı","Tamam"))))</f>
        <v/>
      </c>
      <c r="I26" s="17" t="str">
        <f aca="false">IF(AND(A26&lt;&gt;"",F26&lt;&gt;""),F26+ROW()/1000000,"")</f>
        <v/>
      </c>
      <c r="J26" s="17" t="str">
        <f aca="false">IF(AND(A26&lt;&gt;"",C26&lt;=E26),ROW(),"")</f>
        <v/>
      </c>
    </row>
    <row r="27" customFormat="false" ht="15" hidden="false" customHeight="false" outlineLevel="0" collapsed="false">
      <c r="A27" s="12"/>
      <c r="B27" s="13"/>
      <c r="C27" s="14"/>
      <c r="D27" s="12"/>
      <c r="E27" s="14"/>
      <c r="F27" s="15"/>
      <c r="G27" s="16" t="str">
        <f aca="true">IF(OR(A27="",F27=""),"",F27-TODAY())</f>
        <v/>
      </c>
      <c r="H27" s="17" t="str">
        <f aca="true">IF(A27="","",IF(AND(F27&lt;&gt;"",F27&lt;TODAY()),"Tarihi geçti",IF(AND(F27&lt;&gt;"",F27&lt;=TODAY()+7),"Bu hafta bitiyor",IF(C27&lt;=E27,"Azaldı","Tamam"))))</f>
        <v/>
      </c>
      <c r="I27" s="17" t="str">
        <f aca="false">IF(AND(A27&lt;&gt;"",F27&lt;&gt;""),F27+ROW()/1000000,"")</f>
        <v/>
      </c>
      <c r="J27" s="17" t="str">
        <f aca="false">IF(AND(A27&lt;&gt;"",C27&lt;=E27),ROW(),"")</f>
        <v/>
      </c>
    </row>
    <row r="28" customFormat="false" ht="15" hidden="false" customHeight="false" outlineLevel="0" collapsed="false">
      <c r="A28" s="12"/>
      <c r="B28" s="13"/>
      <c r="C28" s="14"/>
      <c r="D28" s="12"/>
      <c r="E28" s="14"/>
      <c r="F28" s="15"/>
      <c r="G28" s="16" t="str">
        <f aca="true">IF(OR(A28="",F28=""),"",F28-TODAY())</f>
        <v/>
      </c>
      <c r="H28" s="17" t="str">
        <f aca="true">IF(A28="","",IF(AND(F28&lt;&gt;"",F28&lt;TODAY()),"Tarihi geçti",IF(AND(F28&lt;&gt;"",F28&lt;=TODAY()+7),"Bu hafta bitiyor",IF(C28&lt;=E28,"Azaldı","Tamam"))))</f>
        <v/>
      </c>
      <c r="I28" s="17" t="str">
        <f aca="false">IF(AND(A28&lt;&gt;"",F28&lt;&gt;""),F28+ROW()/1000000,"")</f>
        <v/>
      </c>
      <c r="J28" s="17" t="str">
        <f aca="false">IF(AND(A28&lt;&gt;"",C28&lt;=E28),ROW(),"")</f>
        <v/>
      </c>
    </row>
    <row r="29" customFormat="false" ht="15" hidden="false" customHeight="false" outlineLevel="0" collapsed="false">
      <c r="A29" s="12"/>
      <c r="B29" s="13"/>
      <c r="C29" s="14"/>
      <c r="D29" s="12"/>
      <c r="E29" s="14"/>
      <c r="F29" s="15"/>
      <c r="G29" s="16" t="str">
        <f aca="true">IF(OR(A29="",F29=""),"",F29-TODAY())</f>
        <v/>
      </c>
      <c r="H29" s="17" t="str">
        <f aca="true">IF(A29="","",IF(AND(F29&lt;&gt;"",F29&lt;TODAY()),"Tarihi geçti",IF(AND(F29&lt;&gt;"",F29&lt;=TODAY()+7),"Bu hafta bitiyor",IF(C29&lt;=E29,"Azaldı","Tamam"))))</f>
        <v/>
      </c>
      <c r="I29" s="17" t="str">
        <f aca="false">IF(AND(A29&lt;&gt;"",F29&lt;&gt;""),F29+ROW()/1000000,"")</f>
        <v/>
      </c>
      <c r="J29" s="17" t="str">
        <f aca="false">IF(AND(A29&lt;&gt;"",C29&lt;=E29),ROW(),"")</f>
        <v/>
      </c>
    </row>
    <row r="30" customFormat="false" ht="15" hidden="false" customHeight="false" outlineLevel="0" collapsed="false">
      <c r="A30" s="12"/>
      <c r="B30" s="13"/>
      <c r="C30" s="14"/>
      <c r="D30" s="12"/>
      <c r="E30" s="14"/>
      <c r="F30" s="15"/>
      <c r="G30" s="16" t="str">
        <f aca="true">IF(OR(A30="",F30=""),"",F30-TODAY())</f>
        <v/>
      </c>
      <c r="H30" s="17" t="str">
        <f aca="true">IF(A30="","",IF(AND(F30&lt;&gt;"",F30&lt;TODAY()),"Tarihi geçti",IF(AND(F30&lt;&gt;"",F30&lt;=TODAY()+7),"Bu hafta bitiyor",IF(C30&lt;=E30,"Azaldı","Tamam"))))</f>
        <v/>
      </c>
      <c r="I30" s="17" t="str">
        <f aca="false">IF(AND(A30&lt;&gt;"",F30&lt;&gt;""),F30+ROW()/1000000,"")</f>
        <v/>
      </c>
      <c r="J30" s="17" t="str">
        <f aca="false">IF(AND(A30&lt;&gt;"",C30&lt;=E30),ROW(),"")</f>
        <v/>
      </c>
    </row>
    <row r="31" customFormat="false" ht="15" hidden="false" customHeight="false" outlineLevel="0" collapsed="false">
      <c r="A31" s="12"/>
      <c r="B31" s="13"/>
      <c r="C31" s="14"/>
      <c r="D31" s="12"/>
      <c r="E31" s="14"/>
      <c r="F31" s="15"/>
      <c r="G31" s="16" t="str">
        <f aca="true">IF(OR(A31="",F31=""),"",F31-TODAY())</f>
        <v/>
      </c>
      <c r="H31" s="17" t="str">
        <f aca="true">IF(A31="","",IF(AND(F31&lt;&gt;"",F31&lt;TODAY()),"Tarihi geçti",IF(AND(F31&lt;&gt;"",F31&lt;=TODAY()+7),"Bu hafta bitiyor",IF(C31&lt;=E31,"Azaldı","Tamam"))))</f>
        <v/>
      </c>
      <c r="I31" s="17" t="str">
        <f aca="false">IF(AND(A31&lt;&gt;"",F31&lt;&gt;""),F31+ROW()/1000000,"")</f>
        <v/>
      </c>
      <c r="J31" s="17" t="str">
        <f aca="false">IF(AND(A31&lt;&gt;"",C31&lt;=E31),ROW(),"")</f>
        <v/>
      </c>
    </row>
    <row r="32" customFormat="false" ht="15" hidden="false" customHeight="false" outlineLevel="0" collapsed="false">
      <c r="A32" s="12"/>
      <c r="B32" s="13"/>
      <c r="C32" s="14"/>
      <c r="D32" s="12"/>
      <c r="E32" s="14"/>
      <c r="F32" s="15"/>
      <c r="G32" s="16" t="str">
        <f aca="true">IF(OR(A32="",F32=""),"",F32-TODAY())</f>
        <v/>
      </c>
      <c r="H32" s="17" t="str">
        <f aca="true">IF(A32="","",IF(AND(F32&lt;&gt;"",F32&lt;TODAY()),"Tarihi geçti",IF(AND(F32&lt;&gt;"",F32&lt;=TODAY()+7),"Bu hafta bitiyor",IF(C32&lt;=E32,"Azaldı","Tamam"))))</f>
        <v/>
      </c>
      <c r="I32" s="17" t="str">
        <f aca="false">IF(AND(A32&lt;&gt;"",F32&lt;&gt;""),F32+ROW()/1000000,"")</f>
        <v/>
      </c>
      <c r="J32" s="17" t="str">
        <f aca="false">IF(AND(A32&lt;&gt;"",C32&lt;=E32),ROW(),"")</f>
        <v/>
      </c>
    </row>
    <row r="33" customFormat="false" ht="15" hidden="false" customHeight="false" outlineLevel="0" collapsed="false">
      <c r="A33" s="12"/>
      <c r="B33" s="13"/>
      <c r="C33" s="14"/>
      <c r="D33" s="12"/>
      <c r="E33" s="14"/>
      <c r="F33" s="15"/>
      <c r="G33" s="16" t="str">
        <f aca="true">IF(OR(A33="",F33=""),"",F33-TODAY())</f>
        <v/>
      </c>
      <c r="H33" s="17" t="str">
        <f aca="true">IF(A33="","",IF(AND(F33&lt;&gt;"",F33&lt;TODAY()),"Tarihi geçti",IF(AND(F33&lt;&gt;"",F33&lt;=TODAY()+7),"Bu hafta bitiyor",IF(C33&lt;=E33,"Azaldı","Tamam"))))</f>
        <v/>
      </c>
      <c r="I33" s="17" t="str">
        <f aca="false">IF(AND(A33&lt;&gt;"",F33&lt;&gt;""),F33+ROW()/1000000,"")</f>
        <v/>
      </c>
      <c r="J33" s="17" t="str">
        <f aca="false">IF(AND(A33&lt;&gt;"",C33&lt;=E33),ROW(),"")</f>
        <v/>
      </c>
    </row>
    <row r="34" customFormat="false" ht="15" hidden="false" customHeight="false" outlineLevel="0" collapsed="false">
      <c r="A34" s="12"/>
      <c r="B34" s="13"/>
      <c r="C34" s="14"/>
      <c r="D34" s="12"/>
      <c r="E34" s="14"/>
      <c r="F34" s="15"/>
      <c r="G34" s="16" t="str">
        <f aca="true">IF(OR(A34="",F34=""),"",F34-TODAY())</f>
        <v/>
      </c>
      <c r="H34" s="17" t="str">
        <f aca="true">IF(A34="","",IF(AND(F34&lt;&gt;"",F34&lt;TODAY()),"Tarihi geçti",IF(AND(F34&lt;&gt;"",F34&lt;=TODAY()+7),"Bu hafta bitiyor",IF(C34&lt;=E34,"Azaldı","Tamam"))))</f>
        <v/>
      </c>
      <c r="I34" s="17" t="str">
        <f aca="false">IF(AND(A34&lt;&gt;"",F34&lt;&gt;""),F34+ROW()/1000000,"")</f>
        <v/>
      </c>
      <c r="J34" s="17" t="str">
        <f aca="false">IF(AND(A34&lt;&gt;"",C34&lt;=E34),ROW(),"")</f>
        <v/>
      </c>
    </row>
    <row r="35" customFormat="false" ht="15" hidden="false" customHeight="false" outlineLevel="0" collapsed="false">
      <c r="A35" s="12"/>
      <c r="B35" s="13"/>
      <c r="C35" s="14"/>
      <c r="D35" s="12"/>
      <c r="E35" s="14"/>
      <c r="F35" s="15"/>
      <c r="G35" s="16" t="str">
        <f aca="true">IF(OR(A35="",F35=""),"",F35-TODAY())</f>
        <v/>
      </c>
      <c r="H35" s="17" t="str">
        <f aca="true">IF(A35="","",IF(AND(F35&lt;&gt;"",F35&lt;TODAY()),"Tarihi geçti",IF(AND(F35&lt;&gt;"",F35&lt;=TODAY()+7),"Bu hafta bitiyor",IF(C35&lt;=E35,"Azaldı","Tamam"))))</f>
        <v/>
      </c>
      <c r="I35" s="17" t="str">
        <f aca="false">IF(AND(A35&lt;&gt;"",F35&lt;&gt;""),F35+ROW()/1000000,"")</f>
        <v/>
      </c>
      <c r="J35" s="17" t="str">
        <f aca="false">IF(AND(A35&lt;&gt;"",C35&lt;=E35),ROW(),"")</f>
        <v/>
      </c>
    </row>
    <row r="36" customFormat="false" ht="15" hidden="false" customHeight="false" outlineLevel="0" collapsed="false">
      <c r="A36" s="12"/>
      <c r="B36" s="13"/>
      <c r="C36" s="14"/>
      <c r="D36" s="12"/>
      <c r="E36" s="14"/>
      <c r="F36" s="15"/>
      <c r="G36" s="16" t="str">
        <f aca="true">IF(OR(A36="",F36=""),"",F36-TODAY())</f>
        <v/>
      </c>
      <c r="H36" s="17" t="str">
        <f aca="true">IF(A36="","",IF(AND(F36&lt;&gt;"",F36&lt;TODAY()),"Tarihi geçti",IF(AND(F36&lt;&gt;"",F36&lt;=TODAY()+7),"Bu hafta bitiyor",IF(C36&lt;=E36,"Azaldı","Tamam"))))</f>
        <v/>
      </c>
      <c r="I36" s="17" t="str">
        <f aca="false">IF(AND(A36&lt;&gt;"",F36&lt;&gt;""),F36+ROW()/1000000,"")</f>
        <v/>
      </c>
      <c r="J36" s="17" t="str">
        <f aca="false">IF(AND(A36&lt;&gt;"",C36&lt;=E36),ROW(),"")</f>
        <v/>
      </c>
    </row>
    <row r="37" customFormat="false" ht="15" hidden="false" customHeight="false" outlineLevel="0" collapsed="false">
      <c r="A37" s="12"/>
      <c r="B37" s="13"/>
      <c r="C37" s="14"/>
      <c r="D37" s="12"/>
      <c r="E37" s="14"/>
      <c r="F37" s="15"/>
      <c r="G37" s="16" t="str">
        <f aca="true">IF(OR(A37="",F37=""),"",F37-TODAY())</f>
        <v/>
      </c>
      <c r="H37" s="17" t="str">
        <f aca="true">IF(A37="","",IF(AND(F37&lt;&gt;"",F37&lt;TODAY()),"Tarihi geçti",IF(AND(F37&lt;&gt;"",F37&lt;=TODAY()+7),"Bu hafta bitiyor",IF(C37&lt;=E37,"Azaldı","Tamam"))))</f>
        <v/>
      </c>
      <c r="I37" s="17" t="str">
        <f aca="false">IF(AND(A37&lt;&gt;"",F37&lt;&gt;""),F37+ROW()/1000000,"")</f>
        <v/>
      </c>
      <c r="J37" s="17" t="str">
        <f aca="false">IF(AND(A37&lt;&gt;"",C37&lt;=E37),ROW(),"")</f>
        <v/>
      </c>
    </row>
    <row r="38" customFormat="false" ht="15" hidden="false" customHeight="false" outlineLevel="0" collapsed="false">
      <c r="A38" s="12"/>
      <c r="B38" s="13"/>
      <c r="C38" s="14"/>
      <c r="D38" s="12"/>
      <c r="E38" s="14"/>
      <c r="F38" s="15"/>
      <c r="G38" s="16" t="str">
        <f aca="true">IF(OR(A38="",F38=""),"",F38-TODAY())</f>
        <v/>
      </c>
      <c r="H38" s="17" t="str">
        <f aca="true">IF(A38="","",IF(AND(F38&lt;&gt;"",F38&lt;TODAY()),"Tarihi geçti",IF(AND(F38&lt;&gt;"",F38&lt;=TODAY()+7),"Bu hafta bitiyor",IF(C38&lt;=E38,"Azaldı","Tamam"))))</f>
        <v/>
      </c>
      <c r="I38" s="17" t="str">
        <f aca="false">IF(AND(A38&lt;&gt;"",F38&lt;&gt;""),F38+ROW()/1000000,"")</f>
        <v/>
      </c>
      <c r="J38" s="17" t="str">
        <f aca="false">IF(AND(A38&lt;&gt;"",C38&lt;=E38),ROW(),"")</f>
        <v/>
      </c>
    </row>
    <row r="39" customFormat="false" ht="15" hidden="false" customHeight="false" outlineLevel="0" collapsed="false">
      <c r="A39" s="12"/>
      <c r="B39" s="13"/>
      <c r="C39" s="14"/>
      <c r="D39" s="12"/>
      <c r="E39" s="14"/>
      <c r="F39" s="15"/>
      <c r="G39" s="16" t="str">
        <f aca="true">IF(OR(A39="",F39=""),"",F39-TODAY())</f>
        <v/>
      </c>
      <c r="H39" s="17" t="str">
        <f aca="true">IF(A39="","",IF(AND(F39&lt;&gt;"",F39&lt;TODAY()),"Tarihi geçti",IF(AND(F39&lt;&gt;"",F39&lt;=TODAY()+7),"Bu hafta bitiyor",IF(C39&lt;=E39,"Azaldı","Tamam"))))</f>
        <v/>
      </c>
      <c r="I39" s="17" t="str">
        <f aca="false">IF(AND(A39&lt;&gt;"",F39&lt;&gt;""),F39+ROW()/1000000,"")</f>
        <v/>
      </c>
      <c r="J39" s="17" t="str">
        <f aca="false">IF(AND(A39&lt;&gt;"",C39&lt;=E39),ROW(),"")</f>
        <v/>
      </c>
    </row>
    <row r="40" customFormat="false" ht="15" hidden="false" customHeight="false" outlineLevel="0" collapsed="false">
      <c r="A40" s="12"/>
      <c r="B40" s="13"/>
      <c r="C40" s="14"/>
      <c r="D40" s="12"/>
      <c r="E40" s="14"/>
      <c r="F40" s="15"/>
      <c r="G40" s="16" t="str">
        <f aca="true">IF(OR(A40="",F40=""),"",F40-TODAY())</f>
        <v/>
      </c>
      <c r="H40" s="17" t="str">
        <f aca="true">IF(A40="","",IF(AND(F40&lt;&gt;"",F40&lt;TODAY()),"Tarihi geçti",IF(AND(F40&lt;&gt;"",F40&lt;=TODAY()+7),"Bu hafta bitiyor",IF(C40&lt;=E40,"Azaldı","Tamam"))))</f>
        <v/>
      </c>
      <c r="I40" s="17" t="str">
        <f aca="false">IF(AND(A40&lt;&gt;"",F40&lt;&gt;""),F40+ROW()/1000000,"")</f>
        <v/>
      </c>
      <c r="J40" s="17" t="str">
        <f aca="false">IF(AND(A40&lt;&gt;"",C40&lt;=E40),ROW(),"")</f>
        <v/>
      </c>
    </row>
    <row r="41" customFormat="false" ht="15" hidden="false" customHeight="false" outlineLevel="0" collapsed="false">
      <c r="A41" s="12"/>
      <c r="B41" s="13"/>
      <c r="C41" s="14"/>
      <c r="D41" s="12"/>
      <c r="E41" s="14"/>
      <c r="F41" s="15"/>
      <c r="G41" s="16" t="str">
        <f aca="true">IF(OR(A41="",F41=""),"",F41-TODAY())</f>
        <v/>
      </c>
      <c r="H41" s="17" t="str">
        <f aca="true">IF(A41="","",IF(AND(F41&lt;&gt;"",F41&lt;TODAY()),"Tarihi geçti",IF(AND(F41&lt;&gt;"",F41&lt;=TODAY()+7),"Bu hafta bitiyor",IF(C41&lt;=E41,"Azaldı","Tamam"))))</f>
        <v/>
      </c>
      <c r="I41" s="17" t="str">
        <f aca="false">IF(AND(A41&lt;&gt;"",F41&lt;&gt;""),F41+ROW()/1000000,"")</f>
        <v/>
      </c>
      <c r="J41" s="17" t="str">
        <f aca="false">IF(AND(A41&lt;&gt;"",C41&lt;=E41),ROW(),"")</f>
        <v/>
      </c>
    </row>
    <row r="42" customFormat="false" ht="15" hidden="false" customHeight="false" outlineLevel="0" collapsed="false">
      <c r="A42" s="12"/>
      <c r="B42" s="13"/>
      <c r="C42" s="14"/>
      <c r="D42" s="12"/>
      <c r="E42" s="14"/>
      <c r="F42" s="15"/>
      <c r="G42" s="16" t="str">
        <f aca="true">IF(OR(A42="",F42=""),"",F42-TODAY())</f>
        <v/>
      </c>
      <c r="H42" s="17" t="str">
        <f aca="true">IF(A42="","",IF(AND(F42&lt;&gt;"",F42&lt;TODAY()),"Tarihi geçti",IF(AND(F42&lt;&gt;"",F42&lt;=TODAY()+7),"Bu hafta bitiyor",IF(C42&lt;=E42,"Azaldı","Tamam"))))</f>
        <v/>
      </c>
      <c r="I42" s="17" t="str">
        <f aca="false">IF(AND(A42&lt;&gt;"",F42&lt;&gt;""),F42+ROW()/1000000,"")</f>
        <v/>
      </c>
      <c r="J42" s="17" t="str">
        <f aca="false">IF(AND(A42&lt;&gt;"",C42&lt;=E42),ROW(),"")</f>
        <v/>
      </c>
    </row>
    <row r="43" customFormat="false" ht="15" hidden="false" customHeight="false" outlineLevel="0" collapsed="false">
      <c r="A43" s="12"/>
      <c r="B43" s="13"/>
      <c r="C43" s="14"/>
      <c r="D43" s="12"/>
      <c r="E43" s="14"/>
      <c r="F43" s="15"/>
      <c r="G43" s="16" t="str">
        <f aca="true">IF(OR(A43="",F43=""),"",F43-TODAY())</f>
        <v/>
      </c>
      <c r="H43" s="17" t="str">
        <f aca="true">IF(A43="","",IF(AND(F43&lt;&gt;"",F43&lt;TODAY()),"Tarihi geçti",IF(AND(F43&lt;&gt;"",F43&lt;=TODAY()+7),"Bu hafta bitiyor",IF(C43&lt;=E43,"Azaldı","Tamam"))))</f>
        <v/>
      </c>
      <c r="I43" s="17" t="str">
        <f aca="false">IF(AND(A43&lt;&gt;"",F43&lt;&gt;""),F43+ROW()/1000000,"")</f>
        <v/>
      </c>
      <c r="J43" s="17" t="str">
        <f aca="false">IF(AND(A43&lt;&gt;"",C43&lt;=E43),ROW(),"")</f>
        <v/>
      </c>
    </row>
    <row r="44" customFormat="false" ht="15" hidden="false" customHeight="false" outlineLevel="0" collapsed="false">
      <c r="A44" s="12"/>
      <c r="B44" s="13"/>
      <c r="C44" s="14"/>
      <c r="D44" s="12"/>
      <c r="E44" s="14"/>
      <c r="F44" s="15"/>
      <c r="G44" s="16" t="str">
        <f aca="true">IF(OR(A44="",F44=""),"",F44-TODAY())</f>
        <v/>
      </c>
      <c r="H44" s="17" t="str">
        <f aca="true">IF(A44="","",IF(AND(F44&lt;&gt;"",F44&lt;TODAY()),"Tarihi geçti",IF(AND(F44&lt;&gt;"",F44&lt;=TODAY()+7),"Bu hafta bitiyor",IF(C44&lt;=E44,"Azaldı","Tamam"))))</f>
        <v/>
      </c>
      <c r="I44" s="17" t="str">
        <f aca="false">IF(AND(A44&lt;&gt;"",F44&lt;&gt;""),F44+ROW()/1000000,"")</f>
        <v/>
      </c>
      <c r="J44" s="17" t="str">
        <f aca="false">IF(AND(A44&lt;&gt;"",C44&lt;=E44),ROW(),"")</f>
        <v/>
      </c>
    </row>
    <row r="45" customFormat="false" ht="15" hidden="false" customHeight="false" outlineLevel="0" collapsed="false">
      <c r="A45" s="12"/>
      <c r="B45" s="13"/>
      <c r="C45" s="14"/>
      <c r="D45" s="12"/>
      <c r="E45" s="14"/>
      <c r="F45" s="15"/>
      <c r="G45" s="16" t="str">
        <f aca="true">IF(OR(A45="",F45=""),"",F45-TODAY())</f>
        <v/>
      </c>
      <c r="H45" s="17" t="str">
        <f aca="true">IF(A45="","",IF(AND(F45&lt;&gt;"",F45&lt;TODAY()),"Tarihi geçti",IF(AND(F45&lt;&gt;"",F45&lt;=TODAY()+7),"Bu hafta bitiyor",IF(C45&lt;=E45,"Azaldı","Tamam"))))</f>
        <v/>
      </c>
      <c r="I45" s="17" t="str">
        <f aca="false">IF(AND(A45&lt;&gt;"",F45&lt;&gt;""),F45+ROW()/1000000,"")</f>
        <v/>
      </c>
      <c r="J45" s="17" t="str">
        <f aca="false">IF(AND(A45&lt;&gt;"",C45&lt;=E45),ROW(),"")</f>
        <v/>
      </c>
    </row>
    <row r="46" customFormat="false" ht="15" hidden="false" customHeight="false" outlineLevel="0" collapsed="false">
      <c r="A46" s="12"/>
      <c r="B46" s="13"/>
      <c r="C46" s="14"/>
      <c r="D46" s="12"/>
      <c r="E46" s="14"/>
      <c r="F46" s="15"/>
      <c r="G46" s="16" t="str">
        <f aca="true">IF(OR(A46="",F46=""),"",F46-TODAY())</f>
        <v/>
      </c>
      <c r="H46" s="17" t="str">
        <f aca="true">IF(A46="","",IF(AND(F46&lt;&gt;"",F46&lt;TODAY()),"Tarihi geçti",IF(AND(F46&lt;&gt;"",F46&lt;=TODAY()+7),"Bu hafta bitiyor",IF(C46&lt;=E46,"Azaldı","Tamam"))))</f>
        <v/>
      </c>
      <c r="I46" s="17" t="str">
        <f aca="false">IF(AND(A46&lt;&gt;"",F46&lt;&gt;""),F46+ROW()/1000000,"")</f>
        <v/>
      </c>
      <c r="J46" s="17" t="str">
        <f aca="false">IF(AND(A46&lt;&gt;"",C46&lt;=E46),ROW(),"")</f>
        <v/>
      </c>
    </row>
    <row r="47" customFormat="false" ht="15" hidden="false" customHeight="false" outlineLevel="0" collapsed="false">
      <c r="A47" s="12"/>
      <c r="B47" s="13"/>
      <c r="C47" s="14"/>
      <c r="D47" s="12"/>
      <c r="E47" s="14"/>
      <c r="F47" s="15"/>
      <c r="G47" s="16" t="str">
        <f aca="true">IF(OR(A47="",F47=""),"",F47-TODAY())</f>
        <v/>
      </c>
      <c r="H47" s="17" t="str">
        <f aca="true">IF(A47="","",IF(AND(F47&lt;&gt;"",F47&lt;TODAY()),"Tarihi geçti",IF(AND(F47&lt;&gt;"",F47&lt;=TODAY()+7),"Bu hafta bitiyor",IF(C47&lt;=E47,"Azaldı","Tamam"))))</f>
        <v/>
      </c>
      <c r="I47" s="17" t="str">
        <f aca="false">IF(AND(A47&lt;&gt;"",F47&lt;&gt;""),F47+ROW()/1000000,"")</f>
        <v/>
      </c>
      <c r="J47" s="17" t="str">
        <f aca="false">IF(AND(A47&lt;&gt;"",C47&lt;=E47),ROW(),"")</f>
        <v/>
      </c>
    </row>
    <row r="48" customFormat="false" ht="15" hidden="false" customHeight="false" outlineLevel="0" collapsed="false">
      <c r="A48" s="12"/>
      <c r="B48" s="13"/>
      <c r="C48" s="14"/>
      <c r="D48" s="12"/>
      <c r="E48" s="14"/>
      <c r="F48" s="15"/>
      <c r="G48" s="16" t="str">
        <f aca="true">IF(OR(A48="",F48=""),"",F48-TODAY())</f>
        <v/>
      </c>
      <c r="H48" s="17" t="str">
        <f aca="true">IF(A48="","",IF(AND(F48&lt;&gt;"",F48&lt;TODAY()),"Tarihi geçti",IF(AND(F48&lt;&gt;"",F48&lt;=TODAY()+7),"Bu hafta bitiyor",IF(C48&lt;=E48,"Azaldı","Tamam"))))</f>
        <v/>
      </c>
      <c r="I48" s="17" t="str">
        <f aca="false">IF(AND(A48&lt;&gt;"",F48&lt;&gt;""),F48+ROW()/1000000,"")</f>
        <v/>
      </c>
      <c r="J48" s="17" t="str">
        <f aca="false">IF(AND(A48&lt;&gt;"",C48&lt;=E48),ROW(),"")</f>
        <v/>
      </c>
    </row>
    <row r="49" customFormat="false" ht="15" hidden="false" customHeight="false" outlineLevel="0" collapsed="false">
      <c r="A49" s="12"/>
      <c r="B49" s="13"/>
      <c r="C49" s="14"/>
      <c r="D49" s="12"/>
      <c r="E49" s="14"/>
      <c r="F49" s="15"/>
      <c r="G49" s="16" t="str">
        <f aca="true">IF(OR(A49="",F49=""),"",F49-TODAY())</f>
        <v/>
      </c>
      <c r="H49" s="17" t="str">
        <f aca="true">IF(A49="","",IF(AND(F49&lt;&gt;"",F49&lt;TODAY()),"Tarihi geçti",IF(AND(F49&lt;&gt;"",F49&lt;=TODAY()+7),"Bu hafta bitiyor",IF(C49&lt;=E49,"Azaldı","Tamam"))))</f>
        <v/>
      </c>
      <c r="I49" s="17" t="str">
        <f aca="false">IF(AND(A49&lt;&gt;"",F49&lt;&gt;""),F49+ROW()/1000000,"")</f>
        <v/>
      </c>
      <c r="J49" s="17" t="str">
        <f aca="false">IF(AND(A49&lt;&gt;"",C49&lt;=E49),ROW(),"")</f>
        <v/>
      </c>
    </row>
    <row r="50" customFormat="false" ht="15" hidden="false" customHeight="false" outlineLevel="0" collapsed="false">
      <c r="A50" s="12"/>
      <c r="B50" s="13"/>
      <c r="C50" s="14"/>
      <c r="D50" s="12"/>
      <c r="E50" s="14"/>
      <c r="F50" s="15"/>
      <c r="G50" s="16" t="str">
        <f aca="true">IF(OR(A50="",F50=""),"",F50-TODAY())</f>
        <v/>
      </c>
      <c r="H50" s="17" t="str">
        <f aca="true">IF(A50="","",IF(AND(F50&lt;&gt;"",F50&lt;TODAY()),"Tarihi geçti",IF(AND(F50&lt;&gt;"",F50&lt;=TODAY()+7),"Bu hafta bitiyor",IF(C50&lt;=E50,"Azaldı","Tamam"))))</f>
        <v/>
      </c>
      <c r="I50" s="17" t="str">
        <f aca="false">IF(AND(A50&lt;&gt;"",F50&lt;&gt;""),F50+ROW()/1000000,"")</f>
        <v/>
      </c>
      <c r="J50" s="17" t="str">
        <f aca="false">IF(AND(A50&lt;&gt;"",C50&lt;=E50),ROW(),"")</f>
        <v/>
      </c>
    </row>
    <row r="51" customFormat="false" ht="15" hidden="false" customHeight="false" outlineLevel="0" collapsed="false">
      <c r="A51" s="12"/>
      <c r="B51" s="13"/>
      <c r="C51" s="14"/>
      <c r="D51" s="12"/>
      <c r="E51" s="14"/>
      <c r="F51" s="15"/>
      <c r="G51" s="16" t="str">
        <f aca="true">IF(OR(A51="",F51=""),"",F51-TODAY())</f>
        <v/>
      </c>
      <c r="H51" s="17" t="str">
        <f aca="true">IF(A51="","",IF(AND(F51&lt;&gt;"",F51&lt;TODAY()),"Tarihi geçti",IF(AND(F51&lt;&gt;"",F51&lt;=TODAY()+7),"Bu hafta bitiyor",IF(C51&lt;=E51,"Azaldı","Tamam"))))</f>
        <v/>
      </c>
      <c r="I51" s="17" t="str">
        <f aca="false">IF(AND(A51&lt;&gt;"",F51&lt;&gt;""),F51+ROW()/1000000,"")</f>
        <v/>
      </c>
      <c r="J51" s="17" t="str">
        <f aca="false">IF(AND(A51&lt;&gt;"",C51&lt;=E51),ROW(),"")</f>
        <v/>
      </c>
    </row>
    <row r="52" customFormat="false" ht="15" hidden="false" customHeight="false" outlineLevel="0" collapsed="false">
      <c r="A52" s="12"/>
      <c r="B52" s="13"/>
      <c r="C52" s="14"/>
      <c r="D52" s="12"/>
      <c r="E52" s="14"/>
      <c r="F52" s="15"/>
      <c r="G52" s="16" t="str">
        <f aca="true">IF(OR(A52="",F52=""),"",F52-TODAY())</f>
        <v/>
      </c>
      <c r="H52" s="17" t="str">
        <f aca="true">IF(A52="","",IF(AND(F52&lt;&gt;"",F52&lt;TODAY()),"Tarihi geçti",IF(AND(F52&lt;&gt;"",F52&lt;=TODAY()+7),"Bu hafta bitiyor",IF(C52&lt;=E52,"Azaldı","Tamam"))))</f>
        <v/>
      </c>
      <c r="I52" s="17" t="str">
        <f aca="false">IF(AND(A52&lt;&gt;"",F52&lt;&gt;""),F52+ROW()/1000000,"")</f>
        <v/>
      </c>
      <c r="J52" s="17" t="str">
        <f aca="false">IF(AND(A52&lt;&gt;"",C52&lt;=E52),ROW(),"")</f>
        <v/>
      </c>
    </row>
    <row r="53" customFormat="false" ht="15" hidden="false" customHeight="false" outlineLevel="0" collapsed="false">
      <c r="A53" s="12"/>
      <c r="B53" s="13"/>
      <c r="C53" s="14"/>
      <c r="D53" s="12"/>
      <c r="E53" s="14"/>
      <c r="F53" s="15"/>
      <c r="G53" s="16" t="str">
        <f aca="true">IF(OR(A53="",F53=""),"",F53-TODAY())</f>
        <v/>
      </c>
      <c r="H53" s="17" t="str">
        <f aca="true">IF(A53="","",IF(AND(F53&lt;&gt;"",F53&lt;TODAY()),"Tarihi geçti",IF(AND(F53&lt;&gt;"",F53&lt;=TODAY()+7),"Bu hafta bitiyor",IF(C53&lt;=E53,"Azaldı","Tamam"))))</f>
        <v/>
      </c>
      <c r="I53" s="17" t="str">
        <f aca="false">IF(AND(A53&lt;&gt;"",F53&lt;&gt;""),F53+ROW()/1000000,"")</f>
        <v/>
      </c>
      <c r="J53" s="17" t="str">
        <f aca="false">IF(AND(A53&lt;&gt;"",C53&lt;=E53),ROW(),"")</f>
        <v/>
      </c>
    </row>
    <row r="54" customFormat="false" ht="15" hidden="false" customHeight="false" outlineLevel="0" collapsed="false">
      <c r="A54" s="12"/>
      <c r="B54" s="13"/>
      <c r="C54" s="14"/>
      <c r="D54" s="12"/>
      <c r="E54" s="14"/>
      <c r="F54" s="15"/>
      <c r="G54" s="16" t="str">
        <f aca="true">IF(OR(A54="",F54=""),"",F54-TODAY())</f>
        <v/>
      </c>
      <c r="H54" s="17" t="str">
        <f aca="true">IF(A54="","",IF(AND(F54&lt;&gt;"",F54&lt;TODAY()),"Tarihi geçti",IF(AND(F54&lt;&gt;"",F54&lt;=TODAY()+7),"Bu hafta bitiyor",IF(C54&lt;=E54,"Azaldı","Tamam"))))</f>
        <v/>
      </c>
      <c r="I54" s="17" t="str">
        <f aca="false">IF(AND(A54&lt;&gt;"",F54&lt;&gt;""),F54+ROW()/1000000,"")</f>
        <v/>
      </c>
      <c r="J54" s="17" t="str">
        <f aca="false">IF(AND(A54&lt;&gt;"",C54&lt;=E54),ROW(),"")</f>
        <v/>
      </c>
    </row>
    <row r="55" customFormat="false" ht="15" hidden="false" customHeight="false" outlineLevel="0" collapsed="false">
      <c r="A55" s="12"/>
      <c r="B55" s="13"/>
      <c r="C55" s="14"/>
      <c r="D55" s="12"/>
      <c r="E55" s="14"/>
      <c r="F55" s="15"/>
      <c r="G55" s="16" t="str">
        <f aca="true">IF(OR(A55="",F55=""),"",F55-TODAY())</f>
        <v/>
      </c>
      <c r="H55" s="17" t="str">
        <f aca="true">IF(A55="","",IF(AND(F55&lt;&gt;"",F55&lt;TODAY()),"Tarihi geçti",IF(AND(F55&lt;&gt;"",F55&lt;=TODAY()+7),"Bu hafta bitiyor",IF(C55&lt;=E55,"Azaldı","Tamam"))))</f>
        <v/>
      </c>
      <c r="I55" s="17" t="str">
        <f aca="false">IF(AND(A55&lt;&gt;"",F55&lt;&gt;""),F55+ROW()/1000000,"")</f>
        <v/>
      </c>
      <c r="J55" s="17" t="str">
        <f aca="false">IF(AND(A55&lt;&gt;"",C55&lt;=E55),ROW(),"")</f>
        <v/>
      </c>
    </row>
    <row r="56" customFormat="false" ht="15" hidden="false" customHeight="false" outlineLevel="0" collapsed="false">
      <c r="A56" s="12"/>
      <c r="B56" s="13"/>
      <c r="C56" s="14"/>
      <c r="D56" s="12"/>
      <c r="E56" s="14"/>
      <c r="F56" s="15"/>
      <c r="G56" s="16" t="str">
        <f aca="true">IF(OR(A56="",F56=""),"",F56-TODAY())</f>
        <v/>
      </c>
      <c r="H56" s="17" t="str">
        <f aca="true">IF(A56="","",IF(AND(F56&lt;&gt;"",F56&lt;TODAY()),"Tarihi geçti",IF(AND(F56&lt;&gt;"",F56&lt;=TODAY()+7),"Bu hafta bitiyor",IF(C56&lt;=E56,"Azaldı","Tamam"))))</f>
        <v/>
      </c>
      <c r="I56" s="17" t="str">
        <f aca="false">IF(AND(A56&lt;&gt;"",F56&lt;&gt;""),F56+ROW()/1000000,"")</f>
        <v/>
      </c>
      <c r="J56" s="17" t="str">
        <f aca="false">IF(AND(A56&lt;&gt;"",C56&lt;=E56),ROW(),"")</f>
        <v/>
      </c>
    </row>
    <row r="57" customFormat="false" ht="15" hidden="false" customHeight="false" outlineLevel="0" collapsed="false">
      <c r="A57" s="12"/>
      <c r="B57" s="13"/>
      <c r="C57" s="14"/>
      <c r="D57" s="12"/>
      <c r="E57" s="14"/>
      <c r="F57" s="15"/>
      <c r="G57" s="16" t="str">
        <f aca="true">IF(OR(A57="",F57=""),"",F57-TODAY())</f>
        <v/>
      </c>
      <c r="H57" s="17" t="str">
        <f aca="true">IF(A57="","",IF(AND(F57&lt;&gt;"",F57&lt;TODAY()),"Tarihi geçti",IF(AND(F57&lt;&gt;"",F57&lt;=TODAY()+7),"Bu hafta bitiyor",IF(C57&lt;=E57,"Azaldı","Tamam"))))</f>
        <v/>
      </c>
      <c r="I57" s="17" t="str">
        <f aca="false">IF(AND(A57&lt;&gt;"",F57&lt;&gt;""),F57+ROW()/1000000,"")</f>
        <v/>
      </c>
      <c r="J57" s="17" t="str">
        <f aca="false">IF(AND(A57&lt;&gt;"",C57&lt;=E57),ROW(),"")</f>
        <v/>
      </c>
    </row>
    <row r="58" customFormat="false" ht="15" hidden="false" customHeight="false" outlineLevel="0" collapsed="false">
      <c r="A58" s="12"/>
      <c r="B58" s="13"/>
      <c r="C58" s="14"/>
      <c r="D58" s="12"/>
      <c r="E58" s="14"/>
      <c r="F58" s="15"/>
      <c r="G58" s="16" t="str">
        <f aca="true">IF(OR(A58="",F58=""),"",F58-TODAY())</f>
        <v/>
      </c>
      <c r="H58" s="17" t="str">
        <f aca="true">IF(A58="","",IF(AND(F58&lt;&gt;"",F58&lt;TODAY()),"Tarihi geçti",IF(AND(F58&lt;&gt;"",F58&lt;=TODAY()+7),"Bu hafta bitiyor",IF(C58&lt;=E58,"Azaldı","Tamam"))))</f>
        <v/>
      </c>
      <c r="I58" s="17" t="str">
        <f aca="false">IF(AND(A58&lt;&gt;"",F58&lt;&gt;""),F58+ROW()/1000000,"")</f>
        <v/>
      </c>
      <c r="J58" s="17" t="str">
        <f aca="false">IF(AND(A58&lt;&gt;"",C58&lt;=E58),ROW(),"")</f>
        <v/>
      </c>
    </row>
    <row r="59" customFormat="false" ht="15" hidden="false" customHeight="false" outlineLevel="0" collapsed="false">
      <c r="A59" s="12"/>
      <c r="B59" s="13"/>
      <c r="C59" s="14"/>
      <c r="D59" s="12"/>
      <c r="E59" s="14"/>
      <c r="F59" s="15"/>
      <c r="G59" s="16" t="str">
        <f aca="true">IF(OR(A59="",F59=""),"",F59-TODAY())</f>
        <v/>
      </c>
      <c r="H59" s="17" t="str">
        <f aca="true">IF(A59="","",IF(AND(F59&lt;&gt;"",F59&lt;TODAY()),"Tarihi geçti",IF(AND(F59&lt;&gt;"",F59&lt;=TODAY()+7),"Bu hafta bitiyor",IF(C59&lt;=E59,"Azaldı","Tamam"))))</f>
        <v/>
      </c>
      <c r="I59" s="17" t="str">
        <f aca="false">IF(AND(A59&lt;&gt;"",F59&lt;&gt;""),F59+ROW()/1000000,"")</f>
        <v/>
      </c>
      <c r="J59" s="17" t="str">
        <f aca="false">IF(AND(A59&lt;&gt;"",C59&lt;=E59),ROW(),"")</f>
        <v/>
      </c>
    </row>
    <row r="60" customFormat="false" ht="15" hidden="false" customHeight="false" outlineLevel="0" collapsed="false">
      <c r="A60" s="12"/>
      <c r="B60" s="13"/>
      <c r="C60" s="14"/>
      <c r="D60" s="12"/>
      <c r="E60" s="14"/>
      <c r="F60" s="15"/>
      <c r="G60" s="16" t="str">
        <f aca="true">IF(OR(A60="",F60=""),"",F60-TODAY())</f>
        <v/>
      </c>
      <c r="H60" s="17" t="str">
        <f aca="true">IF(A60="","",IF(AND(F60&lt;&gt;"",F60&lt;TODAY()),"Tarihi geçti",IF(AND(F60&lt;&gt;"",F60&lt;=TODAY()+7),"Bu hafta bitiyor",IF(C60&lt;=E60,"Azaldı","Tamam"))))</f>
        <v/>
      </c>
      <c r="I60" s="17" t="str">
        <f aca="false">IF(AND(A60&lt;&gt;"",F60&lt;&gt;""),F60+ROW()/1000000,"")</f>
        <v/>
      </c>
      <c r="J60" s="17" t="str">
        <f aca="false">IF(AND(A60&lt;&gt;"",C60&lt;=E60),ROW(),"")</f>
        <v/>
      </c>
    </row>
    <row r="61" customFormat="false" ht="15" hidden="false" customHeight="false" outlineLevel="0" collapsed="false">
      <c r="A61" s="12"/>
      <c r="B61" s="13"/>
      <c r="C61" s="14"/>
      <c r="D61" s="12"/>
      <c r="E61" s="14"/>
      <c r="F61" s="15"/>
      <c r="G61" s="16" t="str">
        <f aca="true">IF(OR(A61="",F61=""),"",F61-TODAY())</f>
        <v/>
      </c>
      <c r="H61" s="17" t="str">
        <f aca="true">IF(A61="","",IF(AND(F61&lt;&gt;"",F61&lt;TODAY()),"Tarihi geçti",IF(AND(F61&lt;&gt;"",F61&lt;=TODAY()+7),"Bu hafta bitiyor",IF(C61&lt;=E61,"Azaldı","Tamam"))))</f>
        <v/>
      </c>
      <c r="I61" s="17" t="str">
        <f aca="false">IF(AND(A61&lt;&gt;"",F61&lt;&gt;""),F61+ROW()/1000000,"")</f>
        <v/>
      </c>
      <c r="J61" s="17" t="str">
        <f aca="false">IF(AND(A61&lt;&gt;"",C61&lt;=E61),ROW(),"")</f>
        <v/>
      </c>
    </row>
    <row r="62" customFormat="false" ht="15" hidden="false" customHeight="false" outlineLevel="0" collapsed="false">
      <c r="A62" s="12"/>
      <c r="B62" s="13"/>
      <c r="C62" s="14"/>
      <c r="D62" s="12"/>
      <c r="E62" s="14"/>
      <c r="F62" s="15"/>
      <c r="G62" s="16" t="str">
        <f aca="true">IF(OR(A62="",F62=""),"",F62-TODAY())</f>
        <v/>
      </c>
      <c r="H62" s="17" t="str">
        <f aca="true">IF(A62="","",IF(AND(F62&lt;&gt;"",F62&lt;TODAY()),"Tarihi geçti",IF(AND(F62&lt;&gt;"",F62&lt;=TODAY()+7),"Bu hafta bitiyor",IF(C62&lt;=E62,"Azaldı","Tamam"))))</f>
        <v/>
      </c>
      <c r="I62" s="17" t="str">
        <f aca="false">IF(AND(A62&lt;&gt;"",F62&lt;&gt;""),F62+ROW()/1000000,"")</f>
        <v/>
      </c>
      <c r="J62" s="17" t="str">
        <f aca="false">IF(AND(A62&lt;&gt;"",C62&lt;=E62),ROW(),"")</f>
        <v/>
      </c>
    </row>
    <row r="63" customFormat="false" ht="15" hidden="false" customHeight="false" outlineLevel="0" collapsed="false">
      <c r="A63" s="12"/>
      <c r="B63" s="13"/>
      <c r="C63" s="14"/>
      <c r="D63" s="12"/>
      <c r="E63" s="14"/>
      <c r="F63" s="15"/>
      <c r="G63" s="16" t="str">
        <f aca="true">IF(OR(A63="",F63=""),"",F63-TODAY())</f>
        <v/>
      </c>
      <c r="H63" s="17" t="str">
        <f aca="true">IF(A63="","",IF(AND(F63&lt;&gt;"",F63&lt;TODAY()),"Tarihi geçti",IF(AND(F63&lt;&gt;"",F63&lt;=TODAY()+7),"Bu hafta bitiyor",IF(C63&lt;=E63,"Azaldı","Tamam"))))</f>
        <v/>
      </c>
      <c r="I63" s="17" t="str">
        <f aca="false">IF(AND(A63&lt;&gt;"",F63&lt;&gt;""),F63+ROW()/1000000,"")</f>
        <v/>
      </c>
      <c r="J63" s="17" t="str">
        <f aca="false">IF(AND(A63&lt;&gt;"",C63&lt;=E63),ROW(),"")</f>
        <v/>
      </c>
    </row>
    <row r="64" customFormat="false" ht="15" hidden="false" customHeight="false" outlineLevel="0" collapsed="false">
      <c r="A64" s="12"/>
      <c r="B64" s="13"/>
      <c r="C64" s="14"/>
      <c r="D64" s="12"/>
      <c r="E64" s="14"/>
      <c r="F64" s="15"/>
      <c r="G64" s="16" t="str">
        <f aca="true">IF(OR(A64="",F64=""),"",F64-TODAY())</f>
        <v/>
      </c>
      <c r="H64" s="17" t="str">
        <f aca="true">IF(A64="","",IF(AND(F64&lt;&gt;"",F64&lt;TODAY()),"Tarihi geçti",IF(AND(F64&lt;&gt;"",F64&lt;=TODAY()+7),"Bu hafta bitiyor",IF(C64&lt;=E64,"Azaldı","Tamam"))))</f>
        <v/>
      </c>
      <c r="I64" s="17" t="str">
        <f aca="false">IF(AND(A64&lt;&gt;"",F64&lt;&gt;""),F64+ROW()/1000000,"")</f>
        <v/>
      </c>
      <c r="J64" s="17" t="str">
        <f aca="false">IF(AND(A64&lt;&gt;"",C64&lt;=E64),ROW(),"")</f>
        <v/>
      </c>
    </row>
    <row r="65" customFormat="false" ht="15" hidden="false" customHeight="false" outlineLevel="0" collapsed="false">
      <c r="A65" s="12"/>
      <c r="B65" s="13"/>
      <c r="C65" s="14"/>
      <c r="D65" s="12"/>
      <c r="E65" s="14"/>
      <c r="F65" s="15"/>
      <c r="G65" s="16" t="str">
        <f aca="true">IF(OR(A65="",F65=""),"",F65-TODAY())</f>
        <v/>
      </c>
      <c r="H65" s="17" t="str">
        <f aca="true">IF(A65="","",IF(AND(F65&lt;&gt;"",F65&lt;TODAY()),"Tarihi geçti",IF(AND(F65&lt;&gt;"",F65&lt;=TODAY()+7),"Bu hafta bitiyor",IF(C65&lt;=E65,"Azaldı","Tamam"))))</f>
        <v/>
      </c>
      <c r="I65" s="17" t="str">
        <f aca="false">IF(AND(A65&lt;&gt;"",F65&lt;&gt;""),F65+ROW()/1000000,"")</f>
        <v/>
      </c>
      <c r="J65" s="17" t="str">
        <f aca="false">IF(AND(A65&lt;&gt;"",C65&lt;=E65),ROW(),"")</f>
        <v/>
      </c>
    </row>
    <row r="66" customFormat="false" ht="15" hidden="false" customHeight="false" outlineLevel="0" collapsed="false">
      <c r="A66" s="12"/>
      <c r="B66" s="13"/>
      <c r="C66" s="14"/>
      <c r="D66" s="12"/>
      <c r="E66" s="14"/>
      <c r="F66" s="15"/>
      <c r="G66" s="16" t="str">
        <f aca="true">IF(OR(A66="",F66=""),"",F66-TODAY())</f>
        <v/>
      </c>
      <c r="H66" s="17" t="str">
        <f aca="true">IF(A66="","",IF(AND(F66&lt;&gt;"",F66&lt;TODAY()),"Tarihi geçti",IF(AND(F66&lt;&gt;"",F66&lt;=TODAY()+7),"Bu hafta bitiyor",IF(C66&lt;=E66,"Azaldı","Tamam"))))</f>
        <v/>
      </c>
      <c r="I66" s="17" t="str">
        <f aca="false">IF(AND(A66&lt;&gt;"",F66&lt;&gt;""),F66+ROW()/1000000,"")</f>
        <v/>
      </c>
      <c r="J66" s="17" t="str">
        <f aca="false">IF(AND(A66&lt;&gt;"",C66&lt;=E66),ROW(),"")</f>
        <v/>
      </c>
    </row>
    <row r="67" customFormat="false" ht="15" hidden="false" customHeight="false" outlineLevel="0" collapsed="false">
      <c r="A67" s="12"/>
      <c r="B67" s="13"/>
      <c r="C67" s="14"/>
      <c r="D67" s="12"/>
      <c r="E67" s="14"/>
      <c r="F67" s="15"/>
      <c r="G67" s="16" t="str">
        <f aca="true">IF(OR(A67="",F67=""),"",F67-TODAY())</f>
        <v/>
      </c>
      <c r="H67" s="17" t="str">
        <f aca="true">IF(A67="","",IF(AND(F67&lt;&gt;"",F67&lt;TODAY()),"Tarihi geçti",IF(AND(F67&lt;&gt;"",F67&lt;=TODAY()+7),"Bu hafta bitiyor",IF(C67&lt;=E67,"Azaldı","Tamam"))))</f>
        <v/>
      </c>
      <c r="I67" s="17" t="str">
        <f aca="false">IF(AND(A67&lt;&gt;"",F67&lt;&gt;""),F67+ROW()/1000000,"")</f>
        <v/>
      </c>
      <c r="J67" s="17" t="str">
        <f aca="false">IF(AND(A67&lt;&gt;"",C67&lt;=E67),ROW(),"")</f>
        <v/>
      </c>
    </row>
    <row r="68" customFormat="false" ht="15" hidden="false" customHeight="false" outlineLevel="0" collapsed="false">
      <c r="A68" s="12"/>
      <c r="B68" s="13"/>
      <c r="C68" s="14"/>
      <c r="D68" s="12"/>
      <c r="E68" s="14"/>
      <c r="F68" s="15"/>
      <c r="G68" s="16" t="str">
        <f aca="true">IF(OR(A68="",F68=""),"",F68-TODAY())</f>
        <v/>
      </c>
      <c r="H68" s="17" t="str">
        <f aca="true">IF(A68="","",IF(AND(F68&lt;&gt;"",F68&lt;TODAY()),"Tarihi geçti",IF(AND(F68&lt;&gt;"",F68&lt;=TODAY()+7),"Bu hafta bitiyor",IF(C68&lt;=E68,"Azaldı","Tamam"))))</f>
        <v/>
      </c>
      <c r="I68" s="17" t="str">
        <f aca="false">IF(AND(A68&lt;&gt;"",F68&lt;&gt;""),F68+ROW()/1000000,"")</f>
        <v/>
      </c>
      <c r="J68" s="17" t="str">
        <f aca="false">IF(AND(A68&lt;&gt;"",C68&lt;=E68),ROW(),"")</f>
        <v/>
      </c>
    </row>
    <row r="69" customFormat="false" ht="15" hidden="false" customHeight="false" outlineLevel="0" collapsed="false">
      <c r="A69" s="12"/>
      <c r="B69" s="13"/>
      <c r="C69" s="14"/>
      <c r="D69" s="12"/>
      <c r="E69" s="14"/>
      <c r="F69" s="15"/>
      <c r="G69" s="16" t="str">
        <f aca="true">IF(OR(A69="",F69=""),"",F69-TODAY())</f>
        <v/>
      </c>
      <c r="H69" s="17" t="str">
        <f aca="true">IF(A69="","",IF(AND(F69&lt;&gt;"",F69&lt;TODAY()),"Tarihi geçti",IF(AND(F69&lt;&gt;"",F69&lt;=TODAY()+7),"Bu hafta bitiyor",IF(C69&lt;=E69,"Azaldı","Tamam"))))</f>
        <v/>
      </c>
      <c r="I69" s="17" t="str">
        <f aca="false">IF(AND(A69&lt;&gt;"",F69&lt;&gt;""),F69+ROW()/1000000,"")</f>
        <v/>
      </c>
      <c r="J69" s="17" t="str">
        <f aca="false">IF(AND(A69&lt;&gt;"",C69&lt;=E69),ROW(),"")</f>
        <v/>
      </c>
    </row>
    <row r="70" customFormat="false" ht="15" hidden="false" customHeight="false" outlineLevel="0" collapsed="false">
      <c r="A70" s="12"/>
      <c r="B70" s="13"/>
      <c r="C70" s="14"/>
      <c r="D70" s="12"/>
      <c r="E70" s="14"/>
      <c r="F70" s="15"/>
      <c r="G70" s="16" t="str">
        <f aca="true">IF(OR(A70="",F70=""),"",F70-TODAY())</f>
        <v/>
      </c>
      <c r="H70" s="17" t="str">
        <f aca="true">IF(A70="","",IF(AND(F70&lt;&gt;"",F70&lt;TODAY()),"Tarihi geçti",IF(AND(F70&lt;&gt;"",F70&lt;=TODAY()+7),"Bu hafta bitiyor",IF(C70&lt;=E70,"Azaldı","Tamam"))))</f>
        <v/>
      </c>
      <c r="I70" s="17" t="str">
        <f aca="false">IF(AND(A70&lt;&gt;"",F70&lt;&gt;""),F70+ROW()/1000000,"")</f>
        <v/>
      </c>
      <c r="J70" s="17" t="str">
        <f aca="false">IF(AND(A70&lt;&gt;"",C70&lt;=E70),ROW(),"")</f>
        <v/>
      </c>
    </row>
    <row r="71" customFormat="false" ht="15" hidden="false" customHeight="false" outlineLevel="0" collapsed="false">
      <c r="A71" s="12"/>
      <c r="B71" s="13"/>
      <c r="C71" s="14"/>
      <c r="D71" s="12"/>
      <c r="E71" s="14"/>
      <c r="F71" s="15"/>
      <c r="G71" s="16" t="str">
        <f aca="true">IF(OR(A71="",F71=""),"",F71-TODAY())</f>
        <v/>
      </c>
      <c r="H71" s="17" t="str">
        <f aca="true">IF(A71="","",IF(AND(F71&lt;&gt;"",F71&lt;TODAY()),"Tarihi geçti",IF(AND(F71&lt;&gt;"",F71&lt;=TODAY()+7),"Bu hafta bitiyor",IF(C71&lt;=E71,"Azaldı","Tamam"))))</f>
        <v/>
      </c>
      <c r="I71" s="17" t="str">
        <f aca="false">IF(AND(A71&lt;&gt;"",F71&lt;&gt;""),F71+ROW()/1000000,"")</f>
        <v/>
      </c>
      <c r="J71" s="17" t="str">
        <f aca="false">IF(AND(A71&lt;&gt;"",C71&lt;=E71),ROW(),"")</f>
        <v/>
      </c>
    </row>
    <row r="72" customFormat="false" ht="15" hidden="false" customHeight="false" outlineLevel="0" collapsed="false">
      <c r="A72" s="12"/>
      <c r="B72" s="13"/>
      <c r="C72" s="14"/>
      <c r="D72" s="12"/>
      <c r="E72" s="14"/>
      <c r="F72" s="15"/>
      <c r="G72" s="16" t="str">
        <f aca="true">IF(OR(A72="",F72=""),"",F72-TODAY())</f>
        <v/>
      </c>
      <c r="H72" s="17" t="str">
        <f aca="true">IF(A72="","",IF(AND(F72&lt;&gt;"",F72&lt;TODAY()),"Tarihi geçti",IF(AND(F72&lt;&gt;"",F72&lt;=TODAY()+7),"Bu hafta bitiyor",IF(C72&lt;=E72,"Azaldı","Tamam"))))</f>
        <v/>
      </c>
      <c r="I72" s="17" t="str">
        <f aca="false">IF(AND(A72&lt;&gt;"",F72&lt;&gt;""),F72+ROW()/1000000,"")</f>
        <v/>
      </c>
      <c r="J72" s="17" t="str">
        <f aca="false">IF(AND(A72&lt;&gt;"",C72&lt;=E72),ROW(),"")</f>
        <v/>
      </c>
    </row>
    <row r="73" customFormat="false" ht="15" hidden="false" customHeight="false" outlineLevel="0" collapsed="false">
      <c r="A73" s="12"/>
      <c r="B73" s="13"/>
      <c r="C73" s="14"/>
      <c r="D73" s="12"/>
      <c r="E73" s="14"/>
      <c r="F73" s="15"/>
      <c r="G73" s="16" t="str">
        <f aca="true">IF(OR(A73="",F73=""),"",F73-TODAY())</f>
        <v/>
      </c>
      <c r="H73" s="17" t="str">
        <f aca="true">IF(A73="","",IF(AND(F73&lt;&gt;"",F73&lt;TODAY()),"Tarihi geçti",IF(AND(F73&lt;&gt;"",F73&lt;=TODAY()+7),"Bu hafta bitiyor",IF(C73&lt;=E73,"Azaldı","Tamam"))))</f>
        <v/>
      </c>
      <c r="I73" s="17" t="str">
        <f aca="false">IF(AND(A73&lt;&gt;"",F73&lt;&gt;""),F73+ROW()/1000000,"")</f>
        <v/>
      </c>
      <c r="J73" s="17" t="str">
        <f aca="false">IF(AND(A73&lt;&gt;"",C73&lt;=E73),ROW(),"")</f>
        <v/>
      </c>
    </row>
    <row r="74" customFormat="false" ht="15" hidden="false" customHeight="false" outlineLevel="0" collapsed="false">
      <c r="A74" s="12"/>
      <c r="B74" s="13"/>
      <c r="C74" s="14"/>
      <c r="D74" s="12"/>
      <c r="E74" s="14"/>
      <c r="F74" s="15"/>
      <c r="G74" s="16" t="str">
        <f aca="true">IF(OR(A74="",F74=""),"",F74-TODAY())</f>
        <v/>
      </c>
      <c r="H74" s="17" t="str">
        <f aca="true">IF(A74="","",IF(AND(F74&lt;&gt;"",F74&lt;TODAY()),"Tarihi geçti",IF(AND(F74&lt;&gt;"",F74&lt;=TODAY()+7),"Bu hafta bitiyor",IF(C74&lt;=E74,"Azaldı","Tamam"))))</f>
        <v/>
      </c>
      <c r="I74" s="17" t="str">
        <f aca="false">IF(AND(A74&lt;&gt;"",F74&lt;&gt;""),F74+ROW()/1000000,"")</f>
        <v/>
      </c>
      <c r="J74" s="17" t="str">
        <f aca="false">IF(AND(A74&lt;&gt;"",C74&lt;=E74),ROW(),"")</f>
        <v/>
      </c>
    </row>
    <row r="75" customFormat="false" ht="15" hidden="false" customHeight="false" outlineLevel="0" collapsed="false">
      <c r="A75" s="12"/>
      <c r="B75" s="13"/>
      <c r="C75" s="14"/>
      <c r="D75" s="12"/>
      <c r="E75" s="14"/>
      <c r="F75" s="15"/>
      <c r="G75" s="16" t="str">
        <f aca="true">IF(OR(A75="",F75=""),"",F75-TODAY())</f>
        <v/>
      </c>
      <c r="H75" s="17" t="str">
        <f aca="true">IF(A75="","",IF(AND(F75&lt;&gt;"",F75&lt;TODAY()),"Tarihi geçti",IF(AND(F75&lt;&gt;"",F75&lt;=TODAY()+7),"Bu hafta bitiyor",IF(C75&lt;=E75,"Azaldı","Tamam"))))</f>
        <v/>
      </c>
      <c r="I75" s="17" t="str">
        <f aca="false">IF(AND(A75&lt;&gt;"",F75&lt;&gt;""),F75+ROW()/1000000,"")</f>
        <v/>
      </c>
      <c r="J75" s="17" t="str">
        <f aca="false">IF(AND(A75&lt;&gt;"",C75&lt;=E75),ROW(),"")</f>
        <v/>
      </c>
    </row>
    <row r="76" customFormat="false" ht="15" hidden="false" customHeight="false" outlineLevel="0" collapsed="false">
      <c r="A76" s="12"/>
      <c r="B76" s="13"/>
      <c r="C76" s="14"/>
      <c r="D76" s="12"/>
      <c r="E76" s="14"/>
      <c r="F76" s="15"/>
      <c r="G76" s="16" t="str">
        <f aca="true">IF(OR(A76="",F76=""),"",F76-TODAY())</f>
        <v/>
      </c>
      <c r="H76" s="17" t="str">
        <f aca="true">IF(A76="","",IF(AND(F76&lt;&gt;"",F76&lt;TODAY()),"Tarihi geçti",IF(AND(F76&lt;&gt;"",F76&lt;=TODAY()+7),"Bu hafta bitiyor",IF(C76&lt;=E76,"Azaldı","Tamam"))))</f>
        <v/>
      </c>
      <c r="I76" s="17" t="str">
        <f aca="false">IF(AND(A76&lt;&gt;"",F76&lt;&gt;""),F76+ROW()/1000000,"")</f>
        <v/>
      </c>
      <c r="J76" s="17" t="str">
        <f aca="false">IF(AND(A76&lt;&gt;"",C76&lt;=E76),ROW(),"")</f>
        <v/>
      </c>
    </row>
    <row r="77" customFormat="false" ht="15" hidden="false" customHeight="false" outlineLevel="0" collapsed="false">
      <c r="A77" s="12"/>
      <c r="B77" s="13"/>
      <c r="C77" s="14"/>
      <c r="D77" s="12"/>
      <c r="E77" s="14"/>
      <c r="F77" s="15"/>
      <c r="G77" s="16" t="str">
        <f aca="true">IF(OR(A77="",F77=""),"",F77-TODAY())</f>
        <v/>
      </c>
      <c r="H77" s="17" t="str">
        <f aca="true">IF(A77="","",IF(AND(F77&lt;&gt;"",F77&lt;TODAY()),"Tarihi geçti",IF(AND(F77&lt;&gt;"",F77&lt;=TODAY()+7),"Bu hafta bitiyor",IF(C77&lt;=E77,"Azaldı","Tamam"))))</f>
        <v/>
      </c>
      <c r="I77" s="17" t="str">
        <f aca="false">IF(AND(A77&lt;&gt;"",F77&lt;&gt;""),F77+ROW()/1000000,"")</f>
        <v/>
      </c>
      <c r="J77" s="17" t="str">
        <f aca="false">IF(AND(A77&lt;&gt;"",C77&lt;=E77),ROW(),"")</f>
        <v/>
      </c>
    </row>
    <row r="78" customFormat="false" ht="15" hidden="false" customHeight="false" outlineLevel="0" collapsed="false">
      <c r="A78" s="12"/>
      <c r="B78" s="13"/>
      <c r="C78" s="14"/>
      <c r="D78" s="12"/>
      <c r="E78" s="14"/>
      <c r="F78" s="15"/>
      <c r="G78" s="16" t="str">
        <f aca="true">IF(OR(A78="",F78=""),"",F78-TODAY())</f>
        <v/>
      </c>
      <c r="H78" s="17" t="str">
        <f aca="true">IF(A78="","",IF(AND(F78&lt;&gt;"",F78&lt;TODAY()),"Tarihi geçti",IF(AND(F78&lt;&gt;"",F78&lt;=TODAY()+7),"Bu hafta bitiyor",IF(C78&lt;=E78,"Azaldı","Tamam"))))</f>
        <v/>
      </c>
      <c r="I78" s="17" t="str">
        <f aca="false">IF(AND(A78&lt;&gt;"",F78&lt;&gt;""),F78+ROW()/1000000,"")</f>
        <v/>
      </c>
      <c r="J78" s="17" t="str">
        <f aca="false">IF(AND(A78&lt;&gt;"",C78&lt;=E78),ROW(),"")</f>
        <v/>
      </c>
    </row>
    <row r="79" customFormat="false" ht="15" hidden="false" customHeight="false" outlineLevel="0" collapsed="false">
      <c r="A79" s="12"/>
      <c r="B79" s="13"/>
      <c r="C79" s="14"/>
      <c r="D79" s="12"/>
      <c r="E79" s="14"/>
      <c r="F79" s="15"/>
      <c r="G79" s="16" t="str">
        <f aca="true">IF(OR(A79="",F79=""),"",F79-TODAY())</f>
        <v/>
      </c>
      <c r="H79" s="17" t="str">
        <f aca="true">IF(A79="","",IF(AND(F79&lt;&gt;"",F79&lt;TODAY()),"Tarihi geçti",IF(AND(F79&lt;&gt;"",F79&lt;=TODAY()+7),"Bu hafta bitiyor",IF(C79&lt;=E79,"Azaldı","Tamam"))))</f>
        <v/>
      </c>
      <c r="I79" s="17" t="str">
        <f aca="false">IF(AND(A79&lt;&gt;"",F79&lt;&gt;""),F79+ROW()/1000000,"")</f>
        <v/>
      </c>
      <c r="J79" s="17" t="str">
        <f aca="false">IF(AND(A79&lt;&gt;"",C79&lt;=E79),ROW(),"")</f>
        <v/>
      </c>
    </row>
    <row r="80" customFormat="false" ht="15" hidden="false" customHeight="false" outlineLevel="0" collapsed="false">
      <c r="A80" s="12"/>
      <c r="B80" s="13"/>
      <c r="C80" s="14"/>
      <c r="D80" s="12"/>
      <c r="E80" s="14"/>
      <c r="F80" s="15"/>
      <c r="G80" s="16" t="str">
        <f aca="true">IF(OR(A80="",F80=""),"",F80-TODAY())</f>
        <v/>
      </c>
      <c r="H80" s="17" t="str">
        <f aca="true">IF(A80="","",IF(AND(F80&lt;&gt;"",F80&lt;TODAY()),"Tarihi geçti",IF(AND(F80&lt;&gt;"",F80&lt;=TODAY()+7),"Bu hafta bitiyor",IF(C80&lt;=E80,"Azaldı","Tamam"))))</f>
        <v/>
      </c>
      <c r="I80" s="17" t="str">
        <f aca="false">IF(AND(A80&lt;&gt;"",F80&lt;&gt;""),F80+ROW()/1000000,"")</f>
        <v/>
      </c>
      <c r="J80" s="17" t="str">
        <f aca="false">IF(AND(A80&lt;&gt;"",C80&lt;=E80),ROW(),"")</f>
        <v/>
      </c>
    </row>
    <row r="81" customFormat="false" ht="15" hidden="false" customHeight="false" outlineLevel="0" collapsed="false">
      <c r="A81" s="12"/>
      <c r="B81" s="13"/>
      <c r="C81" s="14"/>
      <c r="D81" s="12"/>
      <c r="E81" s="14"/>
      <c r="F81" s="15"/>
      <c r="G81" s="16" t="str">
        <f aca="true">IF(OR(A81="",F81=""),"",F81-TODAY())</f>
        <v/>
      </c>
      <c r="H81" s="17" t="str">
        <f aca="true">IF(A81="","",IF(AND(F81&lt;&gt;"",F81&lt;TODAY()),"Tarihi geçti",IF(AND(F81&lt;&gt;"",F81&lt;=TODAY()+7),"Bu hafta bitiyor",IF(C81&lt;=E81,"Azaldı","Tamam"))))</f>
        <v/>
      </c>
      <c r="I81" s="17" t="str">
        <f aca="false">IF(AND(A81&lt;&gt;"",F81&lt;&gt;""),F81+ROW()/1000000,"")</f>
        <v/>
      </c>
      <c r="J81" s="17" t="str">
        <f aca="false">IF(AND(A81&lt;&gt;"",C81&lt;=E81),ROW(),"")</f>
        <v/>
      </c>
    </row>
    <row r="82" customFormat="false" ht="15" hidden="false" customHeight="false" outlineLevel="0" collapsed="false">
      <c r="A82" s="12"/>
      <c r="B82" s="13"/>
      <c r="C82" s="14"/>
      <c r="D82" s="12"/>
      <c r="E82" s="14"/>
      <c r="F82" s="15"/>
      <c r="G82" s="16" t="str">
        <f aca="true">IF(OR(A82="",F82=""),"",F82-TODAY())</f>
        <v/>
      </c>
      <c r="H82" s="17" t="str">
        <f aca="true">IF(A82="","",IF(AND(F82&lt;&gt;"",F82&lt;TODAY()),"Tarihi geçti",IF(AND(F82&lt;&gt;"",F82&lt;=TODAY()+7),"Bu hafta bitiyor",IF(C82&lt;=E82,"Azaldı","Tamam"))))</f>
        <v/>
      </c>
      <c r="I82" s="17" t="str">
        <f aca="false">IF(AND(A82&lt;&gt;"",F82&lt;&gt;""),F82+ROW()/1000000,"")</f>
        <v/>
      </c>
      <c r="J82" s="17" t="str">
        <f aca="false">IF(AND(A82&lt;&gt;"",C82&lt;=E82),ROW(),"")</f>
        <v/>
      </c>
    </row>
    <row r="83" customFormat="false" ht="15" hidden="false" customHeight="false" outlineLevel="0" collapsed="false">
      <c r="A83" s="12"/>
      <c r="B83" s="13"/>
      <c r="C83" s="14"/>
      <c r="D83" s="12"/>
      <c r="E83" s="14"/>
      <c r="F83" s="15"/>
      <c r="G83" s="16" t="str">
        <f aca="true">IF(OR(A83="",F83=""),"",F83-TODAY())</f>
        <v/>
      </c>
      <c r="H83" s="17" t="str">
        <f aca="true">IF(A83="","",IF(AND(F83&lt;&gt;"",F83&lt;TODAY()),"Tarihi geçti",IF(AND(F83&lt;&gt;"",F83&lt;=TODAY()+7),"Bu hafta bitiyor",IF(C83&lt;=E83,"Azaldı","Tamam"))))</f>
        <v/>
      </c>
      <c r="I83" s="17" t="str">
        <f aca="false">IF(AND(A83&lt;&gt;"",F83&lt;&gt;""),F83+ROW()/1000000,"")</f>
        <v/>
      </c>
      <c r="J83" s="17" t="str">
        <f aca="false">IF(AND(A83&lt;&gt;"",C83&lt;=E83),ROW(),"")</f>
        <v/>
      </c>
    </row>
    <row r="84" customFormat="false" ht="15" hidden="false" customHeight="false" outlineLevel="0" collapsed="false">
      <c r="A84" s="12"/>
      <c r="B84" s="13"/>
      <c r="C84" s="14"/>
      <c r="D84" s="12"/>
      <c r="E84" s="14"/>
      <c r="F84" s="15"/>
      <c r="G84" s="16" t="str">
        <f aca="true">IF(OR(A84="",F84=""),"",F84-TODAY())</f>
        <v/>
      </c>
      <c r="H84" s="17" t="str">
        <f aca="true">IF(A84="","",IF(AND(F84&lt;&gt;"",F84&lt;TODAY()),"Tarihi geçti",IF(AND(F84&lt;&gt;"",F84&lt;=TODAY()+7),"Bu hafta bitiyor",IF(C84&lt;=E84,"Azaldı","Tamam"))))</f>
        <v/>
      </c>
      <c r="I84" s="17" t="str">
        <f aca="false">IF(AND(A84&lt;&gt;"",F84&lt;&gt;""),F84+ROW()/1000000,"")</f>
        <v/>
      </c>
      <c r="J84" s="17" t="str">
        <f aca="false">IF(AND(A84&lt;&gt;"",C84&lt;=E84),ROW(),"")</f>
        <v/>
      </c>
    </row>
    <row r="85" customFormat="false" ht="15" hidden="false" customHeight="false" outlineLevel="0" collapsed="false">
      <c r="A85" s="12"/>
      <c r="B85" s="13"/>
      <c r="C85" s="14"/>
      <c r="D85" s="12"/>
      <c r="E85" s="14"/>
      <c r="F85" s="15"/>
      <c r="G85" s="16" t="str">
        <f aca="true">IF(OR(A85="",F85=""),"",F85-TODAY())</f>
        <v/>
      </c>
      <c r="H85" s="17" t="str">
        <f aca="true">IF(A85="","",IF(AND(F85&lt;&gt;"",F85&lt;TODAY()),"Tarihi geçti",IF(AND(F85&lt;&gt;"",F85&lt;=TODAY()+7),"Bu hafta bitiyor",IF(C85&lt;=E85,"Azaldı","Tamam"))))</f>
        <v/>
      </c>
      <c r="I85" s="17" t="str">
        <f aca="false">IF(AND(A85&lt;&gt;"",F85&lt;&gt;""),F85+ROW()/1000000,"")</f>
        <v/>
      </c>
      <c r="J85" s="17" t="str">
        <f aca="false">IF(AND(A85&lt;&gt;"",C85&lt;=E85),ROW(),"")</f>
        <v/>
      </c>
    </row>
    <row r="86" customFormat="false" ht="15" hidden="false" customHeight="false" outlineLevel="0" collapsed="false">
      <c r="A86" s="12"/>
      <c r="B86" s="13"/>
      <c r="C86" s="14"/>
      <c r="D86" s="12"/>
      <c r="E86" s="14"/>
      <c r="F86" s="15"/>
      <c r="G86" s="16" t="str">
        <f aca="true">IF(OR(A86="",F86=""),"",F86-TODAY())</f>
        <v/>
      </c>
      <c r="H86" s="17" t="str">
        <f aca="true">IF(A86="","",IF(AND(F86&lt;&gt;"",F86&lt;TODAY()),"Tarihi geçti",IF(AND(F86&lt;&gt;"",F86&lt;=TODAY()+7),"Bu hafta bitiyor",IF(C86&lt;=E86,"Azaldı","Tamam"))))</f>
        <v/>
      </c>
      <c r="I86" s="17" t="str">
        <f aca="false">IF(AND(A86&lt;&gt;"",F86&lt;&gt;""),F86+ROW()/1000000,"")</f>
        <v/>
      </c>
      <c r="J86" s="17" t="str">
        <f aca="false">IF(AND(A86&lt;&gt;"",C86&lt;=E86),ROW(),"")</f>
        <v/>
      </c>
    </row>
    <row r="87" customFormat="false" ht="15" hidden="false" customHeight="false" outlineLevel="0" collapsed="false">
      <c r="A87" s="12"/>
      <c r="B87" s="13"/>
      <c r="C87" s="14"/>
      <c r="D87" s="12"/>
      <c r="E87" s="14"/>
      <c r="F87" s="15"/>
      <c r="G87" s="16" t="str">
        <f aca="true">IF(OR(A87="",F87=""),"",F87-TODAY())</f>
        <v/>
      </c>
      <c r="H87" s="17" t="str">
        <f aca="true">IF(A87="","",IF(AND(F87&lt;&gt;"",F87&lt;TODAY()),"Tarihi geçti",IF(AND(F87&lt;&gt;"",F87&lt;=TODAY()+7),"Bu hafta bitiyor",IF(C87&lt;=E87,"Azaldı","Tamam"))))</f>
        <v/>
      </c>
      <c r="I87" s="17" t="str">
        <f aca="false">IF(AND(A87&lt;&gt;"",F87&lt;&gt;""),F87+ROW()/1000000,"")</f>
        <v/>
      </c>
      <c r="J87" s="17" t="str">
        <f aca="false">IF(AND(A87&lt;&gt;"",C87&lt;=E87),ROW(),"")</f>
        <v/>
      </c>
    </row>
    <row r="88" customFormat="false" ht="15" hidden="false" customHeight="false" outlineLevel="0" collapsed="false">
      <c r="A88" s="12"/>
      <c r="B88" s="13"/>
      <c r="C88" s="14"/>
      <c r="D88" s="12"/>
      <c r="E88" s="14"/>
      <c r="F88" s="15"/>
      <c r="G88" s="16" t="str">
        <f aca="true">IF(OR(A88="",F88=""),"",F88-TODAY())</f>
        <v/>
      </c>
      <c r="H88" s="17" t="str">
        <f aca="true">IF(A88="","",IF(AND(F88&lt;&gt;"",F88&lt;TODAY()),"Tarihi geçti",IF(AND(F88&lt;&gt;"",F88&lt;=TODAY()+7),"Bu hafta bitiyor",IF(C88&lt;=E88,"Azaldı","Tamam"))))</f>
        <v/>
      </c>
      <c r="I88" s="17" t="str">
        <f aca="false">IF(AND(A88&lt;&gt;"",F88&lt;&gt;""),F88+ROW()/1000000,"")</f>
        <v/>
      </c>
      <c r="J88" s="17" t="str">
        <f aca="false">IF(AND(A88&lt;&gt;"",C88&lt;=E88),ROW(),"")</f>
        <v/>
      </c>
    </row>
    <row r="89" customFormat="false" ht="15" hidden="false" customHeight="false" outlineLevel="0" collapsed="false">
      <c r="A89" s="12"/>
      <c r="B89" s="13"/>
      <c r="C89" s="14"/>
      <c r="D89" s="12"/>
      <c r="E89" s="14"/>
      <c r="F89" s="15"/>
      <c r="G89" s="16" t="str">
        <f aca="true">IF(OR(A89="",F89=""),"",F89-TODAY())</f>
        <v/>
      </c>
      <c r="H89" s="17" t="str">
        <f aca="true">IF(A89="","",IF(AND(F89&lt;&gt;"",F89&lt;TODAY()),"Tarihi geçti",IF(AND(F89&lt;&gt;"",F89&lt;=TODAY()+7),"Bu hafta bitiyor",IF(C89&lt;=E89,"Azaldı","Tamam"))))</f>
        <v/>
      </c>
      <c r="I89" s="17" t="str">
        <f aca="false">IF(AND(A89&lt;&gt;"",F89&lt;&gt;""),F89+ROW()/1000000,"")</f>
        <v/>
      </c>
      <c r="J89" s="17" t="str">
        <f aca="false">IF(AND(A89&lt;&gt;"",C89&lt;=E89),ROW(),"")</f>
        <v/>
      </c>
    </row>
    <row r="90" customFormat="false" ht="15" hidden="false" customHeight="false" outlineLevel="0" collapsed="false">
      <c r="A90" s="12"/>
      <c r="B90" s="13"/>
      <c r="C90" s="14"/>
      <c r="D90" s="12"/>
      <c r="E90" s="14"/>
      <c r="F90" s="15"/>
      <c r="G90" s="16" t="str">
        <f aca="true">IF(OR(A90="",F90=""),"",F90-TODAY())</f>
        <v/>
      </c>
      <c r="H90" s="17" t="str">
        <f aca="true">IF(A90="","",IF(AND(F90&lt;&gt;"",F90&lt;TODAY()),"Tarihi geçti",IF(AND(F90&lt;&gt;"",F90&lt;=TODAY()+7),"Bu hafta bitiyor",IF(C90&lt;=E90,"Azaldı","Tamam"))))</f>
        <v/>
      </c>
      <c r="I90" s="17" t="str">
        <f aca="false">IF(AND(A90&lt;&gt;"",F90&lt;&gt;""),F90+ROW()/1000000,"")</f>
        <v/>
      </c>
      <c r="J90" s="17" t="str">
        <f aca="false">IF(AND(A90&lt;&gt;"",C90&lt;=E90),ROW(),"")</f>
        <v/>
      </c>
    </row>
    <row r="91" customFormat="false" ht="15" hidden="false" customHeight="false" outlineLevel="0" collapsed="false">
      <c r="A91" s="12"/>
      <c r="B91" s="13"/>
      <c r="C91" s="14"/>
      <c r="D91" s="12"/>
      <c r="E91" s="14"/>
      <c r="F91" s="15"/>
      <c r="G91" s="16" t="str">
        <f aca="true">IF(OR(A91="",F91=""),"",F91-TODAY())</f>
        <v/>
      </c>
      <c r="H91" s="17" t="str">
        <f aca="true">IF(A91="","",IF(AND(F91&lt;&gt;"",F91&lt;TODAY()),"Tarihi geçti",IF(AND(F91&lt;&gt;"",F91&lt;=TODAY()+7),"Bu hafta bitiyor",IF(C91&lt;=E91,"Azaldı","Tamam"))))</f>
        <v/>
      </c>
      <c r="I91" s="17" t="str">
        <f aca="false">IF(AND(A91&lt;&gt;"",F91&lt;&gt;""),F91+ROW()/1000000,"")</f>
        <v/>
      </c>
      <c r="J91" s="17" t="str">
        <f aca="false">IF(AND(A91&lt;&gt;"",C91&lt;=E91),ROW(),"")</f>
        <v/>
      </c>
    </row>
    <row r="92" customFormat="false" ht="15" hidden="false" customHeight="false" outlineLevel="0" collapsed="false">
      <c r="A92" s="12"/>
      <c r="B92" s="13"/>
      <c r="C92" s="14"/>
      <c r="D92" s="12"/>
      <c r="E92" s="14"/>
      <c r="F92" s="15"/>
      <c r="G92" s="16" t="str">
        <f aca="true">IF(OR(A92="",F92=""),"",F92-TODAY())</f>
        <v/>
      </c>
      <c r="H92" s="17" t="str">
        <f aca="true">IF(A92="","",IF(AND(F92&lt;&gt;"",F92&lt;TODAY()),"Tarihi geçti",IF(AND(F92&lt;&gt;"",F92&lt;=TODAY()+7),"Bu hafta bitiyor",IF(C92&lt;=E92,"Azaldı","Tamam"))))</f>
        <v/>
      </c>
      <c r="I92" s="17" t="str">
        <f aca="false">IF(AND(A92&lt;&gt;"",F92&lt;&gt;""),F92+ROW()/1000000,"")</f>
        <v/>
      </c>
      <c r="J92" s="17" t="str">
        <f aca="false">IF(AND(A92&lt;&gt;"",C92&lt;=E92),ROW(),"")</f>
        <v/>
      </c>
    </row>
    <row r="93" customFormat="false" ht="15" hidden="false" customHeight="false" outlineLevel="0" collapsed="false">
      <c r="A93" s="12"/>
      <c r="B93" s="13"/>
      <c r="C93" s="14"/>
      <c r="D93" s="12"/>
      <c r="E93" s="14"/>
      <c r="F93" s="15"/>
      <c r="G93" s="16" t="str">
        <f aca="true">IF(OR(A93="",F93=""),"",F93-TODAY())</f>
        <v/>
      </c>
      <c r="H93" s="17" t="str">
        <f aca="true">IF(A93="","",IF(AND(F93&lt;&gt;"",F93&lt;TODAY()),"Tarihi geçti",IF(AND(F93&lt;&gt;"",F93&lt;=TODAY()+7),"Bu hafta bitiyor",IF(C93&lt;=E93,"Azaldı","Tamam"))))</f>
        <v/>
      </c>
      <c r="I93" s="17" t="str">
        <f aca="false">IF(AND(A93&lt;&gt;"",F93&lt;&gt;""),F93+ROW()/1000000,"")</f>
        <v/>
      </c>
      <c r="J93" s="17" t="str">
        <f aca="false">IF(AND(A93&lt;&gt;"",C93&lt;=E93),ROW(),"")</f>
        <v/>
      </c>
    </row>
    <row r="94" customFormat="false" ht="15" hidden="false" customHeight="false" outlineLevel="0" collapsed="false">
      <c r="A94" s="12"/>
      <c r="B94" s="13"/>
      <c r="C94" s="14"/>
      <c r="D94" s="12"/>
      <c r="E94" s="14"/>
      <c r="F94" s="15"/>
      <c r="G94" s="16" t="str">
        <f aca="true">IF(OR(A94="",F94=""),"",F94-TODAY())</f>
        <v/>
      </c>
      <c r="H94" s="17" t="str">
        <f aca="true">IF(A94="","",IF(AND(F94&lt;&gt;"",F94&lt;TODAY()),"Tarihi geçti",IF(AND(F94&lt;&gt;"",F94&lt;=TODAY()+7),"Bu hafta bitiyor",IF(C94&lt;=E94,"Azaldı","Tamam"))))</f>
        <v/>
      </c>
      <c r="I94" s="17" t="str">
        <f aca="false">IF(AND(A94&lt;&gt;"",F94&lt;&gt;""),F94+ROW()/1000000,"")</f>
        <v/>
      </c>
      <c r="J94" s="17" t="str">
        <f aca="false">IF(AND(A94&lt;&gt;"",C94&lt;=E94),ROW(),"")</f>
        <v/>
      </c>
    </row>
    <row r="95" customFormat="false" ht="15" hidden="false" customHeight="false" outlineLevel="0" collapsed="false">
      <c r="A95" s="12"/>
      <c r="B95" s="13"/>
      <c r="C95" s="14"/>
      <c r="D95" s="12"/>
      <c r="E95" s="14"/>
      <c r="F95" s="15"/>
      <c r="G95" s="16" t="str">
        <f aca="true">IF(OR(A95="",F95=""),"",F95-TODAY())</f>
        <v/>
      </c>
      <c r="H95" s="17" t="str">
        <f aca="true">IF(A95="","",IF(AND(F95&lt;&gt;"",F95&lt;TODAY()),"Tarihi geçti",IF(AND(F95&lt;&gt;"",F95&lt;=TODAY()+7),"Bu hafta bitiyor",IF(C95&lt;=E95,"Azaldı","Tamam"))))</f>
        <v/>
      </c>
      <c r="I95" s="17" t="str">
        <f aca="false">IF(AND(A95&lt;&gt;"",F95&lt;&gt;""),F95+ROW()/1000000,"")</f>
        <v/>
      </c>
      <c r="J95" s="17" t="str">
        <f aca="false">IF(AND(A95&lt;&gt;"",C95&lt;=E95),ROW(),"")</f>
        <v/>
      </c>
    </row>
    <row r="96" customFormat="false" ht="15" hidden="false" customHeight="false" outlineLevel="0" collapsed="false">
      <c r="A96" s="12"/>
      <c r="B96" s="13"/>
      <c r="C96" s="14"/>
      <c r="D96" s="12"/>
      <c r="E96" s="14"/>
      <c r="F96" s="15"/>
      <c r="G96" s="16" t="str">
        <f aca="true">IF(OR(A96="",F96=""),"",F96-TODAY())</f>
        <v/>
      </c>
      <c r="H96" s="17" t="str">
        <f aca="true">IF(A96="","",IF(AND(F96&lt;&gt;"",F96&lt;TODAY()),"Tarihi geçti",IF(AND(F96&lt;&gt;"",F96&lt;=TODAY()+7),"Bu hafta bitiyor",IF(C96&lt;=E96,"Azaldı","Tamam"))))</f>
        <v/>
      </c>
      <c r="I96" s="17" t="str">
        <f aca="false">IF(AND(A96&lt;&gt;"",F96&lt;&gt;""),F96+ROW()/1000000,"")</f>
        <v/>
      </c>
      <c r="J96" s="17" t="str">
        <f aca="false">IF(AND(A96&lt;&gt;"",C96&lt;=E96),ROW(),"")</f>
        <v/>
      </c>
    </row>
    <row r="97" customFormat="false" ht="15" hidden="false" customHeight="false" outlineLevel="0" collapsed="false">
      <c r="A97" s="12"/>
      <c r="B97" s="13"/>
      <c r="C97" s="14"/>
      <c r="D97" s="12"/>
      <c r="E97" s="14"/>
      <c r="F97" s="15"/>
      <c r="G97" s="16" t="str">
        <f aca="true">IF(OR(A97="",F97=""),"",F97-TODAY())</f>
        <v/>
      </c>
      <c r="H97" s="17" t="str">
        <f aca="true">IF(A97="","",IF(AND(F97&lt;&gt;"",F97&lt;TODAY()),"Tarihi geçti",IF(AND(F97&lt;&gt;"",F97&lt;=TODAY()+7),"Bu hafta bitiyor",IF(C97&lt;=E97,"Azaldı","Tamam"))))</f>
        <v/>
      </c>
      <c r="I97" s="17" t="str">
        <f aca="false">IF(AND(A97&lt;&gt;"",F97&lt;&gt;""),F97+ROW()/1000000,"")</f>
        <v/>
      </c>
      <c r="J97" s="17" t="str">
        <f aca="false">IF(AND(A97&lt;&gt;"",C97&lt;=E97),ROW(),"")</f>
        <v/>
      </c>
    </row>
    <row r="98" customFormat="false" ht="15" hidden="false" customHeight="false" outlineLevel="0" collapsed="false">
      <c r="A98" s="12"/>
      <c r="B98" s="13"/>
      <c r="C98" s="14"/>
      <c r="D98" s="12"/>
      <c r="E98" s="14"/>
      <c r="F98" s="15"/>
      <c r="G98" s="16" t="str">
        <f aca="true">IF(OR(A98="",F98=""),"",F98-TODAY())</f>
        <v/>
      </c>
      <c r="H98" s="17" t="str">
        <f aca="true">IF(A98="","",IF(AND(F98&lt;&gt;"",F98&lt;TODAY()),"Tarihi geçti",IF(AND(F98&lt;&gt;"",F98&lt;=TODAY()+7),"Bu hafta bitiyor",IF(C98&lt;=E98,"Azaldı","Tamam"))))</f>
        <v/>
      </c>
      <c r="I98" s="17" t="str">
        <f aca="false">IF(AND(A98&lt;&gt;"",F98&lt;&gt;""),F98+ROW()/1000000,"")</f>
        <v/>
      </c>
      <c r="J98" s="17" t="str">
        <f aca="false">IF(AND(A98&lt;&gt;"",C98&lt;=E98),ROW(),"")</f>
        <v/>
      </c>
    </row>
    <row r="99" customFormat="false" ht="15" hidden="false" customHeight="false" outlineLevel="0" collapsed="false">
      <c r="A99" s="12"/>
      <c r="B99" s="13"/>
      <c r="C99" s="14"/>
      <c r="D99" s="12"/>
      <c r="E99" s="14"/>
      <c r="F99" s="15"/>
      <c r="G99" s="16" t="str">
        <f aca="true">IF(OR(A99="",F99=""),"",F99-TODAY())</f>
        <v/>
      </c>
      <c r="H99" s="17" t="str">
        <f aca="true">IF(A99="","",IF(AND(F99&lt;&gt;"",F99&lt;TODAY()),"Tarihi geçti",IF(AND(F99&lt;&gt;"",F99&lt;=TODAY()+7),"Bu hafta bitiyor",IF(C99&lt;=E99,"Azaldı","Tamam"))))</f>
        <v/>
      </c>
      <c r="I99" s="17" t="str">
        <f aca="false">IF(AND(A99&lt;&gt;"",F99&lt;&gt;""),F99+ROW()/1000000,"")</f>
        <v/>
      </c>
      <c r="J99" s="17" t="str">
        <f aca="false">IF(AND(A99&lt;&gt;"",C99&lt;=E99),ROW(),"")</f>
        <v/>
      </c>
    </row>
    <row r="100" customFormat="false" ht="15" hidden="false" customHeight="false" outlineLevel="0" collapsed="false">
      <c r="A100" s="12"/>
      <c r="B100" s="13"/>
      <c r="C100" s="14"/>
      <c r="D100" s="12"/>
      <c r="E100" s="14"/>
      <c r="F100" s="15"/>
      <c r="G100" s="16" t="str">
        <f aca="true">IF(OR(A100="",F100=""),"",F100-TODAY())</f>
        <v/>
      </c>
      <c r="H100" s="17" t="str">
        <f aca="true">IF(A100="","",IF(AND(F100&lt;&gt;"",F100&lt;TODAY()),"Tarihi geçti",IF(AND(F100&lt;&gt;"",F100&lt;=TODAY()+7),"Bu hafta bitiyor",IF(C100&lt;=E100,"Azaldı","Tamam"))))</f>
        <v/>
      </c>
      <c r="I100" s="17" t="str">
        <f aca="false">IF(AND(A100&lt;&gt;"",F100&lt;&gt;""),F100+ROW()/1000000,"")</f>
        <v/>
      </c>
      <c r="J100" s="17" t="str">
        <f aca="false">IF(AND(A100&lt;&gt;"",C100&lt;=E100),ROW(),"")</f>
        <v/>
      </c>
    </row>
    <row r="101" customFormat="false" ht="15" hidden="false" customHeight="false" outlineLevel="0" collapsed="false">
      <c r="A101" s="12"/>
      <c r="B101" s="13"/>
      <c r="C101" s="14"/>
      <c r="D101" s="12"/>
      <c r="E101" s="14"/>
      <c r="F101" s="15"/>
      <c r="G101" s="16" t="str">
        <f aca="true">IF(OR(A101="",F101=""),"",F101-TODAY())</f>
        <v/>
      </c>
      <c r="H101" s="17" t="str">
        <f aca="true">IF(A101="","",IF(AND(F101&lt;&gt;"",F101&lt;TODAY()),"Tarihi geçti",IF(AND(F101&lt;&gt;"",F101&lt;=TODAY()+7),"Bu hafta bitiyor",IF(C101&lt;=E101,"Azaldı","Tamam"))))</f>
        <v/>
      </c>
      <c r="I101" s="17" t="str">
        <f aca="false">IF(AND(A101&lt;&gt;"",F101&lt;&gt;""),F101+ROW()/1000000,"")</f>
        <v/>
      </c>
      <c r="J101" s="17" t="str">
        <f aca="false">IF(AND(A101&lt;&gt;"",C101&lt;=E101),ROW(),"")</f>
        <v/>
      </c>
    </row>
    <row r="102" customFormat="false" ht="15" hidden="false" customHeight="false" outlineLevel="0" collapsed="false">
      <c r="A102" s="12"/>
      <c r="B102" s="13"/>
      <c r="C102" s="14"/>
      <c r="D102" s="12"/>
      <c r="E102" s="14"/>
      <c r="F102" s="15"/>
      <c r="G102" s="16" t="str">
        <f aca="true">IF(OR(A102="",F102=""),"",F102-TODAY())</f>
        <v/>
      </c>
      <c r="H102" s="17" t="str">
        <f aca="true">IF(A102="","",IF(AND(F102&lt;&gt;"",F102&lt;TODAY()),"Tarihi geçti",IF(AND(F102&lt;&gt;"",F102&lt;=TODAY()+7),"Bu hafta bitiyor",IF(C102&lt;=E102,"Azaldı","Tamam"))))</f>
        <v/>
      </c>
      <c r="I102" s="17" t="str">
        <f aca="false">IF(AND(A102&lt;&gt;"",F102&lt;&gt;""),F102+ROW()/1000000,"")</f>
        <v/>
      </c>
      <c r="J102" s="17" t="str">
        <f aca="false">IF(AND(A102&lt;&gt;"",C102&lt;=E102),ROW(),"")</f>
        <v/>
      </c>
    </row>
    <row r="103" customFormat="false" ht="15" hidden="false" customHeight="false" outlineLevel="0" collapsed="false">
      <c r="A103" s="12"/>
      <c r="B103" s="13"/>
      <c r="C103" s="14"/>
      <c r="D103" s="12"/>
      <c r="E103" s="14"/>
      <c r="F103" s="15"/>
      <c r="G103" s="16" t="str">
        <f aca="true">IF(OR(A103="",F103=""),"",F103-TODAY())</f>
        <v/>
      </c>
      <c r="H103" s="17" t="str">
        <f aca="true">IF(A103="","",IF(AND(F103&lt;&gt;"",F103&lt;TODAY()),"Tarihi geçti",IF(AND(F103&lt;&gt;"",F103&lt;=TODAY()+7),"Bu hafta bitiyor",IF(C103&lt;=E103,"Azaldı","Tamam"))))</f>
        <v/>
      </c>
      <c r="I103" s="17" t="str">
        <f aca="false">IF(AND(A103&lt;&gt;"",F103&lt;&gt;""),F103+ROW()/1000000,"")</f>
        <v/>
      </c>
      <c r="J103" s="17" t="str">
        <f aca="false">IF(AND(A103&lt;&gt;"",C103&lt;=E103),ROW(),"")</f>
        <v/>
      </c>
    </row>
    <row r="104" customFormat="false" ht="15" hidden="false" customHeight="false" outlineLevel="0" collapsed="false">
      <c r="A104" s="12"/>
      <c r="B104" s="13"/>
      <c r="C104" s="14"/>
      <c r="D104" s="12"/>
      <c r="E104" s="14"/>
      <c r="F104" s="15"/>
      <c r="G104" s="16" t="str">
        <f aca="true">IF(OR(A104="",F104=""),"",F104-TODAY())</f>
        <v/>
      </c>
      <c r="H104" s="17" t="str">
        <f aca="true">IF(A104="","",IF(AND(F104&lt;&gt;"",F104&lt;TODAY()),"Tarihi geçti",IF(AND(F104&lt;&gt;"",F104&lt;=TODAY()+7),"Bu hafta bitiyor",IF(C104&lt;=E104,"Azaldı","Tamam"))))</f>
        <v/>
      </c>
      <c r="I104" s="17" t="str">
        <f aca="false">IF(AND(A104&lt;&gt;"",F104&lt;&gt;""),F104+ROW()/1000000,"")</f>
        <v/>
      </c>
      <c r="J104" s="17" t="str">
        <f aca="false">IF(AND(A104&lt;&gt;"",C104&lt;=E104),ROW(),"")</f>
        <v/>
      </c>
    </row>
    <row r="105" customFormat="false" ht="15" hidden="false" customHeight="false" outlineLevel="0" collapsed="false">
      <c r="A105" s="12"/>
      <c r="B105" s="13"/>
      <c r="C105" s="14"/>
      <c r="D105" s="12"/>
      <c r="E105" s="14"/>
      <c r="F105" s="15"/>
      <c r="G105" s="16" t="str">
        <f aca="true">IF(OR(A105="",F105=""),"",F105-TODAY())</f>
        <v/>
      </c>
      <c r="H105" s="17" t="str">
        <f aca="true">IF(A105="","",IF(AND(F105&lt;&gt;"",F105&lt;TODAY()),"Tarihi geçti",IF(AND(F105&lt;&gt;"",F105&lt;=TODAY()+7),"Bu hafta bitiyor",IF(C105&lt;=E105,"Azaldı","Tamam"))))</f>
        <v/>
      </c>
      <c r="I105" s="17" t="str">
        <f aca="false">IF(AND(A105&lt;&gt;"",F105&lt;&gt;""),F105+ROW()/1000000,"")</f>
        <v/>
      </c>
      <c r="J105" s="17" t="str">
        <f aca="false">IF(AND(A105&lt;&gt;"",C105&lt;=E105),ROW(),"")</f>
        <v/>
      </c>
    </row>
    <row r="106" customFormat="false" ht="15" hidden="false" customHeight="false" outlineLevel="0" collapsed="false">
      <c r="A106" s="12"/>
      <c r="B106" s="13"/>
      <c r="C106" s="14"/>
      <c r="D106" s="12"/>
      <c r="E106" s="14"/>
      <c r="F106" s="15"/>
      <c r="G106" s="16" t="str">
        <f aca="true">IF(OR(A106="",F106=""),"",F106-TODAY())</f>
        <v/>
      </c>
      <c r="H106" s="17" t="str">
        <f aca="true">IF(A106="","",IF(AND(F106&lt;&gt;"",F106&lt;TODAY()),"Tarihi geçti",IF(AND(F106&lt;&gt;"",F106&lt;=TODAY()+7),"Bu hafta bitiyor",IF(C106&lt;=E106,"Azaldı","Tamam"))))</f>
        <v/>
      </c>
      <c r="I106" s="17" t="str">
        <f aca="false">IF(AND(A106&lt;&gt;"",F106&lt;&gt;""),F106+ROW()/1000000,"")</f>
        <v/>
      </c>
      <c r="J106" s="17" t="str">
        <f aca="false">IF(AND(A106&lt;&gt;"",C106&lt;=E106),ROW(),"")</f>
        <v/>
      </c>
    </row>
    <row r="107" customFormat="false" ht="15" hidden="false" customHeight="false" outlineLevel="0" collapsed="false">
      <c r="A107" s="12"/>
      <c r="B107" s="13"/>
      <c r="C107" s="14"/>
      <c r="D107" s="12"/>
      <c r="E107" s="14"/>
      <c r="F107" s="15"/>
      <c r="G107" s="16" t="str">
        <f aca="true">IF(OR(A107="",F107=""),"",F107-TODAY())</f>
        <v/>
      </c>
      <c r="H107" s="17" t="str">
        <f aca="true">IF(A107="","",IF(AND(F107&lt;&gt;"",F107&lt;TODAY()),"Tarihi geçti",IF(AND(F107&lt;&gt;"",F107&lt;=TODAY()+7),"Bu hafta bitiyor",IF(C107&lt;=E107,"Azaldı","Tamam"))))</f>
        <v/>
      </c>
      <c r="I107" s="17" t="str">
        <f aca="false">IF(AND(A107&lt;&gt;"",F107&lt;&gt;""),F107+ROW()/1000000,"")</f>
        <v/>
      </c>
      <c r="J107" s="17" t="str">
        <f aca="false">IF(AND(A107&lt;&gt;"",C107&lt;=E107),ROW(),"")</f>
        <v/>
      </c>
    </row>
    <row r="108" customFormat="false" ht="15" hidden="false" customHeight="false" outlineLevel="0" collapsed="false">
      <c r="A108" s="12"/>
      <c r="B108" s="13"/>
      <c r="C108" s="14"/>
      <c r="D108" s="12"/>
      <c r="E108" s="14"/>
      <c r="F108" s="15"/>
      <c r="G108" s="16" t="str">
        <f aca="true">IF(OR(A108="",F108=""),"",F108-TODAY())</f>
        <v/>
      </c>
      <c r="H108" s="17" t="str">
        <f aca="true">IF(A108="","",IF(AND(F108&lt;&gt;"",F108&lt;TODAY()),"Tarihi geçti",IF(AND(F108&lt;&gt;"",F108&lt;=TODAY()+7),"Bu hafta bitiyor",IF(C108&lt;=E108,"Azaldı","Tamam"))))</f>
        <v/>
      </c>
      <c r="I108" s="17" t="str">
        <f aca="false">IF(AND(A108&lt;&gt;"",F108&lt;&gt;""),F108+ROW()/1000000,"")</f>
        <v/>
      </c>
      <c r="J108" s="17" t="str">
        <f aca="false">IF(AND(A108&lt;&gt;"",C108&lt;=E108),ROW(),"")</f>
        <v/>
      </c>
    </row>
    <row r="109" customFormat="false" ht="15" hidden="false" customHeight="false" outlineLevel="0" collapsed="false">
      <c r="A109" s="12"/>
      <c r="B109" s="13"/>
      <c r="C109" s="14"/>
      <c r="D109" s="12"/>
      <c r="E109" s="14"/>
      <c r="F109" s="15"/>
      <c r="G109" s="16" t="str">
        <f aca="true">IF(OR(A109="",F109=""),"",F109-TODAY())</f>
        <v/>
      </c>
      <c r="H109" s="17" t="str">
        <f aca="true">IF(A109="","",IF(AND(F109&lt;&gt;"",F109&lt;TODAY()),"Tarihi geçti",IF(AND(F109&lt;&gt;"",F109&lt;=TODAY()+7),"Bu hafta bitiyor",IF(C109&lt;=E109,"Azaldı","Tamam"))))</f>
        <v/>
      </c>
      <c r="I109" s="17" t="str">
        <f aca="false">IF(AND(A109&lt;&gt;"",F109&lt;&gt;""),F109+ROW()/1000000,"")</f>
        <v/>
      </c>
      <c r="J109" s="17" t="str">
        <f aca="false">IF(AND(A109&lt;&gt;"",C109&lt;=E109),ROW(),"")</f>
        <v/>
      </c>
    </row>
    <row r="110" customFormat="false" ht="15" hidden="false" customHeight="false" outlineLevel="0" collapsed="false">
      <c r="A110" s="12"/>
      <c r="B110" s="13"/>
      <c r="C110" s="14"/>
      <c r="D110" s="12"/>
      <c r="E110" s="14"/>
      <c r="F110" s="15"/>
      <c r="G110" s="16" t="str">
        <f aca="true">IF(OR(A110="",F110=""),"",F110-TODAY())</f>
        <v/>
      </c>
      <c r="H110" s="17" t="str">
        <f aca="true">IF(A110="","",IF(AND(F110&lt;&gt;"",F110&lt;TODAY()),"Tarihi geçti",IF(AND(F110&lt;&gt;"",F110&lt;=TODAY()+7),"Bu hafta bitiyor",IF(C110&lt;=E110,"Azaldı","Tamam"))))</f>
        <v/>
      </c>
      <c r="I110" s="17" t="str">
        <f aca="false">IF(AND(A110&lt;&gt;"",F110&lt;&gt;""),F110+ROW()/1000000,"")</f>
        <v/>
      </c>
      <c r="J110" s="17" t="str">
        <f aca="false">IF(AND(A110&lt;&gt;"",C110&lt;=E110),ROW(),"")</f>
        <v/>
      </c>
    </row>
    <row r="111" customFormat="false" ht="15" hidden="false" customHeight="false" outlineLevel="0" collapsed="false">
      <c r="A111" s="12"/>
      <c r="B111" s="13"/>
      <c r="C111" s="14"/>
      <c r="D111" s="12"/>
      <c r="E111" s="14"/>
      <c r="F111" s="15"/>
      <c r="G111" s="16" t="str">
        <f aca="true">IF(OR(A111="",F111=""),"",F111-TODAY())</f>
        <v/>
      </c>
      <c r="H111" s="17" t="str">
        <f aca="true">IF(A111="","",IF(AND(F111&lt;&gt;"",F111&lt;TODAY()),"Tarihi geçti",IF(AND(F111&lt;&gt;"",F111&lt;=TODAY()+7),"Bu hafta bitiyor",IF(C111&lt;=E111,"Azaldı","Tamam"))))</f>
        <v/>
      </c>
      <c r="I111" s="17" t="str">
        <f aca="false">IF(AND(A111&lt;&gt;"",F111&lt;&gt;""),F111+ROW()/1000000,"")</f>
        <v/>
      </c>
      <c r="J111" s="17" t="str">
        <f aca="false">IF(AND(A111&lt;&gt;"",C111&lt;=E111),ROW(),"")</f>
        <v/>
      </c>
    </row>
    <row r="112" customFormat="false" ht="15" hidden="false" customHeight="false" outlineLevel="0" collapsed="false">
      <c r="A112" s="12"/>
      <c r="B112" s="13"/>
      <c r="C112" s="14"/>
      <c r="D112" s="12"/>
      <c r="E112" s="14"/>
      <c r="F112" s="15"/>
      <c r="G112" s="16" t="str">
        <f aca="true">IF(OR(A112="",F112=""),"",F112-TODAY())</f>
        <v/>
      </c>
      <c r="H112" s="17" t="str">
        <f aca="true">IF(A112="","",IF(AND(F112&lt;&gt;"",F112&lt;TODAY()),"Tarihi geçti",IF(AND(F112&lt;&gt;"",F112&lt;=TODAY()+7),"Bu hafta bitiyor",IF(C112&lt;=E112,"Azaldı","Tamam"))))</f>
        <v/>
      </c>
      <c r="I112" s="17" t="str">
        <f aca="false">IF(AND(A112&lt;&gt;"",F112&lt;&gt;""),F112+ROW()/1000000,"")</f>
        <v/>
      </c>
      <c r="J112" s="17" t="str">
        <f aca="false">IF(AND(A112&lt;&gt;"",C112&lt;=E112),ROW(),"")</f>
        <v/>
      </c>
    </row>
    <row r="113" customFormat="false" ht="15" hidden="false" customHeight="false" outlineLevel="0" collapsed="false">
      <c r="A113" s="12"/>
      <c r="B113" s="13"/>
      <c r="C113" s="14"/>
      <c r="D113" s="12"/>
      <c r="E113" s="14"/>
      <c r="F113" s="15"/>
      <c r="G113" s="16" t="str">
        <f aca="true">IF(OR(A113="",F113=""),"",F113-TODAY())</f>
        <v/>
      </c>
      <c r="H113" s="17" t="str">
        <f aca="true">IF(A113="","",IF(AND(F113&lt;&gt;"",F113&lt;TODAY()),"Tarihi geçti",IF(AND(F113&lt;&gt;"",F113&lt;=TODAY()+7),"Bu hafta bitiyor",IF(C113&lt;=E113,"Azaldı","Tamam"))))</f>
        <v/>
      </c>
      <c r="I113" s="17" t="str">
        <f aca="false">IF(AND(A113&lt;&gt;"",F113&lt;&gt;""),F113+ROW()/1000000,"")</f>
        <v/>
      </c>
      <c r="J113" s="17" t="str">
        <f aca="false">IF(AND(A113&lt;&gt;"",C113&lt;=E113),ROW(),"")</f>
        <v/>
      </c>
    </row>
    <row r="114" customFormat="false" ht="15" hidden="false" customHeight="false" outlineLevel="0" collapsed="false">
      <c r="A114" s="12"/>
      <c r="B114" s="13"/>
      <c r="C114" s="14"/>
      <c r="D114" s="12"/>
      <c r="E114" s="14"/>
      <c r="F114" s="15"/>
      <c r="G114" s="16" t="str">
        <f aca="true">IF(OR(A114="",F114=""),"",F114-TODAY())</f>
        <v/>
      </c>
      <c r="H114" s="17" t="str">
        <f aca="true">IF(A114="","",IF(AND(F114&lt;&gt;"",F114&lt;TODAY()),"Tarihi geçti",IF(AND(F114&lt;&gt;"",F114&lt;=TODAY()+7),"Bu hafta bitiyor",IF(C114&lt;=E114,"Azaldı","Tamam"))))</f>
        <v/>
      </c>
      <c r="I114" s="17" t="str">
        <f aca="false">IF(AND(A114&lt;&gt;"",F114&lt;&gt;""),F114+ROW()/1000000,"")</f>
        <v/>
      </c>
      <c r="J114" s="17" t="str">
        <f aca="false">IF(AND(A114&lt;&gt;"",C114&lt;=E114),ROW(),"")</f>
        <v/>
      </c>
    </row>
    <row r="115" customFormat="false" ht="15" hidden="false" customHeight="false" outlineLevel="0" collapsed="false">
      <c r="A115" s="12"/>
      <c r="B115" s="13"/>
      <c r="C115" s="14"/>
      <c r="D115" s="12"/>
      <c r="E115" s="14"/>
      <c r="F115" s="15"/>
      <c r="G115" s="16" t="str">
        <f aca="true">IF(OR(A115="",F115=""),"",F115-TODAY())</f>
        <v/>
      </c>
      <c r="H115" s="17" t="str">
        <f aca="true">IF(A115="","",IF(AND(F115&lt;&gt;"",F115&lt;TODAY()),"Tarihi geçti",IF(AND(F115&lt;&gt;"",F115&lt;=TODAY()+7),"Bu hafta bitiyor",IF(C115&lt;=E115,"Azaldı","Tamam"))))</f>
        <v/>
      </c>
      <c r="I115" s="17" t="str">
        <f aca="false">IF(AND(A115&lt;&gt;"",F115&lt;&gt;""),F115+ROW()/1000000,"")</f>
        <v/>
      </c>
      <c r="J115" s="17" t="str">
        <f aca="false">IF(AND(A115&lt;&gt;"",C115&lt;=E115),ROW(),"")</f>
        <v/>
      </c>
    </row>
    <row r="116" customFormat="false" ht="15" hidden="false" customHeight="false" outlineLevel="0" collapsed="false">
      <c r="A116" s="12"/>
      <c r="B116" s="13"/>
      <c r="C116" s="14"/>
      <c r="D116" s="12"/>
      <c r="E116" s="14"/>
      <c r="F116" s="15"/>
      <c r="G116" s="16" t="str">
        <f aca="true">IF(OR(A116="",F116=""),"",F116-TODAY())</f>
        <v/>
      </c>
      <c r="H116" s="17" t="str">
        <f aca="true">IF(A116="","",IF(AND(F116&lt;&gt;"",F116&lt;TODAY()),"Tarihi geçti",IF(AND(F116&lt;&gt;"",F116&lt;=TODAY()+7),"Bu hafta bitiyor",IF(C116&lt;=E116,"Azaldı","Tamam"))))</f>
        <v/>
      </c>
      <c r="I116" s="17" t="str">
        <f aca="false">IF(AND(A116&lt;&gt;"",F116&lt;&gt;""),F116+ROW()/1000000,"")</f>
        <v/>
      </c>
      <c r="J116" s="17" t="str">
        <f aca="false">IF(AND(A116&lt;&gt;"",C116&lt;=E116),ROW(),"")</f>
        <v/>
      </c>
    </row>
    <row r="117" customFormat="false" ht="15" hidden="false" customHeight="false" outlineLevel="0" collapsed="false">
      <c r="A117" s="12"/>
      <c r="B117" s="13"/>
      <c r="C117" s="14"/>
      <c r="D117" s="12"/>
      <c r="E117" s="14"/>
      <c r="F117" s="15"/>
      <c r="G117" s="16" t="str">
        <f aca="true">IF(OR(A117="",F117=""),"",F117-TODAY())</f>
        <v/>
      </c>
      <c r="H117" s="17" t="str">
        <f aca="true">IF(A117="","",IF(AND(F117&lt;&gt;"",F117&lt;TODAY()),"Tarihi geçti",IF(AND(F117&lt;&gt;"",F117&lt;=TODAY()+7),"Bu hafta bitiyor",IF(C117&lt;=E117,"Azaldı","Tamam"))))</f>
        <v/>
      </c>
      <c r="I117" s="17" t="str">
        <f aca="false">IF(AND(A117&lt;&gt;"",F117&lt;&gt;""),F117+ROW()/1000000,"")</f>
        <v/>
      </c>
      <c r="J117" s="17" t="str">
        <f aca="false">IF(AND(A117&lt;&gt;"",C117&lt;=E117),ROW(),"")</f>
        <v/>
      </c>
    </row>
    <row r="118" customFormat="false" ht="15" hidden="false" customHeight="false" outlineLevel="0" collapsed="false">
      <c r="A118" s="12"/>
      <c r="B118" s="13"/>
      <c r="C118" s="14"/>
      <c r="D118" s="12"/>
      <c r="E118" s="14"/>
      <c r="F118" s="15"/>
      <c r="G118" s="16" t="str">
        <f aca="true">IF(OR(A118="",F118=""),"",F118-TODAY())</f>
        <v/>
      </c>
      <c r="H118" s="17" t="str">
        <f aca="true">IF(A118="","",IF(AND(F118&lt;&gt;"",F118&lt;TODAY()),"Tarihi geçti",IF(AND(F118&lt;&gt;"",F118&lt;=TODAY()+7),"Bu hafta bitiyor",IF(C118&lt;=E118,"Azaldı","Tamam"))))</f>
        <v/>
      </c>
      <c r="I118" s="17" t="str">
        <f aca="false">IF(AND(A118&lt;&gt;"",F118&lt;&gt;""),F118+ROW()/1000000,"")</f>
        <v/>
      </c>
      <c r="J118" s="17" t="str">
        <f aca="false">IF(AND(A118&lt;&gt;"",C118&lt;=E118),ROW(),"")</f>
        <v/>
      </c>
    </row>
    <row r="119" customFormat="false" ht="15" hidden="false" customHeight="false" outlineLevel="0" collapsed="false">
      <c r="A119" s="12"/>
      <c r="B119" s="13"/>
      <c r="C119" s="14"/>
      <c r="D119" s="12"/>
      <c r="E119" s="14"/>
      <c r="F119" s="15"/>
      <c r="G119" s="16" t="str">
        <f aca="true">IF(OR(A119="",F119=""),"",F119-TODAY())</f>
        <v/>
      </c>
      <c r="H119" s="17" t="str">
        <f aca="true">IF(A119="","",IF(AND(F119&lt;&gt;"",F119&lt;TODAY()),"Tarihi geçti",IF(AND(F119&lt;&gt;"",F119&lt;=TODAY()+7),"Bu hafta bitiyor",IF(C119&lt;=E119,"Azaldı","Tamam"))))</f>
        <v/>
      </c>
      <c r="I119" s="17" t="str">
        <f aca="false">IF(AND(A119&lt;&gt;"",F119&lt;&gt;""),F119+ROW()/1000000,"")</f>
        <v/>
      </c>
      <c r="J119" s="17" t="str">
        <f aca="false">IF(AND(A119&lt;&gt;"",C119&lt;=E119),ROW(),"")</f>
        <v/>
      </c>
    </row>
    <row r="120" customFormat="false" ht="15" hidden="false" customHeight="false" outlineLevel="0" collapsed="false">
      <c r="A120" s="12"/>
      <c r="B120" s="13"/>
      <c r="C120" s="14"/>
      <c r="D120" s="12"/>
      <c r="E120" s="14"/>
      <c r="F120" s="15"/>
      <c r="G120" s="16" t="str">
        <f aca="true">IF(OR(A120="",F120=""),"",F120-TODAY())</f>
        <v/>
      </c>
      <c r="H120" s="17" t="str">
        <f aca="true">IF(A120="","",IF(AND(F120&lt;&gt;"",F120&lt;TODAY()),"Tarihi geçti",IF(AND(F120&lt;&gt;"",F120&lt;=TODAY()+7),"Bu hafta bitiyor",IF(C120&lt;=E120,"Azaldı","Tamam"))))</f>
        <v/>
      </c>
      <c r="I120" s="17" t="str">
        <f aca="false">IF(AND(A120&lt;&gt;"",F120&lt;&gt;""),F120+ROW()/1000000,"")</f>
        <v/>
      </c>
      <c r="J120" s="17" t="str">
        <f aca="false">IF(AND(A120&lt;&gt;"",C120&lt;=E120),ROW(),"")</f>
        <v/>
      </c>
    </row>
    <row r="121" customFormat="false" ht="15" hidden="false" customHeight="false" outlineLevel="0" collapsed="false">
      <c r="A121" s="12"/>
      <c r="B121" s="13"/>
      <c r="C121" s="14"/>
      <c r="D121" s="12"/>
      <c r="E121" s="14"/>
      <c r="F121" s="15"/>
      <c r="G121" s="16" t="str">
        <f aca="true">IF(OR(A121="",F121=""),"",F121-TODAY())</f>
        <v/>
      </c>
      <c r="H121" s="17" t="str">
        <f aca="true">IF(A121="","",IF(AND(F121&lt;&gt;"",F121&lt;TODAY()),"Tarihi geçti",IF(AND(F121&lt;&gt;"",F121&lt;=TODAY()+7),"Bu hafta bitiyor",IF(C121&lt;=E121,"Azaldı","Tamam"))))</f>
        <v/>
      </c>
      <c r="I121" s="17" t="str">
        <f aca="false">IF(AND(A121&lt;&gt;"",F121&lt;&gt;""),F121+ROW()/1000000,"")</f>
        <v/>
      </c>
      <c r="J121" s="17" t="str">
        <f aca="false">IF(AND(A121&lt;&gt;"",C121&lt;=E121),ROW(),"")</f>
        <v/>
      </c>
    </row>
    <row r="122" customFormat="false" ht="15" hidden="false" customHeight="false" outlineLevel="0" collapsed="false">
      <c r="A122" s="12"/>
      <c r="B122" s="13"/>
      <c r="C122" s="14"/>
      <c r="D122" s="12"/>
      <c r="E122" s="14"/>
      <c r="F122" s="15"/>
      <c r="G122" s="16" t="str">
        <f aca="true">IF(OR(A122="",F122=""),"",F122-TODAY())</f>
        <v/>
      </c>
      <c r="H122" s="17" t="str">
        <f aca="true">IF(A122="","",IF(AND(F122&lt;&gt;"",F122&lt;TODAY()),"Tarihi geçti",IF(AND(F122&lt;&gt;"",F122&lt;=TODAY()+7),"Bu hafta bitiyor",IF(C122&lt;=E122,"Azaldı","Tamam"))))</f>
        <v/>
      </c>
      <c r="I122" s="17" t="str">
        <f aca="false">IF(AND(A122&lt;&gt;"",F122&lt;&gt;""),F122+ROW()/1000000,"")</f>
        <v/>
      </c>
      <c r="J122" s="17" t="str">
        <f aca="false">IF(AND(A122&lt;&gt;"",C122&lt;=E122),ROW(),"")</f>
        <v/>
      </c>
    </row>
    <row r="123" customFormat="false" ht="15" hidden="false" customHeight="false" outlineLevel="0" collapsed="false">
      <c r="A123" s="12"/>
      <c r="B123" s="13"/>
      <c r="C123" s="14"/>
      <c r="D123" s="12"/>
      <c r="E123" s="14"/>
      <c r="F123" s="15"/>
      <c r="G123" s="16" t="str">
        <f aca="true">IF(OR(A123="",F123=""),"",F123-TODAY())</f>
        <v/>
      </c>
      <c r="H123" s="17" t="str">
        <f aca="true">IF(A123="","",IF(AND(F123&lt;&gt;"",F123&lt;TODAY()),"Tarihi geçti",IF(AND(F123&lt;&gt;"",F123&lt;=TODAY()+7),"Bu hafta bitiyor",IF(C123&lt;=E123,"Azaldı","Tamam"))))</f>
        <v/>
      </c>
      <c r="I123" s="17" t="str">
        <f aca="false">IF(AND(A123&lt;&gt;"",F123&lt;&gt;""),F123+ROW()/1000000,"")</f>
        <v/>
      </c>
      <c r="J123" s="17" t="str">
        <f aca="false">IF(AND(A123&lt;&gt;"",C123&lt;=E123),ROW(),"")</f>
        <v/>
      </c>
    </row>
    <row r="124" customFormat="false" ht="15" hidden="false" customHeight="false" outlineLevel="0" collapsed="false">
      <c r="A124" s="12"/>
      <c r="B124" s="13"/>
      <c r="C124" s="14"/>
      <c r="D124" s="12"/>
      <c r="E124" s="14"/>
      <c r="F124" s="15"/>
      <c r="G124" s="16" t="str">
        <f aca="true">IF(OR(A124="",F124=""),"",F124-TODAY())</f>
        <v/>
      </c>
      <c r="H124" s="17" t="str">
        <f aca="true">IF(A124="","",IF(AND(F124&lt;&gt;"",F124&lt;TODAY()),"Tarihi geçti",IF(AND(F124&lt;&gt;"",F124&lt;=TODAY()+7),"Bu hafta bitiyor",IF(C124&lt;=E124,"Azaldı","Tamam"))))</f>
        <v/>
      </c>
      <c r="I124" s="17" t="str">
        <f aca="false">IF(AND(A124&lt;&gt;"",F124&lt;&gt;""),F124+ROW()/1000000,"")</f>
        <v/>
      </c>
      <c r="J124" s="17" t="str">
        <f aca="false">IF(AND(A124&lt;&gt;"",C124&lt;=E124),ROW(),"")</f>
        <v/>
      </c>
    </row>
    <row r="125" customFormat="false" ht="15" hidden="false" customHeight="false" outlineLevel="0" collapsed="false">
      <c r="A125" s="12"/>
      <c r="B125" s="13"/>
      <c r="C125" s="14"/>
      <c r="D125" s="12"/>
      <c r="E125" s="14"/>
      <c r="F125" s="15"/>
      <c r="G125" s="16" t="str">
        <f aca="true">IF(OR(A125="",F125=""),"",F125-TODAY())</f>
        <v/>
      </c>
      <c r="H125" s="17" t="str">
        <f aca="true">IF(A125="","",IF(AND(F125&lt;&gt;"",F125&lt;TODAY()),"Tarihi geçti",IF(AND(F125&lt;&gt;"",F125&lt;=TODAY()+7),"Bu hafta bitiyor",IF(C125&lt;=E125,"Azaldı","Tamam"))))</f>
        <v/>
      </c>
      <c r="I125" s="17" t="str">
        <f aca="false">IF(AND(A125&lt;&gt;"",F125&lt;&gt;""),F125+ROW()/1000000,"")</f>
        <v/>
      </c>
      <c r="J125" s="17" t="str">
        <f aca="false">IF(AND(A125&lt;&gt;"",C125&lt;=E125),ROW(),"")</f>
        <v/>
      </c>
    </row>
    <row r="126" customFormat="false" ht="15" hidden="false" customHeight="false" outlineLevel="0" collapsed="false">
      <c r="A126" s="12"/>
      <c r="B126" s="13"/>
      <c r="C126" s="14"/>
      <c r="D126" s="12"/>
      <c r="E126" s="14"/>
      <c r="F126" s="15"/>
      <c r="G126" s="16" t="str">
        <f aca="true">IF(OR(A126="",F126=""),"",F126-TODAY())</f>
        <v/>
      </c>
      <c r="H126" s="17" t="str">
        <f aca="true">IF(A126="","",IF(AND(F126&lt;&gt;"",F126&lt;TODAY()),"Tarihi geçti",IF(AND(F126&lt;&gt;"",F126&lt;=TODAY()+7),"Bu hafta bitiyor",IF(C126&lt;=E126,"Azaldı","Tamam"))))</f>
        <v/>
      </c>
      <c r="I126" s="17" t="str">
        <f aca="false">IF(AND(A126&lt;&gt;"",F126&lt;&gt;""),F126+ROW()/1000000,"")</f>
        <v/>
      </c>
      <c r="J126" s="17" t="str">
        <f aca="false">IF(AND(A126&lt;&gt;"",C126&lt;=E126),ROW(),"")</f>
        <v/>
      </c>
    </row>
    <row r="127" customFormat="false" ht="15" hidden="false" customHeight="false" outlineLevel="0" collapsed="false">
      <c r="A127" s="12"/>
      <c r="B127" s="13"/>
      <c r="C127" s="14"/>
      <c r="D127" s="12"/>
      <c r="E127" s="14"/>
      <c r="F127" s="15"/>
      <c r="G127" s="16" t="str">
        <f aca="true">IF(OR(A127="",F127=""),"",F127-TODAY())</f>
        <v/>
      </c>
      <c r="H127" s="17" t="str">
        <f aca="true">IF(A127="","",IF(AND(F127&lt;&gt;"",F127&lt;TODAY()),"Tarihi geçti",IF(AND(F127&lt;&gt;"",F127&lt;=TODAY()+7),"Bu hafta bitiyor",IF(C127&lt;=E127,"Azaldı","Tamam"))))</f>
        <v/>
      </c>
      <c r="I127" s="17" t="str">
        <f aca="false">IF(AND(A127&lt;&gt;"",F127&lt;&gt;""),F127+ROW()/1000000,"")</f>
        <v/>
      </c>
      <c r="J127" s="17" t="str">
        <f aca="false">IF(AND(A127&lt;&gt;"",C127&lt;=E127),ROW(),"")</f>
        <v/>
      </c>
    </row>
    <row r="128" customFormat="false" ht="15" hidden="false" customHeight="false" outlineLevel="0" collapsed="false">
      <c r="A128" s="12"/>
      <c r="B128" s="13"/>
      <c r="C128" s="14"/>
      <c r="D128" s="12"/>
      <c r="E128" s="14"/>
      <c r="F128" s="15"/>
      <c r="G128" s="16" t="str">
        <f aca="true">IF(OR(A128="",F128=""),"",F128-TODAY())</f>
        <v/>
      </c>
      <c r="H128" s="17" t="str">
        <f aca="true">IF(A128="","",IF(AND(F128&lt;&gt;"",F128&lt;TODAY()),"Tarihi geçti",IF(AND(F128&lt;&gt;"",F128&lt;=TODAY()+7),"Bu hafta bitiyor",IF(C128&lt;=E128,"Azaldı","Tamam"))))</f>
        <v/>
      </c>
      <c r="I128" s="17" t="str">
        <f aca="false">IF(AND(A128&lt;&gt;"",F128&lt;&gt;""),F128+ROW()/1000000,"")</f>
        <v/>
      </c>
      <c r="J128" s="17" t="str">
        <f aca="false">IF(AND(A128&lt;&gt;"",C128&lt;=E128),ROW(),"")</f>
        <v/>
      </c>
    </row>
    <row r="129" customFormat="false" ht="15" hidden="false" customHeight="false" outlineLevel="0" collapsed="false">
      <c r="A129" s="12"/>
      <c r="B129" s="13"/>
      <c r="C129" s="14"/>
      <c r="D129" s="12"/>
      <c r="E129" s="14"/>
      <c r="F129" s="15"/>
      <c r="G129" s="16" t="str">
        <f aca="true">IF(OR(A129="",F129=""),"",F129-TODAY())</f>
        <v/>
      </c>
      <c r="H129" s="17" t="str">
        <f aca="true">IF(A129="","",IF(AND(F129&lt;&gt;"",F129&lt;TODAY()),"Tarihi geçti",IF(AND(F129&lt;&gt;"",F129&lt;=TODAY()+7),"Bu hafta bitiyor",IF(C129&lt;=E129,"Azaldı","Tamam"))))</f>
        <v/>
      </c>
      <c r="I129" s="17" t="str">
        <f aca="false">IF(AND(A129&lt;&gt;"",F129&lt;&gt;""),F129+ROW()/1000000,"")</f>
        <v/>
      </c>
      <c r="J129" s="17" t="str">
        <f aca="false">IF(AND(A129&lt;&gt;"",C129&lt;=E129),ROW(),"")</f>
        <v/>
      </c>
    </row>
    <row r="130" customFormat="false" ht="15" hidden="false" customHeight="false" outlineLevel="0" collapsed="false">
      <c r="A130" s="12"/>
      <c r="B130" s="13"/>
      <c r="C130" s="14"/>
      <c r="D130" s="12"/>
      <c r="E130" s="14"/>
      <c r="F130" s="15"/>
      <c r="G130" s="16" t="str">
        <f aca="true">IF(OR(A130="",F130=""),"",F130-TODAY())</f>
        <v/>
      </c>
      <c r="H130" s="17" t="str">
        <f aca="true">IF(A130="","",IF(AND(F130&lt;&gt;"",F130&lt;TODAY()),"Tarihi geçti",IF(AND(F130&lt;&gt;"",F130&lt;=TODAY()+7),"Bu hafta bitiyor",IF(C130&lt;=E130,"Azaldı","Tamam"))))</f>
        <v/>
      </c>
      <c r="I130" s="17" t="str">
        <f aca="false">IF(AND(A130&lt;&gt;"",F130&lt;&gt;""),F130+ROW()/1000000,"")</f>
        <v/>
      </c>
      <c r="J130" s="17" t="str">
        <f aca="false">IF(AND(A130&lt;&gt;"",C130&lt;=E130),ROW(),"")</f>
        <v/>
      </c>
    </row>
    <row r="131" customFormat="false" ht="15" hidden="false" customHeight="false" outlineLevel="0" collapsed="false">
      <c r="A131" s="12"/>
      <c r="B131" s="13"/>
      <c r="C131" s="14"/>
      <c r="D131" s="12"/>
      <c r="E131" s="14"/>
      <c r="F131" s="15"/>
      <c r="G131" s="16" t="str">
        <f aca="true">IF(OR(A131="",F131=""),"",F131-TODAY())</f>
        <v/>
      </c>
      <c r="H131" s="17" t="str">
        <f aca="true">IF(A131="","",IF(AND(F131&lt;&gt;"",F131&lt;TODAY()),"Tarihi geçti",IF(AND(F131&lt;&gt;"",F131&lt;=TODAY()+7),"Bu hafta bitiyor",IF(C131&lt;=E131,"Azaldı","Tamam"))))</f>
        <v/>
      </c>
      <c r="I131" s="17" t="str">
        <f aca="false">IF(AND(A131&lt;&gt;"",F131&lt;&gt;""),F131+ROW()/1000000,"")</f>
        <v/>
      </c>
      <c r="J131" s="17" t="str">
        <f aca="false">IF(AND(A131&lt;&gt;"",C131&lt;=E131),ROW(),"")</f>
        <v/>
      </c>
    </row>
    <row r="132" customFormat="false" ht="15" hidden="false" customHeight="false" outlineLevel="0" collapsed="false">
      <c r="A132" s="12"/>
      <c r="B132" s="13"/>
      <c r="C132" s="14"/>
      <c r="D132" s="12"/>
      <c r="E132" s="14"/>
      <c r="F132" s="15"/>
      <c r="G132" s="16" t="str">
        <f aca="true">IF(OR(A132="",F132=""),"",F132-TODAY())</f>
        <v/>
      </c>
      <c r="H132" s="17" t="str">
        <f aca="true">IF(A132="","",IF(AND(F132&lt;&gt;"",F132&lt;TODAY()),"Tarihi geçti",IF(AND(F132&lt;&gt;"",F132&lt;=TODAY()+7),"Bu hafta bitiyor",IF(C132&lt;=E132,"Azaldı","Tamam"))))</f>
        <v/>
      </c>
      <c r="I132" s="17" t="str">
        <f aca="false">IF(AND(A132&lt;&gt;"",F132&lt;&gt;""),F132+ROW()/1000000,"")</f>
        <v/>
      </c>
      <c r="J132" s="17" t="str">
        <f aca="false">IF(AND(A132&lt;&gt;"",C132&lt;=E132),ROW(),"")</f>
        <v/>
      </c>
    </row>
    <row r="133" customFormat="false" ht="15" hidden="false" customHeight="false" outlineLevel="0" collapsed="false">
      <c r="A133" s="12"/>
      <c r="B133" s="13"/>
      <c r="C133" s="14"/>
      <c r="D133" s="12"/>
      <c r="E133" s="14"/>
      <c r="F133" s="15"/>
      <c r="G133" s="16" t="str">
        <f aca="true">IF(OR(A133="",F133=""),"",F133-TODAY())</f>
        <v/>
      </c>
      <c r="H133" s="17" t="str">
        <f aca="true">IF(A133="","",IF(AND(F133&lt;&gt;"",F133&lt;TODAY()),"Tarihi geçti",IF(AND(F133&lt;&gt;"",F133&lt;=TODAY()+7),"Bu hafta bitiyor",IF(C133&lt;=E133,"Azaldı","Tamam"))))</f>
        <v/>
      </c>
      <c r="I133" s="17" t="str">
        <f aca="false">IF(AND(A133&lt;&gt;"",F133&lt;&gt;""),F133+ROW()/1000000,"")</f>
        <v/>
      </c>
      <c r="J133" s="17" t="str">
        <f aca="false">IF(AND(A133&lt;&gt;"",C133&lt;=E133),ROW(),"")</f>
        <v/>
      </c>
    </row>
    <row r="134" customFormat="false" ht="15" hidden="false" customHeight="false" outlineLevel="0" collapsed="false">
      <c r="A134" s="12"/>
      <c r="B134" s="13"/>
      <c r="C134" s="14"/>
      <c r="D134" s="12"/>
      <c r="E134" s="14"/>
      <c r="F134" s="15"/>
      <c r="G134" s="16" t="str">
        <f aca="true">IF(OR(A134="",F134=""),"",F134-TODAY())</f>
        <v/>
      </c>
      <c r="H134" s="17" t="str">
        <f aca="true">IF(A134="","",IF(AND(F134&lt;&gt;"",F134&lt;TODAY()),"Tarihi geçti",IF(AND(F134&lt;&gt;"",F134&lt;=TODAY()+7),"Bu hafta bitiyor",IF(C134&lt;=E134,"Azaldı","Tamam"))))</f>
        <v/>
      </c>
      <c r="I134" s="17" t="str">
        <f aca="false">IF(AND(A134&lt;&gt;"",F134&lt;&gt;""),F134+ROW()/1000000,"")</f>
        <v/>
      </c>
      <c r="J134" s="17" t="str">
        <f aca="false">IF(AND(A134&lt;&gt;"",C134&lt;=E134),ROW(),"")</f>
        <v/>
      </c>
    </row>
    <row r="135" customFormat="false" ht="15" hidden="false" customHeight="false" outlineLevel="0" collapsed="false">
      <c r="A135" s="12"/>
      <c r="B135" s="13"/>
      <c r="C135" s="14"/>
      <c r="D135" s="12"/>
      <c r="E135" s="14"/>
      <c r="F135" s="15"/>
      <c r="G135" s="16" t="str">
        <f aca="true">IF(OR(A135="",F135=""),"",F135-TODAY())</f>
        <v/>
      </c>
      <c r="H135" s="17" t="str">
        <f aca="true">IF(A135="","",IF(AND(F135&lt;&gt;"",F135&lt;TODAY()),"Tarihi geçti",IF(AND(F135&lt;&gt;"",F135&lt;=TODAY()+7),"Bu hafta bitiyor",IF(C135&lt;=E135,"Azaldı","Tamam"))))</f>
        <v/>
      </c>
      <c r="I135" s="17" t="str">
        <f aca="false">IF(AND(A135&lt;&gt;"",F135&lt;&gt;""),F135+ROW()/1000000,"")</f>
        <v/>
      </c>
      <c r="J135" s="17" t="str">
        <f aca="false">IF(AND(A135&lt;&gt;"",C135&lt;=E135),ROW(),"")</f>
        <v/>
      </c>
    </row>
    <row r="136" customFormat="false" ht="15" hidden="false" customHeight="false" outlineLevel="0" collapsed="false">
      <c r="A136" s="12"/>
      <c r="B136" s="13"/>
      <c r="C136" s="14"/>
      <c r="D136" s="12"/>
      <c r="E136" s="14"/>
      <c r="F136" s="15"/>
      <c r="G136" s="16" t="str">
        <f aca="true">IF(OR(A136="",F136=""),"",F136-TODAY())</f>
        <v/>
      </c>
      <c r="H136" s="17" t="str">
        <f aca="true">IF(A136="","",IF(AND(F136&lt;&gt;"",F136&lt;TODAY()),"Tarihi geçti",IF(AND(F136&lt;&gt;"",F136&lt;=TODAY()+7),"Bu hafta bitiyor",IF(C136&lt;=E136,"Azaldı","Tamam"))))</f>
        <v/>
      </c>
      <c r="I136" s="17" t="str">
        <f aca="false">IF(AND(A136&lt;&gt;"",F136&lt;&gt;""),F136+ROW()/1000000,"")</f>
        <v/>
      </c>
      <c r="J136" s="17" t="str">
        <f aca="false">IF(AND(A136&lt;&gt;"",C136&lt;=E136),ROW(),"")</f>
        <v/>
      </c>
    </row>
    <row r="137" customFormat="false" ht="15" hidden="false" customHeight="false" outlineLevel="0" collapsed="false">
      <c r="A137" s="12"/>
      <c r="B137" s="13"/>
      <c r="C137" s="14"/>
      <c r="D137" s="12"/>
      <c r="E137" s="14"/>
      <c r="F137" s="15"/>
      <c r="G137" s="16" t="str">
        <f aca="true">IF(OR(A137="",F137=""),"",F137-TODAY())</f>
        <v/>
      </c>
      <c r="H137" s="17" t="str">
        <f aca="true">IF(A137="","",IF(AND(F137&lt;&gt;"",F137&lt;TODAY()),"Tarihi geçti",IF(AND(F137&lt;&gt;"",F137&lt;=TODAY()+7),"Bu hafta bitiyor",IF(C137&lt;=E137,"Azaldı","Tamam"))))</f>
        <v/>
      </c>
      <c r="I137" s="17" t="str">
        <f aca="false">IF(AND(A137&lt;&gt;"",F137&lt;&gt;""),F137+ROW()/1000000,"")</f>
        <v/>
      </c>
      <c r="J137" s="17" t="str">
        <f aca="false">IF(AND(A137&lt;&gt;"",C137&lt;=E137),ROW(),"")</f>
        <v/>
      </c>
    </row>
    <row r="138" customFormat="false" ht="15" hidden="false" customHeight="false" outlineLevel="0" collapsed="false">
      <c r="A138" s="12"/>
      <c r="B138" s="13"/>
      <c r="C138" s="14"/>
      <c r="D138" s="12"/>
      <c r="E138" s="14"/>
      <c r="F138" s="15"/>
      <c r="G138" s="16" t="str">
        <f aca="true">IF(OR(A138="",F138=""),"",F138-TODAY())</f>
        <v/>
      </c>
      <c r="H138" s="17" t="str">
        <f aca="true">IF(A138="","",IF(AND(F138&lt;&gt;"",F138&lt;TODAY()),"Tarihi geçti",IF(AND(F138&lt;&gt;"",F138&lt;=TODAY()+7),"Bu hafta bitiyor",IF(C138&lt;=E138,"Azaldı","Tamam"))))</f>
        <v/>
      </c>
      <c r="I138" s="17" t="str">
        <f aca="false">IF(AND(A138&lt;&gt;"",F138&lt;&gt;""),F138+ROW()/1000000,"")</f>
        <v/>
      </c>
      <c r="J138" s="17" t="str">
        <f aca="false">IF(AND(A138&lt;&gt;"",C138&lt;=E138),ROW(),"")</f>
        <v/>
      </c>
    </row>
    <row r="139" customFormat="false" ht="15" hidden="false" customHeight="false" outlineLevel="0" collapsed="false">
      <c r="A139" s="12"/>
      <c r="B139" s="13"/>
      <c r="C139" s="14"/>
      <c r="D139" s="12"/>
      <c r="E139" s="14"/>
      <c r="F139" s="15"/>
      <c r="G139" s="16" t="str">
        <f aca="true">IF(OR(A139="",F139=""),"",F139-TODAY())</f>
        <v/>
      </c>
      <c r="H139" s="17" t="str">
        <f aca="true">IF(A139="","",IF(AND(F139&lt;&gt;"",F139&lt;TODAY()),"Tarihi geçti",IF(AND(F139&lt;&gt;"",F139&lt;=TODAY()+7),"Bu hafta bitiyor",IF(C139&lt;=E139,"Azaldı","Tamam"))))</f>
        <v/>
      </c>
      <c r="I139" s="17" t="str">
        <f aca="false">IF(AND(A139&lt;&gt;"",F139&lt;&gt;""),F139+ROW()/1000000,"")</f>
        <v/>
      </c>
      <c r="J139" s="17" t="str">
        <f aca="false">IF(AND(A139&lt;&gt;"",C139&lt;=E139),ROW(),"")</f>
        <v/>
      </c>
    </row>
    <row r="140" customFormat="false" ht="15" hidden="false" customHeight="false" outlineLevel="0" collapsed="false">
      <c r="A140" s="12"/>
      <c r="B140" s="13"/>
      <c r="C140" s="14"/>
      <c r="D140" s="12"/>
      <c r="E140" s="14"/>
      <c r="F140" s="15"/>
      <c r="G140" s="16" t="str">
        <f aca="true">IF(OR(A140="",F140=""),"",F140-TODAY())</f>
        <v/>
      </c>
      <c r="H140" s="17" t="str">
        <f aca="true">IF(A140="","",IF(AND(F140&lt;&gt;"",F140&lt;TODAY()),"Tarihi geçti",IF(AND(F140&lt;&gt;"",F140&lt;=TODAY()+7),"Bu hafta bitiyor",IF(C140&lt;=E140,"Azaldı","Tamam"))))</f>
        <v/>
      </c>
      <c r="I140" s="17" t="str">
        <f aca="false">IF(AND(A140&lt;&gt;"",F140&lt;&gt;""),F140+ROW()/1000000,"")</f>
        <v/>
      </c>
      <c r="J140" s="17" t="str">
        <f aca="false">IF(AND(A140&lt;&gt;"",C140&lt;=E140),ROW(),"")</f>
        <v/>
      </c>
    </row>
    <row r="141" customFormat="false" ht="15" hidden="false" customHeight="false" outlineLevel="0" collapsed="false">
      <c r="A141" s="12"/>
      <c r="B141" s="13"/>
      <c r="C141" s="14"/>
      <c r="D141" s="12"/>
      <c r="E141" s="14"/>
      <c r="F141" s="15"/>
      <c r="G141" s="16" t="str">
        <f aca="true">IF(OR(A141="",F141=""),"",F141-TODAY())</f>
        <v/>
      </c>
      <c r="H141" s="17" t="str">
        <f aca="true">IF(A141="","",IF(AND(F141&lt;&gt;"",F141&lt;TODAY()),"Tarihi geçti",IF(AND(F141&lt;&gt;"",F141&lt;=TODAY()+7),"Bu hafta bitiyor",IF(C141&lt;=E141,"Azaldı","Tamam"))))</f>
        <v/>
      </c>
      <c r="I141" s="17" t="str">
        <f aca="false">IF(AND(A141&lt;&gt;"",F141&lt;&gt;""),F141+ROW()/1000000,"")</f>
        <v/>
      </c>
      <c r="J141" s="17" t="str">
        <f aca="false">IF(AND(A141&lt;&gt;"",C141&lt;=E141),ROW(),"")</f>
        <v/>
      </c>
    </row>
    <row r="142" customFormat="false" ht="15" hidden="false" customHeight="false" outlineLevel="0" collapsed="false">
      <c r="A142" s="12"/>
      <c r="B142" s="13"/>
      <c r="C142" s="14"/>
      <c r="D142" s="12"/>
      <c r="E142" s="14"/>
      <c r="F142" s="15"/>
      <c r="G142" s="16" t="str">
        <f aca="true">IF(OR(A142="",F142=""),"",F142-TODAY())</f>
        <v/>
      </c>
      <c r="H142" s="17" t="str">
        <f aca="true">IF(A142="","",IF(AND(F142&lt;&gt;"",F142&lt;TODAY()),"Tarihi geçti",IF(AND(F142&lt;&gt;"",F142&lt;=TODAY()+7),"Bu hafta bitiyor",IF(C142&lt;=E142,"Azaldı","Tamam"))))</f>
        <v/>
      </c>
      <c r="I142" s="17" t="str">
        <f aca="false">IF(AND(A142&lt;&gt;"",F142&lt;&gt;""),F142+ROW()/1000000,"")</f>
        <v/>
      </c>
      <c r="J142" s="17" t="str">
        <f aca="false">IF(AND(A142&lt;&gt;"",C142&lt;=E142),ROW(),"")</f>
        <v/>
      </c>
    </row>
    <row r="143" customFormat="false" ht="15" hidden="false" customHeight="false" outlineLevel="0" collapsed="false">
      <c r="A143" s="12"/>
      <c r="B143" s="13"/>
      <c r="C143" s="14"/>
      <c r="D143" s="12"/>
      <c r="E143" s="14"/>
      <c r="F143" s="15"/>
      <c r="G143" s="16" t="str">
        <f aca="true">IF(OR(A143="",F143=""),"",F143-TODAY())</f>
        <v/>
      </c>
      <c r="H143" s="17" t="str">
        <f aca="true">IF(A143="","",IF(AND(F143&lt;&gt;"",F143&lt;TODAY()),"Tarihi geçti",IF(AND(F143&lt;&gt;"",F143&lt;=TODAY()+7),"Bu hafta bitiyor",IF(C143&lt;=E143,"Azaldı","Tamam"))))</f>
        <v/>
      </c>
      <c r="I143" s="17" t="str">
        <f aca="false">IF(AND(A143&lt;&gt;"",F143&lt;&gt;""),F143+ROW()/1000000,"")</f>
        <v/>
      </c>
      <c r="J143" s="17" t="str">
        <f aca="false">IF(AND(A143&lt;&gt;"",C143&lt;=E143),ROW(),"")</f>
        <v/>
      </c>
    </row>
    <row r="144" customFormat="false" ht="15" hidden="false" customHeight="false" outlineLevel="0" collapsed="false">
      <c r="A144" s="12"/>
      <c r="B144" s="13"/>
      <c r="C144" s="14"/>
      <c r="D144" s="12"/>
      <c r="E144" s="14"/>
      <c r="F144" s="15"/>
      <c r="G144" s="16" t="str">
        <f aca="true">IF(OR(A144="",F144=""),"",F144-TODAY())</f>
        <v/>
      </c>
      <c r="H144" s="17" t="str">
        <f aca="true">IF(A144="","",IF(AND(F144&lt;&gt;"",F144&lt;TODAY()),"Tarihi geçti",IF(AND(F144&lt;&gt;"",F144&lt;=TODAY()+7),"Bu hafta bitiyor",IF(C144&lt;=E144,"Azaldı","Tamam"))))</f>
        <v/>
      </c>
      <c r="I144" s="17" t="str">
        <f aca="false">IF(AND(A144&lt;&gt;"",F144&lt;&gt;""),F144+ROW()/1000000,"")</f>
        <v/>
      </c>
      <c r="J144" s="17" t="str">
        <f aca="false">IF(AND(A144&lt;&gt;"",C144&lt;=E144),ROW(),"")</f>
        <v/>
      </c>
    </row>
    <row r="145" customFormat="false" ht="15" hidden="false" customHeight="false" outlineLevel="0" collapsed="false">
      <c r="A145" s="12"/>
      <c r="B145" s="13"/>
      <c r="C145" s="14"/>
      <c r="D145" s="12"/>
      <c r="E145" s="14"/>
      <c r="F145" s="15"/>
      <c r="G145" s="16" t="str">
        <f aca="true">IF(OR(A145="",F145=""),"",F145-TODAY())</f>
        <v/>
      </c>
      <c r="H145" s="17" t="str">
        <f aca="true">IF(A145="","",IF(AND(F145&lt;&gt;"",F145&lt;TODAY()),"Tarihi geçti",IF(AND(F145&lt;&gt;"",F145&lt;=TODAY()+7),"Bu hafta bitiyor",IF(C145&lt;=E145,"Azaldı","Tamam"))))</f>
        <v/>
      </c>
      <c r="I145" s="17" t="str">
        <f aca="false">IF(AND(A145&lt;&gt;"",F145&lt;&gt;""),F145+ROW()/1000000,"")</f>
        <v/>
      </c>
      <c r="J145" s="17" t="str">
        <f aca="false">IF(AND(A145&lt;&gt;"",C145&lt;=E145),ROW(),"")</f>
        <v/>
      </c>
    </row>
    <row r="146" customFormat="false" ht="15" hidden="false" customHeight="false" outlineLevel="0" collapsed="false">
      <c r="A146" s="12"/>
      <c r="B146" s="13"/>
      <c r="C146" s="14"/>
      <c r="D146" s="12"/>
      <c r="E146" s="14"/>
      <c r="F146" s="15"/>
      <c r="G146" s="16" t="str">
        <f aca="true">IF(OR(A146="",F146=""),"",F146-TODAY())</f>
        <v/>
      </c>
      <c r="H146" s="17" t="str">
        <f aca="true">IF(A146="","",IF(AND(F146&lt;&gt;"",F146&lt;TODAY()),"Tarihi geçti",IF(AND(F146&lt;&gt;"",F146&lt;=TODAY()+7),"Bu hafta bitiyor",IF(C146&lt;=E146,"Azaldı","Tamam"))))</f>
        <v/>
      </c>
      <c r="I146" s="17" t="str">
        <f aca="false">IF(AND(A146&lt;&gt;"",F146&lt;&gt;""),F146+ROW()/1000000,"")</f>
        <v/>
      </c>
      <c r="J146" s="17" t="str">
        <f aca="false">IF(AND(A146&lt;&gt;"",C146&lt;=E146),ROW(),"")</f>
        <v/>
      </c>
    </row>
    <row r="147" customFormat="false" ht="15" hidden="false" customHeight="false" outlineLevel="0" collapsed="false">
      <c r="A147" s="12"/>
      <c r="B147" s="13"/>
      <c r="C147" s="14"/>
      <c r="D147" s="12"/>
      <c r="E147" s="14"/>
      <c r="F147" s="15"/>
      <c r="G147" s="16" t="str">
        <f aca="true">IF(OR(A147="",F147=""),"",F147-TODAY())</f>
        <v/>
      </c>
      <c r="H147" s="17" t="str">
        <f aca="true">IF(A147="","",IF(AND(F147&lt;&gt;"",F147&lt;TODAY()),"Tarihi geçti",IF(AND(F147&lt;&gt;"",F147&lt;=TODAY()+7),"Bu hafta bitiyor",IF(C147&lt;=E147,"Azaldı","Tamam"))))</f>
        <v/>
      </c>
      <c r="I147" s="17" t="str">
        <f aca="false">IF(AND(A147&lt;&gt;"",F147&lt;&gt;""),F147+ROW()/1000000,"")</f>
        <v/>
      </c>
      <c r="J147" s="17" t="str">
        <f aca="false">IF(AND(A147&lt;&gt;"",C147&lt;=E147),ROW(),"")</f>
        <v/>
      </c>
    </row>
    <row r="148" customFormat="false" ht="15" hidden="false" customHeight="false" outlineLevel="0" collapsed="false">
      <c r="A148" s="12"/>
      <c r="B148" s="13"/>
      <c r="C148" s="14"/>
      <c r="D148" s="12"/>
      <c r="E148" s="14"/>
      <c r="F148" s="15"/>
      <c r="G148" s="16" t="str">
        <f aca="true">IF(OR(A148="",F148=""),"",F148-TODAY())</f>
        <v/>
      </c>
      <c r="H148" s="17" t="str">
        <f aca="true">IF(A148="","",IF(AND(F148&lt;&gt;"",F148&lt;TODAY()),"Tarihi geçti",IF(AND(F148&lt;&gt;"",F148&lt;=TODAY()+7),"Bu hafta bitiyor",IF(C148&lt;=E148,"Azaldı","Tamam"))))</f>
        <v/>
      </c>
      <c r="I148" s="17" t="str">
        <f aca="false">IF(AND(A148&lt;&gt;"",F148&lt;&gt;""),F148+ROW()/1000000,"")</f>
        <v/>
      </c>
      <c r="J148" s="17" t="str">
        <f aca="false">IF(AND(A148&lt;&gt;"",C148&lt;=E148),ROW(),"")</f>
        <v/>
      </c>
    </row>
    <row r="149" customFormat="false" ht="15" hidden="false" customHeight="false" outlineLevel="0" collapsed="false">
      <c r="A149" s="12"/>
      <c r="B149" s="13"/>
      <c r="C149" s="14"/>
      <c r="D149" s="12"/>
      <c r="E149" s="14"/>
      <c r="F149" s="15"/>
      <c r="G149" s="16" t="str">
        <f aca="true">IF(OR(A149="",F149=""),"",F149-TODAY())</f>
        <v/>
      </c>
      <c r="H149" s="17" t="str">
        <f aca="true">IF(A149="","",IF(AND(F149&lt;&gt;"",F149&lt;TODAY()),"Tarihi geçti",IF(AND(F149&lt;&gt;"",F149&lt;=TODAY()+7),"Bu hafta bitiyor",IF(C149&lt;=E149,"Azaldı","Tamam"))))</f>
        <v/>
      </c>
      <c r="I149" s="17" t="str">
        <f aca="false">IF(AND(A149&lt;&gt;"",F149&lt;&gt;""),F149+ROW()/1000000,"")</f>
        <v/>
      </c>
      <c r="J149" s="17" t="str">
        <f aca="false">IF(AND(A149&lt;&gt;"",C149&lt;=E149),ROW(),"")</f>
        <v/>
      </c>
    </row>
    <row r="150" customFormat="false" ht="15" hidden="false" customHeight="false" outlineLevel="0" collapsed="false">
      <c r="A150" s="12"/>
      <c r="B150" s="13"/>
      <c r="C150" s="14"/>
      <c r="D150" s="12"/>
      <c r="E150" s="14"/>
      <c r="F150" s="15"/>
      <c r="G150" s="16" t="str">
        <f aca="true">IF(OR(A150="",F150=""),"",F150-TODAY())</f>
        <v/>
      </c>
      <c r="H150" s="17" t="str">
        <f aca="true">IF(A150="","",IF(AND(F150&lt;&gt;"",F150&lt;TODAY()),"Tarihi geçti",IF(AND(F150&lt;&gt;"",F150&lt;=TODAY()+7),"Bu hafta bitiyor",IF(C150&lt;=E150,"Azaldı","Tamam"))))</f>
        <v/>
      </c>
      <c r="I150" s="17" t="str">
        <f aca="false">IF(AND(A150&lt;&gt;"",F150&lt;&gt;""),F150+ROW()/1000000,"")</f>
        <v/>
      </c>
      <c r="J150" s="17" t="str">
        <f aca="false">IF(AND(A150&lt;&gt;"",C150&lt;=E150),ROW(),"")</f>
        <v/>
      </c>
    </row>
    <row r="151" customFormat="false" ht="15" hidden="false" customHeight="false" outlineLevel="0" collapsed="false">
      <c r="A151" s="12"/>
      <c r="B151" s="13"/>
      <c r="C151" s="14"/>
      <c r="D151" s="12"/>
      <c r="E151" s="14"/>
      <c r="F151" s="15"/>
      <c r="G151" s="16" t="str">
        <f aca="true">IF(OR(A151="",F151=""),"",F151-TODAY())</f>
        <v/>
      </c>
      <c r="H151" s="17" t="str">
        <f aca="true">IF(A151="","",IF(AND(F151&lt;&gt;"",F151&lt;TODAY()),"Tarihi geçti",IF(AND(F151&lt;&gt;"",F151&lt;=TODAY()+7),"Bu hafta bitiyor",IF(C151&lt;=E151,"Azaldı","Tamam"))))</f>
        <v/>
      </c>
      <c r="I151" s="17" t="str">
        <f aca="false">IF(AND(A151&lt;&gt;"",F151&lt;&gt;""),F151+ROW()/1000000,"")</f>
        <v/>
      </c>
      <c r="J151" s="17" t="str">
        <f aca="false">IF(AND(A151&lt;&gt;"",C151&lt;=E151),ROW(),"")</f>
        <v/>
      </c>
    </row>
    <row r="152" customFormat="false" ht="15" hidden="false" customHeight="false" outlineLevel="0" collapsed="false">
      <c r="A152" s="12"/>
      <c r="B152" s="13"/>
      <c r="C152" s="14"/>
      <c r="D152" s="12"/>
      <c r="E152" s="14"/>
      <c r="F152" s="15"/>
      <c r="G152" s="16" t="str">
        <f aca="true">IF(OR(A152="",F152=""),"",F152-TODAY())</f>
        <v/>
      </c>
      <c r="H152" s="17" t="str">
        <f aca="true">IF(A152="","",IF(AND(F152&lt;&gt;"",F152&lt;TODAY()),"Tarihi geçti",IF(AND(F152&lt;&gt;"",F152&lt;=TODAY()+7),"Bu hafta bitiyor",IF(C152&lt;=E152,"Azaldı","Tamam"))))</f>
        <v/>
      </c>
      <c r="I152" s="17" t="str">
        <f aca="false">IF(AND(A152&lt;&gt;"",F152&lt;&gt;""),F152+ROW()/1000000,"")</f>
        <v/>
      </c>
      <c r="J152" s="17" t="str">
        <f aca="false">IF(AND(A152&lt;&gt;"",C152&lt;=E152),ROW(),"")</f>
        <v/>
      </c>
    </row>
    <row r="153" customFormat="false" ht="15" hidden="false" customHeight="false" outlineLevel="0" collapsed="false">
      <c r="A153" s="12"/>
      <c r="B153" s="13"/>
      <c r="C153" s="14"/>
      <c r="D153" s="12"/>
      <c r="E153" s="14"/>
      <c r="F153" s="15"/>
      <c r="G153" s="16" t="str">
        <f aca="true">IF(OR(A153="",F153=""),"",F153-TODAY())</f>
        <v/>
      </c>
      <c r="H153" s="17" t="str">
        <f aca="true">IF(A153="","",IF(AND(F153&lt;&gt;"",F153&lt;TODAY()),"Tarihi geçti",IF(AND(F153&lt;&gt;"",F153&lt;=TODAY()+7),"Bu hafta bitiyor",IF(C153&lt;=E153,"Azaldı","Tamam"))))</f>
        <v/>
      </c>
      <c r="I153" s="17" t="str">
        <f aca="false">IF(AND(A153&lt;&gt;"",F153&lt;&gt;""),F153+ROW()/1000000,"")</f>
        <v/>
      </c>
      <c r="J153" s="17" t="str">
        <f aca="false">IF(AND(A153&lt;&gt;"",C153&lt;=E153),ROW(),"")</f>
        <v/>
      </c>
    </row>
    <row r="154" customFormat="false" ht="15" hidden="false" customHeight="false" outlineLevel="0" collapsed="false">
      <c r="A154" s="12"/>
      <c r="B154" s="13"/>
      <c r="C154" s="14"/>
      <c r="D154" s="12"/>
      <c r="E154" s="14"/>
      <c r="F154" s="15"/>
      <c r="G154" s="16" t="str">
        <f aca="true">IF(OR(A154="",F154=""),"",F154-TODAY())</f>
        <v/>
      </c>
      <c r="H154" s="17" t="str">
        <f aca="true">IF(A154="","",IF(AND(F154&lt;&gt;"",F154&lt;TODAY()),"Tarihi geçti",IF(AND(F154&lt;&gt;"",F154&lt;=TODAY()+7),"Bu hafta bitiyor",IF(C154&lt;=E154,"Azaldı","Tamam"))))</f>
        <v/>
      </c>
      <c r="I154" s="17" t="str">
        <f aca="false">IF(AND(A154&lt;&gt;"",F154&lt;&gt;""),F154+ROW()/1000000,"")</f>
        <v/>
      </c>
      <c r="J154" s="17" t="str">
        <f aca="false">IF(AND(A154&lt;&gt;"",C154&lt;=E154),ROW(),"")</f>
        <v/>
      </c>
    </row>
    <row r="155" customFormat="false" ht="15" hidden="false" customHeight="false" outlineLevel="0" collapsed="false">
      <c r="A155" s="12"/>
      <c r="B155" s="13"/>
      <c r="C155" s="14"/>
      <c r="D155" s="12"/>
      <c r="E155" s="14"/>
      <c r="F155" s="15"/>
      <c r="G155" s="16" t="str">
        <f aca="true">IF(OR(A155="",F155=""),"",F155-TODAY())</f>
        <v/>
      </c>
      <c r="H155" s="17" t="str">
        <f aca="true">IF(A155="","",IF(AND(F155&lt;&gt;"",F155&lt;TODAY()),"Tarihi geçti",IF(AND(F155&lt;&gt;"",F155&lt;=TODAY()+7),"Bu hafta bitiyor",IF(C155&lt;=E155,"Azaldı","Tamam"))))</f>
        <v/>
      </c>
      <c r="I155" s="17" t="str">
        <f aca="false">IF(AND(A155&lt;&gt;"",F155&lt;&gt;""),F155+ROW()/1000000,"")</f>
        <v/>
      </c>
      <c r="J155" s="17" t="str">
        <f aca="false">IF(AND(A155&lt;&gt;"",C155&lt;=E155),ROW(),"")</f>
        <v/>
      </c>
    </row>
    <row r="156" customFormat="false" ht="15" hidden="false" customHeight="false" outlineLevel="0" collapsed="false">
      <c r="A156" s="12"/>
      <c r="B156" s="13"/>
      <c r="C156" s="14"/>
      <c r="D156" s="12"/>
      <c r="E156" s="14"/>
      <c r="F156" s="15"/>
      <c r="G156" s="16" t="str">
        <f aca="true">IF(OR(A156="",F156=""),"",F156-TODAY())</f>
        <v/>
      </c>
      <c r="H156" s="17" t="str">
        <f aca="true">IF(A156="","",IF(AND(F156&lt;&gt;"",F156&lt;TODAY()),"Tarihi geçti",IF(AND(F156&lt;&gt;"",F156&lt;=TODAY()+7),"Bu hafta bitiyor",IF(C156&lt;=E156,"Azaldı","Tamam"))))</f>
        <v/>
      </c>
      <c r="I156" s="17" t="str">
        <f aca="false">IF(AND(A156&lt;&gt;"",F156&lt;&gt;""),F156+ROW()/1000000,"")</f>
        <v/>
      </c>
      <c r="J156" s="17" t="str">
        <f aca="false">IF(AND(A156&lt;&gt;"",C156&lt;=E156),ROW(),"")</f>
        <v/>
      </c>
    </row>
    <row r="157" customFormat="false" ht="15" hidden="false" customHeight="false" outlineLevel="0" collapsed="false">
      <c r="A157" s="12"/>
      <c r="B157" s="13"/>
      <c r="C157" s="14"/>
      <c r="D157" s="12"/>
      <c r="E157" s="14"/>
      <c r="F157" s="15"/>
      <c r="G157" s="16" t="str">
        <f aca="true">IF(OR(A157="",F157=""),"",F157-TODAY())</f>
        <v/>
      </c>
      <c r="H157" s="17" t="str">
        <f aca="true">IF(A157="","",IF(AND(F157&lt;&gt;"",F157&lt;TODAY()),"Tarihi geçti",IF(AND(F157&lt;&gt;"",F157&lt;=TODAY()+7),"Bu hafta bitiyor",IF(C157&lt;=E157,"Azaldı","Tamam"))))</f>
        <v/>
      </c>
      <c r="I157" s="17" t="str">
        <f aca="false">IF(AND(A157&lt;&gt;"",F157&lt;&gt;""),F157+ROW()/1000000,"")</f>
        <v/>
      </c>
      <c r="J157" s="17" t="str">
        <f aca="false">IF(AND(A157&lt;&gt;"",C157&lt;=E157),ROW(),"")</f>
        <v/>
      </c>
    </row>
    <row r="158" customFormat="false" ht="15" hidden="false" customHeight="false" outlineLevel="0" collapsed="false">
      <c r="A158" s="12"/>
      <c r="B158" s="13"/>
      <c r="C158" s="14"/>
      <c r="D158" s="12"/>
      <c r="E158" s="14"/>
      <c r="F158" s="15"/>
      <c r="G158" s="16" t="str">
        <f aca="true">IF(OR(A158="",F158=""),"",F158-TODAY())</f>
        <v/>
      </c>
      <c r="H158" s="17" t="str">
        <f aca="true">IF(A158="","",IF(AND(F158&lt;&gt;"",F158&lt;TODAY()),"Tarihi geçti",IF(AND(F158&lt;&gt;"",F158&lt;=TODAY()+7),"Bu hafta bitiyor",IF(C158&lt;=E158,"Azaldı","Tamam"))))</f>
        <v/>
      </c>
      <c r="I158" s="17" t="str">
        <f aca="false">IF(AND(A158&lt;&gt;"",F158&lt;&gt;""),F158+ROW()/1000000,"")</f>
        <v/>
      </c>
      <c r="J158" s="17" t="str">
        <f aca="false">IF(AND(A158&lt;&gt;"",C158&lt;=E158),ROW(),"")</f>
        <v/>
      </c>
    </row>
    <row r="159" customFormat="false" ht="15" hidden="false" customHeight="false" outlineLevel="0" collapsed="false">
      <c r="A159" s="12"/>
      <c r="B159" s="13"/>
      <c r="C159" s="14"/>
      <c r="D159" s="12"/>
      <c r="E159" s="14"/>
      <c r="F159" s="15"/>
      <c r="G159" s="16" t="str">
        <f aca="true">IF(OR(A159="",F159=""),"",F159-TODAY())</f>
        <v/>
      </c>
      <c r="H159" s="17" t="str">
        <f aca="true">IF(A159="","",IF(AND(F159&lt;&gt;"",F159&lt;TODAY()),"Tarihi geçti",IF(AND(F159&lt;&gt;"",F159&lt;=TODAY()+7),"Bu hafta bitiyor",IF(C159&lt;=E159,"Azaldı","Tamam"))))</f>
        <v/>
      </c>
      <c r="I159" s="17" t="str">
        <f aca="false">IF(AND(A159&lt;&gt;"",F159&lt;&gt;""),F159+ROW()/1000000,"")</f>
        <v/>
      </c>
      <c r="J159" s="17" t="str">
        <f aca="false">IF(AND(A159&lt;&gt;"",C159&lt;=E159),ROW(),"")</f>
        <v/>
      </c>
    </row>
    <row r="160" customFormat="false" ht="15" hidden="false" customHeight="false" outlineLevel="0" collapsed="false">
      <c r="A160" s="12"/>
      <c r="B160" s="13"/>
      <c r="C160" s="14"/>
      <c r="D160" s="12"/>
      <c r="E160" s="14"/>
      <c r="F160" s="15"/>
      <c r="G160" s="16" t="str">
        <f aca="true">IF(OR(A160="",F160=""),"",F160-TODAY())</f>
        <v/>
      </c>
      <c r="H160" s="17" t="str">
        <f aca="true">IF(A160="","",IF(AND(F160&lt;&gt;"",F160&lt;TODAY()),"Tarihi geçti",IF(AND(F160&lt;&gt;"",F160&lt;=TODAY()+7),"Bu hafta bitiyor",IF(C160&lt;=E160,"Azaldı","Tamam"))))</f>
        <v/>
      </c>
      <c r="I160" s="17" t="str">
        <f aca="false">IF(AND(A160&lt;&gt;"",F160&lt;&gt;""),F160+ROW()/1000000,"")</f>
        <v/>
      </c>
      <c r="J160" s="17" t="str">
        <f aca="false">IF(AND(A160&lt;&gt;"",C160&lt;=E160),ROW(),"")</f>
        <v/>
      </c>
    </row>
    <row r="161" customFormat="false" ht="15" hidden="false" customHeight="false" outlineLevel="0" collapsed="false">
      <c r="A161" s="12"/>
      <c r="B161" s="13"/>
      <c r="C161" s="14"/>
      <c r="D161" s="12"/>
      <c r="E161" s="14"/>
      <c r="F161" s="15"/>
      <c r="G161" s="16" t="str">
        <f aca="true">IF(OR(A161="",F161=""),"",F161-TODAY())</f>
        <v/>
      </c>
      <c r="H161" s="17" t="str">
        <f aca="true">IF(A161="","",IF(AND(F161&lt;&gt;"",F161&lt;TODAY()),"Tarihi geçti",IF(AND(F161&lt;&gt;"",F161&lt;=TODAY()+7),"Bu hafta bitiyor",IF(C161&lt;=E161,"Azaldı","Tamam"))))</f>
        <v/>
      </c>
      <c r="I161" s="17" t="str">
        <f aca="false">IF(AND(A161&lt;&gt;"",F161&lt;&gt;""),F161+ROW()/1000000,"")</f>
        <v/>
      </c>
      <c r="J161" s="17" t="str">
        <f aca="false">IF(AND(A161&lt;&gt;"",C161&lt;=E161),ROW(),"")</f>
        <v/>
      </c>
    </row>
    <row r="162" customFormat="false" ht="15" hidden="false" customHeight="false" outlineLevel="0" collapsed="false">
      <c r="A162" s="12"/>
      <c r="B162" s="13"/>
      <c r="C162" s="14"/>
      <c r="D162" s="12"/>
      <c r="E162" s="14"/>
      <c r="F162" s="15"/>
      <c r="G162" s="16" t="str">
        <f aca="true">IF(OR(A162="",F162=""),"",F162-TODAY())</f>
        <v/>
      </c>
      <c r="H162" s="17" t="str">
        <f aca="true">IF(A162="","",IF(AND(F162&lt;&gt;"",F162&lt;TODAY()),"Tarihi geçti",IF(AND(F162&lt;&gt;"",F162&lt;=TODAY()+7),"Bu hafta bitiyor",IF(C162&lt;=E162,"Azaldı","Tamam"))))</f>
        <v/>
      </c>
      <c r="I162" s="17" t="str">
        <f aca="false">IF(AND(A162&lt;&gt;"",F162&lt;&gt;""),F162+ROW()/1000000,"")</f>
        <v/>
      </c>
      <c r="J162" s="17" t="str">
        <f aca="false">IF(AND(A162&lt;&gt;"",C162&lt;=E162),ROW(),"")</f>
        <v/>
      </c>
    </row>
    <row r="163" customFormat="false" ht="15" hidden="false" customHeight="false" outlineLevel="0" collapsed="false">
      <c r="A163" s="12"/>
      <c r="B163" s="13"/>
      <c r="C163" s="14"/>
      <c r="D163" s="12"/>
      <c r="E163" s="14"/>
      <c r="F163" s="15"/>
      <c r="G163" s="16" t="str">
        <f aca="true">IF(OR(A163="",F163=""),"",F163-TODAY())</f>
        <v/>
      </c>
      <c r="H163" s="17" t="str">
        <f aca="true">IF(A163="","",IF(AND(F163&lt;&gt;"",F163&lt;TODAY()),"Tarihi geçti",IF(AND(F163&lt;&gt;"",F163&lt;=TODAY()+7),"Bu hafta bitiyor",IF(C163&lt;=E163,"Azaldı","Tamam"))))</f>
        <v/>
      </c>
      <c r="I163" s="17" t="str">
        <f aca="false">IF(AND(A163&lt;&gt;"",F163&lt;&gt;""),F163+ROW()/1000000,"")</f>
        <v/>
      </c>
      <c r="J163" s="17" t="str">
        <f aca="false">IF(AND(A163&lt;&gt;"",C163&lt;=E163),ROW(),"")</f>
        <v/>
      </c>
    </row>
    <row r="164" customFormat="false" ht="15" hidden="false" customHeight="false" outlineLevel="0" collapsed="false">
      <c r="A164" s="12"/>
      <c r="B164" s="13"/>
      <c r="C164" s="14"/>
      <c r="D164" s="12"/>
      <c r="E164" s="14"/>
      <c r="F164" s="15"/>
      <c r="G164" s="16" t="str">
        <f aca="true">IF(OR(A164="",F164=""),"",F164-TODAY())</f>
        <v/>
      </c>
      <c r="H164" s="17" t="str">
        <f aca="true">IF(A164="","",IF(AND(F164&lt;&gt;"",F164&lt;TODAY()),"Tarihi geçti",IF(AND(F164&lt;&gt;"",F164&lt;=TODAY()+7),"Bu hafta bitiyor",IF(C164&lt;=E164,"Azaldı","Tamam"))))</f>
        <v/>
      </c>
      <c r="I164" s="17" t="str">
        <f aca="false">IF(AND(A164&lt;&gt;"",F164&lt;&gt;""),F164+ROW()/1000000,"")</f>
        <v/>
      </c>
      <c r="J164" s="17" t="str">
        <f aca="false">IF(AND(A164&lt;&gt;"",C164&lt;=E164),ROW(),"")</f>
        <v/>
      </c>
    </row>
    <row r="165" customFormat="false" ht="15" hidden="false" customHeight="false" outlineLevel="0" collapsed="false">
      <c r="A165" s="12"/>
      <c r="B165" s="13"/>
      <c r="C165" s="14"/>
      <c r="D165" s="12"/>
      <c r="E165" s="14"/>
      <c r="F165" s="15"/>
      <c r="G165" s="16" t="str">
        <f aca="true">IF(OR(A165="",F165=""),"",F165-TODAY())</f>
        <v/>
      </c>
      <c r="H165" s="17" t="str">
        <f aca="true">IF(A165="","",IF(AND(F165&lt;&gt;"",F165&lt;TODAY()),"Tarihi geçti",IF(AND(F165&lt;&gt;"",F165&lt;=TODAY()+7),"Bu hafta bitiyor",IF(C165&lt;=E165,"Azaldı","Tamam"))))</f>
        <v/>
      </c>
      <c r="I165" s="17" t="str">
        <f aca="false">IF(AND(A165&lt;&gt;"",F165&lt;&gt;""),F165+ROW()/1000000,"")</f>
        <v/>
      </c>
      <c r="J165" s="17" t="str">
        <f aca="false">IF(AND(A165&lt;&gt;"",C165&lt;=E165),ROW(),"")</f>
        <v/>
      </c>
    </row>
    <row r="166" customFormat="false" ht="15" hidden="false" customHeight="false" outlineLevel="0" collapsed="false">
      <c r="A166" s="12"/>
      <c r="B166" s="13"/>
      <c r="C166" s="14"/>
      <c r="D166" s="12"/>
      <c r="E166" s="14"/>
      <c r="F166" s="15"/>
      <c r="G166" s="16" t="str">
        <f aca="true">IF(OR(A166="",F166=""),"",F166-TODAY())</f>
        <v/>
      </c>
      <c r="H166" s="17" t="str">
        <f aca="true">IF(A166="","",IF(AND(F166&lt;&gt;"",F166&lt;TODAY()),"Tarihi geçti",IF(AND(F166&lt;&gt;"",F166&lt;=TODAY()+7),"Bu hafta bitiyor",IF(C166&lt;=E166,"Azaldı","Tamam"))))</f>
        <v/>
      </c>
      <c r="I166" s="17" t="str">
        <f aca="false">IF(AND(A166&lt;&gt;"",F166&lt;&gt;""),F166+ROW()/1000000,"")</f>
        <v/>
      </c>
      <c r="J166" s="17" t="str">
        <f aca="false">IF(AND(A166&lt;&gt;"",C166&lt;=E166),ROW(),"")</f>
        <v/>
      </c>
    </row>
    <row r="167" customFormat="false" ht="15" hidden="false" customHeight="false" outlineLevel="0" collapsed="false">
      <c r="A167" s="12"/>
      <c r="B167" s="13"/>
      <c r="C167" s="14"/>
      <c r="D167" s="12"/>
      <c r="E167" s="14"/>
      <c r="F167" s="15"/>
      <c r="G167" s="16" t="str">
        <f aca="true">IF(OR(A167="",F167=""),"",F167-TODAY())</f>
        <v/>
      </c>
      <c r="H167" s="17" t="str">
        <f aca="true">IF(A167="","",IF(AND(F167&lt;&gt;"",F167&lt;TODAY()),"Tarihi geçti",IF(AND(F167&lt;&gt;"",F167&lt;=TODAY()+7),"Bu hafta bitiyor",IF(C167&lt;=E167,"Azaldı","Tamam"))))</f>
        <v/>
      </c>
      <c r="I167" s="17" t="str">
        <f aca="false">IF(AND(A167&lt;&gt;"",F167&lt;&gt;""),F167+ROW()/1000000,"")</f>
        <v/>
      </c>
      <c r="J167" s="17" t="str">
        <f aca="false">IF(AND(A167&lt;&gt;"",C167&lt;=E167),ROW(),"")</f>
        <v/>
      </c>
    </row>
    <row r="168" customFormat="false" ht="15" hidden="false" customHeight="false" outlineLevel="0" collapsed="false">
      <c r="A168" s="12"/>
      <c r="B168" s="13"/>
      <c r="C168" s="14"/>
      <c r="D168" s="12"/>
      <c r="E168" s="14"/>
      <c r="F168" s="15"/>
      <c r="G168" s="16" t="str">
        <f aca="true">IF(OR(A168="",F168=""),"",F168-TODAY())</f>
        <v/>
      </c>
      <c r="H168" s="17" t="str">
        <f aca="true">IF(A168="","",IF(AND(F168&lt;&gt;"",F168&lt;TODAY()),"Tarihi geçti",IF(AND(F168&lt;&gt;"",F168&lt;=TODAY()+7),"Bu hafta bitiyor",IF(C168&lt;=E168,"Azaldı","Tamam"))))</f>
        <v/>
      </c>
      <c r="I168" s="17" t="str">
        <f aca="false">IF(AND(A168&lt;&gt;"",F168&lt;&gt;""),F168+ROW()/1000000,"")</f>
        <v/>
      </c>
      <c r="J168" s="17" t="str">
        <f aca="false">IF(AND(A168&lt;&gt;"",C168&lt;=E168),ROW(),"")</f>
        <v/>
      </c>
    </row>
    <row r="169" customFormat="false" ht="15" hidden="false" customHeight="false" outlineLevel="0" collapsed="false">
      <c r="A169" s="12"/>
      <c r="B169" s="13"/>
      <c r="C169" s="14"/>
      <c r="D169" s="12"/>
      <c r="E169" s="14"/>
      <c r="F169" s="15"/>
      <c r="G169" s="16" t="str">
        <f aca="true">IF(OR(A169="",F169=""),"",F169-TODAY())</f>
        <v/>
      </c>
      <c r="H169" s="17" t="str">
        <f aca="true">IF(A169="","",IF(AND(F169&lt;&gt;"",F169&lt;TODAY()),"Tarihi geçti",IF(AND(F169&lt;&gt;"",F169&lt;=TODAY()+7),"Bu hafta bitiyor",IF(C169&lt;=E169,"Azaldı","Tamam"))))</f>
        <v/>
      </c>
      <c r="I169" s="17" t="str">
        <f aca="false">IF(AND(A169&lt;&gt;"",F169&lt;&gt;""),F169+ROW()/1000000,"")</f>
        <v/>
      </c>
      <c r="J169" s="17" t="str">
        <f aca="false">IF(AND(A169&lt;&gt;"",C169&lt;=E169),ROW(),"")</f>
        <v/>
      </c>
    </row>
    <row r="170" customFormat="false" ht="15" hidden="false" customHeight="false" outlineLevel="0" collapsed="false">
      <c r="A170" s="12"/>
      <c r="B170" s="13"/>
      <c r="C170" s="14"/>
      <c r="D170" s="12"/>
      <c r="E170" s="14"/>
      <c r="F170" s="15"/>
      <c r="G170" s="16" t="str">
        <f aca="true">IF(OR(A170="",F170=""),"",F170-TODAY())</f>
        <v/>
      </c>
      <c r="H170" s="17" t="str">
        <f aca="true">IF(A170="","",IF(AND(F170&lt;&gt;"",F170&lt;TODAY()),"Tarihi geçti",IF(AND(F170&lt;&gt;"",F170&lt;=TODAY()+7),"Bu hafta bitiyor",IF(C170&lt;=E170,"Azaldı","Tamam"))))</f>
        <v/>
      </c>
      <c r="I170" s="17" t="str">
        <f aca="false">IF(AND(A170&lt;&gt;"",F170&lt;&gt;""),F170+ROW()/1000000,"")</f>
        <v/>
      </c>
      <c r="J170" s="17" t="str">
        <f aca="false">IF(AND(A170&lt;&gt;"",C170&lt;=E170),ROW(),"")</f>
        <v/>
      </c>
    </row>
    <row r="171" customFormat="false" ht="15" hidden="false" customHeight="false" outlineLevel="0" collapsed="false">
      <c r="A171" s="12"/>
      <c r="B171" s="13"/>
      <c r="C171" s="14"/>
      <c r="D171" s="12"/>
      <c r="E171" s="14"/>
      <c r="F171" s="15"/>
      <c r="G171" s="16" t="str">
        <f aca="true">IF(OR(A171="",F171=""),"",F171-TODAY())</f>
        <v/>
      </c>
      <c r="H171" s="17" t="str">
        <f aca="true">IF(A171="","",IF(AND(F171&lt;&gt;"",F171&lt;TODAY()),"Tarihi geçti",IF(AND(F171&lt;&gt;"",F171&lt;=TODAY()+7),"Bu hafta bitiyor",IF(C171&lt;=E171,"Azaldı","Tamam"))))</f>
        <v/>
      </c>
      <c r="I171" s="17" t="str">
        <f aca="false">IF(AND(A171&lt;&gt;"",F171&lt;&gt;""),F171+ROW()/1000000,"")</f>
        <v/>
      </c>
      <c r="J171" s="17" t="str">
        <f aca="false">IF(AND(A171&lt;&gt;"",C171&lt;=E171),ROW(),"")</f>
        <v/>
      </c>
    </row>
    <row r="172" customFormat="false" ht="15" hidden="false" customHeight="false" outlineLevel="0" collapsed="false">
      <c r="A172" s="12"/>
      <c r="B172" s="13"/>
      <c r="C172" s="14"/>
      <c r="D172" s="12"/>
      <c r="E172" s="14"/>
      <c r="F172" s="15"/>
      <c r="G172" s="16" t="str">
        <f aca="true">IF(OR(A172="",F172=""),"",F172-TODAY())</f>
        <v/>
      </c>
      <c r="H172" s="17" t="str">
        <f aca="true">IF(A172="","",IF(AND(F172&lt;&gt;"",F172&lt;TODAY()),"Tarihi geçti",IF(AND(F172&lt;&gt;"",F172&lt;=TODAY()+7),"Bu hafta bitiyor",IF(C172&lt;=E172,"Azaldı","Tamam"))))</f>
        <v/>
      </c>
      <c r="I172" s="17" t="str">
        <f aca="false">IF(AND(A172&lt;&gt;"",F172&lt;&gt;""),F172+ROW()/1000000,"")</f>
        <v/>
      </c>
      <c r="J172" s="17" t="str">
        <f aca="false">IF(AND(A172&lt;&gt;"",C172&lt;=E172),ROW(),"")</f>
        <v/>
      </c>
    </row>
    <row r="173" customFormat="false" ht="15" hidden="false" customHeight="false" outlineLevel="0" collapsed="false">
      <c r="A173" s="12"/>
      <c r="B173" s="13"/>
      <c r="C173" s="14"/>
      <c r="D173" s="12"/>
      <c r="E173" s="14"/>
      <c r="F173" s="15"/>
      <c r="G173" s="16" t="str">
        <f aca="true">IF(OR(A173="",F173=""),"",F173-TODAY())</f>
        <v/>
      </c>
      <c r="H173" s="17" t="str">
        <f aca="true">IF(A173="","",IF(AND(F173&lt;&gt;"",F173&lt;TODAY()),"Tarihi geçti",IF(AND(F173&lt;&gt;"",F173&lt;=TODAY()+7),"Bu hafta bitiyor",IF(C173&lt;=E173,"Azaldı","Tamam"))))</f>
        <v/>
      </c>
      <c r="I173" s="17" t="str">
        <f aca="false">IF(AND(A173&lt;&gt;"",F173&lt;&gt;""),F173+ROW()/1000000,"")</f>
        <v/>
      </c>
      <c r="J173" s="17" t="str">
        <f aca="false">IF(AND(A173&lt;&gt;"",C173&lt;=E173),ROW(),"")</f>
        <v/>
      </c>
    </row>
    <row r="174" customFormat="false" ht="15" hidden="false" customHeight="false" outlineLevel="0" collapsed="false">
      <c r="A174" s="12"/>
      <c r="B174" s="13"/>
      <c r="C174" s="14"/>
      <c r="D174" s="12"/>
      <c r="E174" s="14"/>
      <c r="F174" s="15"/>
      <c r="G174" s="16" t="str">
        <f aca="true">IF(OR(A174="",F174=""),"",F174-TODAY())</f>
        <v/>
      </c>
      <c r="H174" s="17" t="str">
        <f aca="true">IF(A174="","",IF(AND(F174&lt;&gt;"",F174&lt;TODAY()),"Tarihi geçti",IF(AND(F174&lt;&gt;"",F174&lt;=TODAY()+7),"Bu hafta bitiyor",IF(C174&lt;=E174,"Azaldı","Tamam"))))</f>
        <v/>
      </c>
      <c r="I174" s="17" t="str">
        <f aca="false">IF(AND(A174&lt;&gt;"",F174&lt;&gt;""),F174+ROW()/1000000,"")</f>
        <v/>
      </c>
      <c r="J174" s="17" t="str">
        <f aca="false">IF(AND(A174&lt;&gt;"",C174&lt;=E174),ROW(),"")</f>
        <v/>
      </c>
    </row>
    <row r="175" customFormat="false" ht="15" hidden="false" customHeight="false" outlineLevel="0" collapsed="false">
      <c r="A175" s="12"/>
      <c r="B175" s="13"/>
      <c r="C175" s="14"/>
      <c r="D175" s="12"/>
      <c r="E175" s="14"/>
      <c r="F175" s="15"/>
      <c r="G175" s="16" t="str">
        <f aca="true">IF(OR(A175="",F175=""),"",F175-TODAY())</f>
        <v/>
      </c>
      <c r="H175" s="17" t="str">
        <f aca="true">IF(A175="","",IF(AND(F175&lt;&gt;"",F175&lt;TODAY()),"Tarihi geçti",IF(AND(F175&lt;&gt;"",F175&lt;=TODAY()+7),"Bu hafta bitiyor",IF(C175&lt;=E175,"Azaldı","Tamam"))))</f>
        <v/>
      </c>
      <c r="I175" s="17" t="str">
        <f aca="false">IF(AND(A175&lt;&gt;"",F175&lt;&gt;""),F175+ROW()/1000000,"")</f>
        <v/>
      </c>
      <c r="J175" s="17" t="str">
        <f aca="false">IF(AND(A175&lt;&gt;"",C175&lt;=E175),ROW(),"")</f>
        <v/>
      </c>
    </row>
    <row r="176" customFormat="false" ht="15" hidden="false" customHeight="false" outlineLevel="0" collapsed="false">
      <c r="A176" s="12"/>
      <c r="B176" s="13"/>
      <c r="C176" s="14"/>
      <c r="D176" s="12"/>
      <c r="E176" s="14"/>
      <c r="F176" s="15"/>
      <c r="G176" s="16" t="str">
        <f aca="true">IF(OR(A176="",F176=""),"",F176-TODAY())</f>
        <v/>
      </c>
      <c r="H176" s="17" t="str">
        <f aca="true">IF(A176="","",IF(AND(F176&lt;&gt;"",F176&lt;TODAY()),"Tarihi geçti",IF(AND(F176&lt;&gt;"",F176&lt;=TODAY()+7),"Bu hafta bitiyor",IF(C176&lt;=E176,"Azaldı","Tamam"))))</f>
        <v/>
      </c>
      <c r="I176" s="17" t="str">
        <f aca="false">IF(AND(A176&lt;&gt;"",F176&lt;&gt;""),F176+ROW()/1000000,"")</f>
        <v/>
      </c>
      <c r="J176" s="17" t="str">
        <f aca="false">IF(AND(A176&lt;&gt;"",C176&lt;=E176),ROW(),"")</f>
        <v/>
      </c>
    </row>
    <row r="177" customFormat="false" ht="15" hidden="false" customHeight="false" outlineLevel="0" collapsed="false">
      <c r="A177" s="12"/>
      <c r="B177" s="13"/>
      <c r="C177" s="14"/>
      <c r="D177" s="12"/>
      <c r="E177" s="14"/>
      <c r="F177" s="15"/>
      <c r="G177" s="16" t="str">
        <f aca="true">IF(OR(A177="",F177=""),"",F177-TODAY())</f>
        <v/>
      </c>
      <c r="H177" s="17" t="str">
        <f aca="true">IF(A177="","",IF(AND(F177&lt;&gt;"",F177&lt;TODAY()),"Tarihi geçti",IF(AND(F177&lt;&gt;"",F177&lt;=TODAY()+7),"Bu hafta bitiyor",IF(C177&lt;=E177,"Azaldı","Tamam"))))</f>
        <v/>
      </c>
      <c r="I177" s="17" t="str">
        <f aca="false">IF(AND(A177&lt;&gt;"",F177&lt;&gt;""),F177+ROW()/1000000,"")</f>
        <v/>
      </c>
      <c r="J177" s="17" t="str">
        <f aca="false">IF(AND(A177&lt;&gt;"",C177&lt;=E177),ROW(),"")</f>
        <v/>
      </c>
    </row>
    <row r="178" customFormat="false" ht="15" hidden="false" customHeight="false" outlineLevel="0" collapsed="false">
      <c r="A178" s="12"/>
      <c r="B178" s="13"/>
      <c r="C178" s="14"/>
      <c r="D178" s="12"/>
      <c r="E178" s="14"/>
      <c r="F178" s="15"/>
      <c r="G178" s="16" t="str">
        <f aca="true">IF(OR(A178="",F178=""),"",F178-TODAY())</f>
        <v/>
      </c>
      <c r="H178" s="17" t="str">
        <f aca="true">IF(A178="","",IF(AND(F178&lt;&gt;"",F178&lt;TODAY()),"Tarihi geçti",IF(AND(F178&lt;&gt;"",F178&lt;=TODAY()+7),"Bu hafta bitiyor",IF(C178&lt;=E178,"Azaldı","Tamam"))))</f>
        <v/>
      </c>
      <c r="I178" s="17" t="str">
        <f aca="false">IF(AND(A178&lt;&gt;"",F178&lt;&gt;""),F178+ROW()/1000000,"")</f>
        <v/>
      </c>
      <c r="J178" s="17" t="str">
        <f aca="false">IF(AND(A178&lt;&gt;"",C178&lt;=E178),ROW(),"")</f>
        <v/>
      </c>
    </row>
    <row r="179" customFormat="false" ht="15" hidden="false" customHeight="false" outlineLevel="0" collapsed="false">
      <c r="A179" s="12"/>
      <c r="B179" s="13"/>
      <c r="C179" s="14"/>
      <c r="D179" s="12"/>
      <c r="E179" s="14"/>
      <c r="F179" s="15"/>
      <c r="G179" s="16" t="str">
        <f aca="true">IF(OR(A179="",F179=""),"",F179-TODAY())</f>
        <v/>
      </c>
      <c r="H179" s="17" t="str">
        <f aca="true">IF(A179="","",IF(AND(F179&lt;&gt;"",F179&lt;TODAY()),"Tarihi geçti",IF(AND(F179&lt;&gt;"",F179&lt;=TODAY()+7),"Bu hafta bitiyor",IF(C179&lt;=E179,"Azaldı","Tamam"))))</f>
        <v/>
      </c>
      <c r="I179" s="17" t="str">
        <f aca="false">IF(AND(A179&lt;&gt;"",F179&lt;&gt;""),F179+ROW()/1000000,"")</f>
        <v/>
      </c>
      <c r="J179" s="17" t="str">
        <f aca="false">IF(AND(A179&lt;&gt;"",C179&lt;=E179),ROW(),"")</f>
        <v/>
      </c>
    </row>
    <row r="180" customFormat="false" ht="15" hidden="false" customHeight="false" outlineLevel="0" collapsed="false">
      <c r="A180" s="12"/>
      <c r="B180" s="13"/>
      <c r="C180" s="14"/>
      <c r="D180" s="12"/>
      <c r="E180" s="14"/>
      <c r="F180" s="15"/>
      <c r="G180" s="16" t="str">
        <f aca="true">IF(OR(A180="",F180=""),"",F180-TODAY())</f>
        <v/>
      </c>
      <c r="H180" s="17" t="str">
        <f aca="true">IF(A180="","",IF(AND(F180&lt;&gt;"",F180&lt;TODAY()),"Tarihi geçti",IF(AND(F180&lt;&gt;"",F180&lt;=TODAY()+7),"Bu hafta bitiyor",IF(C180&lt;=E180,"Azaldı","Tamam"))))</f>
        <v/>
      </c>
      <c r="I180" s="17" t="str">
        <f aca="false">IF(AND(A180&lt;&gt;"",F180&lt;&gt;""),F180+ROW()/1000000,"")</f>
        <v/>
      </c>
      <c r="J180" s="17" t="str">
        <f aca="false">IF(AND(A180&lt;&gt;"",C180&lt;=E180),ROW(),"")</f>
        <v/>
      </c>
    </row>
    <row r="181" customFormat="false" ht="15" hidden="false" customHeight="false" outlineLevel="0" collapsed="false">
      <c r="A181" s="12"/>
      <c r="B181" s="13"/>
      <c r="C181" s="14"/>
      <c r="D181" s="12"/>
      <c r="E181" s="14"/>
      <c r="F181" s="15"/>
      <c r="G181" s="16" t="str">
        <f aca="true">IF(OR(A181="",F181=""),"",F181-TODAY())</f>
        <v/>
      </c>
      <c r="H181" s="17" t="str">
        <f aca="true">IF(A181="","",IF(AND(F181&lt;&gt;"",F181&lt;TODAY()),"Tarihi geçti",IF(AND(F181&lt;&gt;"",F181&lt;=TODAY()+7),"Bu hafta bitiyor",IF(C181&lt;=E181,"Azaldı","Tamam"))))</f>
        <v/>
      </c>
      <c r="I181" s="17" t="str">
        <f aca="false">IF(AND(A181&lt;&gt;"",F181&lt;&gt;""),F181+ROW()/1000000,"")</f>
        <v/>
      </c>
      <c r="J181" s="17" t="str">
        <f aca="false">IF(AND(A181&lt;&gt;"",C181&lt;=E181),ROW(),"")</f>
        <v/>
      </c>
    </row>
    <row r="182" customFormat="false" ht="15" hidden="false" customHeight="false" outlineLevel="0" collapsed="false">
      <c r="A182" s="12"/>
      <c r="B182" s="13"/>
      <c r="C182" s="14"/>
      <c r="D182" s="12"/>
      <c r="E182" s="14"/>
      <c r="F182" s="15"/>
      <c r="G182" s="16" t="str">
        <f aca="true">IF(OR(A182="",F182=""),"",F182-TODAY())</f>
        <v/>
      </c>
      <c r="H182" s="17" t="str">
        <f aca="true">IF(A182="","",IF(AND(F182&lt;&gt;"",F182&lt;TODAY()),"Tarihi geçti",IF(AND(F182&lt;&gt;"",F182&lt;=TODAY()+7),"Bu hafta bitiyor",IF(C182&lt;=E182,"Azaldı","Tamam"))))</f>
        <v/>
      </c>
      <c r="I182" s="17" t="str">
        <f aca="false">IF(AND(A182&lt;&gt;"",F182&lt;&gt;""),F182+ROW()/1000000,"")</f>
        <v/>
      </c>
      <c r="J182" s="17" t="str">
        <f aca="false">IF(AND(A182&lt;&gt;"",C182&lt;=E182),ROW(),"")</f>
        <v/>
      </c>
    </row>
    <row r="183" customFormat="false" ht="15" hidden="false" customHeight="false" outlineLevel="0" collapsed="false">
      <c r="A183" s="12"/>
      <c r="B183" s="13"/>
      <c r="C183" s="14"/>
      <c r="D183" s="12"/>
      <c r="E183" s="14"/>
      <c r="F183" s="15"/>
      <c r="G183" s="16" t="str">
        <f aca="true">IF(OR(A183="",F183=""),"",F183-TODAY())</f>
        <v/>
      </c>
      <c r="H183" s="17" t="str">
        <f aca="true">IF(A183="","",IF(AND(F183&lt;&gt;"",F183&lt;TODAY()),"Tarihi geçti",IF(AND(F183&lt;&gt;"",F183&lt;=TODAY()+7),"Bu hafta bitiyor",IF(C183&lt;=E183,"Azaldı","Tamam"))))</f>
        <v/>
      </c>
      <c r="I183" s="17" t="str">
        <f aca="false">IF(AND(A183&lt;&gt;"",F183&lt;&gt;""),F183+ROW()/1000000,"")</f>
        <v/>
      </c>
      <c r="J183" s="17" t="str">
        <f aca="false">IF(AND(A183&lt;&gt;"",C183&lt;=E183),ROW(),"")</f>
        <v/>
      </c>
    </row>
    <row r="184" customFormat="false" ht="15" hidden="false" customHeight="false" outlineLevel="0" collapsed="false">
      <c r="A184" s="12"/>
      <c r="B184" s="13"/>
      <c r="C184" s="14"/>
      <c r="D184" s="12"/>
      <c r="E184" s="14"/>
      <c r="F184" s="15"/>
      <c r="G184" s="16" t="str">
        <f aca="true">IF(OR(A184="",F184=""),"",F184-TODAY())</f>
        <v/>
      </c>
      <c r="H184" s="17" t="str">
        <f aca="true">IF(A184="","",IF(AND(F184&lt;&gt;"",F184&lt;TODAY()),"Tarihi geçti",IF(AND(F184&lt;&gt;"",F184&lt;=TODAY()+7),"Bu hafta bitiyor",IF(C184&lt;=E184,"Azaldı","Tamam"))))</f>
        <v/>
      </c>
      <c r="I184" s="17" t="str">
        <f aca="false">IF(AND(A184&lt;&gt;"",F184&lt;&gt;""),F184+ROW()/1000000,"")</f>
        <v/>
      </c>
      <c r="J184" s="17" t="str">
        <f aca="false">IF(AND(A184&lt;&gt;"",C184&lt;=E184),ROW(),"")</f>
        <v/>
      </c>
    </row>
    <row r="185" customFormat="false" ht="15" hidden="false" customHeight="false" outlineLevel="0" collapsed="false">
      <c r="A185" s="12"/>
      <c r="B185" s="13"/>
      <c r="C185" s="14"/>
      <c r="D185" s="12"/>
      <c r="E185" s="14"/>
      <c r="F185" s="15"/>
      <c r="G185" s="16" t="str">
        <f aca="true">IF(OR(A185="",F185=""),"",F185-TODAY())</f>
        <v/>
      </c>
      <c r="H185" s="17" t="str">
        <f aca="true">IF(A185="","",IF(AND(F185&lt;&gt;"",F185&lt;TODAY()),"Tarihi geçti",IF(AND(F185&lt;&gt;"",F185&lt;=TODAY()+7),"Bu hafta bitiyor",IF(C185&lt;=E185,"Azaldı","Tamam"))))</f>
        <v/>
      </c>
      <c r="I185" s="17" t="str">
        <f aca="false">IF(AND(A185&lt;&gt;"",F185&lt;&gt;""),F185+ROW()/1000000,"")</f>
        <v/>
      </c>
      <c r="J185" s="17" t="str">
        <f aca="false">IF(AND(A185&lt;&gt;"",C185&lt;=E185),ROW(),"")</f>
        <v/>
      </c>
    </row>
    <row r="186" customFormat="false" ht="15" hidden="false" customHeight="false" outlineLevel="0" collapsed="false">
      <c r="A186" s="12"/>
      <c r="B186" s="13"/>
      <c r="C186" s="14"/>
      <c r="D186" s="12"/>
      <c r="E186" s="14"/>
      <c r="F186" s="15"/>
      <c r="G186" s="16" t="str">
        <f aca="true">IF(OR(A186="",F186=""),"",F186-TODAY())</f>
        <v/>
      </c>
      <c r="H186" s="17" t="str">
        <f aca="true">IF(A186="","",IF(AND(F186&lt;&gt;"",F186&lt;TODAY()),"Tarihi geçti",IF(AND(F186&lt;&gt;"",F186&lt;=TODAY()+7),"Bu hafta bitiyor",IF(C186&lt;=E186,"Azaldı","Tamam"))))</f>
        <v/>
      </c>
      <c r="I186" s="17" t="str">
        <f aca="false">IF(AND(A186&lt;&gt;"",F186&lt;&gt;""),F186+ROW()/1000000,"")</f>
        <v/>
      </c>
      <c r="J186" s="17" t="str">
        <f aca="false">IF(AND(A186&lt;&gt;"",C186&lt;=E186),ROW(),"")</f>
        <v/>
      </c>
    </row>
    <row r="187" customFormat="false" ht="15" hidden="false" customHeight="false" outlineLevel="0" collapsed="false">
      <c r="A187" s="12"/>
      <c r="B187" s="13"/>
      <c r="C187" s="14"/>
      <c r="D187" s="12"/>
      <c r="E187" s="14"/>
      <c r="F187" s="15"/>
      <c r="G187" s="16" t="str">
        <f aca="true">IF(OR(A187="",F187=""),"",F187-TODAY())</f>
        <v/>
      </c>
      <c r="H187" s="17" t="str">
        <f aca="true">IF(A187="","",IF(AND(F187&lt;&gt;"",F187&lt;TODAY()),"Tarihi geçti",IF(AND(F187&lt;&gt;"",F187&lt;=TODAY()+7),"Bu hafta bitiyor",IF(C187&lt;=E187,"Azaldı","Tamam"))))</f>
        <v/>
      </c>
      <c r="I187" s="17" t="str">
        <f aca="false">IF(AND(A187&lt;&gt;"",F187&lt;&gt;""),F187+ROW()/1000000,"")</f>
        <v/>
      </c>
      <c r="J187" s="17" t="str">
        <f aca="false">IF(AND(A187&lt;&gt;"",C187&lt;=E187),ROW(),"")</f>
        <v/>
      </c>
    </row>
    <row r="188" customFormat="false" ht="15" hidden="false" customHeight="false" outlineLevel="0" collapsed="false">
      <c r="A188" s="12"/>
      <c r="B188" s="13"/>
      <c r="C188" s="14"/>
      <c r="D188" s="12"/>
      <c r="E188" s="14"/>
      <c r="F188" s="15"/>
      <c r="G188" s="16" t="str">
        <f aca="true">IF(OR(A188="",F188=""),"",F188-TODAY())</f>
        <v/>
      </c>
      <c r="H188" s="17" t="str">
        <f aca="true">IF(A188="","",IF(AND(F188&lt;&gt;"",F188&lt;TODAY()),"Tarihi geçti",IF(AND(F188&lt;&gt;"",F188&lt;=TODAY()+7),"Bu hafta bitiyor",IF(C188&lt;=E188,"Azaldı","Tamam"))))</f>
        <v/>
      </c>
      <c r="I188" s="17" t="str">
        <f aca="false">IF(AND(A188&lt;&gt;"",F188&lt;&gt;""),F188+ROW()/1000000,"")</f>
        <v/>
      </c>
      <c r="J188" s="17" t="str">
        <f aca="false">IF(AND(A188&lt;&gt;"",C188&lt;=E188),ROW(),"")</f>
        <v/>
      </c>
    </row>
    <row r="189" customFormat="false" ht="15" hidden="false" customHeight="false" outlineLevel="0" collapsed="false">
      <c r="A189" s="12"/>
      <c r="B189" s="13"/>
      <c r="C189" s="14"/>
      <c r="D189" s="12"/>
      <c r="E189" s="14"/>
      <c r="F189" s="15"/>
      <c r="G189" s="16" t="str">
        <f aca="true">IF(OR(A189="",F189=""),"",F189-TODAY())</f>
        <v/>
      </c>
      <c r="H189" s="17" t="str">
        <f aca="true">IF(A189="","",IF(AND(F189&lt;&gt;"",F189&lt;TODAY()),"Tarihi geçti",IF(AND(F189&lt;&gt;"",F189&lt;=TODAY()+7),"Bu hafta bitiyor",IF(C189&lt;=E189,"Azaldı","Tamam"))))</f>
        <v/>
      </c>
      <c r="I189" s="17" t="str">
        <f aca="false">IF(AND(A189&lt;&gt;"",F189&lt;&gt;""),F189+ROW()/1000000,"")</f>
        <v/>
      </c>
      <c r="J189" s="17" t="str">
        <f aca="false">IF(AND(A189&lt;&gt;"",C189&lt;=E189),ROW(),"")</f>
        <v/>
      </c>
    </row>
    <row r="190" customFormat="false" ht="15" hidden="false" customHeight="false" outlineLevel="0" collapsed="false">
      <c r="A190" s="12"/>
      <c r="B190" s="13"/>
      <c r="C190" s="14"/>
      <c r="D190" s="12"/>
      <c r="E190" s="14"/>
      <c r="F190" s="15"/>
      <c r="G190" s="16" t="str">
        <f aca="true">IF(OR(A190="",F190=""),"",F190-TODAY())</f>
        <v/>
      </c>
      <c r="H190" s="17" t="str">
        <f aca="true">IF(A190="","",IF(AND(F190&lt;&gt;"",F190&lt;TODAY()),"Tarihi geçti",IF(AND(F190&lt;&gt;"",F190&lt;=TODAY()+7),"Bu hafta bitiyor",IF(C190&lt;=E190,"Azaldı","Tamam"))))</f>
        <v/>
      </c>
      <c r="I190" s="17" t="str">
        <f aca="false">IF(AND(A190&lt;&gt;"",F190&lt;&gt;""),F190+ROW()/1000000,"")</f>
        <v/>
      </c>
      <c r="J190" s="17" t="str">
        <f aca="false">IF(AND(A190&lt;&gt;"",C190&lt;=E190),ROW(),"")</f>
        <v/>
      </c>
    </row>
    <row r="191" customFormat="false" ht="15" hidden="false" customHeight="false" outlineLevel="0" collapsed="false">
      <c r="A191" s="12"/>
      <c r="B191" s="13"/>
      <c r="C191" s="14"/>
      <c r="D191" s="12"/>
      <c r="E191" s="14"/>
      <c r="F191" s="15"/>
      <c r="G191" s="16" t="str">
        <f aca="true">IF(OR(A191="",F191=""),"",F191-TODAY())</f>
        <v/>
      </c>
      <c r="H191" s="17" t="str">
        <f aca="true">IF(A191="","",IF(AND(F191&lt;&gt;"",F191&lt;TODAY()),"Tarihi geçti",IF(AND(F191&lt;&gt;"",F191&lt;=TODAY()+7),"Bu hafta bitiyor",IF(C191&lt;=E191,"Azaldı","Tamam"))))</f>
        <v/>
      </c>
      <c r="I191" s="17" t="str">
        <f aca="false">IF(AND(A191&lt;&gt;"",F191&lt;&gt;""),F191+ROW()/1000000,"")</f>
        <v/>
      </c>
      <c r="J191" s="17" t="str">
        <f aca="false">IF(AND(A191&lt;&gt;"",C191&lt;=E191),ROW(),"")</f>
        <v/>
      </c>
    </row>
    <row r="192" customFormat="false" ht="15" hidden="false" customHeight="false" outlineLevel="0" collapsed="false">
      <c r="A192" s="12"/>
      <c r="B192" s="13"/>
      <c r="C192" s="14"/>
      <c r="D192" s="12"/>
      <c r="E192" s="14"/>
      <c r="F192" s="15"/>
      <c r="G192" s="16" t="str">
        <f aca="true">IF(OR(A192="",F192=""),"",F192-TODAY())</f>
        <v/>
      </c>
      <c r="H192" s="17" t="str">
        <f aca="true">IF(A192="","",IF(AND(F192&lt;&gt;"",F192&lt;TODAY()),"Tarihi geçti",IF(AND(F192&lt;&gt;"",F192&lt;=TODAY()+7),"Bu hafta bitiyor",IF(C192&lt;=E192,"Azaldı","Tamam"))))</f>
        <v/>
      </c>
      <c r="I192" s="17" t="str">
        <f aca="false">IF(AND(A192&lt;&gt;"",F192&lt;&gt;""),F192+ROW()/1000000,"")</f>
        <v/>
      </c>
      <c r="J192" s="17" t="str">
        <f aca="false">IF(AND(A192&lt;&gt;"",C192&lt;=E192),ROW(),"")</f>
        <v/>
      </c>
    </row>
    <row r="193" customFormat="false" ht="15" hidden="false" customHeight="false" outlineLevel="0" collapsed="false">
      <c r="A193" s="12"/>
      <c r="B193" s="13"/>
      <c r="C193" s="14"/>
      <c r="D193" s="12"/>
      <c r="E193" s="14"/>
      <c r="F193" s="15"/>
      <c r="G193" s="16" t="str">
        <f aca="true">IF(OR(A193="",F193=""),"",F193-TODAY())</f>
        <v/>
      </c>
      <c r="H193" s="17" t="str">
        <f aca="true">IF(A193="","",IF(AND(F193&lt;&gt;"",F193&lt;TODAY()),"Tarihi geçti",IF(AND(F193&lt;&gt;"",F193&lt;=TODAY()+7),"Bu hafta bitiyor",IF(C193&lt;=E193,"Azaldı","Tamam"))))</f>
        <v/>
      </c>
      <c r="I193" s="17" t="str">
        <f aca="false">IF(AND(A193&lt;&gt;"",F193&lt;&gt;""),F193+ROW()/1000000,"")</f>
        <v/>
      </c>
      <c r="J193" s="17" t="str">
        <f aca="false">IF(AND(A193&lt;&gt;"",C193&lt;=E193),ROW(),"")</f>
        <v/>
      </c>
    </row>
    <row r="194" customFormat="false" ht="15" hidden="false" customHeight="false" outlineLevel="0" collapsed="false">
      <c r="A194" s="12"/>
      <c r="B194" s="13"/>
      <c r="C194" s="14"/>
      <c r="D194" s="12"/>
      <c r="E194" s="14"/>
      <c r="F194" s="15"/>
      <c r="G194" s="16" t="str">
        <f aca="true">IF(OR(A194="",F194=""),"",F194-TODAY())</f>
        <v/>
      </c>
      <c r="H194" s="17" t="str">
        <f aca="true">IF(A194="","",IF(AND(F194&lt;&gt;"",F194&lt;TODAY()),"Tarihi geçti",IF(AND(F194&lt;&gt;"",F194&lt;=TODAY()+7),"Bu hafta bitiyor",IF(C194&lt;=E194,"Azaldı","Tamam"))))</f>
        <v/>
      </c>
      <c r="I194" s="17" t="str">
        <f aca="false">IF(AND(A194&lt;&gt;"",F194&lt;&gt;""),F194+ROW()/1000000,"")</f>
        <v/>
      </c>
      <c r="J194" s="17" t="str">
        <f aca="false">IF(AND(A194&lt;&gt;"",C194&lt;=E194),ROW(),"")</f>
        <v/>
      </c>
    </row>
    <row r="195" customFormat="false" ht="15" hidden="false" customHeight="false" outlineLevel="0" collapsed="false">
      <c r="A195" s="12"/>
      <c r="B195" s="13"/>
      <c r="C195" s="14"/>
      <c r="D195" s="12"/>
      <c r="E195" s="14"/>
      <c r="F195" s="15"/>
      <c r="G195" s="16" t="str">
        <f aca="true">IF(OR(A195="",F195=""),"",F195-TODAY())</f>
        <v/>
      </c>
      <c r="H195" s="17" t="str">
        <f aca="true">IF(A195="","",IF(AND(F195&lt;&gt;"",F195&lt;TODAY()),"Tarihi geçti",IF(AND(F195&lt;&gt;"",F195&lt;=TODAY()+7),"Bu hafta bitiyor",IF(C195&lt;=E195,"Azaldı","Tamam"))))</f>
        <v/>
      </c>
      <c r="I195" s="17" t="str">
        <f aca="false">IF(AND(A195&lt;&gt;"",F195&lt;&gt;""),F195+ROW()/1000000,"")</f>
        <v/>
      </c>
      <c r="J195" s="17" t="str">
        <f aca="false">IF(AND(A195&lt;&gt;"",C195&lt;=E195),ROW(),"")</f>
        <v/>
      </c>
    </row>
    <row r="196" customFormat="false" ht="15" hidden="false" customHeight="false" outlineLevel="0" collapsed="false">
      <c r="A196" s="12"/>
      <c r="B196" s="13"/>
      <c r="C196" s="14"/>
      <c r="D196" s="12"/>
      <c r="E196" s="14"/>
      <c r="F196" s="15"/>
      <c r="G196" s="16" t="str">
        <f aca="true">IF(OR(A196="",F196=""),"",F196-TODAY())</f>
        <v/>
      </c>
      <c r="H196" s="17" t="str">
        <f aca="true">IF(A196="","",IF(AND(F196&lt;&gt;"",F196&lt;TODAY()),"Tarihi geçti",IF(AND(F196&lt;&gt;"",F196&lt;=TODAY()+7),"Bu hafta bitiyor",IF(C196&lt;=E196,"Azaldı","Tamam"))))</f>
        <v/>
      </c>
      <c r="I196" s="17" t="str">
        <f aca="false">IF(AND(A196&lt;&gt;"",F196&lt;&gt;""),F196+ROW()/1000000,"")</f>
        <v/>
      </c>
      <c r="J196" s="17" t="str">
        <f aca="false">IF(AND(A196&lt;&gt;"",C196&lt;=E196),ROW(),"")</f>
        <v/>
      </c>
    </row>
    <row r="197" customFormat="false" ht="15" hidden="false" customHeight="false" outlineLevel="0" collapsed="false">
      <c r="A197" s="12"/>
      <c r="B197" s="13"/>
      <c r="C197" s="14"/>
      <c r="D197" s="12"/>
      <c r="E197" s="14"/>
      <c r="F197" s="15"/>
      <c r="G197" s="16" t="str">
        <f aca="true">IF(OR(A197="",F197=""),"",F197-TODAY())</f>
        <v/>
      </c>
      <c r="H197" s="17" t="str">
        <f aca="true">IF(A197="","",IF(AND(F197&lt;&gt;"",F197&lt;TODAY()),"Tarihi geçti",IF(AND(F197&lt;&gt;"",F197&lt;=TODAY()+7),"Bu hafta bitiyor",IF(C197&lt;=E197,"Azaldı","Tamam"))))</f>
        <v/>
      </c>
      <c r="I197" s="17" t="str">
        <f aca="false">IF(AND(A197&lt;&gt;"",F197&lt;&gt;""),F197+ROW()/1000000,"")</f>
        <v/>
      </c>
      <c r="J197" s="17" t="str">
        <f aca="false">IF(AND(A197&lt;&gt;"",C197&lt;=E197),ROW(),"")</f>
        <v/>
      </c>
    </row>
    <row r="198" customFormat="false" ht="15" hidden="false" customHeight="false" outlineLevel="0" collapsed="false">
      <c r="A198" s="12"/>
      <c r="B198" s="13"/>
      <c r="C198" s="14"/>
      <c r="D198" s="12"/>
      <c r="E198" s="14"/>
      <c r="F198" s="15"/>
      <c r="G198" s="16" t="str">
        <f aca="true">IF(OR(A198="",F198=""),"",F198-TODAY())</f>
        <v/>
      </c>
      <c r="H198" s="17" t="str">
        <f aca="true">IF(A198="","",IF(AND(F198&lt;&gt;"",F198&lt;TODAY()),"Tarihi geçti",IF(AND(F198&lt;&gt;"",F198&lt;=TODAY()+7),"Bu hafta bitiyor",IF(C198&lt;=E198,"Azaldı","Tamam"))))</f>
        <v/>
      </c>
      <c r="I198" s="17" t="str">
        <f aca="false">IF(AND(A198&lt;&gt;"",F198&lt;&gt;""),F198+ROW()/1000000,"")</f>
        <v/>
      </c>
      <c r="J198" s="17" t="str">
        <f aca="false">IF(AND(A198&lt;&gt;"",C198&lt;=E198),ROW(),"")</f>
        <v/>
      </c>
    </row>
    <row r="199" customFormat="false" ht="15" hidden="false" customHeight="false" outlineLevel="0" collapsed="false">
      <c r="A199" s="12"/>
      <c r="B199" s="13"/>
      <c r="C199" s="14"/>
      <c r="D199" s="12"/>
      <c r="E199" s="14"/>
      <c r="F199" s="15"/>
      <c r="G199" s="16" t="str">
        <f aca="true">IF(OR(A199="",F199=""),"",F199-TODAY())</f>
        <v/>
      </c>
      <c r="H199" s="17" t="str">
        <f aca="true">IF(A199="","",IF(AND(F199&lt;&gt;"",F199&lt;TODAY()),"Tarihi geçti",IF(AND(F199&lt;&gt;"",F199&lt;=TODAY()+7),"Bu hafta bitiyor",IF(C199&lt;=E199,"Azaldı","Tamam"))))</f>
        <v/>
      </c>
      <c r="I199" s="17" t="str">
        <f aca="false">IF(AND(A199&lt;&gt;"",F199&lt;&gt;""),F199+ROW()/1000000,"")</f>
        <v/>
      </c>
      <c r="J199" s="17" t="str">
        <f aca="false">IF(AND(A199&lt;&gt;"",C199&lt;=E199),ROW(),"")</f>
        <v/>
      </c>
    </row>
    <row r="200" customFormat="false" ht="15" hidden="false" customHeight="false" outlineLevel="0" collapsed="false">
      <c r="A200" s="12"/>
      <c r="B200" s="13"/>
      <c r="C200" s="14"/>
      <c r="D200" s="12"/>
      <c r="E200" s="14"/>
      <c r="F200" s="15"/>
      <c r="G200" s="16" t="str">
        <f aca="true">IF(OR(A200="",F200=""),"",F200-TODAY())</f>
        <v/>
      </c>
      <c r="H200" s="17" t="str">
        <f aca="true">IF(A200="","",IF(AND(F200&lt;&gt;"",F200&lt;TODAY()),"Tarihi geçti",IF(AND(F200&lt;&gt;"",F200&lt;=TODAY()+7),"Bu hafta bitiyor",IF(C200&lt;=E200,"Azaldı","Tamam"))))</f>
        <v/>
      </c>
      <c r="I200" s="17" t="str">
        <f aca="false">IF(AND(A200&lt;&gt;"",F200&lt;&gt;""),F200+ROW()/1000000,"")</f>
        <v/>
      </c>
      <c r="J200" s="17" t="str">
        <f aca="false">IF(AND(A200&lt;&gt;"",C200&lt;=E200),ROW(),"")</f>
        <v/>
      </c>
    </row>
    <row r="201" customFormat="false" ht="15" hidden="false" customHeight="false" outlineLevel="0" collapsed="false">
      <c r="A201" s="12"/>
      <c r="B201" s="13"/>
      <c r="C201" s="14"/>
      <c r="D201" s="12"/>
      <c r="E201" s="14"/>
      <c r="F201" s="15"/>
      <c r="G201" s="16" t="str">
        <f aca="true">IF(OR(A201="",F201=""),"",F201-TODAY())</f>
        <v/>
      </c>
      <c r="H201" s="17" t="str">
        <f aca="true">IF(A201="","",IF(AND(F201&lt;&gt;"",F201&lt;TODAY()),"Tarihi geçti",IF(AND(F201&lt;&gt;"",F201&lt;=TODAY()+7),"Bu hafta bitiyor",IF(C201&lt;=E201,"Azaldı","Tamam"))))</f>
        <v/>
      </c>
      <c r="I201" s="17" t="str">
        <f aca="false">IF(AND(A201&lt;&gt;"",F201&lt;&gt;""),F201+ROW()/1000000,"")</f>
        <v/>
      </c>
      <c r="J201" s="17" t="str">
        <f aca="false">IF(AND(A201&lt;&gt;"",C201&lt;=E201),ROW(),"")</f>
        <v/>
      </c>
    </row>
    <row r="202" customFormat="false" ht="15" hidden="false" customHeight="false" outlineLevel="0" collapsed="false">
      <c r="A202" s="12"/>
      <c r="B202" s="13"/>
      <c r="C202" s="14"/>
      <c r="D202" s="12"/>
      <c r="E202" s="14"/>
      <c r="F202" s="15"/>
      <c r="G202" s="16" t="str">
        <f aca="true">IF(OR(A202="",F202=""),"",F202-TODAY())</f>
        <v/>
      </c>
      <c r="H202" s="17" t="str">
        <f aca="true">IF(A202="","",IF(AND(F202&lt;&gt;"",F202&lt;TODAY()),"Tarihi geçti",IF(AND(F202&lt;&gt;"",F202&lt;=TODAY()+7),"Bu hafta bitiyor",IF(C202&lt;=E202,"Azaldı","Tamam"))))</f>
        <v/>
      </c>
      <c r="I202" s="17" t="str">
        <f aca="false">IF(AND(A202&lt;&gt;"",F202&lt;&gt;""),F202+ROW()/1000000,"")</f>
        <v/>
      </c>
      <c r="J202" s="17" t="str">
        <f aca="false">IF(AND(A202&lt;&gt;"",C202&lt;=E202),ROW(),"")</f>
        <v/>
      </c>
    </row>
    <row r="203" customFormat="false" ht="15" hidden="false" customHeight="false" outlineLevel="0" collapsed="false">
      <c r="A203" s="12"/>
      <c r="B203" s="13"/>
      <c r="C203" s="14"/>
      <c r="D203" s="12"/>
      <c r="E203" s="14"/>
      <c r="F203" s="15"/>
      <c r="G203" s="16" t="str">
        <f aca="true">IF(OR(A203="",F203=""),"",F203-TODAY())</f>
        <v/>
      </c>
      <c r="H203" s="17" t="str">
        <f aca="true">IF(A203="","",IF(AND(F203&lt;&gt;"",F203&lt;TODAY()),"Tarihi geçti",IF(AND(F203&lt;&gt;"",F203&lt;=TODAY()+7),"Bu hafta bitiyor",IF(C203&lt;=E203,"Azaldı","Tamam"))))</f>
        <v/>
      </c>
      <c r="I203" s="17" t="str">
        <f aca="false">IF(AND(A203&lt;&gt;"",F203&lt;&gt;""),F203+ROW()/1000000,"")</f>
        <v/>
      </c>
      <c r="J203" s="17" t="str">
        <f aca="false">IF(AND(A203&lt;&gt;"",C203&lt;=E203),ROW(),"")</f>
        <v/>
      </c>
    </row>
    <row r="204" customFormat="false" ht="15" hidden="false" customHeight="false" outlineLevel="0" collapsed="false">
      <c r="A204" s="12"/>
      <c r="B204" s="13"/>
      <c r="C204" s="14"/>
      <c r="D204" s="12"/>
      <c r="E204" s="14"/>
      <c r="F204" s="15"/>
      <c r="G204" s="16" t="str">
        <f aca="true">IF(OR(A204="",F204=""),"",F204-TODAY())</f>
        <v/>
      </c>
      <c r="H204" s="17" t="str">
        <f aca="true">IF(A204="","",IF(AND(F204&lt;&gt;"",F204&lt;TODAY()),"Tarihi geçti",IF(AND(F204&lt;&gt;"",F204&lt;=TODAY()+7),"Bu hafta bitiyor",IF(C204&lt;=E204,"Azaldı","Tamam"))))</f>
        <v/>
      </c>
      <c r="I204" s="17" t="str">
        <f aca="false">IF(AND(A204&lt;&gt;"",F204&lt;&gt;""),F204+ROW()/1000000,"")</f>
        <v/>
      </c>
      <c r="J204" s="17" t="str">
        <f aca="false">IF(AND(A204&lt;&gt;"",C204&lt;=E204),ROW(),"")</f>
        <v/>
      </c>
    </row>
    <row r="205" customFormat="false" ht="15" hidden="false" customHeight="false" outlineLevel="0" collapsed="false">
      <c r="A205" s="12"/>
      <c r="B205" s="13"/>
      <c r="C205" s="14"/>
      <c r="D205" s="12"/>
      <c r="E205" s="14"/>
      <c r="F205" s="15"/>
      <c r="G205" s="16" t="str">
        <f aca="true">IF(OR(A205="",F205=""),"",F205-TODAY())</f>
        <v/>
      </c>
      <c r="H205" s="17" t="str">
        <f aca="true">IF(A205="","",IF(AND(F205&lt;&gt;"",F205&lt;TODAY()),"Tarihi geçti",IF(AND(F205&lt;&gt;"",F205&lt;=TODAY()+7),"Bu hafta bitiyor",IF(C205&lt;=E205,"Azaldı","Tamam"))))</f>
        <v/>
      </c>
      <c r="I205" s="17" t="str">
        <f aca="false">IF(AND(A205&lt;&gt;"",F205&lt;&gt;""),F205+ROW()/1000000,"")</f>
        <v/>
      </c>
      <c r="J205" s="17" t="str">
        <f aca="false">IF(AND(A205&lt;&gt;"",C205&lt;=E205),ROW(),"")</f>
        <v/>
      </c>
    </row>
    <row r="206" customFormat="false" ht="15" hidden="false" customHeight="false" outlineLevel="0" collapsed="false">
      <c r="A206" s="12"/>
      <c r="B206" s="13"/>
      <c r="C206" s="14"/>
      <c r="D206" s="12"/>
      <c r="E206" s="14"/>
      <c r="F206" s="15"/>
      <c r="G206" s="16" t="str">
        <f aca="true">IF(OR(A206="",F206=""),"",F206-TODAY())</f>
        <v/>
      </c>
      <c r="H206" s="17" t="str">
        <f aca="true">IF(A206="","",IF(AND(F206&lt;&gt;"",F206&lt;TODAY()),"Tarihi geçti",IF(AND(F206&lt;&gt;"",F206&lt;=TODAY()+7),"Bu hafta bitiyor",IF(C206&lt;=E206,"Azaldı","Tamam"))))</f>
        <v/>
      </c>
      <c r="I206" s="17" t="str">
        <f aca="false">IF(AND(A206&lt;&gt;"",F206&lt;&gt;""),F206+ROW()/1000000,"")</f>
        <v/>
      </c>
      <c r="J206" s="17" t="str">
        <f aca="false">IF(AND(A206&lt;&gt;"",C206&lt;=E206),ROW(),"")</f>
        <v/>
      </c>
    </row>
    <row r="207" customFormat="false" ht="15" hidden="false" customHeight="false" outlineLevel="0" collapsed="false">
      <c r="A207" s="12"/>
      <c r="B207" s="13"/>
      <c r="C207" s="14"/>
      <c r="D207" s="12"/>
      <c r="E207" s="14"/>
      <c r="F207" s="15"/>
      <c r="G207" s="16" t="str">
        <f aca="true">IF(OR(A207="",F207=""),"",F207-TODAY())</f>
        <v/>
      </c>
      <c r="H207" s="17" t="str">
        <f aca="true">IF(A207="","",IF(AND(F207&lt;&gt;"",F207&lt;TODAY()),"Tarihi geçti",IF(AND(F207&lt;&gt;"",F207&lt;=TODAY()+7),"Bu hafta bitiyor",IF(C207&lt;=E207,"Azaldı","Tamam"))))</f>
        <v/>
      </c>
      <c r="I207" s="17" t="str">
        <f aca="false">IF(AND(A207&lt;&gt;"",F207&lt;&gt;""),F207+ROW()/1000000,"")</f>
        <v/>
      </c>
      <c r="J207" s="17" t="str">
        <f aca="false">IF(AND(A207&lt;&gt;"",C207&lt;=E207),ROW(),"")</f>
        <v/>
      </c>
    </row>
    <row r="208" customFormat="false" ht="15" hidden="false" customHeight="false" outlineLevel="0" collapsed="false">
      <c r="A208" s="12"/>
      <c r="B208" s="13"/>
      <c r="C208" s="14"/>
      <c r="D208" s="12"/>
      <c r="E208" s="14"/>
      <c r="F208" s="15"/>
      <c r="G208" s="16" t="str">
        <f aca="true">IF(OR(A208="",F208=""),"",F208-TODAY())</f>
        <v/>
      </c>
      <c r="H208" s="17" t="str">
        <f aca="true">IF(A208="","",IF(AND(F208&lt;&gt;"",F208&lt;TODAY()),"Tarihi geçti",IF(AND(F208&lt;&gt;"",F208&lt;=TODAY()+7),"Bu hafta bitiyor",IF(C208&lt;=E208,"Azaldı","Tamam"))))</f>
        <v/>
      </c>
      <c r="I208" s="17" t="str">
        <f aca="false">IF(AND(A208&lt;&gt;"",F208&lt;&gt;""),F208+ROW()/1000000,"")</f>
        <v/>
      </c>
      <c r="J208" s="17" t="str">
        <f aca="false">IF(AND(A208&lt;&gt;"",C208&lt;=E208),ROW(),"")</f>
        <v/>
      </c>
    </row>
    <row r="209" customFormat="false" ht="15" hidden="false" customHeight="false" outlineLevel="0" collapsed="false">
      <c r="A209" s="12"/>
      <c r="B209" s="13"/>
      <c r="C209" s="14"/>
      <c r="D209" s="12"/>
      <c r="E209" s="14"/>
      <c r="F209" s="15"/>
      <c r="G209" s="16" t="str">
        <f aca="true">IF(OR(A209="",F209=""),"",F209-TODAY())</f>
        <v/>
      </c>
      <c r="H209" s="17" t="str">
        <f aca="true">IF(A209="","",IF(AND(F209&lt;&gt;"",F209&lt;TODAY()),"Tarihi geçti",IF(AND(F209&lt;&gt;"",F209&lt;=TODAY()+7),"Bu hafta bitiyor",IF(C209&lt;=E209,"Azaldı","Tamam"))))</f>
        <v/>
      </c>
      <c r="I209" s="17" t="str">
        <f aca="false">IF(AND(A209&lt;&gt;"",F209&lt;&gt;""),F209+ROW()/1000000,"")</f>
        <v/>
      </c>
      <c r="J209" s="17" t="str">
        <f aca="false">IF(AND(A209&lt;&gt;"",C209&lt;=E209),ROW(),"")</f>
        <v/>
      </c>
    </row>
    <row r="210" customFormat="false" ht="15" hidden="false" customHeight="false" outlineLevel="0" collapsed="false">
      <c r="A210" s="12"/>
      <c r="B210" s="13"/>
      <c r="C210" s="14"/>
      <c r="D210" s="12"/>
      <c r="E210" s="14"/>
      <c r="F210" s="15"/>
      <c r="G210" s="16" t="str">
        <f aca="true">IF(OR(A210="",F210=""),"",F210-TODAY())</f>
        <v/>
      </c>
      <c r="H210" s="17" t="str">
        <f aca="true">IF(A210="","",IF(AND(F210&lt;&gt;"",F210&lt;TODAY()),"Tarihi geçti",IF(AND(F210&lt;&gt;"",F210&lt;=TODAY()+7),"Bu hafta bitiyor",IF(C210&lt;=E210,"Azaldı","Tamam"))))</f>
        <v/>
      </c>
      <c r="I210" s="17" t="str">
        <f aca="false">IF(AND(A210&lt;&gt;"",F210&lt;&gt;""),F210+ROW()/1000000,"")</f>
        <v/>
      </c>
      <c r="J210" s="17" t="str">
        <f aca="false">IF(AND(A210&lt;&gt;"",C210&lt;=E210),ROW(),"")</f>
        <v/>
      </c>
    </row>
    <row r="211" customFormat="false" ht="15" hidden="false" customHeight="false" outlineLevel="0" collapsed="false">
      <c r="A211" s="12"/>
      <c r="B211" s="13"/>
      <c r="C211" s="14"/>
      <c r="D211" s="12"/>
      <c r="E211" s="14"/>
      <c r="F211" s="15"/>
      <c r="G211" s="16" t="str">
        <f aca="true">IF(OR(A211="",F211=""),"",F211-TODAY())</f>
        <v/>
      </c>
      <c r="H211" s="17" t="str">
        <f aca="true">IF(A211="","",IF(AND(F211&lt;&gt;"",F211&lt;TODAY()),"Tarihi geçti",IF(AND(F211&lt;&gt;"",F211&lt;=TODAY()+7),"Bu hafta bitiyor",IF(C211&lt;=E211,"Azaldı","Tamam"))))</f>
        <v/>
      </c>
      <c r="I211" s="17" t="str">
        <f aca="false">IF(AND(A211&lt;&gt;"",F211&lt;&gt;""),F211+ROW()/1000000,"")</f>
        <v/>
      </c>
      <c r="J211" s="17" t="str">
        <f aca="false">IF(AND(A211&lt;&gt;"",C211&lt;=E211),ROW(),"")</f>
        <v/>
      </c>
    </row>
    <row r="212" customFormat="false" ht="15" hidden="false" customHeight="false" outlineLevel="0" collapsed="false">
      <c r="A212" s="12"/>
      <c r="B212" s="13"/>
      <c r="C212" s="14"/>
      <c r="D212" s="12"/>
      <c r="E212" s="14"/>
      <c r="F212" s="15"/>
      <c r="G212" s="16" t="str">
        <f aca="true">IF(OR(A212="",F212=""),"",F212-TODAY())</f>
        <v/>
      </c>
      <c r="H212" s="17" t="str">
        <f aca="true">IF(A212="","",IF(AND(F212&lt;&gt;"",F212&lt;TODAY()),"Tarihi geçti",IF(AND(F212&lt;&gt;"",F212&lt;=TODAY()+7),"Bu hafta bitiyor",IF(C212&lt;=E212,"Azaldı","Tamam"))))</f>
        <v/>
      </c>
      <c r="I212" s="17" t="str">
        <f aca="false">IF(AND(A212&lt;&gt;"",F212&lt;&gt;""),F212+ROW()/1000000,"")</f>
        <v/>
      </c>
      <c r="J212" s="17" t="str">
        <f aca="false">IF(AND(A212&lt;&gt;"",C212&lt;=E212),ROW(),"")</f>
        <v/>
      </c>
    </row>
    <row r="213" customFormat="false" ht="15" hidden="false" customHeight="false" outlineLevel="0" collapsed="false">
      <c r="A213" s="12"/>
      <c r="B213" s="13"/>
      <c r="C213" s="14"/>
      <c r="D213" s="12"/>
      <c r="E213" s="14"/>
      <c r="F213" s="15"/>
      <c r="G213" s="16" t="str">
        <f aca="true">IF(OR(A213="",F213=""),"",F213-TODAY())</f>
        <v/>
      </c>
      <c r="H213" s="17" t="str">
        <f aca="true">IF(A213="","",IF(AND(F213&lt;&gt;"",F213&lt;TODAY()),"Tarihi geçti",IF(AND(F213&lt;&gt;"",F213&lt;=TODAY()+7),"Bu hafta bitiyor",IF(C213&lt;=E213,"Azaldı","Tamam"))))</f>
        <v/>
      </c>
      <c r="I213" s="17" t="str">
        <f aca="false">IF(AND(A213&lt;&gt;"",F213&lt;&gt;""),F213+ROW()/1000000,"")</f>
        <v/>
      </c>
      <c r="J213" s="17" t="str">
        <f aca="false">IF(AND(A213&lt;&gt;"",C213&lt;=E213),ROW(),"")</f>
        <v/>
      </c>
    </row>
    <row r="214" customFormat="false" ht="15" hidden="false" customHeight="false" outlineLevel="0" collapsed="false">
      <c r="A214" s="12"/>
      <c r="B214" s="13"/>
      <c r="C214" s="14"/>
      <c r="D214" s="12"/>
      <c r="E214" s="14"/>
      <c r="F214" s="15"/>
      <c r="G214" s="16" t="str">
        <f aca="true">IF(OR(A214="",F214=""),"",F214-TODAY())</f>
        <v/>
      </c>
      <c r="H214" s="17" t="str">
        <f aca="true">IF(A214="","",IF(AND(F214&lt;&gt;"",F214&lt;TODAY()),"Tarihi geçti",IF(AND(F214&lt;&gt;"",F214&lt;=TODAY()+7),"Bu hafta bitiyor",IF(C214&lt;=E214,"Azaldı","Tamam"))))</f>
        <v/>
      </c>
      <c r="I214" s="17" t="str">
        <f aca="false">IF(AND(A214&lt;&gt;"",F214&lt;&gt;""),F214+ROW()/1000000,"")</f>
        <v/>
      </c>
      <c r="J214" s="17" t="str">
        <f aca="false">IF(AND(A214&lt;&gt;"",C214&lt;=E214),ROW(),"")</f>
        <v/>
      </c>
    </row>
    <row r="215" customFormat="false" ht="15" hidden="false" customHeight="false" outlineLevel="0" collapsed="false">
      <c r="A215" s="12"/>
      <c r="B215" s="13"/>
      <c r="C215" s="14"/>
      <c r="D215" s="12"/>
      <c r="E215" s="14"/>
      <c r="F215" s="15"/>
      <c r="G215" s="16" t="str">
        <f aca="true">IF(OR(A215="",F215=""),"",F215-TODAY())</f>
        <v/>
      </c>
      <c r="H215" s="17" t="str">
        <f aca="true">IF(A215="","",IF(AND(F215&lt;&gt;"",F215&lt;TODAY()),"Tarihi geçti",IF(AND(F215&lt;&gt;"",F215&lt;=TODAY()+7),"Bu hafta bitiyor",IF(C215&lt;=E215,"Azaldı","Tamam"))))</f>
        <v/>
      </c>
      <c r="I215" s="17" t="str">
        <f aca="false">IF(AND(A215&lt;&gt;"",F215&lt;&gt;""),F215+ROW()/1000000,"")</f>
        <v/>
      </c>
      <c r="J215" s="17" t="str">
        <f aca="false">IF(AND(A215&lt;&gt;"",C215&lt;=E215),ROW(),"")</f>
        <v/>
      </c>
    </row>
    <row r="216" customFormat="false" ht="15" hidden="false" customHeight="false" outlineLevel="0" collapsed="false">
      <c r="A216" s="12"/>
      <c r="B216" s="13"/>
      <c r="C216" s="14"/>
      <c r="D216" s="12"/>
      <c r="E216" s="14"/>
      <c r="F216" s="15"/>
      <c r="G216" s="16" t="str">
        <f aca="true">IF(OR(A216="",F216=""),"",F216-TODAY())</f>
        <v/>
      </c>
      <c r="H216" s="17" t="str">
        <f aca="true">IF(A216="","",IF(AND(F216&lt;&gt;"",F216&lt;TODAY()),"Tarihi geçti",IF(AND(F216&lt;&gt;"",F216&lt;=TODAY()+7),"Bu hafta bitiyor",IF(C216&lt;=E216,"Azaldı","Tamam"))))</f>
        <v/>
      </c>
      <c r="I216" s="17" t="str">
        <f aca="false">IF(AND(A216&lt;&gt;"",F216&lt;&gt;""),F216+ROW()/1000000,"")</f>
        <v/>
      </c>
      <c r="J216" s="17" t="str">
        <f aca="false">IF(AND(A216&lt;&gt;"",C216&lt;=E216),ROW(),"")</f>
        <v/>
      </c>
    </row>
    <row r="217" customFormat="false" ht="15" hidden="false" customHeight="false" outlineLevel="0" collapsed="false">
      <c r="A217" s="12"/>
      <c r="B217" s="13"/>
      <c r="C217" s="14"/>
      <c r="D217" s="12"/>
      <c r="E217" s="14"/>
      <c r="F217" s="15"/>
      <c r="G217" s="16" t="str">
        <f aca="true">IF(OR(A217="",F217=""),"",F217-TODAY())</f>
        <v/>
      </c>
      <c r="H217" s="17" t="str">
        <f aca="true">IF(A217="","",IF(AND(F217&lt;&gt;"",F217&lt;TODAY()),"Tarihi geçti",IF(AND(F217&lt;&gt;"",F217&lt;=TODAY()+7),"Bu hafta bitiyor",IF(C217&lt;=E217,"Azaldı","Tamam"))))</f>
        <v/>
      </c>
      <c r="I217" s="17" t="str">
        <f aca="false">IF(AND(A217&lt;&gt;"",F217&lt;&gt;""),F217+ROW()/1000000,"")</f>
        <v/>
      </c>
      <c r="J217" s="17" t="str">
        <f aca="false">IF(AND(A217&lt;&gt;"",C217&lt;=E217),ROW(),"")</f>
        <v/>
      </c>
    </row>
    <row r="218" customFormat="false" ht="15" hidden="false" customHeight="false" outlineLevel="0" collapsed="false">
      <c r="A218" s="12"/>
      <c r="B218" s="13"/>
      <c r="C218" s="14"/>
      <c r="D218" s="12"/>
      <c r="E218" s="14"/>
      <c r="F218" s="15"/>
      <c r="G218" s="16" t="str">
        <f aca="true">IF(OR(A218="",F218=""),"",F218-TODAY())</f>
        <v/>
      </c>
      <c r="H218" s="17" t="str">
        <f aca="true">IF(A218="","",IF(AND(F218&lt;&gt;"",F218&lt;TODAY()),"Tarihi geçti",IF(AND(F218&lt;&gt;"",F218&lt;=TODAY()+7),"Bu hafta bitiyor",IF(C218&lt;=E218,"Azaldı","Tamam"))))</f>
        <v/>
      </c>
      <c r="I218" s="17" t="str">
        <f aca="false">IF(AND(A218&lt;&gt;"",F218&lt;&gt;""),F218+ROW()/1000000,"")</f>
        <v/>
      </c>
      <c r="J218" s="17" t="str">
        <f aca="false">IF(AND(A218&lt;&gt;"",C218&lt;=E218),ROW(),"")</f>
        <v/>
      </c>
    </row>
    <row r="219" customFormat="false" ht="15" hidden="false" customHeight="false" outlineLevel="0" collapsed="false">
      <c r="A219" s="12"/>
      <c r="B219" s="13"/>
      <c r="C219" s="14"/>
      <c r="D219" s="12"/>
      <c r="E219" s="14"/>
      <c r="F219" s="15"/>
      <c r="G219" s="16" t="str">
        <f aca="true">IF(OR(A219="",F219=""),"",F219-TODAY())</f>
        <v/>
      </c>
      <c r="H219" s="17" t="str">
        <f aca="true">IF(A219="","",IF(AND(F219&lt;&gt;"",F219&lt;TODAY()),"Tarihi geçti",IF(AND(F219&lt;&gt;"",F219&lt;=TODAY()+7),"Bu hafta bitiyor",IF(C219&lt;=E219,"Azaldı","Tamam"))))</f>
        <v/>
      </c>
      <c r="I219" s="17" t="str">
        <f aca="false">IF(AND(A219&lt;&gt;"",F219&lt;&gt;""),F219+ROW()/1000000,"")</f>
        <v/>
      </c>
      <c r="J219" s="17" t="str">
        <f aca="false">IF(AND(A219&lt;&gt;"",C219&lt;=E219),ROW(),"")</f>
        <v/>
      </c>
    </row>
    <row r="220" customFormat="false" ht="15" hidden="false" customHeight="false" outlineLevel="0" collapsed="false">
      <c r="A220" s="12"/>
      <c r="B220" s="13"/>
      <c r="C220" s="14"/>
      <c r="D220" s="12"/>
      <c r="E220" s="14"/>
      <c r="F220" s="15"/>
      <c r="G220" s="16" t="str">
        <f aca="true">IF(OR(A220="",F220=""),"",F220-TODAY())</f>
        <v/>
      </c>
      <c r="H220" s="17" t="str">
        <f aca="true">IF(A220="","",IF(AND(F220&lt;&gt;"",F220&lt;TODAY()),"Tarihi geçti",IF(AND(F220&lt;&gt;"",F220&lt;=TODAY()+7),"Bu hafta bitiyor",IF(C220&lt;=E220,"Azaldı","Tamam"))))</f>
        <v/>
      </c>
      <c r="I220" s="17" t="str">
        <f aca="false">IF(AND(A220&lt;&gt;"",F220&lt;&gt;""),F220+ROW()/1000000,"")</f>
        <v/>
      </c>
      <c r="J220" s="17" t="str">
        <f aca="false">IF(AND(A220&lt;&gt;"",C220&lt;=E220),ROW(),"")</f>
        <v/>
      </c>
    </row>
    <row r="221" customFormat="false" ht="15" hidden="false" customHeight="false" outlineLevel="0" collapsed="false">
      <c r="A221" s="12"/>
      <c r="B221" s="13"/>
      <c r="C221" s="14"/>
      <c r="D221" s="12"/>
      <c r="E221" s="14"/>
      <c r="F221" s="15"/>
      <c r="G221" s="16" t="str">
        <f aca="true">IF(OR(A221="",F221=""),"",F221-TODAY())</f>
        <v/>
      </c>
      <c r="H221" s="17" t="str">
        <f aca="true">IF(A221="","",IF(AND(F221&lt;&gt;"",F221&lt;TODAY()),"Tarihi geçti",IF(AND(F221&lt;&gt;"",F221&lt;=TODAY()+7),"Bu hafta bitiyor",IF(C221&lt;=E221,"Azaldı","Tamam"))))</f>
        <v/>
      </c>
      <c r="I221" s="17" t="str">
        <f aca="false">IF(AND(A221&lt;&gt;"",F221&lt;&gt;""),F221+ROW()/1000000,"")</f>
        <v/>
      </c>
      <c r="J221" s="17" t="str">
        <f aca="false">IF(AND(A221&lt;&gt;"",C221&lt;=E221),ROW(),"")</f>
        <v/>
      </c>
    </row>
    <row r="222" customFormat="false" ht="15" hidden="false" customHeight="false" outlineLevel="0" collapsed="false">
      <c r="A222" s="12"/>
      <c r="B222" s="13"/>
      <c r="C222" s="14"/>
      <c r="D222" s="12"/>
      <c r="E222" s="14"/>
      <c r="F222" s="15"/>
      <c r="G222" s="16" t="str">
        <f aca="true">IF(OR(A222="",F222=""),"",F222-TODAY())</f>
        <v/>
      </c>
      <c r="H222" s="17" t="str">
        <f aca="true">IF(A222="","",IF(AND(F222&lt;&gt;"",F222&lt;TODAY()),"Tarihi geçti",IF(AND(F222&lt;&gt;"",F222&lt;=TODAY()+7),"Bu hafta bitiyor",IF(C222&lt;=E222,"Azaldı","Tamam"))))</f>
        <v/>
      </c>
      <c r="I222" s="17" t="str">
        <f aca="false">IF(AND(A222&lt;&gt;"",F222&lt;&gt;""),F222+ROW()/1000000,"")</f>
        <v/>
      </c>
      <c r="J222" s="17" t="str">
        <f aca="false">IF(AND(A222&lt;&gt;"",C222&lt;=E222),ROW(),"")</f>
        <v/>
      </c>
    </row>
    <row r="223" customFormat="false" ht="15" hidden="false" customHeight="false" outlineLevel="0" collapsed="false">
      <c r="A223" s="12"/>
      <c r="B223" s="13"/>
      <c r="C223" s="14"/>
      <c r="D223" s="12"/>
      <c r="E223" s="14"/>
      <c r="F223" s="15"/>
      <c r="G223" s="16" t="str">
        <f aca="true">IF(OR(A223="",F223=""),"",F223-TODAY())</f>
        <v/>
      </c>
      <c r="H223" s="17" t="str">
        <f aca="true">IF(A223="","",IF(AND(F223&lt;&gt;"",F223&lt;TODAY()),"Tarihi geçti",IF(AND(F223&lt;&gt;"",F223&lt;=TODAY()+7),"Bu hafta bitiyor",IF(C223&lt;=E223,"Azaldı","Tamam"))))</f>
        <v/>
      </c>
      <c r="I223" s="17" t="str">
        <f aca="false">IF(AND(A223&lt;&gt;"",F223&lt;&gt;""),F223+ROW()/1000000,"")</f>
        <v/>
      </c>
      <c r="J223" s="17" t="str">
        <f aca="false">IF(AND(A223&lt;&gt;"",C223&lt;=E223),ROW(),"")</f>
        <v/>
      </c>
    </row>
    <row r="224" customFormat="false" ht="15" hidden="false" customHeight="false" outlineLevel="0" collapsed="false">
      <c r="A224" s="12"/>
      <c r="B224" s="13"/>
      <c r="C224" s="14"/>
      <c r="D224" s="12"/>
      <c r="E224" s="14"/>
      <c r="F224" s="15"/>
      <c r="G224" s="16" t="str">
        <f aca="true">IF(OR(A224="",F224=""),"",F224-TODAY())</f>
        <v/>
      </c>
      <c r="H224" s="17" t="str">
        <f aca="true">IF(A224="","",IF(AND(F224&lt;&gt;"",F224&lt;TODAY()),"Tarihi geçti",IF(AND(F224&lt;&gt;"",F224&lt;=TODAY()+7),"Bu hafta bitiyor",IF(C224&lt;=E224,"Azaldı","Tamam"))))</f>
        <v/>
      </c>
      <c r="I224" s="17" t="str">
        <f aca="false">IF(AND(A224&lt;&gt;"",F224&lt;&gt;""),F224+ROW()/1000000,"")</f>
        <v/>
      </c>
      <c r="J224" s="17" t="str">
        <f aca="false">IF(AND(A224&lt;&gt;"",C224&lt;=E224),ROW(),"")</f>
        <v/>
      </c>
    </row>
    <row r="225" customFormat="false" ht="15" hidden="false" customHeight="false" outlineLevel="0" collapsed="false">
      <c r="A225" s="12"/>
      <c r="B225" s="13"/>
      <c r="C225" s="14"/>
      <c r="D225" s="12"/>
      <c r="E225" s="14"/>
      <c r="F225" s="15"/>
      <c r="G225" s="16" t="str">
        <f aca="true">IF(OR(A225="",F225=""),"",F225-TODAY())</f>
        <v/>
      </c>
      <c r="H225" s="17" t="str">
        <f aca="true">IF(A225="","",IF(AND(F225&lt;&gt;"",F225&lt;TODAY()),"Tarihi geçti",IF(AND(F225&lt;&gt;"",F225&lt;=TODAY()+7),"Bu hafta bitiyor",IF(C225&lt;=E225,"Azaldı","Tamam"))))</f>
        <v/>
      </c>
      <c r="I225" s="17" t="str">
        <f aca="false">IF(AND(A225&lt;&gt;"",F225&lt;&gt;""),F225+ROW()/1000000,"")</f>
        <v/>
      </c>
      <c r="J225" s="17" t="str">
        <f aca="false">IF(AND(A225&lt;&gt;"",C225&lt;=E225),ROW(),"")</f>
        <v/>
      </c>
    </row>
    <row r="226" customFormat="false" ht="15" hidden="false" customHeight="false" outlineLevel="0" collapsed="false">
      <c r="A226" s="12"/>
      <c r="B226" s="13"/>
      <c r="C226" s="14"/>
      <c r="D226" s="12"/>
      <c r="E226" s="14"/>
      <c r="F226" s="15"/>
      <c r="G226" s="16" t="str">
        <f aca="true">IF(OR(A226="",F226=""),"",F226-TODAY())</f>
        <v/>
      </c>
      <c r="H226" s="17" t="str">
        <f aca="true">IF(A226="","",IF(AND(F226&lt;&gt;"",F226&lt;TODAY()),"Tarihi geçti",IF(AND(F226&lt;&gt;"",F226&lt;=TODAY()+7),"Bu hafta bitiyor",IF(C226&lt;=E226,"Azaldı","Tamam"))))</f>
        <v/>
      </c>
      <c r="I226" s="17" t="str">
        <f aca="false">IF(AND(A226&lt;&gt;"",F226&lt;&gt;""),F226+ROW()/1000000,"")</f>
        <v/>
      </c>
      <c r="J226" s="17" t="str">
        <f aca="false">IF(AND(A226&lt;&gt;"",C226&lt;=E226),ROW(),"")</f>
        <v/>
      </c>
    </row>
    <row r="227" customFormat="false" ht="15" hidden="false" customHeight="false" outlineLevel="0" collapsed="false">
      <c r="A227" s="12"/>
      <c r="B227" s="13"/>
      <c r="C227" s="14"/>
      <c r="D227" s="12"/>
      <c r="E227" s="14"/>
      <c r="F227" s="15"/>
      <c r="G227" s="16" t="str">
        <f aca="true">IF(OR(A227="",F227=""),"",F227-TODAY())</f>
        <v/>
      </c>
      <c r="H227" s="17" t="str">
        <f aca="true">IF(A227="","",IF(AND(F227&lt;&gt;"",F227&lt;TODAY()),"Tarihi geçti",IF(AND(F227&lt;&gt;"",F227&lt;=TODAY()+7),"Bu hafta bitiyor",IF(C227&lt;=E227,"Azaldı","Tamam"))))</f>
        <v/>
      </c>
      <c r="I227" s="17" t="str">
        <f aca="false">IF(AND(A227&lt;&gt;"",F227&lt;&gt;""),F227+ROW()/1000000,"")</f>
        <v/>
      </c>
      <c r="J227" s="17" t="str">
        <f aca="false">IF(AND(A227&lt;&gt;"",C227&lt;=E227),ROW(),"")</f>
        <v/>
      </c>
    </row>
    <row r="228" customFormat="false" ht="15" hidden="false" customHeight="false" outlineLevel="0" collapsed="false">
      <c r="A228" s="12"/>
      <c r="B228" s="13"/>
      <c r="C228" s="14"/>
      <c r="D228" s="12"/>
      <c r="E228" s="14"/>
      <c r="F228" s="15"/>
      <c r="G228" s="16" t="str">
        <f aca="true">IF(OR(A228="",F228=""),"",F228-TODAY())</f>
        <v/>
      </c>
      <c r="H228" s="17" t="str">
        <f aca="true">IF(A228="","",IF(AND(F228&lt;&gt;"",F228&lt;TODAY()),"Tarihi geçti",IF(AND(F228&lt;&gt;"",F228&lt;=TODAY()+7),"Bu hafta bitiyor",IF(C228&lt;=E228,"Azaldı","Tamam"))))</f>
        <v/>
      </c>
      <c r="I228" s="17" t="str">
        <f aca="false">IF(AND(A228&lt;&gt;"",F228&lt;&gt;""),F228+ROW()/1000000,"")</f>
        <v/>
      </c>
      <c r="J228" s="17" t="str">
        <f aca="false">IF(AND(A228&lt;&gt;"",C228&lt;=E228),ROW(),"")</f>
        <v/>
      </c>
    </row>
    <row r="229" customFormat="false" ht="15" hidden="false" customHeight="false" outlineLevel="0" collapsed="false">
      <c r="A229" s="12"/>
      <c r="B229" s="13"/>
      <c r="C229" s="14"/>
      <c r="D229" s="12"/>
      <c r="E229" s="14"/>
      <c r="F229" s="15"/>
      <c r="G229" s="16" t="str">
        <f aca="true">IF(OR(A229="",F229=""),"",F229-TODAY())</f>
        <v/>
      </c>
      <c r="H229" s="17" t="str">
        <f aca="true">IF(A229="","",IF(AND(F229&lt;&gt;"",F229&lt;TODAY()),"Tarihi geçti",IF(AND(F229&lt;&gt;"",F229&lt;=TODAY()+7),"Bu hafta bitiyor",IF(C229&lt;=E229,"Azaldı","Tamam"))))</f>
        <v/>
      </c>
      <c r="I229" s="17" t="str">
        <f aca="false">IF(AND(A229&lt;&gt;"",F229&lt;&gt;""),F229+ROW()/1000000,"")</f>
        <v/>
      </c>
      <c r="J229" s="17" t="str">
        <f aca="false">IF(AND(A229&lt;&gt;"",C229&lt;=E229),ROW(),"")</f>
        <v/>
      </c>
    </row>
    <row r="230" customFormat="false" ht="15" hidden="false" customHeight="false" outlineLevel="0" collapsed="false">
      <c r="A230" s="12"/>
      <c r="B230" s="13"/>
      <c r="C230" s="14"/>
      <c r="D230" s="12"/>
      <c r="E230" s="14"/>
      <c r="F230" s="15"/>
      <c r="G230" s="16" t="str">
        <f aca="true">IF(OR(A230="",F230=""),"",F230-TODAY())</f>
        <v/>
      </c>
      <c r="H230" s="17" t="str">
        <f aca="true">IF(A230="","",IF(AND(F230&lt;&gt;"",F230&lt;TODAY()),"Tarihi geçti",IF(AND(F230&lt;&gt;"",F230&lt;=TODAY()+7),"Bu hafta bitiyor",IF(C230&lt;=E230,"Azaldı","Tamam"))))</f>
        <v/>
      </c>
      <c r="I230" s="17" t="str">
        <f aca="false">IF(AND(A230&lt;&gt;"",F230&lt;&gt;""),F230+ROW()/1000000,"")</f>
        <v/>
      </c>
      <c r="J230" s="17" t="str">
        <f aca="false">IF(AND(A230&lt;&gt;"",C230&lt;=E230),ROW(),"")</f>
        <v/>
      </c>
    </row>
    <row r="231" customFormat="false" ht="15" hidden="false" customHeight="false" outlineLevel="0" collapsed="false">
      <c r="A231" s="12"/>
      <c r="B231" s="13"/>
      <c r="C231" s="14"/>
      <c r="D231" s="12"/>
      <c r="E231" s="14"/>
      <c r="F231" s="15"/>
      <c r="G231" s="16" t="str">
        <f aca="true">IF(OR(A231="",F231=""),"",F231-TODAY())</f>
        <v/>
      </c>
      <c r="H231" s="17" t="str">
        <f aca="true">IF(A231="","",IF(AND(F231&lt;&gt;"",F231&lt;TODAY()),"Tarihi geçti",IF(AND(F231&lt;&gt;"",F231&lt;=TODAY()+7),"Bu hafta bitiyor",IF(C231&lt;=E231,"Azaldı","Tamam"))))</f>
        <v/>
      </c>
      <c r="I231" s="17" t="str">
        <f aca="false">IF(AND(A231&lt;&gt;"",F231&lt;&gt;""),F231+ROW()/1000000,"")</f>
        <v/>
      </c>
      <c r="J231" s="17" t="str">
        <f aca="false">IF(AND(A231&lt;&gt;"",C231&lt;=E231),ROW(),"")</f>
        <v/>
      </c>
    </row>
    <row r="232" customFormat="false" ht="15" hidden="false" customHeight="false" outlineLevel="0" collapsed="false">
      <c r="A232" s="12"/>
      <c r="B232" s="13"/>
      <c r="C232" s="14"/>
      <c r="D232" s="12"/>
      <c r="E232" s="14"/>
      <c r="F232" s="15"/>
      <c r="G232" s="16" t="str">
        <f aca="true">IF(OR(A232="",F232=""),"",F232-TODAY())</f>
        <v/>
      </c>
      <c r="H232" s="17" t="str">
        <f aca="true">IF(A232="","",IF(AND(F232&lt;&gt;"",F232&lt;TODAY()),"Tarihi geçti",IF(AND(F232&lt;&gt;"",F232&lt;=TODAY()+7),"Bu hafta bitiyor",IF(C232&lt;=E232,"Azaldı","Tamam"))))</f>
        <v/>
      </c>
      <c r="I232" s="17" t="str">
        <f aca="false">IF(AND(A232&lt;&gt;"",F232&lt;&gt;""),F232+ROW()/1000000,"")</f>
        <v/>
      </c>
      <c r="J232" s="17" t="str">
        <f aca="false">IF(AND(A232&lt;&gt;"",C232&lt;=E232),ROW(),"")</f>
        <v/>
      </c>
    </row>
    <row r="233" customFormat="false" ht="15" hidden="false" customHeight="false" outlineLevel="0" collapsed="false">
      <c r="A233" s="12"/>
      <c r="B233" s="13"/>
      <c r="C233" s="14"/>
      <c r="D233" s="12"/>
      <c r="E233" s="14"/>
      <c r="F233" s="15"/>
      <c r="G233" s="16" t="str">
        <f aca="true">IF(OR(A233="",F233=""),"",F233-TODAY())</f>
        <v/>
      </c>
      <c r="H233" s="17" t="str">
        <f aca="true">IF(A233="","",IF(AND(F233&lt;&gt;"",F233&lt;TODAY()),"Tarihi geçti",IF(AND(F233&lt;&gt;"",F233&lt;=TODAY()+7),"Bu hafta bitiyor",IF(C233&lt;=E233,"Azaldı","Tamam"))))</f>
        <v/>
      </c>
      <c r="I233" s="17" t="str">
        <f aca="false">IF(AND(A233&lt;&gt;"",F233&lt;&gt;""),F233+ROW()/1000000,"")</f>
        <v/>
      </c>
      <c r="J233" s="17" t="str">
        <f aca="false">IF(AND(A233&lt;&gt;"",C233&lt;=E233),ROW(),"")</f>
        <v/>
      </c>
    </row>
    <row r="234" customFormat="false" ht="15" hidden="false" customHeight="false" outlineLevel="0" collapsed="false">
      <c r="A234" s="12"/>
      <c r="B234" s="13"/>
      <c r="C234" s="14"/>
      <c r="D234" s="12"/>
      <c r="E234" s="14"/>
      <c r="F234" s="15"/>
      <c r="G234" s="16" t="str">
        <f aca="true">IF(OR(A234="",F234=""),"",F234-TODAY())</f>
        <v/>
      </c>
      <c r="H234" s="17" t="str">
        <f aca="true">IF(A234="","",IF(AND(F234&lt;&gt;"",F234&lt;TODAY()),"Tarihi geçti",IF(AND(F234&lt;&gt;"",F234&lt;=TODAY()+7),"Bu hafta bitiyor",IF(C234&lt;=E234,"Azaldı","Tamam"))))</f>
        <v/>
      </c>
      <c r="I234" s="17" t="str">
        <f aca="false">IF(AND(A234&lt;&gt;"",F234&lt;&gt;""),F234+ROW()/1000000,"")</f>
        <v/>
      </c>
      <c r="J234" s="17" t="str">
        <f aca="false">IF(AND(A234&lt;&gt;"",C234&lt;=E234),ROW(),"")</f>
        <v/>
      </c>
    </row>
    <row r="235" customFormat="false" ht="15" hidden="false" customHeight="false" outlineLevel="0" collapsed="false">
      <c r="A235" s="12"/>
      <c r="B235" s="13"/>
      <c r="C235" s="14"/>
      <c r="D235" s="12"/>
      <c r="E235" s="14"/>
      <c r="F235" s="15"/>
      <c r="G235" s="16" t="str">
        <f aca="true">IF(OR(A235="",F235=""),"",F235-TODAY())</f>
        <v/>
      </c>
      <c r="H235" s="17" t="str">
        <f aca="true">IF(A235="","",IF(AND(F235&lt;&gt;"",F235&lt;TODAY()),"Tarihi geçti",IF(AND(F235&lt;&gt;"",F235&lt;=TODAY()+7),"Bu hafta bitiyor",IF(C235&lt;=E235,"Azaldı","Tamam"))))</f>
        <v/>
      </c>
      <c r="I235" s="17" t="str">
        <f aca="false">IF(AND(A235&lt;&gt;"",F235&lt;&gt;""),F235+ROW()/1000000,"")</f>
        <v/>
      </c>
      <c r="J235" s="17" t="str">
        <f aca="false">IF(AND(A235&lt;&gt;"",C235&lt;=E235),ROW(),"")</f>
        <v/>
      </c>
    </row>
    <row r="236" customFormat="false" ht="15" hidden="false" customHeight="false" outlineLevel="0" collapsed="false">
      <c r="A236" s="12"/>
      <c r="B236" s="13"/>
      <c r="C236" s="14"/>
      <c r="D236" s="12"/>
      <c r="E236" s="14"/>
      <c r="F236" s="15"/>
      <c r="G236" s="16" t="str">
        <f aca="true">IF(OR(A236="",F236=""),"",F236-TODAY())</f>
        <v/>
      </c>
      <c r="H236" s="17" t="str">
        <f aca="true">IF(A236="","",IF(AND(F236&lt;&gt;"",F236&lt;TODAY()),"Tarihi geçti",IF(AND(F236&lt;&gt;"",F236&lt;=TODAY()+7),"Bu hafta bitiyor",IF(C236&lt;=E236,"Azaldı","Tamam"))))</f>
        <v/>
      </c>
      <c r="I236" s="17" t="str">
        <f aca="false">IF(AND(A236&lt;&gt;"",F236&lt;&gt;""),F236+ROW()/1000000,"")</f>
        <v/>
      </c>
      <c r="J236" s="17" t="str">
        <f aca="false">IF(AND(A236&lt;&gt;"",C236&lt;=E236),ROW(),"")</f>
        <v/>
      </c>
    </row>
    <row r="237" customFormat="false" ht="15" hidden="false" customHeight="false" outlineLevel="0" collapsed="false">
      <c r="A237" s="12"/>
      <c r="B237" s="13"/>
      <c r="C237" s="14"/>
      <c r="D237" s="12"/>
      <c r="E237" s="14"/>
      <c r="F237" s="15"/>
      <c r="G237" s="16" t="str">
        <f aca="true">IF(OR(A237="",F237=""),"",F237-TODAY())</f>
        <v/>
      </c>
      <c r="H237" s="17" t="str">
        <f aca="true">IF(A237="","",IF(AND(F237&lt;&gt;"",F237&lt;TODAY()),"Tarihi geçti",IF(AND(F237&lt;&gt;"",F237&lt;=TODAY()+7),"Bu hafta bitiyor",IF(C237&lt;=E237,"Azaldı","Tamam"))))</f>
        <v/>
      </c>
      <c r="I237" s="17" t="str">
        <f aca="false">IF(AND(A237&lt;&gt;"",F237&lt;&gt;""),F237+ROW()/1000000,"")</f>
        <v/>
      </c>
      <c r="J237" s="17" t="str">
        <f aca="false">IF(AND(A237&lt;&gt;"",C237&lt;=E237),ROW(),"")</f>
        <v/>
      </c>
    </row>
    <row r="238" customFormat="false" ht="15" hidden="false" customHeight="false" outlineLevel="0" collapsed="false">
      <c r="A238" s="12"/>
      <c r="B238" s="13"/>
      <c r="C238" s="14"/>
      <c r="D238" s="12"/>
      <c r="E238" s="14"/>
      <c r="F238" s="15"/>
      <c r="G238" s="16" t="str">
        <f aca="true">IF(OR(A238="",F238=""),"",F238-TODAY())</f>
        <v/>
      </c>
      <c r="H238" s="17" t="str">
        <f aca="true">IF(A238="","",IF(AND(F238&lt;&gt;"",F238&lt;TODAY()),"Tarihi geçti",IF(AND(F238&lt;&gt;"",F238&lt;=TODAY()+7),"Bu hafta bitiyor",IF(C238&lt;=E238,"Azaldı","Tamam"))))</f>
        <v/>
      </c>
      <c r="I238" s="17" t="str">
        <f aca="false">IF(AND(A238&lt;&gt;"",F238&lt;&gt;""),F238+ROW()/1000000,"")</f>
        <v/>
      </c>
      <c r="J238" s="17" t="str">
        <f aca="false">IF(AND(A238&lt;&gt;"",C238&lt;=E238),ROW(),"")</f>
        <v/>
      </c>
    </row>
    <row r="239" customFormat="false" ht="15" hidden="false" customHeight="false" outlineLevel="0" collapsed="false">
      <c r="A239" s="12"/>
      <c r="B239" s="13"/>
      <c r="C239" s="14"/>
      <c r="D239" s="12"/>
      <c r="E239" s="14"/>
      <c r="F239" s="15"/>
      <c r="G239" s="16" t="str">
        <f aca="true">IF(OR(A239="",F239=""),"",F239-TODAY())</f>
        <v/>
      </c>
      <c r="H239" s="17" t="str">
        <f aca="true">IF(A239="","",IF(AND(F239&lt;&gt;"",F239&lt;TODAY()),"Tarihi geçti",IF(AND(F239&lt;&gt;"",F239&lt;=TODAY()+7),"Bu hafta bitiyor",IF(C239&lt;=E239,"Azaldı","Tamam"))))</f>
        <v/>
      </c>
      <c r="I239" s="17" t="str">
        <f aca="false">IF(AND(A239&lt;&gt;"",F239&lt;&gt;""),F239+ROW()/1000000,"")</f>
        <v/>
      </c>
      <c r="J239" s="17" t="str">
        <f aca="false">IF(AND(A239&lt;&gt;"",C239&lt;=E239),ROW(),"")</f>
        <v/>
      </c>
    </row>
    <row r="240" customFormat="false" ht="15" hidden="false" customHeight="false" outlineLevel="0" collapsed="false">
      <c r="A240" s="12"/>
      <c r="B240" s="13"/>
      <c r="C240" s="14"/>
      <c r="D240" s="12"/>
      <c r="E240" s="14"/>
      <c r="F240" s="15"/>
      <c r="G240" s="16" t="str">
        <f aca="true">IF(OR(A240="",F240=""),"",F240-TODAY())</f>
        <v/>
      </c>
      <c r="H240" s="17" t="str">
        <f aca="true">IF(A240="","",IF(AND(F240&lt;&gt;"",F240&lt;TODAY()),"Tarihi geçti",IF(AND(F240&lt;&gt;"",F240&lt;=TODAY()+7),"Bu hafta bitiyor",IF(C240&lt;=E240,"Azaldı","Tamam"))))</f>
        <v/>
      </c>
      <c r="I240" s="17" t="str">
        <f aca="false">IF(AND(A240&lt;&gt;"",F240&lt;&gt;""),F240+ROW()/1000000,"")</f>
        <v/>
      </c>
      <c r="J240" s="17" t="str">
        <f aca="false">IF(AND(A240&lt;&gt;"",C240&lt;=E240),ROW(),"")</f>
        <v/>
      </c>
    </row>
    <row r="241" customFormat="false" ht="15" hidden="false" customHeight="false" outlineLevel="0" collapsed="false">
      <c r="A241" s="12"/>
      <c r="B241" s="13"/>
      <c r="C241" s="14"/>
      <c r="D241" s="12"/>
      <c r="E241" s="14"/>
      <c r="F241" s="15"/>
      <c r="G241" s="16" t="str">
        <f aca="true">IF(OR(A241="",F241=""),"",F241-TODAY())</f>
        <v/>
      </c>
      <c r="H241" s="17" t="str">
        <f aca="true">IF(A241="","",IF(AND(F241&lt;&gt;"",F241&lt;TODAY()),"Tarihi geçti",IF(AND(F241&lt;&gt;"",F241&lt;=TODAY()+7),"Bu hafta bitiyor",IF(C241&lt;=E241,"Azaldı","Tamam"))))</f>
        <v/>
      </c>
      <c r="I241" s="17" t="str">
        <f aca="false">IF(AND(A241&lt;&gt;"",F241&lt;&gt;""),F241+ROW()/1000000,"")</f>
        <v/>
      </c>
      <c r="J241" s="17" t="str">
        <f aca="false">IF(AND(A241&lt;&gt;"",C241&lt;=E241),ROW(),"")</f>
        <v/>
      </c>
    </row>
    <row r="242" customFormat="false" ht="15" hidden="false" customHeight="false" outlineLevel="0" collapsed="false">
      <c r="A242" s="12"/>
      <c r="B242" s="13"/>
      <c r="C242" s="14"/>
      <c r="D242" s="12"/>
      <c r="E242" s="14"/>
      <c r="F242" s="15"/>
      <c r="G242" s="16" t="str">
        <f aca="true">IF(OR(A242="",F242=""),"",F242-TODAY())</f>
        <v/>
      </c>
      <c r="H242" s="17" t="str">
        <f aca="true">IF(A242="","",IF(AND(F242&lt;&gt;"",F242&lt;TODAY()),"Tarihi geçti",IF(AND(F242&lt;&gt;"",F242&lt;=TODAY()+7),"Bu hafta bitiyor",IF(C242&lt;=E242,"Azaldı","Tamam"))))</f>
        <v/>
      </c>
      <c r="I242" s="17" t="str">
        <f aca="false">IF(AND(A242&lt;&gt;"",F242&lt;&gt;""),F242+ROW()/1000000,"")</f>
        <v/>
      </c>
      <c r="J242" s="17" t="str">
        <f aca="false">IF(AND(A242&lt;&gt;"",C242&lt;=E242),ROW(),"")</f>
        <v/>
      </c>
    </row>
    <row r="243" customFormat="false" ht="15" hidden="false" customHeight="false" outlineLevel="0" collapsed="false">
      <c r="A243" s="12"/>
      <c r="B243" s="13"/>
      <c r="C243" s="14"/>
      <c r="D243" s="12"/>
      <c r="E243" s="14"/>
      <c r="F243" s="15"/>
      <c r="G243" s="16" t="str">
        <f aca="true">IF(OR(A243="",F243=""),"",F243-TODAY())</f>
        <v/>
      </c>
      <c r="H243" s="17" t="str">
        <f aca="true">IF(A243="","",IF(AND(F243&lt;&gt;"",F243&lt;TODAY()),"Tarihi geçti",IF(AND(F243&lt;&gt;"",F243&lt;=TODAY()+7),"Bu hafta bitiyor",IF(C243&lt;=E243,"Azaldı","Tamam"))))</f>
        <v/>
      </c>
      <c r="I243" s="17" t="str">
        <f aca="false">IF(AND(A243&lt;&gt;"",F243&lt;&gt;""),F243+ROW()/1000000,"")</f>
        <v/>
      </c>
      <c r="J243" s="17" t="str">
        <f aca="false">IF(AND(A243&lt;&gt;"",C243&lt;=E243),ROW(),"")</f>
        <v/>
      </c>
    </row>
    <row r="244" customFormat="false" ht="15" hidden="false" customHeight="false" outlineLevel="0" collapsed="false">
      <c r="A244" s="12"/>
      <c r="B244" s="13"/>
      <c r="C244" s="14"/>
      <c r="D244" s="12"/>
      <c r="E244" s="14"/>
      <c r="F244" s="15"/>
      <c r="G244" s="16" t="str">
        <f aca="true">IF(OR(A244="",F244=""),"",F244-TODAY())</f>
        <v/>
      </c>
      <c r="H244" s="17" t="str">
        <f aca="true">IF(A244="","",IF(AND(F244&lt;&gt;"",F244&lt;TODAY()),"Tarihi geçti",IF(AND(F244&lt;&gt;"",F244&lt;=TODAY()+7),"Bu hafta bitiyor",IF(C244&lt;=E244,"Azaldı","Tamam"))))</f>
        <v/>
      </c>
      <c r="I244" s="17" t="str">
        <f aca="false">IF(AND(A244&lt;&gt;"",F244&lt;&gt;""),F244+ROW()/1000000,"")</f>
        <v/>
      </c>
      <c r="J244" s="17" t="str">
        <f aca="false">IF(AND(A244&lt;&gt;"",C244&lt;=E244),ROW(),"")</f>
        <v/>
      </c>
    </row>
    <row r="245" customFormat="false" ht="15" hidden="false" customHeight="false" outlineLevel="0" collapsed="false">
      <c r="A245" s="12"/>
      <c r="B245" s="13"/>
      <c r="C245" s="14"/>
      <c r="D245" s="12"/>
      <c r="E245" s="14"/>
      <c r="F245" s="15"/>
      <c r="G245" s="16" t="str">
        <f aca="true">IF(OR(A245="",F245=""),"",F245-TODAY())</f>
        <v/>
      </c>
      <c r="H245" s="17" t="str">
        <f aca="true">IF(A245="","",IF(AND(F245&lt;&gt;"",F245&lt;TODAY()),"Tarihi geçti",IF(AND(F245&lt;&gt;"",F245&lt;=TODAY()+7),"Bu hafta bitiyor",IF(C245&lt;=E245,"Azaldı","Tamam"))))</f>
        <v/>
      </c>
      <c r="I245" s="17" t="str">
        <f aca="false">IF(AND(A245&lt;&gt;"",F245&lt;&gt;""),F245+ROW()/1000000,"")</f>
        <v/>
      </c>
      <c r="J245" s="17" t="str">
        <f aca="false">IF(AND(A245&lt;&gt;"",C245&lt;=E245),ROW(),"")</f>
        <v/>
      </c>
    </row>
    <row r="246" customFormat="false" ht="15" hidden="false" customHeight="false" outlineLevel="0" collapsed="false">
      <c r="A246" s="12"/>
      <c r="B246" s="13"/>
      <c r="C246" s="14"/>
      <c r="D246" s="12"/>
      <c r="E246" s="14"/>
      <c r="F246" s="15"/>
      <c r="G246" s="16" t="str">
        <f aca="true">IF(OR(A246="",F246=""),"",F246-TODAY())</f>
        <v/>
      </c>
      <c r="H246" s="17" t="str">
        <f aca="true">IF(A246="","",IF(AND(F246&lt;&gt;"",F246&lt;TODAY()),"Tarihi geçti",IF(AND(F246&lt;&gt;"",F246&lt;=TODAY()+7),"Bu hafta bitiyor",IF(C246&lt;=E246,"Azaldı","Tamam"))))</f>
        <v/>
      </c>
      <c r="I246" s="17" t="str">
        <f aca="false">IF(AND(A246&lt;&gt;"",F246&lt;&gt;""),F246+ROW()/1000000,"")</f>
        <v/>
      </c>
      <c r="J246" s="17" t="str">
        <f aca="false">IF(AND(A246&lt;&gt;"",C246&lt;=E246),ROW(),"")</f>
        <v/>
      </c>
    </row>
    <row r="247" customFormat="false" ht="15" hidden="false" customHeight="false" outlineLevel="0" collapsed="false">
      <c r="A247" s="12"/>
      <c r="B247" s="13"/>
      <c r="C247" s="14"/>
      <c r="D247" s="12"/>
      <c r="E247" s="14"/>
      <c r="F247" s="15"/>
      <c r="G247" s="16" t="str">
        <f aca="true">IF(OR(A247="",F247=""),"",F247-TODAY())</f>
        <v/>
      </c>
      <c r="H247" s="17" t="str">
        <f aca="true">IF(A247="","",IF(AND(F247&lt;&gt;"",F247&lt;TODAY()),"Tarihi geçti",IF(AND(F247&lt;&gt;"",F247&lt;=TODAY()+7),"Bu hafta bitiyor",IF(C247&lt;=E247,"Azaldı","Tamam"))))</f>
        <v/>
      </c>
      <c r="I247" s="17" t="str">
        <f aca="false">IF(AND(A247&lt;&gt;"",F247&lt;&gt;""),F247+ROW()/1000000,"")</f>
        <v/>
      </c>
      <c r="J247" s="17" t="str">
        <f aca="false">IF(AND(A247&lt;&gt;"",C247&lt;=E247),ROW(),"")</f>
        <v/>
      </c>
    </row>
    <row r="248" customFormat="false" ht="15" hidden="false" customHeight="false" outlineLevel="0" collapsed="false">
      <c r="A248" s="12"/>
      <c r="B248" s="13"/>
      <c r="C248" s="14"/>
      <c r="D248" s="12"/>
      <c r="E248" s="14"/>
      <c r="F248" s="15"/>
      <c r="G248" s="16" t="str">
        <f aca="true">IF(OR(A248="",F248=""),"",F248-TODAY())</f>
        <v/>
      </c>
      <c r="H248" s="17" t="str">
        <f aca="true">IF(A248="","",IF(AND(F248&lt;&gt;"",F248&lt;TODAY()),"Tarihi geçti",IF(AND(F248&lt;&gt;"",F248&lt;=TODAY()+7),"Bu hafta bitiyor",IF(C248&lt;=E248,"Azaldı","Tamam"))))</f>
        <v/>
      </c>
      <c r="I248" s="17" t="str">
        <f aca="false">IF(AND(A248&lt;&gt;"",F248&lt;&gt;""),F248+ROW()/1000000,"")</f>
        <v/>
      </c>
      <c r="J248" s="17" t="str">
        <f aca="false">IF(AND(A248&lt;&gt;"",C248&lt;=E248),ROW(),"")</f>
        <v/>
      </c>
    </row>
    <row r="249" customFormat="false" ht="15" hidden="false" customHeight="false" outlineLevel="0" collapsed="false">
      <c r="A249" s="12"/>
      <c r="B249" s="13"/>
      <c r="C249" s="14"/>
      <c r="D249" s="12"/>
      <c r="E249" s="14"/>
      <c r="F249" s="15"/>
      <c r="G249" s="16" t="str">
        <f aca="true">IF(OR(A249="",F249=""),"",F249-TODAY())</f>
        <v/>
      </c>
      <c r="H249" s="17" t="str">
        <f aca="true">IF(A249="","",IF(AND(F249&lt;&gt;"",F249&lt;TODAY()),"Tarihi geçti",IF(AND(F249&lt;&gt;"",F249&lt;=TODAY()+7),"Bu hafta bitiyor",IF(C249&lt;=E249,"Azaldı","Tamam"))))</f>
        <v/>
      </c>
      <c r="I249" s="17" t="str">
        <f aca="false">IF(AND(A249&lt;&gt;"",F249&lt;&gt;""),F249+ROW()/1000000,"")</f>
        <v/>
      </c>
      <c r="J249" s="17" t="str">
        <f aca="false">IF(AND(A249&lt;&gt;"",C249&lt;=E249),ROW(),"")</f>
        <v/>
      </c>
    </row>
    <row r="250" customFormat="false" ht="15" hidden="false" customHeight="false" outlineLevel="0" collapsed="false">
      <c r="A250" s="12"/>
      <c r="B250" s="13"/>
      <c r="C250" s="14"/>
      <c r="D250" s="12"/>
      <c r="E250" s="14"/>
      <c r="F250" s="15"/>
      <c r="G250" s="16" t="str">
        <f aca="true">IF(OR(A250="",F250=""),"",F250-TODAY())</f>
        <v/>
      </c>
      <c r="H250" s="17" t="str">
        <f aca="true">IF(A250="","",IF(AND(F250&lt;&gt;"",F250&lt;TODAY()),"Tarihi geçti",IF(AND(F250&lt;&gt;"",F250&lt;=TODAY()+7),"Bu hafta bitiyor",IF(C250&lt;=E250,"Azaldı","Tamam"))))</f>
        <v/>
      </c>
      <c r="I250" s="17" t="str">
        <f aca="false">IF(AND(A250&lt;&gt;"",F250&lt;&gt;""),F250+ROW()/1000000,"")</f>
        <v/>
      </c>
      <c r="J250" s="17" t="str">
        <f aca="false">IF(AND(A250&lt;&gt;"",C250&lt;=E250),ROW(),"")</f>
        <v/>
      </c>
    </row>
    <row r="251" customFormat="false" ht="15" hidden="false" customHeight="false" outlineLevel="0" collapsed="false">
      <c r="A251" s="12"/>
      <c r="B251" s="13"/>
      <c r="C251" s="14"/>
      <c r="D251" s="12"/>
      <c r="E251" s="14"/>
      <c r="F251" s="15"/>
      <c r="G251" s="16" t="str">
        <f aca="true">IF(OR(A251="",F251=""),"",F251-TODAY())</f>
        <v/>
      </c>
      <c r="H251" s="17" t="str">
        <f aca="true">IF(A251="","",IF(AND(F251&lt;&gt;"",F251&lt;TODAY()),"Tarihi geçti",IF(AND(F251&lt;&gt;"",F251&lt;=TODAY()+7),"Bu hafta bitiyor",IF(C251&lt;=E251,"Azaldı","Tamam"))))</f>
        <v/>
      </c>
      <c r="I251" s="17" t="str">
        <f aca="false">IF(AND(A251&lt;&gt;"",F251&lt;&gt;""),F251+ROW()/1000000,"")</f>
        <v/>
      </c>
      <c r="J251" s="17" t="str">
        <f aca="false">IF(AND(A251&lt;&gt;"",C251&lt;=E251),ROW(),"")</f>
        <v/>
      </c>
    </row>
    <row r="252" customFormat="false" ht="15" hidden="false" customHeight="false" outlineLevel="0" collapsed="false">
      <c r="A252" s="12"/>
      <c r="B252" s="13"/>
      <c r="C252" s="14"/>
      <c r="D252" s="12"/>
      <c r="E252" s="14"/>
      <c r="F252" s="15"/>
      <c r="G252" s="16" t="str">
        <f aca="true">IF(OR(A252="",F252=""),"",F252-TODAY())</f>
        <v/>
      </c>
      <c r="H252" s="17" t="str">
        <f aca="true">IF(A252="","",IF(AND(F252&lt;&gt;"",F252&lt;TODAY()),"Tarihi geçti",IF(AND(F252&lt;&gt;"",F252&lt;=TODAY()+7),"Bu hafta bitiyor",IF(C252&lt;=E252,"Azaldı","Tamam"))))</f>
        <v/>
      </c>
      <c r="I252" s="17" t="str">
        <f aca="false">IF(AND(A252&lt;&gt;"",F252&lt;&gt;""),F252+ROW()/1000000,"")</f>
        <v/>
      </c>
      <c r="J252" s="17" t="str">
        <f aca="false">IF(AND(A252&lt;&gt;"",C252&lt;=E252),ROW(),"")</f>
        <v/>
      </c>
    </row>
    <row r="253" customFormat="false" ht="15" hidden="false" customHeight="false" outlineLevel="0" collapsed="false">
      <c r="A253" s="12"/>
      <c r="B253" s="13"/>
      <c r="C253" s="14"/>
      <c r="D253" s="12"/>
      <c r="E253" s="14"/>
      <c r="F253" s="15"/>
      <c r="G253" s="16" t="str">
        <f aca="true">IF(OR(A253="",F253=""),"",F253-TODAY())</f>
        <v/>
      </c>
      <c r="H253" s="17" t="str">
        <f aca="true">IF(A253="","",IF(AND(F253&lt;&gt;"",F253&lt;TODAY()),"Tarihi geçti",IF(AND(F253&lt;&gt;"",F253&lt;=TODAY()+7),"Bu hafta bitiyor",IF(C253&lt;=E253,"Azaldı","Tamam"))))</f>
        <v/>
      </c>
      <c r="I253" s="17" t="str">
        <f aca="false">IF(AND(A253&lt;&gt;"",F253&lt;&gt;""),F253+ROW()/1000000,"")</f>
        <v/>
      </c>
      <c r="J253" s="17" t="str">
        <f aca="false">IF(AND(A253&lt;&gt;"",C253&lt;=E253),ROW(),"")</f>
        <v/>
      </c>
    </row>
    <row r="254" customFormat="false" ht="15" hidden="false" customHeight="false" outlineLevel="0" collapsed="false">
      <c r="A254" s="12"/>
      <c r="B254" s="13"/>
      <c r="C254" s="14"/>
      <c r="D254" s="12"/>
      <c r="E254" s="14"/>
      <c r="F254" s="15"/>
      <c r="G254" s="16" t="str">
        <f aca="true">IF(OR(A254="",F254=""),"",F254-TODAY())</f>
        <v/>
      </c>
      <c r="H254" s="17" t="str">
        <f aca="true">IF(A254="","",IF(AND(F254&lt;&gt;"",F254&lt;TODAY()),"Tarihi geçti",IF(AND(F254&lt;&gt;"",F254&lt;=TODAY()+7),"Bu hafta bitiyor",IF(C254&lt;=E254,"Azaldı","Tamam"))))</f>
        <v/>
      </c>
      <c r="I254" s="17" t="str">
        <f aca="false">IF(AND(A254&lt;&gt;"",F254&lt;&gt;""),F254+ROW()/1000000,"")</f>
        <v/>
      </c>
      <c r="J254" s="17" t="str">
        <f aca="false">IF(AND(A254&lt;&gt;"",C254&lt;=E254),ROW(),"")</f>
        <v/>
      </c>
    </row>
    <row r="255" customFormat="false" ht="15" hidden="false" customHeight="false" outlineLevel="0" collapsed="false">
      <c r="A255" s="12"/>
      <c r="B255" s="13"/>
      <c r="C255" s="14"/>
      <c r="D255" s="12"/>
      <c r="E255" s="14"/>
      <c r="F255" s="15"/>
      <c r="G255" s="16" t="str">
        <f aca="true">IF(OR(A255="",F255=""),"",F255-TODAY())</f>
        <v/>
      </c>
      <c r="H255" s="17" t="str">
        <f aca="true">IF(A255="","",IF(AND(F255&lt;&gt;"",F255&lt;TODAY()),"Tarihi geçti",IF(AND(F255&lt;&gt;"",F255&lt;=TODAY()+7),"Bu hafta bitiyor",IF(C255&lt;=E255,"Azaldı","Tamam"))))</f>
        <v/>
      </c>
      <c r="I255" s="17" t="str">
        <f aca="false">IF(AND(A255&lt;&gt;"",F255&lt;&gt;""),F255+ROW()/1000000,"")</f>
        <v/>
      </c>
      <c r="J255" s="17" t="str">
        <f aca="false">IF(AND(A255&lt;&gt;"",C255&lt;=E255),ROW(),"")</f>
        <v/>
      </c>
    </row>
    <row r="256" customFormat="false" ht="15" hidden="false" customHeight="false" outlineLevel="0" collapsed="false">
      <c r="A256" s="12"/>
      <c r="B256" s="13"/>
      <c r="C256" s="14"/>
      <c r="D256" s="12"/>
      <c r="E256" s="14"/>
      <c r="F256" s="15"/>
      <c r="G256" s="16" t="str">
        <f aca="true">IF(OR(A256="",F256=""),"",F256-TODAY())</f>
        <v/>
      </c>
      <c r="H256" s="17" t="str">
        <f aca="true">IF(A256="","",IF(AND(F256&lt;&gt;"",F256&lt;TODAY()),"Tarihi geçti",IF(AND(F256&lt;&gt;"",F256&lt;=TODAY()+7),"Bu hafta bitiyor",IF(C256&lt;=E256,"Azaldı","Tamam"))))</f>
        <v/>
      </c>
      <c r="I256" s="17" t="str">
        <f aca="false">IF(AND(A256&lt;&gt;"",F256&lt;&gt;""),F256+ROW()/1000000,"")</f>
        <v/>
      </c>
      <c r="J256" s="17" t="str">
        <f aca="false">IF(AND(A256&lt;&gt;"",C256&lt;=E256),ROW(),"")</f>
        <v/>
      </c>
    </row>
    <row r="257" customFormat="false" ht="15" hidden="false" customHeight="false" outlineLevel="0" collapsed="false">
      <c r="A257" s="12"/>
      <c r="B257" s="13"/>
      <c r="C257" s="14"/>
      <c r="D257" s="12"/>
      <c r="E257" s="14"/>
      <c r="F257" s="15"/>
      <c r="G257" s="16" t="str">
        <f aca="true">IF(OR(A257="",F257=""),"",F257-TODAY())</f>
        <v/>
      </c>
      <c r="H257" s="17" t="str">
        <f aca="true">IF(A257="","",IF(AND(F257&lt;&gt;"",F257&lt;TODAY()),"Tarihi geçti",IF(AND(F257&lt;&gt;"",F257&lt;=TODAY()+7),"Bu hafta bitiyor",IF(C257&lt;=E257,"Azaldı","Tamam"))))</f>
        <v/>
      </c>
      <c r="I257" s="17" t="str">
        <f aca="false">IF(AND(A257&lt;&gt;"",F257&lt;&gt;""),F257+ROW()/1000000,"")</f>
        <v/>
      </c>
      <c r="J257" s="17" t="str">
        <f aca="false">IF(AND(A257&lt;&gt;"",C257&lt;=E257),ROW(),"")</f>
        <v/>
      </c>
    </row>
    <row r="258" customFormat="false" ht="15" hidden="false" customHeight="false" outlineLevel="0" collapsed="false">
      <c r="A258" s="12"/>
      <c r="B258" s="13"/>
      <c r="C258" s="14"/>
      <c r="D258" s="12"/>
      <c r="E258" s="14"/>
      <c r="F258" s="15"/>
      <c r="G258" s="16" t="str">
        <f aca="true">IF(OR(A258="",F258=""),"",F258-TODAY())</f>
        <v/>
      </c>
      <c r="H258" s="17" t="str">
        <f aca="true">IF(A258="","",IF(AND(F258&lt;&gt;"",F258&lt;TODAY()),"Tarihi geçti",IF(AND(F258&lt;&gt;"",F258&lt;=TODAY()+7),"Bu hafta bitiyor",IF(C258&lt;=E258,"Azaldı","Tamam"))))</f>
        <v/>
      </c>
      <c r="I258" s="17" t="str">
        <f aca="false">IF(AND(A258&lt;&gt;"",F258&lt;&gt;""),F258+ROW()/1000000,"")</f>
        <v/>
      </c>
      <c r="J258" s="17" t="str">
        <f aca="false">IF(AND(A258&lt;&gt;"",C258&lt;=E258),ROW(),"")</f>
        <v/>
      </c>
    </row>
    <row r="259" customFormat="false" ht="15" hidden="false" customHeight="false" outlineLevel="0" collapsed="false">
      <c r="A259" s="12"/>
      <c r="B259" s="13"/>
      <c r="C259" s="14"/>
      <c r="D259" s="12"/>
      <c r="E259" s="14"/>
      <c r="F259" s="15"/>
      <c r="G259" s="16" t="str">
        <f aca="true">IF(OR(A259="",F259=""),"",F259-TODAY())</f>
        <v/>
      </c>
      <c r="H259" s="17" t="str">
        <f aca="true">IF(A259="","",IF(AND(F259&lt;&gt;"",F259&lt;TODAY()),"Tarihi geçti",IF(AND(F259&lt;&gt;"",F259&lt;=TODAY()+7),"Bu hafta bitiyor",IF(C259&lt;=E259,"Azaldı","Tamam"))))</f>
        <v/>
      </c>
      <c r="I259" s="17" t="str">
        <f aca="false">IF(AND(A259&lt;&gt;"",F259&lt;&gt;""),F259+ROW()/1000000,"")</f>
        <v/>
      </c>
      <c r="J259" s="17" t="str">
        <f aca="false">IF(AND(A259&lt;&gt;"",C259&lt;=E259),ROW(),"")</f>
        <v/>
      </c>
    </row>
    <row r="260" customFormat="false" ht="15" hidden="false" customHeight="false" outlineLevel="0" collapsed="false">
      <c r="A260" s="12"/>
      <c r="B260" s="13"/>
      <c r="C260" s="14"/>
      <c r="D260" s="12"/>
      <c r="E260" s="14"/>
      <c r="F260" s="15"/>
      <c r="G260" s="16" t="str">
        <f aca="true">IF(OR(A260="",F260=""),"",F260-TODAY())</f>
        <v/>
      </c>
      <c r="H260" s="17" t="str">
        <f aca="true">IF(A260="","",IF(AND(F260&lt;&gt;"",F260&lt;TODAY()),"Tarihi geçti",IF(AND(F260&lt;&gt;"",F260&lt;=TODAY()+7),"Bu hafta bitiyor",IF(C260&lt;=E260,"Azaldı","Tamam"))))</f>
        <v/>
      </c>
      <c r="I260" s="17" t="str">
        <f aca="false">IF(AND(A260&lt;&gt;"",F260&lt;&gt;""),F260+ROW()/1000000,"")</f>
        <v/>
      </c>
      <c r="J260" s="17" t="str">
        <f aca="false">IF(AND(A260&lt;&gt;"",C260&lt;=E260),ROW(),"")</f>
        <v/>
      </c>
    </row>
    <row r="261" customFormat="false" ht="15" hidden="false" customHeight="false" outlineLevel="0" collapsed="false">
      <c r="A261" s="12"/>
      <c r="B261" s="13"/>
      <c r="C261" s="14"/>
      <c r="D261" s="12"/>
      <c r="E261" s="14"/>
      <c r="F261" s="15"/>
      <c r="G261" s="16" t="str">
        <f aca="true">IF(OR(A261="",F261=""),"",F261-TODAY())</f>
        <v/>
      </c>
      <c r="H261" s="17" t="str">
        <f aca="true">IF(A261="","",IF(AND(F261&lt;&gt;"",F261&lt;TODAY()),"Tarihi geçti",IF(AND(F261&lt;&gt;"",F261&lt;=TODAY()+7),"Bu hafta bitiyor",IF(C261&lt;=E261,"Azaldı","Tamam"))))</f>
        <v/>
      </c>
      <c r="I261" s="17" t="str">
        <f aca="false">IF(AND(A261&lt;&gt;"",F261&lt;&gt;""),F261+ROW()/1000000,"")</f>
        <v/>
      </c>
      <c r="J261" s="17" t="str">
        <f aca="false">IF(AND(A261&lt;&gt;"",C261&lt;=E261),ROW(),"")</f>
        <v/>
      </c>
    </row>
    <row r="262" customFormat="false" ht="15" hidden="false" customHeight="false" outlineLevel="0" collapsed="false">
      <c r="A262" s="12"/>
      <c r="B262" s="13"/>
      <c r="C262" s="14"/>
      <c r="D262" s="12"/>
      <c r="E262" s="14"/>
      <c r="F262" s="15"/>
      <c r="G262" s="16" t="str">
        <f aca="true">IF(OR(A262="",F262=""),"",F262-TODAY())</f>
        <v/>
      </c>
      <c r="H262" s="17" t="str">
        <f aca="true">IF(A262="","",IF(AND(F262&lt;&gt;"",F262&lt;TODAY()),"Tarihi geçti",IF(AND(F262&lt;&gt;"",F262&lt;=TODAY()+7),"Bu hafta bitiyor",IF(C262&lt;=E262,"Azaldı","Tamam"))))</f>
        <v/>
      </c>
      <c r="I262" s="17" t="str">
        <f aca="false">IF(AND(A262&lt;&gt;"",F262&lt;&gt;""),F262+ROW()/1000000,"")</f>
        <v/>
      </c>
      <c r="J262" s="17" t="str">
        <f aca="false">IF(AND(A262&lt;&gt;"",C262&lt;=E262),ROW(),"")</f>
        <v/>
      </c>
    </row>
    <row r="263" customFormat="false" ht="15" hidden="false" customHeight="false" outlineLevel="0" collapsed="false">
      <c r="A263" s="12"/>
      <c r="B263" s="13"/>
      <c r="C263" s="14"/>
      <c r="D263" s="12"/>
      <c r="E263" s="14"/>
      <c r="F263" s="15"/>
      <c r="G263" s="16" t="str">
        <f aca="true">IF(OR(A263="",F263=""),"",F263-TODAY())</f>
        <v/>
      </c>
      <c r="H263" s="17" t="str">
        <f aca="true">IF(A263="","",IF(AND(F263&lt;&gt;"",F263&lt;TODAY()),"Tarihi geçti",IF(AND(F263&lt;&gt;"",F263&lt;=TODAY()+7),"Bu hafta bitiyor",IF(C263&lt;=E263,"Azaldı","Tamam"))))</f>
        <v/>
      </c>
      <c r="I263" s="17" t="str">
        <f aca="false">IF(AND(A263&lt;&gt;"",F263&lt;&gt;""),F263+ROW()/1000000,"")</f>
        <v/>
      </c>
      <c r="J263" s="17" t="str">
        <f aca="false">IF(AND(A263&lt;&gt;"",C263&lt;=E263),ROW(),"")</f>
        <v/>
      </c>
    </row>
    <row r="264" customFormat="false" ht="15" hidden="false" customHeight="false" outlineLevel="0" collapsed="false">
      <c r="A264" s="12"/>
      <c r="B264" s="13"/>
      <c r="C264" s="14"/>
      <c r="D264" s="12"/>
      <c r="E264" s="14"/>
      <c r="F264" s="15"/>
      <c r="G264" s="16" t="str">
        <f aca="true">IF(OR(A264="",F264=""),"",F264-TODAY())</f>
        <v/>
      </c>
      <c r="H264" s="17" t="str">
        <f aca="true">IF(A264="","",IF(AND(F264&lt;&gt;"",F264&lt;TODAY()),"Tarihi geçti",IF(AND(F264&lt;&gt;"",F264&lt;=TODAY()+7),"Bu hafta bitiyor",IF(C264&lt;=E264,"Azaldı","Tamam"))))</f>
        <v/>
      </c>
      <c r="I264" s="17" t="str">
        <f aca="false">IF(AND(A264&lt;&gt;"",F264&lt;&gt;""),F264+ROW()/1000000,"")</f>
        <v/>
      </c>
      <c r="J264" s="17" t="str">
        <f aca="false">IF(AND(A264&lt;&gt;"",C264&lt;=E264),ROW(),"")</f>
        <v/>
      </c>
    </row>
    <row r="265" customFormat="false" ht="15" hidden="false" customHeight="false" outlineLevel="0" collapsed="false">
      <c r="A265" s="12"/>
      <c r="B265" s="13"/>
      <c r="C265" s="14"/>
      <c r="D265" s="12"/>
      <c r="E265" s="14"/>
      <c r="F265" s="15"/>
      <c r="G265" s="16" t="str">
        <f aca="true">IF(OR(A265="",F265=""),"",F265-TODAY())</f>
        <v/>
      </c>
      <c r="H265" s="17" t="str">
        <f aca="true">IF(A265="","",IF(AND(F265&lt;&gt;"",F265&lt;TODAY()),"Tarihi geçti",IF(AND(F265&lt;&gt;"",F265&lt;=TODAY()+7),"Bu hafta bitiyor",IF(C265&lt;=E265,"Azaldı","Tamam"))))</f>
        <v/>
      </c>
      <c r="I265" s="17" t="str">
        <f aca="false">IF(AND(A265&lt;&gt;"",F265&lt;&gt;""),F265+ROW()/1000000,"")</f>
        <v/>
      </c>
      <c r="J265" s="17" t="str">
        <f aca="false">IF(AND(A265&lt;&gt;"",C265&lt;=E265),ROW(),"")</f>
        <v/>
      </c>
    </row>
    <row r="266" customFormat="false" ht="15" hidden="false" customHeight="false" outlineLevel="0" collapsed="false">
      <c r="A266" s="12"/>
      <c r="B266" s="13"/>
      <c r="C266" s="14"/>
      <c r="D266" s="12"/>
      <c r="E266" s="14"/>
      <c r="F266" s="15"/>
      <c r="G266" s="16" t="str">
        <f aca="true">IF(OR(A266="",F266=""),"",F266-TODAY())</f>
        <v/>
      </c>
      <c r="H266" s="17" t="str">
        <f aca="true">IF(A266="","",IF(AND(F266&lt;&gt;"",F266&lt;TODAY()),"Tarihi geçti",IF(AND(F266&lt;&gt;"",F266&lt;=TODAY()+7),"Bu hafta bitiyor",IF(C266&lt;=E266,"Azaldı","Tamam"))))</f>
        <v/>
      </c>
      <c r="I266" s="17" t="str">
        <f aca="false">IF(AND(A266&lt;&gt;"",F266&lt;&gt;""),F266+ROW()/1000000,"")</f>
        <v/>
      </c>
      <c r="J266" s="17" t="str">
        <f aca="false">IF(AND(A266&lt;&gt;"",C266&lt;=E266),ROW(),"")</f>
        <v/>
      </c>
    </row>
    <row r="267" customFormat="false" ht="15" hidden="false" customHeight="false" outlineLevel="0" collapsed="false">
      <c r="A267" s="12"/>
      <c r="B267" s="13"/>
      <c r="C267" s="14"/>
      <c r="D267" s="12"/>
      <c r="E267" s="14"/>
      <c r="F267" s="15"/>
      <c r="G267" s="16" t="str">
        <f aca="true">IF(OR(A267="",F267=""),"",F267-TODAY())</f>
        <v/>
      </c>
      <c r="H267" s="17" t="str">
        <f aca="true">IF(A267="","",IF(AND(F267&lt;&gt;"",F267&lt;TODAY()),"Tarihi geçti",IF(AND(F267&lt;&gt;"",F267&lt;=TODAY()+7),"Bu hafta bitiyor",IF(C267&lt;=E267,"Azaldı","Tamam"))))</f>
        <v/>
      </c>
      <c r="I267" s="17" t="str">
        <f aca="false">IF(AND(A267&lt;&gt;"",F267&lt;&gt;""),F267+ROW()/1000000,"")</f>
        <v/>
      </c>
      <c r="J267" s="17" t="str">
        <f aca="false">IF(AND(A267&lt;&gt;"",C267&lt;=E267),ROW(),"")</f>
        <v/>
      </c>
    </row>
    <row r="268" customFormat="false" ht="15" hidden="false" customHeight="false" outlineLevel="0" collapsed="false">
      <c r="A268" s="12"/>
      <c r="B268" s="13"/>
      <c r="C268" s="14"/>
      <c r="D268" s="12"/>
      <c r="E268" s="14"/>
      <c r="F268" s="15"/>
      <c r="G268" s="16" t="str">
        <f aca="true">IF(OR(A268="",F268=""),"",F268-TODAY())</f>
        <v/>
      </c>
      <c r="H268" s="17" t="str">
        <f aca="true">IF(A268="","",IF(AND(F268&lt;&gt;"",F268&lt;TODAY()),"Tarihi geçti",IF(AND(F268&lt;&gt;"",F268&lt;=TODAY()+7),"Bu hafta bitiyor",IF(C268&lt;=E268,"Azaldı","Tamam"))))</f>
        <v/>
      </c>
      <c r="I268" s="17" t="str">
        <f aca="false">IF(AND(A268&lt;&gt;"",F268&lt;&gt;""),F268+ROW()/1000000,"")</f>
        <v/>
      </c>
      <c r="J268" s="17" t="str">
        <f aca="false">IF(AND(A268&lt;&gt;"",C268&lt;=E268),ROW(),"")</f>
        <v/>
      </c>
    </row>
    <row r="269" customFormat="false" ht="15" hidden="false" customHeight="false" outlineLevel="0" collapsed="false">
      <c r="A269" s="12"/>
      <c r="B269" s="13"/>
      <c r="C269" s="14"/>
      <c r="D269" s="12"/>
      <c r="E269" s="14"/>
      <c r="F269" s="15"/>
      <c r="G269" s="16" t="str">
        <f aca="true">IF(OR(A269="",F269=""),"",F269-TODAY())</f>
        <v/>
      </c>
      <c r="H269" s="17" t="str">
        <f aca="true">IF(A269="","",IF(AND(F269&lt;&gt;"",F269&lt;TODAY()),"Tarihi geçti",IF(AND(F269&lt;&gt;"",F269&lt;=TODAY()+7),"Bu hafta bitiyor",IF(C269&lt;=E269,"Azaldı","Tamam"))))</f>
        <v/>
      </c>
      <c r="I269" s="17" t="str">
        <f aca="false">IF(AND(A269&lt;&gt;"",F269&lt;&gt;""),F269+ROW()/1000000,"")</f>
        <v/>
      </c>
      <c r="J269" s="17" t="str">
        <f aca="false">IF(AND(A269&lt;&gt;"",C269&lt;=E269),ROW(),"")</f>
        <v/>
      </c>
    </row>
    <row r="270" customFormat="false" ht="15" hidden="false" customHeight="false" outlineLevel="0" collapsed="false">
      <c r="A270" s="12"/>
      <c r="B270" s="13"/>
      <c r="C270" s="14"/>
      <c r="D270" s="12"/>
      <c r="E270" s="14"/>
      <c r="F270" s="15"/>
      <c r="G270" s="16" t="str">
        <f aca="true">IF(OR(A270="",F270=""),"",F270-TODAY())</f>
        <v/>
      </c>
      <c r="H270" s="17" t="str">
        <f aca="true">IF(A270="","",IF(AND(F270&lt;&gt;"",F270&lt;TODAY()),"Tarihi geçti",IF(AND(F270&lt;&gt;"",F270&lt;=TODAY()+7),"Bu hafta bitiyor",IF(C270&lt;=E270,"Azaldı","Tamam"))))</f>
        <v/>
      </c>
      <c r="I270" s="17" t="str">
        <f aca="false">IF(AND(A270&lt;&gt;"",F270&lt;&gt;""),F270+ROW()/1000000,"")</f>
        <v/>
      </c>
      <c r="J270" s="17" t="str">
        <f aca="false">IF(AND(A270&lt;&gt;"",C270&lt;=E270),ROW(),"")</f>
        <v/>
      </c>
    </row>
    <row r="271" customFormat="false" ht="15" hidden="false" customHeight="false" outlineLevel="0" collapsed="false">
      <c r="A271" s="12"/>
      <c r="B271" s="13"/>
      <c r="C271" s="14"/>
      <c r="D271" s="12"/>
      <c r="E271" s="14"/>
      <c r="F271" s="15"/>
      <c r="G271" s="16" t="str">
        <f aca="true">IF(OR(A271="",F271=""),"",F271-TODAY())</f>
        <v/>
      </c>
      <c r="H271" s="17" t="str">
        <f aca="true">IF(A271="","",IF(AND(F271&lt;&gt;"",F271&lt;TODAY()),"Tarihi geçti",IF(AND(F271&lt;&gt;"",F271&lt;=TODAY()+7),"Bu hafta bitiyor",IF(C271&lt;=E271,"Azaldı","Tamam"))))</f>
        <v/>
      </c>
      <c r="I271" s="17" t="str">
        <f aca="false">IF(AND(A271&lt;&gt;"",F271&lt;&gt;""),F271+ROW()/1000000,"")</f>
        <v/>
      </c>
      <c r="J271" s="17" t="str">
        <f aca="false">IF(AND(A271&lt;&gt;"",C271&lt;=E271),ROW(),"")</f>
        <v/>
      </c>
    </row>
    <row r="272" customFormat="false" ht="15" hidden="false" customHeight="false" outlineLevel="0" collapsed="false">
      <c r="A272" s="12"/>
      <c r="B272" s="13"/>
      <c r="C272" s="14"/>
      <c r="D272" s="12"/>
      <c r="E272" s="14"/>
      <c r="F272" s="15"/>
      <c r="G272" s="16" t="str">
        <f aca="true">IF(OR(A272="",F272=""),"",F272-TODAY())</f>
        <v/>
      </c>
      <c r="H272" s="17" t="str">
        <f aca="true">IF(A272="","",IF(AND(F272&lt;&gt;"",F272&lt;TODAY()),"Tarihi geçti",IF(AND(F272&lt;&gt;"",F272&lt;=TODAY()+7),"Bu hafta bitiyor",IF(C272&lt;=E272,"Azaldı","Tamam"))))</f>
        <v/>
      </c>
      <c r="I272" s="17" t="str">
        <f aca="false">IF(AND(A272&lt;&gt;"",F272&lt;&gt;""),F272+ROW()/1000000,"")</f>
        <v/>
      </c>
      <c r="J272" s="17" t="str">
        <f aca="false">IF(AND(A272&lt;&gt;"",C272&lt;=E272),ROW(),"")</f>
        <v/>
      </c>
    </row>
    <row r="273" customFormat="false" ht="15" hidden="false" customHeight="false" outlineLevel="0" collapsed="false">
      <c r="A273" s="12"/>
      <c r="B273" s="13"/>
      <c r="C273" s="14"/>
      <c r="D273" s="12"/>
      <c r="E273" s="14"/>
      <c r="F273" s="15"/>
      <c r="G273" s="16" t="str">
        <f aca="true">IF(OR(A273="",F273=""),"",F273-TODAY())</f>
        <v/>
      </c>
      <c r="H273" s="17" t="str">
        <f aca="true">IF(A273="","",IF(AND(F273&lt;&gt;"",F273&lt;TODAY()),"Tarihi geçti",IF(AND(F273&lt;&gt;"",F273&lt;=TODAY()+7),"Bu hafta bitiyor",IF(C273&lt;=E273,"Azaldı","Tamam"))))</f>
        <v/>
      </c>
      <c r="I273" s="17" t="str">
        <f aca="false">IF(AND(A273&lt;&gt;"",F273&lt;&gt;""),F273+ROW()/1000000,"")</f>
        <v/>
      </c>
      <c r="J273" s="17" t="str">
        <f aca="false">IF(AND(A273&lt;&gt;"",C273&lt;=E273),ROW(),"")</f>
        <v/>
      </c>
    </row>
    <row r="274" customFormat="false" ht="15" hidden="false" customHeight="false" outlineLevel="0" collapsed="false">
      <c r="A274" s="12"/>
      <c r="B274" s="13"/>
      <c r="C274" s="14"/>
      <c r="D274" s="12"/>
      <c r="E274" s="14"/>
      <c r="F274" s="15"/>
      <c r="G274" s="16" t="str">
        <f aca="true">IF(OR(A274="",F274=""),"",F274-TODAY())</f>
        <v/>
      </c>
      <c r="H274" s="17" t="str">
        <f aca="true">IF(A274="","",IF(AND(F274&lt;&gt;"",F274&lt;TODAY()),"Tarihi geçti",IF(AND(F274&lt;&gt;"",F274&lt;=TODAY()+7),"Bu hafta bitiyor",IF(C274&lt;=E274,"Azaldı","Tamam"))))</f>
        <v/>
      </c>
      <c r="I274" s="17" t="str">
        <f aca="false">IF(AND(A274&lt;&gt;"",F274&lt;&gt;""),F274+ROW()/1000000,"")</f>
        <v/>
      </c>
      <c r="J274" s="17" t="str">
        <f aca="false">IF(AND(A274&lt;&gt;"",C274&lt;=E274),ROW(),"")</f>
        <v/>
      </c>
    </row>
    <row r="275" customFormat="false" ht="15" hidden="false" customHeight="false" outlineLevel="0" collapsed="false">
      <c r="A275" s="12"/>
      <c r="B275" s="13"/>
      <c r="C275" s="14"/>
      <c r="D275" s="12"/>
      <c r="E275" s="14"/>
      <c r="F275" s="15"/>
      <c r="G275" s="16" t="str">
        <f aca="true">IF(OR(A275="",F275=""),"",F275-TODAY())</f>
        <v/>
      </c>
      <c r="H275" s="17" t="str">
        <f aca="true">IF(A275="","",IF(AND(F275&lt;&gt;"",F275&lt;TODAY()),"Tarihi geçti",IF(AND(F275&lt;&gt;"",F275&lt;=TODAY()+7),"Bu hafta bitiyor",IF(C275&lt;=E275,"Azaldı","Tamam"))))</f>
        <v/>
      </c>
      <c r="I275" s="17" t="str">
        <f aca="false">IF(AND(A275&lt;&gt;"",F275&lt;&gt;""),F275+ROW()/1000000,"")</f>
        <v/>
      </c>
      <c r="J275" s="17" t="str">
        <f aca="false">IF(AND(A275&lt;&gt;"",C275&lt;=E275),ROW(),"")</f>
        <v/>
      </c>
    </row>
    <row r="276" customFormat="false" ht="15" hidden="false" customHeight="false" outlineLevel="0" collapsed="false">
      <c r="A276" s="12"/>
      <c r="B276" s="13"/>
      <c r="C276" s="14"/>
      <c r="D276" s="12"/>
      <c r="E276" s="14"/>
      <c r="F276" s="15"/>
      <c r="G276" s="16" t="str">
        <f aca="true">IF(OR(A276="",F276=""),"",F276-TODAY())</f>
        <v/>
      </c>
      <c r="H276" s="17" t="str">
        <f aca="true">IF(A276="","",IF(AND(F276&lt;&gt;"",F276&lt;TODAY()),"Tarihi geçti",IF(AND(F276&lt;&gt;"",F276&lt;=TODAY()+7),"Bu hafta bitiyor",IF(C276&lt;=E276,"Azaldı","Tamam"))))</f>
        <v/>
      </c>
      <c r="I276" s="17" t="str">
        <f aca="false">IF(AND(A276&lt;&gt;"",F276&lt;&gt;""),F276+ROW()/1000000,"")</f>
        <v/>
      </c>
      <c r="J276" s="17" t="str">
        <f aca="false">IF(AND(A276&lt;&gt;"",C276&lt;=E276),ROW(),"")</f>
        <v/>
      </c>
    </row>
    <row r="277" customFormat="false" ht="15" hidden="false" customHeight="false" outlineLevel="0" collapsed="false">
      <c r="A277" s="12"/>
      <c r="B277" s="13"/>
      <c r="C277" s="14"/>
      <c r="D277" s="12"/>
      <c r="E277" s="14"/>
      <c r="F277" s="15"/>
      <c r="G277" s="16" t="str">
        <f aca="true">IF(OR(A277="",F277=""),"",F277-TODAY())</f>
        <v/>
      </c>
      <c r="H277" s="17" t="str">
        <f aca="true">IF(A277="","",IF(AND(F277&lt;&gt;"",F277&lt;TODAY()),"Tarihi geçti",IF(AND(F277&lt;&gt;"",F277&lt;=TODAY()+7),"Bu hafta bitiyor",IF(C277&lt;=E277,"Azaldı","Tamam"))))</f>
        <v/>
      </c>
      <c r="I277" s="17" t="str">
        <f aca="false">IF(AND(A277&lt;&gt;"",F277&lt;&gt;""),F277+ROW()/1000000,"")</f>
        <v/>
      </c>
      <c r="J277" s="17" t="str">
        <f aca="false">IF(AND(A277&lt;&gt;"",C277&lt;=E277),ROW(),"")</f>
        <v/>
      </c>
    </row>
    <row r="278" customFormat="false" ht="15" hidden="false" customHeight="false" outlineLevel="0" collapsed="false">
      <c r="A278" s="12"/>
      <c r="B278" s="13"/>
      <c r="C278" s="14"/>
      <c r="D278" s="12"/>
      <c r="E278" s="14"/>
      <c r="F278" s="15"/>
      <c r="G278" s="16" t="str">
        <f aca="true">IF(OR(A278="",F278=""),"",F278-TODAY())</f>
        <v/>
      </c>
      <c r="H278" s="17" t="str">
        <f aca="true">IF(A278="","",IF(AND(F278&lt;&gt;"",F278&lt;TODAY()),"Tarihi geçti",IF(AND(F278&lt;&gt;"",F278&lt;=TODAY()+7),"Bu hafta bitiyor",IF(C278&lt;=E278,"Azaldı","Tamam"))))</f>
        <v/>
      </c>
      <c r="I278" s="17" t="str">
        <f aca="false">IF(AND(A278&lt;&gt;"",F278&lt;&gt;""),F278+ROW()/1000000,"")</f>
        <v/>
      </c>
      <c r="J278" s="17" t="str">
        <f aca="false">IF(AND(A278&lt;&gt;"",C278&lt;=E278),ROW(),"")</f>
        <v/>
      </c>
    </row>
    <row r="279" customFormat="false" ht="15" hidden="false" customHeight="false" outlineLevel="0" collapsed="false">
      <c r="A279" s="12"/>
      <c r="B279" s="13"/>
      <c r="C279" s="14"/>
      <c r="D279" s="12"/>
      <c r="E279" s="14"/>
      <c r="F279" s="15"/>
      <c r="G279" s="16" t="str">
        <f aca="true">IF(OR(A279="",F279=""),"",F279-TODAY())</f>
        <v/>
      </c>
      <c r="H279" s="17" t="str">
        <f aca="true">IF(A279="","",IF(AND(F279&lt;&gt;"",F279&lt;TODAY()),"Tarihi geçti",IF(AND(F279&lt;&gt;"",F279&lt;=TODAY()+7),"Bu hafta bitiyor",IF(C279&lt;=E279,"Azaldı","Tamam"))))</f>
        <v/>
      </c>
      <c r="I279" s="17" t="str">
        <f aca="false">IF(AND(A279&lt;&gt;"",F279&lt;&gt;""),F279+ROW()/1000000,"")</f>
        <v/>
      </c>
      <c r="J279" s="17" t="str">
        <f aca="false">IF(AND(A279&lt;&gt;"",C279&lt;=E279),ROW(),"")</f>
        <v/>
      </c>
    </row>
    <row r="280" customFormat="false" ht="15" hidden="false" customHeight="false" outlineLevel="0" collapsed="false">
      <c r="A280" s="12"/>
      <c r="B280" s="13"/>
      <c r="C280" s="14"/>
      <c r="D280" s="12"/>
      <c r="E280" s="14"/>
      <c r="F280" s="15"/>
      <c r="G280" s="16" t="str">
        <f aca="true">IF(OR(A280="",F280=""),"",F280-TODAY())</f>
        <v/>
      </c>
      <c r="H280" s="17" t="str">
        <f aca="true">IF(A280="","",IF(AND(F280&lt;&gt;"",F280&lt;TODAY()),"Tarihi geçti",IF(AND(F280&lt;&gt;"",F280&lt;=TODAY()+7),"Bu hafta bitiyor",IF(C280&lt;=E280,"Azaldı","Tamam"))))</f>
        <v/>
      </c>
      <c r="I280" s="17" t="str">
        <f aca="false">IF(AND(A280&lt;&gt;"",F280&lt;&gt;""),F280+ROW()/1000000,"")</f>
        <v/>
      </c>
      <c r="J280" s="17" t="str">
        <f aca="false">IF(AND(A280&lt;&gt;"",C280&lt;=E280),ROW(),"")</f>
        <v/>
      </c>
    </row>
    <row r="281" customFormat="false" ht="15" hidden="false" customHeight="false" outlineLevel="0" collapsed="false">
      <c r="A281" s="12"/>
      <c r="B281" s="13"/>
      <c r="C281" s="14"/>
      <c r="D281" s="12"/>
      <c r="E281" s="14"/>
      <c r="F281" s="15"/>
      <c r="G281" s="16" t="str">
        <f aca="true">IF(OR(A281="",F281=""),"",F281-TODAY())</f>
        <v/>
      </c>
      <c r="H281" s="17" t="str">
        <f aca="true">IF(A281="","",IF(AND(F281&lt;&gt;"",F281&lt;TODAY()),"Tarihi geçti",IF(AND(F281&lt;&gt;"",F281&lt;=TODAY()+7),"Bu hafta bitiyor",IF(C281&lt;=E281,"Azaldı","Tamam"))))</f>
        <v/>
      </c>
      <c r="I281" s="17" t="str">
        <f aca="false">IF(AND(A281&lt;&gt;"",F281&lt;&gt;""),F281+ROW()/1000000,"")</f>
        <v/>
      </c>
      <c r="J281" s="17" t="str">
        <f aca="false">IF(AND(A281&lt;&gt;"",C281&lt;=E281),ROW(),"")</f>
        <v/>
      </c>
    </row>
    <row r="282" customFormat="false" ht="15" hidden="false" customHeight="false" outlineLevel="0" collapsed="false">
      <c r="A282" s="12"/>
      <c r="B282" s="13"/>
      <c r="C282" s="14"/>
      <c r="D282" s="12"/>
      <c r="E282" s="14"/>
      <c r="F282" s="15"/>
      <c r="G282" s="16" t="str">
        <f aca="true">IF(OR(A282="",F282=""),"",F282-TODAY())</f>
        <v/>
      </c>
      <c r="H282" s="17" t="str">
        <f aca="true">IF(A282="","",IF(AND(F282&lt;&gt;"",F282&lt;TODAY()),"Tarihi geçti",IF(AND(F282&lt;&gt;"",F282&lt;=TODAY()+7),"Bu hafta bitiyor",IF(C282&lt;=E282,"Azaldı","Tamam"))))</f>
        <v/>
      </c>
      <c r="I282" s="17" t="str">
        <f aca="false">IF(AND(A282&lt;&gt;"",F282&lt;&gt;""),F282+ROW()/1000000,"")</f>
        <v/>
      </c>
      <c r="J282" s="17" t="str">
        <f aca="false">IF(AND(A282&lt;&gt;"",C282&lt;=E282),ROW(),"")</f>
        <v/>
      </c>
    </row>
    <row r="283" customFormat="false" ht="15" hidden="false" customHeight="false" outlineLevel="0" collapsed="false">
      <c r="A283" s="12"/>
      <c r="B283" s="13"/>
      <c r="C283" s="14"/>
      <c r="D283" s="12"/>
      <c r="E283" s="14"/>
      <c r="F283" s="15"/>
      <c r="G283" s="16" t="str">
        <f aca="true">IF(OR(A283="",F283=""),"",F283-TODAY())</f>
        <v/>
      </c>
      <c r="H283" s="17" t="str">
        <f aca="true">IF(A283="","",IF(AND(F283&lt;&gt;"",F283&lt;TODAY()),"Tarihi geçti",IF(AND(F283&lt;&gt;"",F283&lt;=TODAY()+7),"Bu hafta bitiyor",IF(C283&lt;=E283,"Azaldı","Tamam"))))</f>
        <v/>
      </c>
      <c r="I283" s="17" t="str">
        <f aca="false">IF(AND(A283&lt;&gt;"",F283&lt;&gt;""),F283+ROW()/1000000,"")</f>
        <v/>
      </c>
      <c r="J283" s="17" t="str">
        <f aca="false">IF(AND(A283&lt;&gt;"",C283&lt;=E283),ROW(),"")</f>
        <v/>
      </c>
    </row>
    <row r="284" customFormat="false" ht="15" hidden="false" customHeight="false" outlineLevel="0" collapsed="false">
      <c r="A284" s="12"/>
      <c r="B284" s="13"/>
      <c r="C284" s="14"/>
      <c r="D284" s="12"/>
      <c r="E284" s="14"/>
      <c r="F284" s="15"/>
      <c r="G284" s="16" t="str">
        <f aca="true">IF(OR(A284="",F284=""),"",F284-TODAY())</f>
        <v/>
      </c>
      <c r="H284" s="17" t="str">
        <f aca="true">IF(A284="","",IF(AND(F284&lt;&gt;"",F284&lt;TODAY()),"Tarihi geçti",IF(AND(F284&lt;&gt;"",F284&lt;=TODAY()+7),"Bu hafta bitiyor",IF(C284&lt;=E284,"Azaldı","Tamam"))))</f>
        <v/>
      </c>
      <c r="I284" s="17" t="str">
        <f aca="false">IF(AND(A284&lt;&gt;"",F284&lt;&gt;""),F284+ROW()/1000000,"")</f>
        <v/>
      </c>
      <c r="J284" s="17" t="str">
        <f aca="false">IF(AND(A284&lt;&gt;"",C284&lt;=E284),ROW(),"")</f>
        <v/>
      </c>
    </row>
    <row r="285" customFormat="false" ht="15" hidden="false" customHeight="false" outlineLevel="0" collapsed="false">
      <c r="A285" s="12"/>
      <c r="B285" s="13"/>
      <c r="C285" s="14"/>
      <c r="D285" s="12"/>
      <c r="E285" s="14"/>
      <c r="F285" s="15"/>
      <c r="G285" s="16" t="str">
        <f aca="true">IF(OR(A285="",F285=""),"",F285-TODAY())</f>
        <v/>
      </c>
      <c r="H285" s="17" t="str">
        <f aca="true">IF(A285="","",IF(AND(F285&lt;&gt;"",F285&lt;TODAY()),"Tarihi geçti",IF(AND(F285&lt;&gt;"",F285&lt;=TODAY()+7),"Bu hafta bitiyor",IF(C285&lt;=E285,"Azaldı","Tamam"))))</f>
        <v/>
      </c>
      <c r="I285" s="17" t="str">
        <f aca="false">IF(AND(A285&lt;&gt;"",F285&lt;&gt;""),F285+ROW()/1000000,"")</f>
        <v/>
      </c>
      <c r="J285" s="17" t="str">
        <f aca="false">IF(AND(A285&lt;&gt;"",C285&lt;=E285),ROW(),"")</f>
        <v/>
      </c>
    </row>
    <row r="286" customFormat="false" ht="15" hidden="false" customHeight="false" outlineLevel="0" collapsed="false">
      <c r="A286" s="12"/>
      <c r="B286" s="13"/>
      <c r="C286" s="14"/>
      <c r="D286" s="12"/>
      <c r="E286" s="14"/>
      <c r="F286" s="15"/>
      <c r="G286" s="16" t="str">
        <f aca="true">IF(OR(A286="",F286=""),"",F286-TODAY())</f>
        <v/>
      </c>
      <c r="H286" s="17" t="str">
        <f aca="true">IF(A286="","",IF(AND(F286&lt;&gt;"",F286&lt;TODAY()),"Tarihi geçti",IF(AND(F286&lt;&gt;"",F286&lt;=TODAY()+7),"Bu hafta bitiyor",IF(C286&lt;=E286,"Azaldı","Tamam"))))</f>
        <v/>
      </c>
      <c r="I286" s="17" t="str">
        <f aca="false">IF(AND(A286&lt;&gt;"",F286&lt;&gt;""),F286+ROW()/1000000,"")</f>
        <v/>
      </c>
      <c r="J286" s="17" t="str">
        <f aca="false">IF(AND(A286&lt;&gt;"",C286&lt;=E286),ROW(),"")</f>
        <v/>
      </c>
    </row>
    <row r="287" customFormat="false" ht="15" hidden="false" customHeight="false" outlineLevel="0" collapsed="false">
      <c r="A287" s="12"/>
      <c r="B287" s="13"/>
      <c r="C287" s="14"/>
      <c r="D287" s="12"/>
      <c r="E287" s="14"/>
      <c r="F287" s="15"/>
      <c r="G287" s="16" t="str">
        <f aca="true">IF(OR(A287="",F287=""),"",F287-TODAY())</f>
        <v/>
      </c>
      <c r="H287" s="17" t="str">
        <f aca="true">IF(A287="","",IF(AND(F287&lt;&gt;"",F287&lt;TODAY()),"Tarihi geçti",IF(AND(F287&lt;&gt;"",F287&lt;=TODAY()+7),"Bu hafta bitiyor",IF(C287&lt;=E287,"Azaldı","Tamam"))))</f>
        <v/>
      </c>
      <c r="I287" s="17" t="str">
        <f aca="false">IF(AND(A287&lt;&gt;"",F287&lt;&gt;""),F287+ROW()/1000000,"")</f>
        <v/>
      </c>
      <c r="J287" s="17" t="str">
        <f aca="false">IF(AND(A287&lt;&gt;"",C287&lt;=E287),ROW(),"")</f>
        <v/>
      </c>
    </row>
    <row r="288" customFormat="false" ht="15" hidden="false" customHeight="false" outlineLevel="0" collapsed="false">
      <c r="A288" s="12"/>
      <c r="B288" s="13"/>
      <c r="C288" s="14"/>
      <c r="D288" s="12"/>
      <c r="E288" s="14"/>
      <c r="F288" s="15"/>
      <c r="G288" s="16" t="str">
        <f aca="true">IF(OR(A288="",F288=""),"",F288-TODAY())</f>
        <v/>
      </c>
      <c r="H288" s="17" t="str">
        <f aca="true">IF(A288="","",IF(AND(F288&lt;&gt;"",F288&lt;TODAY()),"Tarihi geçti",IF(AND(F288&lt;&gt;"",F288&lt;=TODAY()+7),"Bu hafta bitiyor",IF(C288&lt;=E288,"Azaldı","Tamam"))))</f>
        <v/>
      </c>
      <c r="I288" s="17" t="str">
        <f aca="false">IF(AND(A288&lt;&gt;"",F288&lt;&gt;""),F288+ROW()/1000000,"")</f>
        <v/>
      </c>
      <c r="J288" s="17" t="str">
        <f aca="false">IF(AND(A288&lt;&gt;"",C288&lt;=E288),ROW(),"")</f>
        <v/>
      </c>
    </row>
    <row r="289" customFormat="false" ht="15" hidden="false" customHeight="false" outlineLevel="0" collapsed="false">
      <c r="A289" s="12"/>
      <c r="B289" s="13"/>
      <c r="C289" s="14"/>
      <c r="D289" s="12"/>
      <c r="E289" s="14"/>
      <c r="F289" s="15"/>
      <c r="G289" s="16" t="str">
        <f aca="true">IF(OR(A289="",F289=""),"",F289-TODAY())</f>
        <v/>
      </c>
      <c r="H289" s="17" t="str">
        <f aca="true">IF(A289="","",IF(AND(F289&lt;&gt;"",F289&lt;TODAY()),"Tarihi geçti",IF(AND(F289&lt;&gt;"",F289&lt;=TODAY()+7),"Bu hafta bitiyor",IF(C289&lt;=E289,"Azaldı","Tamam"))))</f>
        <v/>
      </c>
      <c r="I289" s="17" t="str">
        <f aca="false">IF(AND(A289&lt;&gt;"",F289&lt;&gt;""),F289+ROW()/1000000,"")</f>
        <v/>
      </c>
      <c r="J289" s="17" t="str">
        <f aca="false">IF(AND(A289&lt;&gt;"",C289&lt;=E289),ROW(),"")</f>
        <v/>
      </c>
    </row>
    <row r="290" customFormat="false" ht="15" hidden="false" customHeight="false" outlineLevel="0" collapsed="false">
      <c r="A290" s="12"/>
      <c r="B290" s="13"/>
      <c r="C290" s="14"/>
      <c r="D290" s="12"/>
      <c r="E290" s="14"/>
      <c r="F290" s="15"/>
      <c r="G290" s="16" t="str">
        <f aca="true">IF(OR(A290="",F290=""),"",F290-TODAY())</f>
        <v/>
      </c>
      <c r="H290" s="17" t="str">
        <f aca="true">IF(A290="","",IF(AND(F290&lt;&gt;"",F290&lt;TODAY()),"Tarihi geçti",IF(AND(F290&lt;&gt;"",F290&lt;=TODAY()+7),"Bu hafta bitiyor",IF(C290&lt;=E290,"Azaldı","Tamam"))))</f>
        <v/>
      </c>
      <c r="I290" s="17" t="str">
        <f aca="false">IF(AND(A290&lt;&gt;"",F290&lt;&gt;""),F290+ROW()/1000000,"")</f>
        <v/>
      </c>
      <c r="J290" s="17" t="str">
        <f aca="false">IF(AND(A290&lt;&gt;"",C290&lt;=E290),ROW(),"")</f>
        <v/>
      </c>
    </row>
    <row r="291" customFormat="false" ht="15" hidden="false" customHeight="false" outlineLevel="0" collapsed="false">
      <c r="A291" s="12"/>
      <c r="B291" s="13"/>
      <c r="C291" s="14"/>
      <c r="D291" s="12"/>
      <c r="E291" s="14"/>
      <c r="F291" s="15"/>
      <c r="G291" s="16" t="str">
        <f aca="true">IF(OR(A291="",F291=""),"",F291-TODAY())</f>
        <v/>
      </c>
      <c r="H291" s="17" t="str">
        <f aca="true">IF(A291="","",IF(AND(F291&lt;&gt;"",F291&lt;TODAY()),"Tarihi geçti",IF(AND(F291&lt;&gt;"",F291&lt;=TODAY()+7),"Bu hafta bitiyor",IF(C291&lt;=E291,"Azaldı","Tamam"))))</f>
        <v/>
      </c>
      <c r="I291" s="17" t="str">
        <f aca="false">IF(AND(A291&lt;&gt;"",F291&lt;&gt;""),F291+ROW()/1000000,"")</f>
        <v/>
      </c>
      <c r="J291" s="17" t="str">
        <f aca="false">IF(AND(A291&lt;&gt;"",C291&lt;=E291),ROW(),"")</f>
        <v/>
      </c>
    </row>
    <row r="292" customFormat="false" ht="15" hidden="false" customHeight="false" outlineLevel="0" collapsed="false">
      <c r="A292" s="12"/>
      <c r="B292" s="13"/>
      <c r="C292" s="14"/>
      <c r="D292" s="12"/>
      <c r="E292" s="14"/>
      <c r="F292" s="15"/>
      <c r="G292" s="16" t="str">
        <f aca="true">IF(OR(A292="",F292=""),"",F292-TODAY())</f>
        <v/>
      </c>
      <c r="H292" s="17" t="str">
        <f aca="true">IF(A292="","",IF(AND(F292&lt;&gt;"",F292&lt;TODAY()),"Tarihi geçti",IF(AND(F292&lt;&gt;"",F292&lt;=TODAY()+7),"Bu hafta bitiyor",IF(C292&lt;=E292,"Azaldı","Tamam"))))</f>
        <v/>
      </c>
      <c r="I292" s="17" t="str">
        <f aca="false">IF(AND(A292&lt;&gt;"",F292&lt;&gt;""),F292+ROW()/1000000,"")</f>
        <v/>
      </c>
      <c r="J292" s="17" t="str">
        <f aca="false">IF(AND(A292&lt;&gt;"",C292&lt;=E292),ROW(),"")</f>
        <v/>
      </c>
    </row>
    <row r="293" customFormat="false" ht="15" hidden="false" customHeight="false" outlineLevel="0" collapsed="false">
      <c r="A293" s="12"/>
      <c r="B293" s="13"/>
      <c r="C293" s="14"/>
      <c r="D293" s="12"/>
      <c r="E293" s="14"/>
      <c r="F293" s="15"/>
      <c r="G293" s="16" t="str">
        <f aca="true">IF(OR(A293="",F293=""),"",F293-TODAY())</f>
        <v/>
      </c>
      <c r="H293" s="17" t="str">
        <f aca="true">IF(A293="","",IF(AND(F293&lt;&gt;"",F293&lt;TODAY()),"Tarihi geçti",IF(AND(F293&lt;&gt;"",F293&lt;=TODAY()+7),"Bu hafta bitiyor",IF(C293&lt;=E293,"Azaldı","Tamam"))))</f>
        <v/>
      </c>
      <c r="I293" s="17" t="str">
        <f aca="false">IF(AND(A293&lt;&gt;"",F293&lt;&gt;""),F293+ROW()/1000000,"")</f>
        <v/>
      </c>
      <c r="J293" s="17" t="str">
        <f aca="false">IF(AND(A293&lt;&gt;"",C293&lt;=E293),ROW(),"")</f>
        <v/>
      </c>
    </row>
    <row r="294" customFormat="false" ht="15" hidden="false" customHeight="false" outlineLevel="0" collapsed="false">
      <c r="A294" s="12"/>
      <c r="B294" s="13"/>
      <c r="C294" s="14"/>
      <c r="D294" s="12"/>
      <c r="E294" s="14"/>
      <c r="F294" s="15"/>
      <c r="G294" s="16" t="str">
        <f aca="true">IF(OR(A294="",F294=""),"",F294-TODAY())</f>
        <v/>
      </c>
      <c r="H294" s="17" t="str">
        <f aca="true">IF(A294="","",IF(AND(F294&lt;&gt;"",F294&lt;TODAY()),"Tarihi geçti",IF(AND(F294&lt;&gt;"",F294&lt;=TODAY()+7),"Bu hafta bitiyor",IF(C294&lt;=E294,"Azaldı","Tamam"))))</f>
        <v/>
      </c>
      <c r="I294" s="17" t="str">
        <f aca="false">IF(AND(A294&lt;&gt;"",F294&lt;&gt;""),F294+ROW()/1000000,"")</f>
        <v/>
      </c>
      <c r="J294" s="17" t="str">
        <f aca="false">IF(AND(A294&lt;&gt;"",C294&lt;=E294),ROW(),"")</f>
        <v/>
      </c>
    </row>
    <row r="295" customFormat="false" ht="15" hidden="false" customHeight="false" outlineLevel="0" collapsed="false">
      <c r="A295" s="12"/>
      <c r="B295" s="13"/>
      <c r="C295" s="14"/>
      <c r="D295" s="12"/>
      <c r="E295" s="14"/>
      <c r="F295" s="15"/>
      <c r="G295" s="16" t="str">
        <f aca="true">IF(OR(A295="",F295=""),"",F295-TODAY())</f>
        <v/>
      </c>
      <c r="H295" s="17" t="str">
        <f aca="true">IF(A295="","",IF(AND(F295&lt;&gt;"",F295&lt;TODAY()),"Tarihi geçti",IF(AND(F295&lt;&gt;"",F295&lt;=TODAY()+7),"Bu hafta bitiyor",IF(C295&lt;=E295,"Azaldı","Tamam"))))</f>
        <v/>
      </c>
      <c r="I295" s="17" t="str">
        <f aca="false">IF(AND(A295&lt;&gt;"",F295&lt;&gt;""),F295+ROW()/1000000,"")</f>
        <v/>
      </c>
      <c r="J295" s="17" t="str">
        <f aca="false">IF(AND(A295&lt;&gt;"",C295&lt;=E295),ROW(),"")</f>
        <v/>
      </c>
    </row>
    <row r="296" customFormat="false" ht="15" hidden="false" customHeight="false" outlineLevel="0" collapsed="false">
      <c r="A296" s="12"/>
      <c r="B296" s="13"/>
      <c r="C296" s="14"/>
      <c r="D296" s="12"/>
      <c r="E296" s="14"/>
      <c r="F296" s="15"/>
      <c r="G296" s="16" t="str">
        <f aca="true">IF(OR(A296="",F296=""),"",F296-TODAY())</f>
        <v/>
      </c>
      <c r="H296" s="17" t="str">
        <f aca="true">IF(A296="","",IF(AND(F296&lt;&gt;"",F296&lt;TODAY()),"Tarihi geçti",IF(AND(F296&lt;&gt;"",F296&lt;=TODAY()+7),"Bu hafta bitiyor",IF(C296&lt;=E296,"Azaldı","Tamam"))))</f>
        <v/>
      </c>
      <c r="I296" s="17" t="str">
        <f aca="false">IF(AND(A296&lt;&gt;"",F296&lt;&gt;""),F296+ROW()/1000000,"")</f>
        <v/>
      </c>
      <c r="J296" s="17" t="str">
        <f aca="false">IF(AND(A296&lt;&gt;"",C296&lt;=E296),ROW(),"")</f>
        <v/>
      </c>
    </row>
    <row r="297" customFormat="false" ht="15" hidden="false" customHeight="false" outlineLevel="0" collapsed="false">
      <c r="A297" s="12"/>
      <c r="B297" s="13"/>
      <c r="C297" s="14"/>
      <c r="D297" s="12"/>
      <c r="E297" s="14"/>
      <c r="F297" s="15"/>
      <c r="G297" s="16" t="str">
        <f aca="true">IF(OR(A297="",F297=""),"",F297-TODAY())</f>
        <v/>
      </c>
      <c r="H297" s="17" t="str">
        <f aca="true">IF(A297="","",IF(AND(F297&lt;&gt;"",F297&lt;TODAY()),"Tarihi geçti",IF(AND(F297&lt;&gt;"",F297&lt;=TODAY()+7),"Bu hafta bitiyor",IF(C297&lt;=E297,"Azaldı","Tamam"))))</f>
        <v/>
      </c>
      <c r="I297" s="17" t="str">
        <f aca="false">IF(AND(A297&lt;&gt;"",F297&lt;&gt;""),F297+ROW()/1000000,"")</f>
        <v/>
      </c>
      <c r="J297" s="17" t="str">
        <f aca="false">IF(AND(A297&lt;&gt;"",C297&lt;=E297),ROW(),"")</f>
        <v/>
      </c>
    </row>
    <row r="298" customFormat="false" ht="15" hidden="false" customHeight="false" outlineLevel="0" collapsed="false">
      <c r="A298" s="12"/>
      <c r="B298" s="13"/>
      <c r="C298" s="14"/>
      <c r="D298" s="12"/>
      <c r="E298" s="14"/>
      <c r="F298" s="15"/>
      <c r="G298" s="16" t="str">
        <f aca="true">IF(OR(A298="",F298=""),"",F298-TODAY())</f>
        <v/>
      </c>
      <c r="H298" s="17" t="str">
        <f aca="true">IF(A298="","",IF(AND(F298&lt;&gt;"",F298&lt;TODAY()),"Tarihi geçti",IF(AND(F298&lt;&gt;"",F298&lt;=TODAY()+7),"Bu hafta bitiyor",IF(C298&lt;=E298,"Azaldı","Tamam"))))</f>
        <v/>
      </c>
      <c r="I298" s="17" t="str">
        <f aca="false">IF(AND(A298&lt;&gt;"",F298&lt;&gt;""),F298+ROW()/1000000,"")</f>
        <v/>
      </c>
      <c r="J298" s="17" t="str">
        <f aca="false">IF(AND(A298&lt;&gt;"",C298&lt;=E298),ROW(),"")</f>
        <v/>
      </c>
    </row>
    <row r="299" customFormat="false" ht="15" hidden="false" customHeight="false" outlineLevel="0" collapsed="false">
      <c r="A299" s="12"/>
      <c r="B299" s="13"/>
      <c r="C299" s="14"/>
      <c r="D299" s="12"/>
      <c r="E299" s="14"/>
      <c r="F299" s="15"/>
      <c r="G299" s="16" t="str">
        <f aca="true">IF(OR(A299="",F299=""),"",F299-TODAY())</f>
        <v/>
      </c>
      <c r="H299" s="17" t="str">
        <f aca="true">IF(A299="","",IF(AND(F299&lt;&gt;"",F299&lt;TODAY()),"Tarihi geçti",IF(AND(F299&lt;&gt;"",F299&lt;=TODAY()+7),"Bu hafta bitiyor",IF(C299&lt;=E299,"Azaldı","Tamam"))))</f>
        <v/>
      </c>
      <c r="I299" s="17" t="str">
        <f aca="false">IF(AND(A299&lt;&gt;"",F299&lt;&gt;""),F299+ROW()/1000000,"")</f>
        <v/>
      </c>
      <c r="J299" s="17" t="str">
        <f aca="false">IF(AND(A299&lt;&gt;"",C299&lt;=E299),ROW(),"")</f>
        <v/>
      </c>
    </row>
    <row r="300" customFormat="false" ht="15" hidden="false" customHeight="false" outlineLevel="0" collapsed="false">
      <c r="A300" s="12"/>
      <c r="B300" s="13"/>
      <c r="C300" s="14"/>
      <c r="D300" s="12"/>
      <c r="E300" s="14"/>
      <c r="F300" s="15"/>
      <c r="G300" s="16" t="str">
        <f aca="true">IF(OR(A300="",F300=""),"",F300-TODAY())</f>
        <v/>
      </c>
      <c r="H300" s="17" t="str">
        <f aca="true">IF(A300="","",IF(AND(F300&lt;&gt;"",F300&lt;TODAY()),"Tarihi geçti",IF(AND(F300&lt;&gt;"",F300&lt;=TODAY()+7),"Bu hafta bitiyor",IF(C300&lt;=E300,"Azaldı","Tamam"))))</f>
        <v/>
      </c>
      <c r="I300" s="17" t="str">
        <f aca="false">IF(AND(A300&lt;&gt;"",F300&lt;&gt;""),F300+ROW()/1000000,"")</f>
        <v/>
      </c>
      <c r="J300" s="17" t="str">
        <f aca="false">IF(AND(A300&lt;&gt;"",C300&lt;=E300),ROW(),"")</f>
        <v/>
      </c>
    </row>
    <row r="301" customFormat="false" ht="15" hidden="false" customHeight="false" outlineLevel="0" collapsed="false">
      <c r="A301" s="12"/>
      <c r="B301" s="13"/>
      <c r="C301" s="14"/>
      <c r="D301" s="12"/>
      <c r="E301" s="14"/>
      <c r="F301" s="15"/>
      <c r="G301" s="16" t="str">
        <f aca="true">IF(OR(A301="",F301=""),"",F301-TODAY())</f>
        <v/>
      </c>
      <c r="H301" s="17" t="str">
        <f aca="true">IF(A301="","",IF(AND(F301&lt;&gt;"",F301&lt;TODAY()),"Tarihi geçti",IF(AND(F301&lt;&gt;"",F301&lt;=TODAY()+7),"Bu hafta bitiyor",IF(C301&lt;=E301,"Azaldı","Tamam"))))</f>
        <v/>
      </c>
      <c r="I301" s="17" t="str">
        <f aca="false">IF(AND(A301&lt;&gt;"",F301&lt;&gt;""),F301+ROW()/1000000,"")</f>
        <v/>
      </c>
      <c r="J301" s="17" t="str">
        <f aca="false">IF(AND(A301&lt;&gt;"",C301&lt;=E301),ROW(),"")</f>
        <v/>
      </c>
    </row>
    <row r="302" customFormat="false" ht="15" hidden="false" customHeight="false" outlineLevel="0" collapsed="false">
      <c r="A302" s="12"/>
      <c r="B302" s="13"/>
      <c r="C302" s="14"/>
      <c r="D302" s="12"/>
      <c r="E302" s="14"/>
      <c r="F302" s="15"/>
      <c r="G302" s="16" t="str">
        <f aca="true">IF(OR(A302="",F302=""),"",F302-TODAY())</f>
        <v/>
      </c>
      <c r="H302" s="17" t="str">
        <f aca="true">IF(A302="","",IF(AND(F302&lt;&gt;"",F302&lt;TODAY()),"Tarihi geçti",IF(AND(F302&lt;&gt;"",F302&lt;=TODAY()+7),"Bu hafta bitiyor",IF(C302&lt;=E302,"Azaldı","Tamam"))))</f>
        <v/>
      </c>
      <c r="I302" s="17" t="str">
        <f aca="false">IF(AND(A302&lt;&gt;"",F302&lt;&gt;""),F302+ROW()/1000000,"")</f>
        <v/>
      </c>
      <c r="J302" s="17" t="str">
        <f aca="false">IF(AND(A302&lt;&gt;"",C302&lt;=E302),ROW(),"")</f>
        <v/>
      </c>
    </row>
    <row r="303" customFormat="false" ht="15" hidden="false" customHeight="false" outlineLevel="0" collapsed="false">
      <c r="A303" s="12"/>
      <c r="B303" s="13"/>
      <c r="C303" s="14"/>
      <c r="D303" s="12"/>
      <c r="E303" s="14"/>
      <c r="F303" s="15"/>
      <c r="G303" s="16" t="str">
        <f aca="true">IF(OR(A303="",F303=""),"",F303-TODAY())</f>
        <v/>
      </c>
      <c r="H303" s="17" t="str">
        <f aca="true">IF(A303="","",IF(AND(F303&lt;&gt;"",F303&lt;TODAY()),"Tarihi geçti",IF(AND(F303&lt;&gt;"",F303&lt;=TODAY()+7),"Bu hafta bitiyor",IF(C303&lt;=E303,"Azaldı","Tamam"))))</f>
        <v/>
      </c>
      <c r="I303" s="17" t="str">
        <f aca="false">IF(AND(A303&lt;&gt;"",F303&lt;&gt;""),F303+ROW()/1000000,"")</f>
        <v/>
      </c>
      <c r="J303" s="17" t="str">
        <f aca="false">IF(AND(A303&lt;&gt;"",C303&lt;=E303),ROW(),"")</f>
        <v/>
      </c>
    </row>
    <row r="304" customFormat="false" ht="15" hidden="false" customHeight="false" outlineLevel="0" collapsed="false">
      <c r="A304" s="12"/>
      <c r="B304" s="13"/>
      <c r="C304" s="14"/>
      <c r="D304" s="12"/>
      <c r="E304" s="14"/>
      <c r="F304" s="15"/>
      <c r="G304" s="16" t="str">
        <f aca="true">IF(OR(A304="",F304=""),"",F304-TODAY())</f>
        <v/>
      </c>
      <c r="H304" s="17" t="str">
        <f aca="true">IF(A304="","",IF(AND(F304&lt;&gt;"",F304&lt;TODAY()),"Tarihi geçti",IF(AND(F304&lt;&gt;"",F304&lt;=TODAY()+7),"Bu hafta bitiyor",IF(C304&lt;=E304,"Azaldı","Tamam"))))</f>
        <v/>
      </c>
      <c r="I304" s="17" t="str">
        <f aca="false">IF(AND(A304&lt;&gt;"",F304&lt;&gt;""),F304+ROW()/1000000,"")</f>
        <v/>
      </c>
      <c r="J304" s="17" t="str">
        <f aca="false">IF(AND(A304&lt;&gt;"",C304&lt;=E304),ROW(),"")</f>
        <v/>
      </c>
    </row>
  </sheetData>
  <conditionalFormatting sqref="H5:H304">
    <cfRule type="cellIs" priority="2" operator="equal" aboveAverage="0" equalAverage="0" bottom="0" percent="0" rank="0" text="" dxfId="0">
      <formula>"Tarihi geçti"</formula>
    </cfRule>
    <cfRule type="cellIs" priority="3" operator="equal" aboveAverage="0" equalAverage="0" bottom="0" percent="0" rank="0" text="" dxfId="1">
      <formula>"Bu hafta bitiyor"</formula>
    </cfRule>
    <cfRule type="cellIs" priority="4" operator="equal" aboveAverage="0" equalAverage="0" bottom="0" percent="0" rank="0" text="" dxfId="2">
      <formula>"Azaldı"</formula>
    </cfRule>
  </conditionalFormatting>
  <dataValidations count="4">
    <dataValidation allowBlank="true" error="Listeden seç." errorStyle="stop" errorTitle="Kontrol" operator="between" showDropDown="false" showErrorMessage="true" showInputMessage="false" sqref="B5:B304" type="list">
      <formula1>Listeler!$A$5:$A$34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C5:C304 E5:E304" type="decimal">
      <formula1>0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F5:F304" type="date">
      <formula1>36526</formula1>
      <formula2>0</formula2>
    </dataValidation>
    <dataValidation allowBlank="true" error="Bu ad zaten var. Her ad bir kez girilebilir." errorStyle="stop" errorTitle="Kontrol" operator="between" showDropDown="false" showErrorMessage="true" showInputMessage="false" sqref="A5:A304" type="custom">
      <formula1>COUNTIF($A$5:$A$304,A5)=1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45</v>
      </c>
    </row>
    <row r="2" customFormat="false" ht="15" hidden="false" customHeight="false" outlineLevel="0" collapsed="false">
      <c r="A2" s="9" t="s">
        <v>46</v>
      </c>
    </row>
    <row r="5" customFormat="false" ht="30" hidden="false" customHeight="true" outlineLevel="0" collapsed="false">
      <c r="B5" s="19" t="s">
        <v>22</v>
      </c>
      <c r="C5" s="19" t="s">
        <v>47</v>
      </c>
      <c r="D5" s="19" t="s">
        <v>48</v>
      </c>
      <c r="E5" s="19" t="s">
        <v>49</v>
      </c>
    </row>
    <row r="6" customFormat="false" ht="27.75" hidden="false" customHeight="true" outlineLevel="0" collapsed="false">
      <c r="B6" s="20" t="n">
        <f aca="false">COUNTA(Kiler!$A$5:$A$304)</f>
        <v>6</v>
      </c>
      <c r="C6" s="21" t="n">
        <f aca="false">COUNTIF(Kiler!$H$5:$H$304,"Tarihi geçti")</f>
        <v>1</v>
      </c>
      <c r="D6" s="21" t="n">
        <f aca="false">COUNTIF(Kiler!$H$5:$H$304,"Bu hafta bitiyor")</f>
        <v>1</v>
      </c>
      <c r="E6" s="20" t="n">
        <f aca="false">COUNT(Kiler!$J$5:$J$304)</f>
        <v>2</v>
      </c>
    </row>
    <row r="9" customFormat="false" ht="15" hidden="false" customHeight="false" outlineLevel="0" collapsed="false">
      <c r="B9" s="22" t="s">
        <v>50</v>
      </c>
      <c r="I9" s="22" t="s">
        <v>51</v>
      </c>
    </row>
    <row r="10" customFormat="false" ht="21.75" hidden="false" customHeight="true" outlineLevel="0" collapsed="false">
      <c r="B10" s="10" t="s">
        <v>22</v>
      </c>
      <c r="C10" s="10" t="s">
        <v>27</v>
      </c>
      <c r="D10" s="10" t="s">
        <v>28</v>
      </c>
      <c r="I10" s="10" t="s">
        <v>22</v>
      </c>
      <c r="J10" s="10" t="s">
        <v>52</v>
      </c>
      <c r="K10" s="10" t="s">
        <v>26</v>
      </c>
    </row>
    <row r="11" customFormat="false" ht="15" hidden="false" customHeight="false" outlineLevel="0" collapsed="false">
      <c r="B11" s="23" t="str">
        <f aca="false">IFERROR(INDEX(Kiler!$A$5:$A$304,MATCH(SMALL(Kiler!$I$5:$I$304,1),Kiler!$I$5:$I$304,0))&amp;"","")</f>
        <v>Süt</v>
      </c>
      <c r="C11" s="24" t="n">
        <f aca="false">IF(B11="","",INDEX(Kiler!$F$5:$F$304,MATCH(SMALL(Kiler!$I$5:$I$304,1),Kiler!$I$5:$I$304,0)))</f>
        <v>46297</v>
      </c>
      <c r="D11" s="25" t="n">
        <f aca="false">IF(B11="","",INDEX(Kiler!$G$5:$G$304,MATCH(SMALL(Kiler!$I$5:$I$304,1),Kiler!$I$5:$I$304,0)))</f>
        <v>-2</v>
      </c>
      <c r="I11" s="23" t="str">
        <f aca="false">IFERROR(INDEX(Kiler!$A$1:$A$304,SMALL(Kiler!$J$5:$J$304,1))&amp;"","")</f>
        <v>Yoğurt</v>
      </c>
      <c r="J11" s="26" t="n">
        <f aca="false">IF(I11="","",INDEX(Kiler!$C$5:$C$304,MATCH(I11,Kiler!$A$5:$A$304,0)))</f>
        <v>1</v>
      </c>
      <c r="K11" s="26" t="n">
        <f aca="false">IF(I11="","",INDEX(Kiler!$E$5:$E$304,MATCH(I11,Kiler!$A$5:$A$304,0)))</f>
        <v>1</v>
      </c>
    </row>
    <row r="12" customFormat="false" ht="15" hidden="false" customHeight="false" outlineLevel="0" collapsed="false">
      <c r="B12" s="27" t="str">
        <f aca="false">IFERROR(INDEX(Kiler!$A$5:$A$304,MATCH(SMALL(Kiler!$I$5:$I$304,2),Kiler!$I$5:$I$304,0))&amp;"","")</f>
        <v>Yoğurt</v>
      </c>
      <c r="C12" s="28" t="n">
        <f aca="false">IF(B12="","",INDEX(Kiler!$F$5:$F$304,MATCH(SMALL(Kiler!$I$5:$I$304,2),Kiler!$I$5:$I$304,0)))</f>
        <v>46303</v>
      </c>
      <c r="D12" s="29" t="n">
        <f aca="false">IF(B12="","",INDEX(Kiler!$G$5:$G$304,MATCH(SMALL(Kiler!$I$5:$I$304,2),Kiler!$I$5:$I$304,0)))</f>
        <v>4</v>
      </c>
      <c r="I12" s="27" t="str">
        <f aca="false">IFERROR(INDEX(Kiler!$A$1:$A$304,SMALL(Kiler!$J$5:$J$304,2))&amp;"","")</f>
        <v>Bulaşık deterjanı</v>
      </c>
      <c r="J12" s="30" t="n">
        <f aca="false">IF(I12="","",INDEX(Kiler!$C$5:$C$304,MATCH(I12,Kiler!$A$5:$A$304,0)))</f>
        <v>0</v>
      </c>
      <c r="K12" s="30" t="n">
        <f aca="false">IF(I12="","",INDEX(Kiler!$E$5:$E$304,MATCH(I12,Kiler!$A$5:$A$304,0)))</f>
        <v>1</v>
      </c>
    </row>
    <row r="13" customFormat="false" ht="15" hidden="false" customHeight="false" outlineLevel="0" collapsed="false">
      <c r="B13" s="23" t="str">
        <f aca="false">IFERROR(INDEX(Kiler!$A$5:$A$304,MATCH(SMALL(Kiler!$I$5:$I$304,3),Kiler!$I$5:$I$304,0))&amp;"","")</f>
        <v>Pirinç</v>
      </c>
      <c r="C13" s="24" t="n">
        <f aca="false">IF(B13="","",INDEX(Kiler!$F$5:$F$304,MATCH(SMALL(Kiler!$I$5:$I$304,3),Kiler!$I$5:$I$304,0)))</f>
        <v>46389</v>
      </c>
      <c r="D13" s="25" t="n">
        <f aca="false">IF(B13="","",INDEX(Kiler!$G$5:$G$304,MATCH(SMALL(Kiler!$I$5:$I$304,3),Kiler!$I$5:$I$304,0)))</f>
        <v>90</v>
      </c>
      <c r="I13" s="23" t="str">
        <f aca="false">IFERROR(INDEX(Kiler!$A$1:$A$304,SMALL(Kiler!$J$5:$J$304,3))&amp;"","")</f>
        <v/>
      </c>
      <c r="J13" s="26" t="str">
        <f aca="false">IF(I13="","",INDEX(Kiler!$C$5:$C$304,MATCH(I13,Kiler!$A$5:$A$304,0)))</f>
        <v/>
      </c>
      <c r="K13" s="26" t="str">
        <f aca="false">IF(I13="","",INDEX(Kiler!$E$5:$E$304,MATCH(I13,Kiler!$A$5:$A$304,0)))</f>
        <v/>
      </c>
    </row>
    <row r="14" customFormat="false" ht="15" hidden="false" customHeight="false" outlineLevel="0" collapsed="false">
      <c r="B14" s="27" t="str">
        <f aca="false">IFERROR(INDEX(Kiler!$A$5:$A$304,MATCH(SMALL(Kiler!$I$5:$I$304,4),Kiler!$I$5:$I$304,0))&amp;"","")</f>
        <v>Kırmızı mercimek</v>
      </c>
      <c r="C14" s="28" t="n">
        <f aca="false">IF(B14="","",INDEX(Kiler!$F$5:$F$304,MATCH(SMALL(Kiler!$I$5:$I$304,4),Kiler!$I$5:$I$304,0)))</f>
        <v>46499</v>
      </c>
      <c r="D14" s="29" t="n">
        <f aca="false">IF(B14="","",INDEX(Kiler!$G$5:$G$304,MATCH(SMALL(Kiler!$I$5:$I$304,4),Kiler!$I$5:$I$304,0)))</f>
        <v>200</v>
      </c>
      <c r="I14" s="27" t="str">
        <f aca="false">IFERROR(INDEX(Kiler!$A$1:$A$304,SMALL(Kiler!$J$5:$J$304,4))&amp;"","")</f>
        <v/>
      </c>
      <c r="J14" s="30" t="str">
        <f aca="false">IF(I14="","",INDEX(Kiler!$C$5:$C$304,MATCH(I14,Kiler!$A$5:$A$304,0)))</f>
        <v/>
      </c>
      <c r="K14" s="30" t="str">
        <f aca="false">IF(I14="","",INDEX(Kiler!$E$5:$E$304,MATCH(I14,Kiler!$A$5:$A$304,0)))</f>
        <v/>
      </c>
    </row>
    <row r="15" customFormat="false" ht="15" hidden="false" customHeight="false" outlineLevel="0" collapsed="false">
      <c r="B15" s="23" t="str">
        <f aca="false">IFERROR(INDEX(Kiler!$A$5:$A$304,MATCH(SMALL(Kiler!$I$5:$I$304,5),Kiler!$I$5:$I$304,0))&amp;"","")</f>
        <v>Ton balığı</v>
      </c>
      <c r="C15" s="24" t="n">
        <f aca="false">IF(B15="","",INDEX(Kiler!$F$5:$F$304,MATCH(SMALL(Kiler!$I$5:$I$304,5),Kiler!$I$5:$I$304,0)))</f>
        <v>46699</v>
      </c>
      <c r="D15" s="25" t="n">
        <f aca="false">IF(B15="","",INDEX(Kiler!$G$5:$G$304,MATCH(SMALL(Kiler!$I$5:$I$304,5),Kiler!$I$5:$I$304,0)))</f>
        <v>400</v>
      </c>
      <c r="I15" s="23" t="str">
        <f aca="false">IFERROR(INDEX(Kiler!$A$1:$A$304,SMALL(Kiler!$J$5:$J$304,5))&amp;"","")</f>
        <v/>
      </c>
      <c r="J15" s="26" t="str">
        <f aca="false">IF(I15="","",INDEX(Kiler!$C$5:$C$304,MATCH(I15,Kiler!$A$5:$A$304,0)))</f>
        <v/>
      </c>
      <c r="K15" s="26" t="str">
        <f aca="false">IF(I15="","",INDEX(Kiler!$E$5:$E$304,MATCH(I15,Kiler!$A$5:$A$304,0)))</f>
        <v/>
      </c>
    </row>
    <row r="16" customFormat="false" ht="15" hidden="false" customHeight="false" outlineLevel="0" collapsed="false">
      <c r="B16" s="27" t="str">
        <f aca="false">IFERROR(INDEX(Kiler!$A$5:$A$304,MATCH(SMALL(Kiler!$I$5:$I$304,6),Kiler!$I$5:$I$304,0))&amp;"","")</f>
        <v/>
      </c>
      <c r="C16" s="28" t="str">
        <f aca="false">IF(B16="","",INDEX(Kiler!$F$5:$F$304,MATCH(SMALL(Kiler!$I$5:$I$304,6),Kiler!$I$5:$I$304,0)))</f>
        <v/>
      </c>
      <c r="D16" s="29" t="str">
        <f aca="false">IF(B16="","",INDEX(Kiler!$G$5:$G$304,MATCH(SMALL(Kiler!$I$5:$I$304,6),Kiler!$I$5:$I$304,0)))</f>
        <v/>
      </c>
      <c r="I16" s="27" t="str">
        <f aca="false">IFERROR(INDEX(Kiler!$A$1:$A$304,SMALL(Kiler!$J$5:$J$304,6))&amp;"","")</f>
        <v/>
      </c>
      <c r="J16" s="30" t="str">
        <f aca="false">IF(I16="","",INDEX(Kiler!$C$5:$C$304,MATCH(I16,Kiler!$A$5:$A$304,0)))</f>
        <v/>
      </c>
      <c r="K16" s="30" t="str">
        <f aca="false">IF(I16="","",INDEX(Kiler!$E$5:$E$304,MATCH(I16,Kiler!$A$5:$A$304,0)))</f>
        <v/>
      </c>
    </row>
    <row r="17" customFormat="false" ht="15" hidden="false" customHeight="false" outlineLevel="0" collapsed="false">
      <c r="B17" s="23" t="str">
        <f aca="false">IFERROR(INDEX(Kiler!$A$5:$A$304,MATCH(SMALL(Kiler!$I$5:$I$304,7),Kiler!$I$5:$I$304,0))&amp;"","")</f>
        <v/>
      </c>
      <c r="C17" s="24" t="str">
        <f aca="false">IF(B17="","",INDEX(Kiler!$F$5:$F$304,MATCH(SMALL(Kiler!$I$5:$I$304,7),Kiler!$I$5:$I$304,0)))</f>
        <v/>
      </c>
      <c r="D17" s="25" t="str">
        <f aca="false">IF(B17="","",INDEX(Kiler!$G$5:$G$304,MATCH(SMALL(Kiler!$I$5:$I$304,7),Kiler!$I$5:$I$304,0)))</f>
        <v/>
      </c>
      <c r="I17" s="23" t="str">
        <f aca="false">IFERROR(INDEX(Kiler!$A$1:$A$304,SMALL(Kiler!$J$5:$J$304,7))&amp;"","")</f>
        <v/>
      </c>
      <c r="J17" s="26" t="str">
        <f aca="false">IF(I17="","",INDEX(Kiler!$C$5:$C$304,MATCH(I17,Kiler!$A$5:$A$304,0)))</f>
        <v/>
      </c>
      <c r="K17" s="26" t="str">
        <f aca="false">IF(I17="","",INDEX(Kiler!$E$5:$E$304,MATCH(I17,Kiler!$A$5:$A$304,0)))</f>
        <v/>
      </c>
    </row>
    <row r="18" customFormat="false" ht="15" hidden="false" customHeight="false" outlineLevel="0" collapsed="false">
      <c r="B18" s="27" t="str">
        <f aca="false">IFERROR(INDEX(Kiler!$A$5:$A$304,MATCH(SMALL(Kiler!$I$5:$I$304,8),Kiler!$I$5:$I$304,0))&amp;"","")</f>
        <v/>
      </c>
      <c r="C18" s="28" t="str">
        <f aca="false">IF(B18="","",INDEX(Kiler!$F$5:$F$304,MATCH(SMALL(Kiler!$I$5:$I$304,8),Kiler!$I$5:$I$304,0)))</f>
        <v/>
      </c>
      <c r="D18" s="29" t="str">
        <f aca="false">IF(B18="","",INDEX(Kiler!$G$5:$G$304,MATCH(SMALL(Kiler!$I$5:$I$304,8),Kiler!$I$5:$I$304,0)))</f>
        <v/>
      </c>
      <c r="I18" s="27" t="str">
        <f aca="false">IFERROR(INDEX(Kiler!$A$1:$A$304,SMALL(Kiler!$J$5:$J$304,8))&amp;"","")</f>
        <v/>
      </c>
      <c r="J18" s="30" t="str">
        <f aca="false">IF(I18="","",INDEX(Kiler!$C$5:$C$304,MATCH(I18,Kiler!$A$5:$A$304,0)))</f>
        <v/>
      </c>
      <c r="K18" s="30" t="str">
        <f aca="false">IF(I18="","",INDEX(Kiler!$E$5:$E$304,MATCH(I18,Kiler!$A$5:$A$304,0)))</f>
        <v/>
      </c>
    </row>
    <row r="19" customFormat="false" ht="15" hidden="false" customHeight="false" outlineLevel="0" collapsed="false">
      <c r="B19" s="23" t="str">
        <f aca="false">IFERROR(INDEX(Kiler!$A$5:$A$304,MATCH(SMALL(Kiler!$I$5:$I$304,9),Kiler!$I$5:$I$304,0))&amp;"","")</f>
        <v/>
      </c>
      <c r="C19" s="24" t="str">
        <f aca="false">IF(B19="","",INDEX(Kiler!$F$5:$F$304,MATCH(SMALL(Kiler!$I$5:$I$304,9),Kiler!$I$5:$I$304,0)))</f>
        <v/>
      </c>
      <c r="D19" s="25" t="str">
        <f aca="false">IF(B19="","",INDEX(Kiler!$G$5:$G$304,MATCH(SMALL(Kiler!$I$5:$I$304,9),Kiler!$I$5:$I$304,0)))</f>
        <v/>
      </c>
      <c r="I19" s="23" t="str">
        <f aca="false">IFERROR(INDEX(Kiler!$A$1:$A$304,SMALL(Kiler!$J$5:$J$304,9))&amp;"","")</f>
        <v/>
      </c>
      <c r="J19" s="26" t="str">
        <f aca="false">IF(I19="","",INDEX(Kiler!$C$5:$C$304,MATCH(I19,Kiler!$A$5:$A$304,0)))</f>
        <v/>
      </c>
      <c r="K19" s="26" t="str">
        <f aca="false">IF(I19="","",INDEX(Kiler!$E$5:$E$304,MATCH(I19,Kiler!$A$5:$A$304,0)))</f>
        <v/>
      </c>
    </row>
    <row r="20" customFormat="false" ht="15" hidden="false" customHeight="false" outlineLevel="0" collapsed="false">
      <c r="B20" s="27" t="str">
        <f aca="false">IFERROR(INDEX(Kiler!$A$5:$A$304,MATCH(SMALL(Kiler!$I$5:$I$304,10),Kiler!$I$5:$I$304,0))&amp;"","")</f>
        <v/>
      </c>
      <c r="C20" s="28" t="str">
        <f aca="false">IF(B20="","",INDEX(Kiler!$F$5:$F$304,MATCH(SMALL(Kiler!$I$5:$I$304,10),Kiler!$I$5:$I$304,0)))</f>
        <v/>
      </c>
      <c r="D20" s="29" t="str">
        <f aca="false">IF(B20="","",INDEX(Kiler!$G$5:$G$304,MATCH(SMALL(Kiler!$I$5:$I$304,10),Kiler!$I$5:$I$304,0)))</f>
        <v/>
      </c>
      <c r="I20" s="27" t="str">
        <f aca="false">IFERROR(INDEX(Kiler!$A$1:$A$304,SMALL(Kiler!$J$5:$J$304,10))&amp;"","")</f>
        <v/>
      </c>
      <c r="J20" s="30" t="str">
        <f aca="false">IF(I20="","",INDEX(Kiler!$C$5:$C$304,MATCH(I20,Kiler!$A$5:$A$304,0)))</f>
        <v/>
      </c>
      <c r="K20" s="30" t="str">
        <f aca="false">IF(I20="","",INDEX(Kiler!$E$5:$E$304,MATCH(I20,Kiler!$A$5:$A$304,0)))</f>
        <v/>
      </c>
    </row>
    <row r="21" customFormat="false" ht="15" hidden="false" customHeight="false" outlineLevel="0" collapsed="false">
      <c r="I21" s="23" t="str">
        <f aca="false">IFERROR(INDEX(Kiler!$A$1:$A$304,SMALL(Kiler!$J$5:$J$304,11))&amp;"","")</f>
        <v/>
      </c>
      <c r="J21" s="26" t="str">
        <f aca="false">IF(I21="","",INDEX(Kiler!$C$5:$C$304,MATCH(I21,Kiler!$A$5:$A$304,0)))</f>
        <v/>
      </c>
      <c r="K21" s="26" t="str">
        <f aca="false">IF(I21="","",INDEX(Kiler!$E$5:$E$304,MATCH(I21,Kiler!$A$5:$A$304,0)))</f>
        <v/>
      </c>
    </row>
    <row r="22" customFormat="false" ht="15" hidden="false" customHeight="false" outlineLevel="0" collapsed="false">
      <c r="I22" s="27" t="str">
        <f aca="false">IFERROR(INDEX(Kiler!$A$1:$A$304,SMALL(Kiler!$J$5:$J$304,12))&amp;"","")</f>
        <v/>
      </c>
      <c r="J22" s="30" t="str">
        <f aca="false">IF(I22="","",INDEX(Kiler!$C$5:$C$304,MATCH(I22,Kiler!$A$5:$A$304,0)))</f>
        <v/>
      </c>
      <c r="K22" s="30" t="str">
        <f aca="false">IF(I22="","",INDEX(Kiler!$E$5:$E$304,MATCH(I22,Kiler!$A$5:$A$304,0)))</f>
        <v/>
      </c>
    </row>
    <row r="23" customFormat="false" ht="15" hidden="false" customHeight="false" outlineLevel="0" collapsed="false">
      <c r="I23" s="23" t="str">
        <f aca="false">IFERROR(INDEX(Kiler!$A$1:$A$304,SMALL(Kiler!$J$5:$J$304,13))&amp;"","")</f>
        <v/>
      </c>
      <c r="J23" s="26" t="str">
        <f aca="false">IF(I23="","",INDEX(Kiler!$C$5:$C$304,MATCH(I23,Kiler!$A$5:$A$304,0)))</f>
        <v/>
      </c>
      <c r="K23" s="26" t="str">
        <f aca="false">IF(I23="","",INDEX(Kiler!$E$5:$E$304,MATCH(I23,Kiler!$A$5:$A$304,0)))</f>
        <v/>
      </c>
    </row>
    <row r="24" customFormat="false" ht="15" hidden="false" customHeight="false" outlineLevel="0" collapsed="false">
      <c r="I24" s="27" t="str">
        <f aca="false">IFERROR(INDEX(Kiler!$A$1:$A$304,SMALL(Kiler!$J$5:$J$304,14))&amp;"","")</f>
        <v/>
      </c>
      <c r="J24" s="30" t="str">
        <f aca="false">IF(I24="","",INDEX(Kiler!$C$5:$C$304,MATCH(I24,Kiler!$A$5:$A$304,0)))</f>
        <v/>
      </c>
      <c r="K24" s="30" t="str">
        <f aca="false">IF(I24="","",INDEX(Kiler!$E$5:$E$304,MATCH(I24,Kiler!$A$5:$A$304,0)))</f>
        <v/>
      </c>
    </row>
    <row r="25" customFormat="false" ht="15" hidden="false" customHeight="false" outlineLevel="0" collapsed="false">
      <c r="I25" s="23" t="str">
        <f aca="false">IFERROR(INDEX(Kiler!$A$1:$A$304,SMALL(Kiler!$J$5:$J$304,15))&amp;"","")</f>
        <v/>
      </c>
      <c r="J25" s="26" t="str">
        <f aca="false">IF(I25="","",INDEX(Kiler!$C$5:$C$304,MATCH(I25,Kiler!$A$5:$A$304,0)))</f>
        <v/>
      </c>
      <c r="K25" s="26" t="str">
        <f aca="false">IF(I25="","",INDEX(Kiler!$E$5:$E$304,MATCH(I25,Kiler!$A$5:$A$304,0)))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</cols>
  <sheetData>
    <row r="1" customFormat="false" ht="19.7" hidden="false" customHeight="false" outlineLevel="0" collapsed="false">
      <c r="A1" s="8" t="s">
        <v>53</v>
      </c>
    </row>
    <row r="2" customFormat="false" ht="15" hidden="false" customHeight="false" outlineLevel="0" collapsed="false">
      <c r="A2" s="9" t="s">
        <v>54</v>
      </c>
    </row>
    <row r="4" customFormat="false" ht="21.75" hidden="false" customHeight="true" outlineLevel="0" collapsed="false">
      <c r="A4" s="10" t="s">
        <v>23</v>
      </c>
    </row>
    <row r="5" customFormat="false" ht="15" hidden="false" customHeight="false" outlineLevel="0" collapsed="false">
      <c r="A5" s="12" t="s">
        <v>33</v>
      </c>
    </row>
    <row r="6" customFormat="false" ht="15" hidden="false" customHeight="false" outlineLevel="0" collapsed="false">
      <c r="A6" s="12" t="s">
        <v>38</v>
      </c>
    </row>
    <row r="7" customFormat="false" ht="15" hidden="false" customHeight="false" outlineLevel="0" collapsed="false">
      <c r="A7" s="12" t="s">
        <v>36</v>
      </c>
    </row>
    <row r="8" customFormat="false" ht="15" hidden="false" customHeight="false" outlineLevel="0" collapsed="false">
      <c r="A8" s="12" t="s">
        <v>55</v>
      </c>
    </row>
    <row r="9" customFormat="false" ht="15" hidden="false" customHeight="false" outlineLevel="0" collapsed="false">
      <c r="A9" s="12" t="s">
        <v>43</v>
      </c>
    </row>
    <row r="10" customFormat="false" ht="15" hidden="false" customHeight="false" outlineLevel="0" collapsed="false">
      <c r="A10" s="12" t="s">
        <v>56</v>
      </c>
    </row>
    <row r="11" customFormat="false" ht="15" hidden="false" customHeight="false" outlineLevel="0" collapsed="false">
      <c r="A11" s="12" t="s">
        <v>57</v>
      </c>
    </row>
    <row r="12" customFormat="false" ht="15" hidden="false" customHeight="false" outlineLevel="0" collapsed="false">
      <c r="A12" s="12" t="s">
        <v>58</v>
      </c>
    </row>
    <row r="13" customFormat="false" ht="15" hidden="false" customHeight="false" outlineLevel="0" collapsed="false">
      <c r="A13" s="12"/>
    </row>
    <row r="14" customFormat="false" ht="15" hidden="false" customHeight="false" outlineLevel="0" collapsed="false">
      <c r="A14" s="12"/>
    </row>
    <row r="15" customFormat="false" ht="15" hidden="false" customHeight="false" outlineLevel="0" collapsed="false">
      <c r="A15" s="12"/>
    </row>
    <row r="16" customFormat="false" ht="15" hidden="false" customHeight="false" outlineLevel="0" collapsed="false">
      <c r="A16" s="12"/>
    </row>
    <row r="17" customFormat="false" ht="15" hidden="false" customHeight="false" outlineLevel="0" collapsed="false">
      <c r="A17" s="12"/>
    </row>
    <row r="18" customFormat="false" ht="15" hidden="false" customHeight="false" outlineLevel="0" collapsed="false">
      <c r="A18" s="12"/>
    </row>
    <row r="19" customFormat="false" ht="15" hidden="false" customHeight="false" outlineLevel="0" collapsed="false">
      <c r="A19" s="12"/>
    </row>
    <row r="20" customFormat="false" ht="15" hidden="false" customHeight="false" outlineLevel="0" collapsed="false">
      <c r="A20" s="12"/>
    </row>
    <row r="21" customFormat="false" ht="15" hidden="false" customHeight="false" outlineLevel="0" collapsed="false">
      <c r="A21" s="12"/>
    </row>
    <row r="22" customFormat="false" ht="15" hidden="false" customHeight="false" outlineLevel="0" collapsed="false">
      <c r="A22" s="12"/>
    </row>
    <row r="23" customFormat="false" ht="15" hidden="false" customHeight="false" outlineLevel="0" collapsed="false">
      <c r="A23" s="12"/>
    </row>
    <row r="24" customFormat="false" ht="15" hidden="false" customHeight="false" outlineLevel="0" collapsed="false">
      <c r="A24" s="12"/>
    </row>
    <row r="25" customFormat="false" ht="15" hidden="false" customHeight="false" outlineLevel="0" collapsed="false">
      <c r="A25" s="12"/>
    </row>
    <row r="26" customFormat="false" ht="15" hidden="false" customHeight="false" outlineLevel="0" collapsed="false">
      <c r="A26" s="12"/>
    </row>
    <row r="27" customFormat="false" ht="15" hidden="false" customHeight="false" outlineLevel="0" collapsed="false">
      <c r="A27" s="12"/>
    </row>
    <row r="28" customFormat="false" ht="15" hidden="false" customHeight="false" outlineLevel="0" collapsed="false">
      <c r="A28" s="12"/>
    </row>
    <row r="29" customFormat="false" ht="15" hidden="false" customHeight="false" outlineLevel="0" collapsed="false">
      <c r="A29" s="12"/>
    </row>
    <row r="30" customFormat="false" ht="15" hidden="false" customHeight="false" outlineLevel="0" collapsed="false">
      <c r="A30" s="12"/>
    </row>
    <row r="31" customFormat="false" ht="15" hidden="false" customHeight="false" outlineLevel="0" collapsed="false">
      <c r="A31" s="12"/>
    </row>
    <row r="32" customFormat="false" ht="15" hidden="false" customHeight="false" outlineLevel="0" collapsed="false">
      <c r="A32" s="12"/>
    </row>
    <row r="33" customFormat="false" ht="15" hidden="false" customHeight="false" outlineLevel="0" collapsed="false">
      <c r="A33" s="12"/>
    </row>
    <row r="34" customFormat="false" ht="15" hidden="false" customHeight="false" outlineLevel="0" collapsed="false">
      <c r="A34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59</v>
      </c>
    </row>
    <row r="2" customFormat="false" ht="30" hidden="false" customHeight="true" outlineLevel="0" collapsed="false">
      <c r="B2" s="31" t="s">
        <v>60</v>
      </c>
      <c r="C2" s="31"/>
    </row>
    <row r="3" customFormat="false" ht="31.5" hidden="false" customHeight="true" outlineLevel="0" collapsed="false">
      <c r="B3" s="32" t="s">
        <v>61</v>
      </c>
      <c r="C3" s="32"/>
    </row>
    <row r="5" customFormat="false" ht="15" hidden="false" customHeight="false" outlineLevel="0" collapsed="false">
      <c r="B5" s="33" t="s">
        <v>62</v>
      </c>
      <c r="C5" s="33" t="s">
        <v>63</v>
      </c>
    </row>
    <row r="6" customFormat="false" ht="31.5" hidden="false" customHeight="true" outlineLevel="0" collapsed="false">
      <c r="B6" s="34" t="s">
        <v>64</v>
      </c>
      <c r="C6" s="35" t="s">
        <v>65</v>
      </c>
    </row>
    <row r="7" customFormat="false" ht="31.5" hidden="false" customHeight="true" outlineLevel="0" collapsed="false">
      <c r="B7" s="36" t="s">
        <v>66</v>
      </c>
      <c r="C7" s="37" t="s">
        <v>67</v>
      </c>
    </row>
    <row r="8" customFormat="false" ht="31.5" hidden="false" customHeight="true" outlineLevel="0" collapsed="false">
      <c r="B8" s="34" t="s">
        <v>68</v>
      </c>
      <c r="C8" s="35" t="s">
        <v>69</v>
      </c>
    </row>
    <row r="9" customFormat="false" ht="31.5" hidden="false" customHeight="true" outlineLevel="0" collapsed="false">
      <c r="B9" s="36" t="s">
        <v>70</v>
      </c>
      <c r="C9" s="37" t="s">
        <v>71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2026-10-04T22:00:08Z</dcterms:created>
  <dc:creator>openpyxl</dc:creator>
  <dc:description/>
  <dc:language>en-US</dc:language>
  <cp:lastModifiedBy/>
  <dcterms:modified xsi:type="dcterms:W3CDTF">2026-10-04T22:00:08Z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