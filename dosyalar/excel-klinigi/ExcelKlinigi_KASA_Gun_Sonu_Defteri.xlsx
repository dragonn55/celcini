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şla" sheetId="1" state="visible" r:id="rId3"/>
    <sheet name="Günler" sheetId="2" state="visible" r:id="rId4"/>
    <sheet name="Özet" sheetId="3" state="visible" r:id="rId5"/>
    <sheet name="AI Komutları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<sst xmlns="http://schemas.openxmlformats.org/spreadsheetml/2006/main" count="76" uniqueCount="74">
  <si>
    <t xml:space="preserve">EXCEL KLİNİĞİ</t>
  </si>
  <si>
    <t xml:space="preserve">KASA  |  Gün sonu kasa defteri</t>
  </si>
  <si>
    <t xml:space="preserve">Günü kapatırken kasada olması gereken parayla saydığın para tutuyor mu; açık ya da fazla varsa hemen gör.</t>
  </si>
  <si>
    <t xml:space="preserve">NASIL KULLANILIR</t>
  </si>
  <si>
    <t xml:space="preserve">1. Günler</t>
  </si>
  <si>
    <t xml:space="preserve">Her gün açılış nakdini, nakit ve kart satışı, kasadan yapılan ödemeleri ve bankaya yatırılanı yaz.</t>
  </si>
  <si>
    <t xml:space="preserve">2. Gün sonu sayımı</t>
  </si>
  <si>
    <t xml:space="preserve">Kasayı say ve Sayılan nakit sütununa yaz; fark ve durum hesaplanır.</t>
  </si>
  <si>
    <t xml:space="preserve">3. Özet</t>
  </si>
  <si>
    <t xml:space="preserve">Aylık nakit ve kart satış, ciro ve kasa farkı.</t>
  </si>
  <si>
    <t xml:space="preserve">BİLMEN GEREKENLER</t>
  </si>
  <si>
    <t xml:space="preserve">Olması gereken</t>
  </si>
  <si>
    <t xml:space="preserve">Açılış nakdi + nakit satış + diğer nakit giriş − kasadan ödenen − bankaya yatırılan. Kart satış kasadaki nakdi etkilemez.</t>
  </si>
  <si>
    <t xml:space="preserve">Ertesi gün</t>
  </si>
  <si>
    <t xml:space="preserve">Bugünün sayılan nakdi, yarının açılış nakdidir; kendin aktarırsın.</t>
  </si>
  <si>
    <t xml:space="preserve">Kapasite</t>
  </si>
  <si>
    <t xml:space="preserve">Günler: 800 satır.</t>
  </si>
  <si>
    <t xml:space="preserve">RENKLER</t>
  </si>
  <si>
    <t xml:space="preserve">Sarı hücre</t>
  </si>
  <si>
    <t xml:space="preserve">Senin dolduracağın hücre. İçindeki örnekleri silip kendi bilgini yaz.</t>
  </si>
  <si>
    <t xml:space="preserve">Beyaz hücre, açık başlık</t>
  </si>
  <si>
    <t xml:space="preserve">Formül. Değiştirme, kendiliğinden hesaplanır.</t>
  </si>
  <si>
    <t xml:space="preserve">Gün Sonu</t>
  </si>
  <si>
    <t xml:space="preserve">Her gün için bir satır. Günü kapatırken kasayı say ve Sayılan nakit sütununa yaz.</t>
  </si>
  <si>
    <t xml:space="preserve">Tarih</t>
  </si>
  <si>
    <t xml:space="preserve">Açılış nakdi (₺)</t>
  </si>
  <si>
    <t xml:space="preserve">Nakit satış (₺)</t>
  </si>
  <si>
    <t xml:space="preserve">Kart satış (₺)</t>
  </si>
  <si>
    <t xml:space="preserve">Diğer nakit giriş (₺)</t>
  </si>
  <si>
    <t xml:space="preserve">Kasadan ödenen (₺)</t>
  </si>
  <si>
    <t xml:space="preserve">Bankaya yatırılan (₺)</t>
  </si>
  <si>
    <t xml:space="preserve">Sayılan nakit (₺)</t>
  </si>
  <si>
    <t xml:space="preserve">Olması gereken (₺)</t>
  </si>
  <si>
    <t xml:space="preserve">Fark (₺)</t>
  </si>
  <si>
    <t xml:space="preserve">Durum</t>
  </si>
  <si>
    <t xml:space="preserve">Günlük ciro (₺)</t>
  </si>
  <si>
    <t xml:space="preserve">Özet</t>
  </si>
  <si>
    <t xml:space="preserve">Bu sayfada yalnızca yılı değiştir.</t>
  </si>
  <si>
    <t xml:space="preserve">Yıl</t>
  </si>
  <si>
    <t xml:space="preserve">Yıl cirosu</t>
  </si>
  <si>
    <t xml:space="preserve">Kart payı</t>
  </si>
  <si>
    <t xml:space="preserve">Toplam kasa farkı</t>
  </si>
  <si>
    <t xml:space="preserve">Açık veren gün</t>
  </si>
  <si>
    <t xml:space="preserve">Günlük ortalama ciro</t>
  </si>
  <si>
    <t xml:space="preserve">Aylık tablo</t>
  </si>
  <si>
    <t xml:space="preserve">Ay</t>
  </si>
  <si>
    <t xml:space="preserve">Ciro (₺)</t>
  </si>
  <si>
    <t xml:space="preserve">Kasa farkı (₺)</t>
  </si>
  <si>
    <t xml:space="preserve">Ocak</t>
  </si>
  <si>
    <t xml:space="preserve">Şubat</t>
  </si>
  <si>
    <t xml:space="preserve">Mart</t>
  </si>
  <si>
    <t xml:space="preserve">Nisan</t>
  </si>
  <si>
    <t xml:space="preserve">Mayıs</t>
  </si>
  <si>
    <t xml:space="preserve">Haziran</t>
  </si>
  <si>
    <t xml:space="preserve">Temmuz</t>
  </si>
  <si>
    <t xml:space="preserve">Ağustos</t>
  </si>
  <si>
    <t xml:space="preserve">Eylül</t>
  </si>
  <si>
    <t xml:space="preserve">Ekim</t>
  </si>
  <si>
    <t xml:space="preserve">Kasım</t>
  </si>
  <si>
    <t xml:space="preserve">Aralık</t>
  </si>
  <si>
    <t xml:space="preserve">TOPLAM</t>
  </si>
  <si>
    <t xml:space="preserve">Yapay Zeka Komutları</t>
  </si>
  <si>
    <t xml:space="preserve">İlgili sayfada başlık satırıyla birlikte kayıtlarını seç, kopyala, kullandığın yapay zeka asistanına yapıştır ve altına komutu ekle.</t>
  </si>
  <si>
    <t xml:space="preserve">Dikkat: Paylaşılacak kişisel bilgi yok; çalışan adı yazma. Yapay zekanın verdiği rakamları dosyadaki özet sayfasıyla karşılaştır.</t>
  </si>
  <si>
    <t xml:space="preserve">Ne için</t>
  </si>
  <si>
    <t xml:space="preserve">Komut (kopyala, yapıştır)</t>
  </si>
  <si>
    <t xml:space="preserve">Açık analizi</t>
  </si>
  <si>
    <t xml:space="preserve">[Günler sayfası] Kasa açığı veren günleri listele; haftanın belirli günlerinde mi toplanıyor?</t>
  </si>
  <si>
    <t xml:space="preserve">Ciro gidişi</t>
  </si>
  <si>
    <t xml:space="preserve">[Özet sayfası] Aylık ciro ve kart payını yorumla.</t>
  </si>
  <si>
    <t xml:space="preserve">Kasa kuralı</t>
  </si>
  <si>
    <t xml:space="preserve">Kasa açığını azaltmak için küçük bir dükkânda uygulanabilecek beş kural yaz.</t>
  </si>
  <si>
    <t xml:space="preserve">Kontrol</t>
  </si>
  <si>
    <t xml:space="preserve">[Günler sayfası] Açılış nakdi bir önceki günün sayılan nakdiyle uyuşmayan günleri göster.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</si>
</sst>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\.mm\.yyyy"/>
    <numFmt numFmtId="166" formatCode="#,##0.00&quot; ₺&quot;"/>
    <numFmt numFmtId="167" formatCode="#,##0.00&quot; ₺&quot;;[RED]\-#,##0.00&quot; ₺&quot;;\-"/>
    <numFmt numFmtId="168" formatCode="0"/>
    <numFmt numFmtId="169" formatCode="0%"/>
    <numFmt numFmtId="170" formatCode="#,##0;[RED]\-#,##0;\-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20"/>
      <color rgb="FF1F6F43"/>
      <name val="Arial"/>
      <family val="0"/>
      <charset val="1"/>
    </font>
    <font>
      <sz val="10"/>
      <color rgb="FF475467"/>
      <name val="Arial"/>
      <family val="0"/>
      <charset val="1"/>
    </font>
    <font>
      <b val="true"/>
      <sz val="10"/>
      <color rgb="FF1F6F43"/>
      <name val="Arial"/>
      <family val="0"/>
      <charset val="1"/>
    </font>
    <font>
      <b val="true"/>
      <sz val="10"/>
      <color rgb="FF1B1F23"/>
      <name val="Arial"/>
      <family val="0"/>
      <charset val="1"/>
    </font>
    <font>
      <sz val="10"/>
      <color rgb="FF1B1F23"/>
      <name val="Arial"/>
      <family val="0"/>
      <charset val="1"/>
    </font>
    <font>
      <b val="true"/>
      <sz val="16"/>
      <color rgb="FF1F6F43"/>
      <name val="Arial"/>
      <family val="0"/>
      <charset val="1"/>
    </font>
    <font>
      <i val="true"/>
      <sz val="9"/>
      <color rgb="FF47546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1F23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2"/>
      <color rgb="FF1B1F23"/>
      <name val="Arial"/>
      <family val="0"/>
      <charset val="1"/>
    </font>
    <font>
      <b val="true"/>
      <sz val="12"/>
      <color rgb="FFB42318"/>
      <name val="Arial"/>
      <family val="0"/>
      <charset val="1"/>
    </font>
    <font>
      <b val="true"/>
      <sz val="11"/>
      <color rgb="FF1F6F43"/>
      <name val="Arial"/>
      <family val="0"/>
      <charset val="1"/>
    </font>
    <font>
      <b val="true"/>
      <sz val="10"/>
      <color rgb="FFB42318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6F43"/>
        <bgColor rgb="FF3B8A5E"/>
      </patternFill>
    </fill>
    <fill>
      <patternFill patternType="solid">
        <fgColor rgb="FFE8F5EE"/>
        <bgColor rgb="FFF3F4F6"/>
      </patternFill>
    </fill>
    <fill>
      <patternFill patternType="solid">
        <fgColor rgb="FFFFF9DB"/>
        <bgColor rgb="FFFEF0C7"/>
      </patternFill>
    </fill>
    <fill>
      <patternFill patternType="solid">
        <fgColor rgb="FF3B8A5E"/>
        <bgColor rgb="FF1F6F43"/>
      </patternFill>
    </fill>
    <fill>
      <patternFill patternType="solid">
        <fgColor rgb="FFFFFFFF"/>
        <bgColor rgb="FFF3F4F6"/>
      </patternFill>
    </fill>
    <fill>
      <patternFill patternType="solid">
        <fgColor rgb="FFF3F4F6"/>
        <bgColor rgb="FFE8F5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B42318"/>
      </font>
      <fill>
        <patternFill>
          <bgColor rgb="FFFDE2E0"/>
        </patternFill>
      </fill>
    </dxf>
    <dxf>
      <font>
        <name val="Arial"/>
        <charset val="1"/>
        <family val="0"/>
        <b val="1"/>
        <color rgb="FF93370D"/>
      </font>
      <fill>
        <patternFill>
          <bgColor rgb="FFFEF0C7"/>
        </patternFill>
      </fill>
    </dxf>
    <dxf>
      <font>
        <name val="Arial"/>
        <charset val="1"/>
        <family val="0"/>
        <b val="1"/>
        <color rgb="FF1F6F43"/>
      </font>
      <fill>
        <patternFill>
          <bgColor rgb="FFE8F5E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43"/>
      <rgbColor rgb="FFC0C0C0"/>
      <rgbColor rgb="FF808080"/>
      <rgbColor rgb="FF9999FF"/>
      <rgbColor rgb="FFB42318"/>
      <rgbColor rgb="FFFFF9DB"/>
      <rgbColor rgb="FFE8F5EE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CCFFCC"/>
      <rgbColor rgb="FFFEF0C7"/>
      <rgbColor rgb="FF99CCFF"/>
      <rgbColor rgb="FFFF99CC"/>
      <rgbColor rgb="FFCC99FF"/>
      <rgbColor rgb="FFFDE2E0"/>
      <rgbColor rgb="FF3366FF"/>
      <rgbColor rgb="FF33CCCC"/>
      <rgbColor rgb="FF99CC00"/>
      <rgbColor rgb="FFFFCC00"/>
      <rgbColor rgb="FFFF9900"/>
      <rgbColor rgb="FFFF6600"/>
      <rgbColor rgb="FF475467"/>
      <rgbColor rgb="FF969696"/>
      <rgbColor rgb="FF003366"/>
      <rgbColor rgb="FF3B8A5E"/>
      <rgbColor rgb="FF003300"/>
      <rgbColor rgb="FF333300"/>
      <rgbColor rgb="FF93370D"/>
      <rgbColor rgb="FF993366"/>
      <rgbColor rgb="FF333399"/>
      <rgbColor rgb="FF1B1F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B2:C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88"/>
  </cols>
  <sheetData>
    <row r="2" customFormat="false" ht="24" hidden="false" customHeight="true" outlineLevel="0" collapsed="false">
      <c r="B2" s="1" t="s">
        <v>0</v>
      </c>
      <c r="C2" s="1"/>
    </row>
    <row r="3" customFormat="false" ht="36" hidden="false" customHeight="true" outlineLevel="0" collapsed="false">
      <c r="B3" s="2" t="s">
        <v>1</v>
      </c>
      <c r="C3" s="2"/>
    </row>
    <row r="4" customFormat="false" ht="15" hidden="false" customHeight="false" outlineLevel="0" collapsed="false">
      <c r="B4" s="3" t="s">
        <v>2</v>
      </c>
      <c r="C4" s="3"/>
    </row>
    <row r="6" customFormat="false" ht="19.5" hidden="false" customHeight="true" outlineLevel="0" collapsed="false">
      <c r="B6" s="4" t="s">
        <v>3</v>
      </c>
      <c r="C6" s="4"/>
    </row>
    <row r="7" customFormat="false" ht="30" hidden="false" customHeight="true" outlineLevel="0" collapsed="false">
      <c r="B7" s="5" t="s">
        <v>4</v>
      </c>
      <c r="C7" s="6" t="s">
        <v>5</v>
      </c>
    </row>
    <row r="8" customFormat="false" ht="18" hidden="false" customHeight="true" outlineLevel="0" collapsed="false">
      <c r="B8" s="5" t="s">
        <v>6</v>
      </c>
      <c r="C8" s="6" t="s">
        <v>7</v>
      </c>
    </row>
    <row r="9" customFormat="false" ht="18" hidden="false" customHeight="true" outlineLevel="0" collapsed="false">
      <c r="B9" s="5" t="s">
        <v>8</v>
      </c>
      <c r="C9" s="6" t="s">
        <v>9</v>
      </c>
    </row>
    <row r="11" customFormat="false" ht="19.5" hidden="false" customHeight="true" outlineLevel="0" collapsed="false">
      <c r="B11" s="4" t="s">
        <v>10</v>
      </c>
      <c r="C11" s="4"/>
    </row>
    <row r="12" customFormat="false" ht="30" hidden="false" customHeight="true" outlineLevel="0" collapsed="false">
      <c r="B12" s="5" t="s">
        <v>11</v>
      </c>
      <c r="C12" s="6" t="s">
        <v>12</v>
      </c>
    </row>
    <row r="13" customFormat="false" ht="18" hidden="false" customHeight="true" outlineLevel="0" collapsed="false">
      <c r="B13" s="5" t="s">
        <v>13</v>
      </c>
      <c r="C13" s="6" t="s">
        <v>14</v>
      </c>
    </row>
    <row r="14" customFormat="false" ht="18" hidden="false" customHeight="true" outlineLevel="0" collapsed="false">
      <c r="B14" s="5" t="s">
        <v>15</v>
      </c>
      <c r="C14" s="6" t="s">
        <v>16</v>
      </c>
    </row>
    <row r="16" customFormat="false" ht="19.5" hidden="false" customHeight="true" outlineLevel="0" collapsed="false">
      <c r="B16" s="4" t="s">
        <v>17</v>
      </c>
      <c r="C16" s="4"/>
    </row>
    <row r="17" customFormat="false" ht="18" hidden="false" customHeight="true" outlineLevel="0" collapsed="false">
      <c r="B17" s="7" t="s">
        <v>18</v>
      </c>
      <c r="C17" s="6" t="s">
        <v>19</v>
      </c>
    </row>
    <row r="18" customFormat="false" ht="18" hidden="false" customHeight="true" outlineLevel="0" collapsed="false">
      <c r="B18" s="5" t="s">
        <v>20</v>
      </c>
      <c r="C18" s="6" t="s">
        <v>21</v>
      </c>
    </row>
  </sheetData>
  <mergeCells count="6">
    <mergeCell ref="B2:C2"/>
    <mergeCell ref="B3:C3"/>
    <mergeCell ref="B4:C4"/>
    <mergeCell ref="B6:C6"/>
    <mergeCell ref="B11:C11"/>
    <mergeCell ref="B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L8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4"/>
    <col collapsed="false" customWidth="true" hidden="false" outlineLevel="0" max="6" min="5" style="0" width="16"/>
    <col collapsed="false" customWidth="true" hidden="false" outlineLevel="0" max="7" min="7" style="0" width="17"/>
    <col collapsed="false" customWidth="true" hidden="false" outlineLevel="0" max="8" min="8" style="0" width="15"/>
    <col collapsed="false" customWidth="true" hidden="false" outlineLevel="0" max="9" min="9" style="0" width="16"/>
    <col collapsed="false" customWidth="true" hidden="false" outlineLevel="0" max="11" min="10" style="0" width="14"/>
    <col collapsed="false" customWidth="true" hidden="false" outlineLevel="0" max="12" min="12" style="0" width="15"/>
  </cols>
  <sheetData>
    <row r="1" customFormat="false" ht="19.7" hidden="false" customHeight="false" outlineLevel="0" collapsed="false">
      <c r="A1" s="8" t="s">
        <v>22</v>
      </c>
    </row>
    <row r="2" customFormat="false" ht="15" hidden="false" customHeight="false" outlineLevel="0" collapsed="false">
      <c r="A2" s="9" t="s">
        <v>23</v>
      </c>
    </row>
    <row r="4" customFormat="false" ht="27.75" hidden="false" customHeight="true" outlineLevel="0" collapsed="false">
      <c r="A4" s="10" t="s">
        <v>24</v>
      </c>
      <c r="B4" s="10" t="s">
        <v>25</v>
      </c>
      <c r="C4" s="10" t="s">
        <v>26</v>
      </c>
      <c r="D4" s="10" t="s">
        <v>27</v>
      </c>
      <c r="E4" s="10" t="s">
        <v>28</v>
      </c>
      <c r="F4" s="10" t="s">
        <v>29</v>
      </c>
      <c r="G4" s="10" t="s">
        <v>30</v>
      </c>
      <c r="H4" s="10" t="s">
        <v>31</v>
      </c>
      <c r="I4" s="11" t="s">
        <v>32</v>
      </c>
      <c r="J4" s="11" t="s">
        <v>33</v>
      </c>
      <c r="K4" s="11" t="s">
        <v>34</v>
      </c>
      <c r="L4" s="11" t="s">
        <v>35</v>
      </c>
    </row>
    <row r="5" customFormat="false" ht="15" hidden="false" customHeight="false" outlineLevel="0" collapsed="false">
      <c r="A5" s="12" t="n">
        <v>46296</v>
      </c>
      <c r="B5" s="13" t="n">
        <v>1000</v>
      </c>
      <c r="C5" s="13" t="n">
        <v>8400</v>
      </c>
      <c r="D5" s="13" t="n">
        <v>12600</v>
      </c>
      <c r="E5" s="13" t="n">
        <v>0</v>
      </c>
      <c r="F5" s="13" t="n">
        <v>650</v>
      </c>
      <c r="G5" s="13" t="n">
        <v>7000</v>
      </c>
      <c r="H5" s="13" t="n">
        <v>1750</v>
      </c>
      <c r="I5" s="14" t="n">
        <f aca="false">IF(A5="","",B5+C5+E5-F5-G5)</f>
        <v>1750</v>
      </c>
      <c r="J5" s="14" t="n">
        <f aca="false">IF(OR(A5="",H5=""),"",ROUND(H5-I5,2))</f>
        <v>0</v>
      </c>
      <c r="K5" s="15" t="str">
        <f aca="false">IF(J5="","",IF(J5=0,"Tam",IF(J5&lt;0,"Açık","Fazla")))</f>
        <v>Tam</v>
      </c>
      <c r="L5" s="14" t="n">
        <f aca="false">IF(A5="","",C5+D5)</f>
        <v>21000</v>
      </c>
    </row>
    <row r="6" customFormat="false" ht="15" hidden="false" customHeight="false" outlineLevel="0" collapsed="false">
      <c r="A6" s="12" t="n">
        <v>46297</v>
      </c>
      <c r="B6" s="13" t="n">
        <v>1750</v>
      </c>
      <c r="C6" s="13" t="n">
        <v>7900</v>
      </c>
      <c r="D6" s="13" t="n">
        <v>11200</v>
      </c>
      <c r="E6" s="13" t="n">
        <v>500</v>
      </c>
      <c r="F6" s="13" t="n">
        <v>300</v>
      </c>
      <c r="G6" s="13" t="n">
        <v>8000</v>
      </c>
      <c r="H6" s="13" t="n">
        <v>1800</v>
      </c>
      <c r="I6" s="14" t="n">
        <f aca="false">IF(A6="","",B6+C6+E6-F6-G6)</f>
        <v>1850</v>
      </c>
      <c r="J6" s="14" t="n">
        <f aca="false">IF(OR(A6="",H6=""),"",ROUND(H6-I6,2))</f>
        <v>-50</v>
      </c>
      <c r="K6" s="15" t="str">
        <f aca="false">IF(J6="","",IF(J6=0,"Tam",IF(J6&lt;0,"Açık","Fazla")))</f>
        <v>Açık</v>
      </c>
      <c r="L6" s="14" t="n">
        <f aca="false">IF(A6="","",C6+D6)</f>
        <v>19100</v>
      </c>
    </row>
    <row r="7" customFormat="false" ht="15" hidden="false" customHeight="false" outlineLevel="0" collapsed="false">
      <c r="A7" s="12" t="n">
        <v>46298</v>
      </c>
      <c r="B7" s="13" t="n">
        <v>1800</v>
      </c>
      <c r="C7" s="13" t="n">
        <v>9300</v>
      </c>
      <c r="D7" s="13" t="n">
        <v>14100</v>
      </c>
      <c r="E7" s="13" t="n">
        <v>0</v>
      </c>
      <c r="F7" s="13" t="n">
        <v>1200</v>
      </c>
      <c r="G7" s="13" t="n">
        <v>8000</v>
      </c>
      <c r="H7" s="13" t="n">
        <v>1900</v>
      </c>
      <c r="I7" s="14" t="n">
        <f aca="false">IF(A7="","",B7+C7+E7-F7-G7)</f>
        <v>1900</v>
      </c>
      <c r="J7" s="14" t="n">
        <f aca="false">IF(OR(A7="",H7=""),"",ROUND(H7-I7,2))</f>
        <v>0</v>
      </c>
      <c r="K7" s="15" t="str">
        <f aca="false">IF(J7="","",IF(J7=0,"Tam",IF(J7&lt;0,"Açık","Fazla")))</f>
        <v>Tam</v>
      </c>
      <c r="L7" s="14" t="n">
        <f aca="false">IF(A7="","",C7+D7)</f>
        <v>23400</v>
      </c>
    </row>
    <row r="8" customFormat="false" ht="15" hidden="false" customHeight="false" outlineLevel="0" collapsed="false">
      <c r="A8" s="12" t="n">
        <v>46295</v>
      </c>
      <c r="B8" s="13" t="n">
        <v>1000</v>
      </c>
      <c r="C8" s="13" t="n">
        <v>6000</v>
      </c>
      <c r="D8" s="13" t="n">
        <v>9000</v>
      </c>
      <c r="E8" s="13" t="n">
        <v>0</v>
      </c>
      <c r="F8" s="13" t="n">
        <v>0</v>
      </c>
      <c r="G8" s="13" t="n">
        <v>6000</v>
      </c>
      <c r="H8" s="13" t="n">
        <v>1000</v>
      </c>
      <c r="I8" s="14" t="n">
        <f aca="false">IF(A8="","",B8+C8+E8-F8-G8)</f>
        <v>1000</v>
      </c>
      <c r="J8" s="14" t="n">
        <f aca="false">IF(OR(A8="",H8=""),"",ROUND(H8-I8,2))</f>
        <v>0</v>
      </c>
      <c r="K8" s="15" t="str">
        <f aca="false">IF(J8="","",IF(J8=0,"Tam",IF(J8&lt;0,"Açık","Fazla")))</f>
        <v>Tam</v>
      </c>
      <c r="L8" s="14" t="n">
        <f aca="false">IF(A8="","",C8+D8)</f>
        <v>15000</v>
      </c>
    </row>
    <row r="9" customFormat="false" ht="15" hidden="false" customHeight="false" outlineLevel="0" collapsed="false">
      <c r="A9" s="12"/>
      <c r="B9" s="13"/>
      <c r="C9" s="13"/>
      <c r="D9" s="13"/>
      <c r="E9" s="13"/>
      <c r="F9" s="13"/>
      <c r="G9" s="13"/>
      <c r="H9" s="13"/>
      <c r="I9" s="14" t="str">
        <f aca="false">IF(A9="","",B9+C9+E9-F9-G9)</f>
        <v/>
      </c>
      <c r="J9" s="14" t="str">
        <f aca="false">IF(OR(A9="",H9=""),"",ROUND(H9-I9,2))</f>
        <v/>
      </c>
      <c r="K9" s="15" t="str">
        <f aca="false">IF(J9="","",IF(J9=0,"Tam",IF(J9&lt;0,"Açık","Fazla")))</f>
        <v/>
      </c>
      <c r="L9" s="14" t="str">
        <f aca="false">IF(A9="","",C9+D9)</f>
        <v/>
      </c>
    </row>
    <row r="10" customFormat="false" ht="15" hidden="false" customHeight="false" outlineLevel="0" collapsed="false">
      <c r="A10" s="12"/>
      <c r="B10" s="13"/>
      <c r="C10" s="13"/>
      <c r="D10" s="13"/>
      <c r="E10" s="13"/>
      <c r="F10" s="13"/>
      <c r="G10" s="13"/>
      <c r="H10" s="13"/>
      <c r="I10" s="14" t="str">
        <f aca="false">IF(A10="","",B10+C10+E10-F10-G10)</f>
        <v/>
      </c>
      <c r="J10" s="14" t="str">
        <f aca="false">IF(OR(A10="",H10=""),"",ROUND(H10-I10,2))</f>
        <v/>
      </c>
      <c r="K10" s="15" t="str">
        <f aca="false">IF(J10="","",IF(J10=0,"Tam",IF(J10&lt;0,"Açık","Fazla")))</f>
        <v/>
      </c>
      <c r="L10" s="14" t="str">
        <f aca="false">IF(A10="","",C10+D10)</f>
        <v/>
      </c>
    </row>
    <row r="11" customFormat="false" ht="15" hidden="false" customHeight="false" outlineLevel="0" collapsed="false">
      <c r="A11" s="12"/>
      <c r="B11" s="13"/>
      <c r="C11" s="13"/>
      <c r="D11" s="13"/>
      <c r="E11" s="13"/>
      <c r="F11" s="13"/>
      <c r="G11" s="13"/>
      <c r="H11" s="13"/>
      <c r="I11" s="14" t="str">
        <f aca="false">IF(A11="","",B11+C11+E11-F11-G11)</f>
        <v/>
      </c>
      <c r="J11" s="14" t="str">
        <f aca="false">IF(OR(A11="",H11=""),"",ROUND(H11-I11,2))</f>
        <v/>
      </c>
      <c r="K11" s="15" t="str">
        <f aca="false">IF(J11="","",IF(J11=0,"Tam",IF(J11&lt;0,"Açık","Fazla")))</f>
        <v/>
      </c>
      <c r="L11" s="14" t="str">
        <f aca="false">IF(A11="","",C11+D11)</f>
        <v/>
      </c>
    </row>
    <row r="12" customFormat="false" ht="15" hidden="false" customHeight="false" outlineLevel="0" collapsed="false">
      <c r="A12" s="12"/>
      <c r="B12" s="13"/>
      <c r="C12" s="13"/>
      <c r="D12" s="13"/>
      <c r="E12" s="13"/>
      <c r="F12" s="13"/>
      <c r="G12" s="13"/>
      <c r="H12" s="13"/>
      <c r="I12" s="14" t="str">
        <f aca="false">IF(A12="","",B12+C12+E12-F12-G12)</f>
        <v/>
      </c>
      <c r="J12" s="14" t="str">
        <f aca="false">IF(OR(A12="",H12=""),"",ROUND(H12-I12,2))</f>
        <v/>
      </c>
      <c r="K12" s="15" t="str">
        <f aca="false">IF(J12="","",IF(J12=0,"Tam",IF(J12&lt;0,"Açık","Fazla")))</f>
        <v/>
      </c>
      <c r="L12" s="14" t="str">
        <f aca="false">IF(A12="","",C12+D12)</f>
        <v/>
      </c>
    </row>
    <row r="13" customFormat="false" ht="15" hidden="false" customHeight="false" outlineLevel="0" collapsed="false">
      <c r="A13" s="12"/>
      <c r="B13" s="13"/>
      <c r="C13" s="13"/>
      <c r="D13" s="13"/>
      <c r="E13" s="13"/>
      <c r="F13" s="13"/>
      <c r="G13" s="13"/>
      <c r="H13" s="13"/>
      <c r="I13" s="14" t="str">
        <f aca="false">IF(A13="","",B13+C13+E13-F13-G13)</f>
        <v/>
      </c>
      <c r="J13" s="14" t="str">
        <f aca="false">IF(OR(A13="",H13=""),"",ROUND(H13-I13,2))</f>
        <v/>
      </c>
      <c r="K13" s="15" t="str">
        <f aca="false">IF(J13="","",IF(J13=0,"Tam",IF(J13&lt;0,"Açık","Fazla")))</f>
        <v/>
      </c>
      <c r="L13" s="14" t="str">
        <f aca="false">IF(A13="","",C13+D13)</f>
        <v/>
      </c>
    </row>
    <row r="14" customFormat="false" ht="15" hidden="false" customHeight="false" outlineLevel="0" collapsed="false">
      <c r="A14" s="12"/>
      <c r="B14" s="13"/>
      <c r="C14" s="13"/>
      <c r="D14" s="13"/>
      <c r="E14" s="13"/>
      <c r="F14" s="13"/>
      <c r="G14" s="13"/>
      <c r="H14" s="13"/>
      <c r="I14" s="14" t="str">
        <f aca="false">IF(A14="","",B14+C14+E14-F14-G14)</f>
        <v/>
      </c>
      <c r="J14" s="14" t="str">
        <f aca="false">IF(OR(A14="",H14=""),"",ROUND(H14-I14,2))</f>
        <v/>
      </c>
      <c r="K14" s="15" t="str">
        <f aca="false">IF(J14="","",IF(J14=0,"Tam",IF(J14&lt;0,"Açık","Fazla")))</f>
        <v/>
      </c>
      <c r="L14" s="14" t="str">
        <f aca="false">IF(A14="","",C14+D14)</f>
        <v/>
      </c>
    </row>
    <row r="15" customFormat="false" ht="15" hidden="false" customHeight="false" outlineLevel="0" collapsed="false">
      <c r="A15" s="12"/>
      <c r="B15" s="13"/>
      <c r="C15" s="13"/>
      <c r="D15" s="13"/>
      <c r="E15" s="13"/>
      <c r="F15" s="13"/>
      <c r="G15" s="13"/>
      <c r="H15" s="13"/>
      <c r="I15" s="14" t="str">
        <f aca="false">IF(A15="","",B15+C15+E15-F15-G15)</f>
        <v/>
      </c>
      <c r="J15" s="14" t="str">
        <f aca="false">IF(OR(A15="",H15=""),"",ROUND(H15-I15,2))</f>
        <v/>
      </c>
      <c r="K15" s="15" t="str">
        <f aca="false">IF(J15="","",IF(J15=0,"Tam",IF(J15&lt;0,"Açık","Fazla")))</f>
        <v/>
      </c>
      <c r="L15" s="14" t="str">
        <f aca="false">IF(A15="","",C15+D15)</f>
        <v/>
      </c>
    </row>
    <row r="16" customFormat="false" ht="15" hidden="false" customHeight="false" outlineLevel="0" collapsed="false">
      <c r="A16" s="12"/>
      <c r="B16" s="13"/>
      <c r="C16" s="13"/>
      <c r="D16" s="13"/>
      <c r="E16" s="13"/>
      <c r="F16" s="13"/>
      <c r="G16" s="13"/>
      <c r="H16" s="13"/>
      <c r="I16" s="14" t="str">
        <f aca="false">IF(A16="","",B16+C16+E16-F16-G16)</f>
        <v/>
      </c>
      <c r="J16" s="14" t="str">
        <f aca="false">IF(OR(A16="",H16=""),"",ROUND(H16-I16,2))</f>
        <v/>
      </c>
      <c r="K16" s="15" t="str">
        <f aca="false">IF(J16="","",IF(J16=0,"Tam",IF(J16&lt;0,"Açık","Fazla")))</f>
        <v/>
      </c>
      <c r="L16" s="14" t="str">
        <f aca="false">IF(A16="","",C16+D16)</f>
        <v/>
      </c>
    </row>
    <row r="17" customFormat="false" ht="15" hidden="false" customHeight="false" outlineLevel="0" collapsed="false">
      <c r="A17" s="12"/>
      <c r="B17" s="13"/>
      <c r="C17" s="13"/>
      <c r="D17" s="13"/>
      <c r="E17" s="13"/>
      <c r="F17" s="13"/>
      <c r="G17" s="13"/>
      <c r="H17" s="13"/>
      <c r="I17" s="14" t="str">
        <f aca="false">IF(A17="","",B17+C17+E17-F17-G17)</f>
        <v/>
      </c>
      <c r="J17" s="14" t="str">
        <f aca="false">IF(OR(A17="",H17=""),"",ROUND(H17-I17,2))</f>
        <v/>
      </c>
      <c r="K17" s="15" t="str">
        <f aca="false">IF(J17="","",IF(J17=0,"Tam",IF(J17&lt;0,"Açık","Fazla")))</f>
        <v/>
      </c>
      <c r="L17" s="14" t="str">
        <f aca="false">IF(A17="","",C17+D17)</f>
        <v/>
      </c>
    </row>
    <row r="18" customFormat="false" ht="15" hidden="false" customHeight="false" outlineLevel="0" collapsed="false">
      <c r="A18" s="12"/>
      <c r="B18" s="13"/>
      <c r="C18" s="13"/>
      <c r="D18" s="13"/>
      <c r="E18" s="13"/>
      <c r="F18" s="13"/>
      <c r="G18" s="13"/>
      <c r="H18" s="13"/>
      <c r="I18" s="14" t="str">
        <f aca="false">IF(A18="","",B18+C18+E18-F18-G18)</f>
        <v/>
      </c>
      <c r="J18" s="14" t="str">
        <f aca="false">IF(OR(A18="",H18=""),"",ROUND(H18-I18,2))</f>
        <v/>
      </c>
      <c r="K18" s="15" t="str">
        <f aca="false">IF(J18="","",IF(J18=0,"Tam",IF(J18&lt;0,"Açık","Fazla")))</f>
        <v/>
      </c>
      <c r="L18" s="14" t="str">
        <f aca="false">IF(A18="","",C18+D18)</f>
        <v/>
      </c>
    </row>
    <row r="19" customFormat="false" ht="15" hidden="false" customHeight="false" outlineLevel="0" collapsed="false">
      <c r="A19" s="12"/>
      <c r="B19" s="13"/>
      <c r="C19" s="13"/>
      <c r="D19" s="13"/>
      <c r="E19" s="13"/>
      <c r="F19" s="13"/>
      <c r="G19" s="13"/>
      <c r="H19" s="13"/>
      <c r="I19" s="14" t="str">
        <f aca="false">IF(A19="","",B19+C19+E19-F19-G19)</f>
        <v/>
      </c>
      <c r="J19" s="14" t="str">
        <f aca="false">IF(OR(A19="",H19=""),"",ROUND(H19-I19,2))</f>
        <v/>
      </c>
      <c r="K19" s="15" t="str">
        <f aca="false">IF(J19="","",IF(J19=0,"Tam",IF(J19&lt;0,"Açık","Fazla")))</f>
        <v/>
      </c>
      <c r="L19" s="14" t="str">
        <f aca="false">IF(A19="","",C19+D19)</f>
        <v/>
      </c>
    </row>
    <row r="20" customFormat="false" ht="15" hidden="false" customHeight="false" outlineLevel="0" collapsed="false">
      <c r="A20" s="12"/>
      <c r="B20" s="13"/>
      <c r="C20" s="13"/>
      <c r="D20" s="13"/>
      <c r="E20" s="13"/>
      <c r="F20" s="13"/>
      <c r="G20" s="13"/>
      <c r="H20" s="13"/>
      <c r="I20" s="14" t="str">
        <f aca="false">IF(A20="","",B20+C20+E20-F20-G20)</f>
        <v/>
      </c>
      <c r="J20" s="14" t="str">
        <f aca="false">IF(OR(A20="",H20=""),"",ROUND(H20-I20,2))</f>
        <v/>
      </c>
      <c r="K20" s="15" t="str">
        <f aca="false">IF(J20="","",IF(J20=0,"Tam",IF(J20&lt;0,"Açık","Fazla")))</f>
        <v/>
      </c>
      <c r="L20" s="14" t="str">
        <f aca="false">IF(A20="","",C20+D20)</f>
        <v/>
      </c>
    </row>
    <row r="21" customFormat="false" ht="15" hidden="false" customHeight="false" outlineLevel="0" collapsed="false">
      <c r="A21" s="12"/>
      <c r="B21" s="13"/>
      <c r="C21" s="13"/>
      <c r="D21" s="13"/>
      <c r="E21" s="13"/>
      <c r="F21" s="13"/>
      <c r="G21" s="13"/>
      <c r="H21" s="13"/>
      <c r="I21" s="14" t="str">
        <f aca="false">IF(A21="","",B21+C21+E21-F21-G21)</f>
        <v/>
      </c>
      <c r="J21" s="14" t="str">
        <f aca="false">IF(OR(A21="",H21=""),"",ROUND(H21-I21,2))</f>
        <v/>
      </c>
      <c r="K21" s="15" t="str">
        <f aca="false">IF(J21="","",IF(J21=0,"Tam",IF(J21&lt;0,"Açık","Fazla")))</f>
        <v/>
      </c>
      <c r="L21" s="14" t="str">
        <f aca="false">IF(A21="","",C21+D21)</f>
        <v/>
      </c>
    </row>
    <row r="22" customFormat="false" ht="15" hidden="false" customHeight="false" outlineLevel="0" collapsed="false">
      <c r="A22" s="12"/>
      <c r="B22" s="13"/>
      <c r="C22" s="13"/>
      <c r="D22" s="13"/>
      <c r="E22" s="13"/>
      <c r="F22" s="13"/>
      <c r="G22" s="13"/>
      <c r="H22" s="13"/>
      <c r="I22" s="14" t="str">
        <f aca="false">IF(A22="","",B22+C22+E22-F22-G22)</f>
        <v/>
      </c>
      <c r="J22" s="14" t="str">
        <f aca="false">IF(OR(A22="",H22=""),"",ROUND(H22-I22,2))</f>
        <v/>
      </c>
      <c r="K22" s="15" t="str">
        <f aca="false">IF(J22="","",IF(J22=0,"Tam",IF(J22&lt;0,"Açık","Fazla")))</f>
        <v/>
      </c>
      <c r="L22" s="14" t="str">
        <f aca="false">IF(A22="","",C22+D22)</f>
        <v/>
      </c>
    </row>
    <row r="23" customFormat="false" ht="15" hidden="false" customHeight="false" outlineLevel="0" collapsed="false">
      <c r="A23" s="12"/>
      <c r="B23" s="13"/>
      <c r="C23" s="13"/>
      <c r="D23" s="13"/>
      <c r="E23" s="13"/>
      <c r="F23" s="13"/>
      <c r="G23" s="13"/>
      <c r="H23" s="13"/>
      <c r="I23" s="14" t="str">
        <f aca="false">IF(A23="","",B23+C23+E23-F23-G23)</f>
        <v/>
      </c>
      <c r="J23" s="14" t="str">
        <f aca="false">IF(OR(A23="",H23=""),"",ROUND(H23-I23,2))</f>
        <v/>
      </c>
      <c r="K23" s="15" t="str">
        <f aca="false">IF(J23="","",IF(J23=0,"Tam",IF(J23&lt;0,"Açık","Fazla")))</f>
        <v/>
      </c>
      <c r="L23" s="14" t="str">
        <f aca="false">IF(A23="","",C23+D23)</f>
        <v/>
      </c>
    </row>
    <row r="24" customFormat="false" ht="15" hidden="false" customHeight="false" outlineLevel="0" collapsed="false">
      <c r="A24" s="12"/>
      <c r="B24" s="13"/>
      <c r="C24" s="13"/>
      <c r="D24" s="13"/>
      <c r="E24" s="13"/>
      <c r="F24" s="13"/>
      <c r="G24" s="13"/>
      <c r="H24" s="13"/>
      <c r="I24" s="14" t="str">
        <f aca="false">IF(A24="","",B24+C24+E24-F24-G24)</f>
        <v/>
      </c>
      <c r="J24" s="14" t="str">
        <f aca="false">IF(OR(A24="",H24=""),"",ROUND(H24-I24,2))</f>
        <v/>
      </c>
      <c r="K24" s="15" t="str">
        <f aca="false">IF(J24="","",IF(J24=0,"Tam",IF(J24&lt;0,"Açık","Fazla")))</f>
        <v/>
      </c>
      <c r="L24" s="14" t="str">
        <f aca="false">IF(A24="","",C24+D24)</f>
        <v/>
      </c>
    </row>
    <row r="25" customFormat="false" ht="15" hidden="false" customHeight="false" outlineLevel="0" collapsed="false">
      <c r="A25" s="12"/>
      <c r="B25" s="13"/>
      <c r="C25" s="13"/>
      <c r="D25" s="13"/>
      <c r="E25" s="13"/>
      <c r="F25" s="13"/>
      <c r="G25" s="13"/>
      <c r="H25" s="13"/>
      <c r="I25" s="14" t="str">
        <f aca="false">IF(A25="","",B25+C25+E25-F25-G25)</f>
        <v/>
      </c>
      <c r="J25" s="14" t="str">
        <f aca="false">IF(OR(A25="",H25=""),"",ROUND(H25-I25,2))</f>
        <v/>
      </c>
      <c r="K25" s="15" t="str">
        <f aca="false">IF(J25="","",IF(J25=0,"Tam",IF(J25&lt;0,"Açık","Fazla")))</f>
        <v/>
      </c>
      <c r="L25" s="14" t="str">
        <f aca="false">IF(A25="","",C25+D25)</f>
        <v/>
      </c>
    </row>
    <row r="26" customFormat="false" ht="15" hidden="false" customHeight="false" outlineLevel="0" collapsed="false">
      <c r="A26" s="12"/>
      <c r="B26" s="13"/>
      <c r="C26" s="13"/>
      <c r="D26" s="13"/>
      <c r="E26" s="13"/>
      <c r="F26" s="13"/>
      <c r="G26" s="13"/>
      <c r="H26" s="13"/>
      <c r="I26" s="14" t="str">
        <f aca="false">IF(A26="","",B26+C26+E26-F26-G26)</f>
        <v/>
      </c>
      <c r="J26" s="14" t="str">
        <f aca="false">IF(OR(A26="",H26=""),"",ROUND(H26-I26,2))</f>
        <v/>
      </c>
      <c r="K26" s="15" t="str">
        <f aca="false">IF(J26="","",IF(J26=0,"Tam",IF(J26&lt;0,"Açık","Fazla")))</f>
        <v/>
      </c>
      <c r="L26" s="14" t="str">
        <f aca="false">IF(A26="","",C26+D26)</f>
        <v/>
      </c>
    </row>
    <row r="27" customFormat="false" ht="15" hidden="false" customHeight="false" outlineLevel="0" collapsed="false">
      <c r="A27" s="12"/>
      <c r="B27" s="13"/>
      <c r="C27" s="13"/>
      <c r="D27" s="13"/>
      <c r="E27" s="13"/>
      <c r="F27" s="13"/>
      <c r="G27" s="13"/>
      <c r="H27" s="13"/>
      <c r="I27" s="14" t="str">
        <f aca="false">IF(A27="","",B27+C27+E27-F27-G27)</f>
        <v/>
      </c>
      <c r="J27" s="14" t="str">
        <f aca="false">IF(OR(A27="",H27=""),"",ROUND(H27-I27,2))</f>
        <v/>
      </c>
      <c r="K27" s="15" t="str">
        <f aca="false">IF(J27="","",IF(J27=0,"Tam",IF(J27&lt;0,"Açık","Fazla")))</f>
        <v/>
      </c>
      <c r="L27" s="14" t="str">
        <f aca="false">IF(A27="","",C27+D27)</f>
        <v/>
      </c>
    </row>
    <row r="28" customFormat="false" ht="15" hidden="false" customHeight="false" outlineLevel="0" collapsed="false">
      <c r="A28" s="12"/>
      <c r="B28" s="13"/>
      <c r="C28" s="13"/>
      <c r="D28" s="13"/>
      <c r="E28" s="13"/>
      <c r="F28" s="13"/>
      <c r="G28" s="13"/>
      <c r="H28" s="13"/>
      <c r="I28" s="14" t="str">
        <f aca="false">IF(A28="","",B28+C28+E28-F28-G28)</f>
        <v/>
      </c>
      <c r="J28" s="14" t="str">
        <f aca="false">IF(OR(A28="",H28=""),"",ROUND(H28-I28,2))</f>
        <v/>
      </c>
      <c r="K28" s="15" t="str">
        <f aca="false">IF(J28="","",IF(J28=0,"Tam",IF(J28&lt;0,"Açık","Fazla")))</f>
        <v/>
      </c>
      <c r="L28" s="14" t="str">
        <f aca="false">IF(A28="","",C28+D28)</f>
        <v/>
      </c>
    </row>
    <row r="29" customFormat="false" ht="15" hidden="false" customHeight="false" outlineLevel="0" collapsed="false">
      <c r="A29" s="12"/>
      <c r="B29" s="13"/>
      <c r="C29" s="13"/>
      <c r="D29" s="13"/>
      <c r="E29" s="13"/>
      <c r="F29" s="13"/>
      <c r="G29" s="13"/>
      <c r="H29" s="13"/>
      <c r="I29" s="14" t="str">
        <f aca="false">IF(A29="","",B29+C29+E29-F29-G29)</f>
        <v/>
      </c>
      <c r="J29" s="14" t="str">
        <f aca="false">IF(OR(A29="",H29=""),"",ROUND(H29-I29,2))</f>
        <v/>
      </c>
      <c r="K29" s="15" t="str">
        <f aca="false">IF(J29="","",IF(J29=0,"Tam",IF(J29&lt;0,"Açık","Fazla")))</f>
        <v/>
      </c>
      <c r="L29" s="14" t="str">
        <f aca="false">IF(A29="","",C29+D29)</f>
        <v/>
      </c>
    </row>
    <row r="30" customFormat="false" ht="15" hidden="false" customHeight="false" outlineLevel="0" collapsed="false">
      <c r="A30" s="12"/>
      <c r="B30" s="13"/>
      <c r="C30" s="13"/>
      <c r="D30" s="13"/>
      <c r="E30" s="13"/>
      <c r="F30" s="13"/>
      <c r="G30" s="13"/>
      <c r="H30" s="13"/>
      <c r="I30" s="14" t="str">
        <f aca="false">IF(A30="","",B30+C30+E30-F30-G30)</f>
        <v/>
      </c>
      <c r="J30" s="14" t="str">
        <f aca="false">IF(OR(A30="",H30=""),"",ROUND(H30-I30,2))</f>
        <v/>
      </c>
      <c r="K30" s="15" t="str">
        <f aca="false">IF(J30="","",IF(J30=0,"Tam",IF(J30&lt;0,"Açık","Fazla")))</f>
        <v/>
      </c>
      <c r="L30" s="14" t="str">
        <f aca="false">IF(A30="","",C30+D30)</f>
        <v/>
      </c>
    </row>
    <row r="31" customFormat="false" ht="15" hidden="false" customHeight="false" outlineLevel="0" collapsed="false">
      <c r="A31" s="12"/>
      <c r="B31" s="13"/>
      <c r="C31" s="13"/>
      <c r="D31" s="13"/>
      <c r="E31" s="13"/>
      <c r="F31" s="13"/>
      <c r="G31" s="13"/>
      <c r="H31" s="13"/>
      <c r="I31" s="14" t="str">
        <f aca="false">IF(A31="","",B31+C31+E31-F31-G31)</f>
        <v/>
      </c>
      <c r="J31" s="14" t="str">
        <f aca="false">IF(OR(A31="",H31=""),"",ROUND(H31-I31,2))</f>
        <v/>
      </c>
      <c r="K31" s="15" t="str">
        <f aca="false">IF(J31="","",IF(J31=0,"Tam",IF(J31&lt;0,"Açık","Fazla")))</f>
        <v/>
      </c>
      <c r="L31" s="14" t="str">
        <f aca="false">IF(A31="","",C31+D31)</f>
        <v/>
      </c>
    </row>
    <row r="32" customFormat="false" ht="15" hidden="false" customHeight="false" outlineLevel="0" collapsed="false">
      <c r="A32" s="12"/>
      <c r="B32" s="13"/>
      <c r="C32" s="13"/>
      <c r="D32" s="13"/>
      <c r="E32" s="13"/>
      <c r="F32" s="13"/>
      <c r="G32" s="13"/>
      <c r="H32" s="13"/>
      <c r="I32" s="14" t="str">
        <f aca="false">IF(A32="","",B32+C32+E32-F32-G32)</f>
        <v/>
      </c>
      <c r="J32" s="14" t="str">
        <f aca="false">IF(OR(A32="",H32=""),"",ROUND(H32-I32,2))</f>
        <v/>
      </c>
      <c r="K32" s="15" t="str">
        <f aca="false">IF(J32="","",IF(J32=0,"Tam",IF(J32&lt;0,"Açık","Fazla")))</f>
        <v/>
      </c>
      <c r="L32" s="14" t="str">
        <f aca="false">IF(A32="","",C32+D32)</f>
        <v/>
      </c>
    </row>
    <row r="33" customFormat="false" ht="15" hidden="false" customHeight="false" outlineLevel="0" collapsed="false">
      <c r="A33" s="12"/>
      <c r="B33" s="13"/>
      <c r="C33" s="13"/>
      <c r="D33" s="13"/>
      <c r="E33" s="13"/>
      <c r="F33" s="13"/>
      <c r="G33" s="13"/>
      <c r="H33" s="13"/>
      <c r="I33" s="14" t="str">
        <f aca="false">IF(A33="","",B33+C33+E33-F33-G33)</f>
        <v/>
      </c>
      <c r="J33" s="14" t="str">
        <f aca="false">IF(OR(A33="",H33=""),"",ROUND(H33-I33,2))</f>
        <v/>
      </c>
      <c r="K33" s="15" t="str">
        <f aca="false">IF(J33="","",IF(J33=0,"Tam",IF(J33&lt;0,"Açık","Fazla")))</f>
        <v/>
      </c>
      <c r="L33" s="14" t="str">
        <f aca="false">IF(A33="","",C33+D33)</f>
        <v/>
      </c>
    </row>
    <row r="34" customFormat="false" ht="15" hidden="false" customHeight="false" outlineLevel="0" collapsed="false">
      <c r="A34" s="12"/>
      <c r="B34" s="13"/>
      <c r="C34" s="13"/>
      <c r="D34" s="13"/>
      <c r="E34" s="13"/>
      <c r="F34" s="13"/>
      <c r="G34" s="13"/>
      <c r="H34" s="13"/>
      <c r="I34" s="14" t="str">
        <f aca="false">IF(A34="","",B34+C34+E34-F34-G34)</f>
        <v/>
      </c>
      <c r="J34" s="14" t="str">
        <f aca="false">IF(OR(A34="",H34=""),"",ROUND(H34-I34,2))</f>
        <v/>
      </c>
      <c r="K34" s="15" t="str">
        <f aca="false">IF(J34="","",IF(J34=0,"Tam",IF(J34&lt;0,"Açık","Fazla")))</f>
        <v/>
      </c>
      <c r="L34" s="14" t="str">
        <f aca="false">IF(A34="","",C34+D34)</f>
        <v/>
      </c>
    </row>
    <row r="35" customFormat="false" ht="15" hidden="false" customHeight="false" outlineLevel="0" collapsed="false">
      <c r="A35" s="12"/>
      <c r="B35" s="13"/>
      <c r="C35" s="13"/>
      <c r="D35" s="13"/>
      <c r="E35" s="13"/>
      <c r="F35" s="13"/>
      <c r="G35" s="13"/>
      <c r="H35" s="13"/>
      <c r="I35" s="14" t="str">
        <f aca="false">IF(A35="","",B35+C35+E35-F35-G35)</f>
        <v/>
      </c>
      <c r="J35" s="14" t="str">
        <f aca="false">IF(OR(A35="",H35=""),"",ROUND(H35-I35,2))</f>
        <v/>
      </c>
      <c r="K35" s="15" t="str">
        <f aca="false">IF(J35="","",IF(J35=0,"Tam",IF(J35&lt;0,"Açık","Fazla")))</f>
        <v/>
      </c>
      <c r="L35" s="14" t="str">
        <f aca="false">IF(A35="","",C35+D35)</f>
        <v/>
      </c>
    </row>
    <row r="36" customFormat="false" ht="15" hidden="false" customHeight="false" outlineLevel="0" collapsed="false">
      <c r="A36" s="12"/>
      <c r="B36" s="13"/>
      <c r="C36" s="13"/>
      <c r="D36" s="13"/>
      <c r="E36" s="13"/>
      <c r="F36" s="13"/>
      <c r="G36" s="13"/>
      <c r="H36" s="13"/>
      <c r="I36" s="14" t="str">
        <f aca="false">IF(A36="","",B36+C36+E36-F36-G36)</f>
        <v/>
      </c>
      <c r="J36" s="14" t="str">
        <f aca="false">IF(OR(A36="",H36=""),"",ROUND(H36-I36,2))</f>
        <v/>
      </c>
      <c r="K36" s="15" t="str">
        <f aca="false">IF(J36="","",IF(J36=0,"Tam",IF(J36&lt;0,"Açık","Fazla")))</f>
        <v/>
      </c>
      <c r="L36" s="14" t="str">
        <f aca="false">IF(A36="","",C36+D36)</f>
        <v/>
      </c>
    </row>
    <row r="37" customFormat="false" ht="15" hidden="false" customHeight="false" outlineLevel="0" collapsed="false">
      <c r="A37" s="12"/>
      <c r="B37" s="13"/>
      <c r="C37" s="13"/>
      <c r="D37" s="13"/>
      <c r="E37" s="13"/>
      <c r="F37" s="13"/>
      <c r="G37" s="13"/>
      <c r="H37" s="13"/>
      <c r="I37" s="14" t="str">
        <f aca="false">IF(A37="","",B37+C37+E37-F37-G37)</f>
        <v/>
      </c>
      <c r="J37" s="14" t="str">
        <f aca="false">IF(OR(A37="",H37=""),"",ROUND(H37-I37,2))</f>
        <v/>
      </c>
      <c r="K37" s="15" t="str">
        <f aca="false">IF(J37="","",IF(J37=0,"Tam",IF(J37&lt;0,"Açık","Fazla")))</f>
        <v/>
      </c>
      <c r="L37" s="14" t="str">
        <f aca="false">IF(A37="","",C37+D37)</f>
        <v/>
      </c>
    </row>
    <row r="38" customFormat="false" ht="15" hidden="false" customHeight="false" outlineLevel="0" collapsed="false">
      <c r="A38" s="12"/>
      <c r="B38" s="13"/>
      <c r="C38" s="13"/>
      <c r="D38" s="13"/>
      <c r="E38" s="13"/>
      <c r="F38" s="13"/>
      <c r="G38" s="13"/>
      <c r="H38" s="13"/>
      <c r="I38" s="14" t="str">
        <f aca="false">IF(A38="","",B38+C38+E38-F38-G38)</f>
        <v/>
      </c>
      <c r="J38" s="14" t="str">
        <f aca="false">IF(OR(A38="",H38=""),"",ROUND(H38-I38,2))</f>
        <v/>
      </c>
      <c r="K38" s="15" t="str">
        <f aca="false">IF(J38="","",IF(J38=0,"Tam",IF(J38&lt;0,"Açık","Fazla")))</f>
        <v/>
      </c>
      <c r="L38" s="14" t="str">
        <f aca="false">IF(A38="","",C38+D38)</f>
        <v/>
      </c>
    </row>
    <row r="39" customFormat="false" ht="15" hidden="false" customHeight="false" outlineLevel="0" collapsed="false">
      <c r="A39" s="12"/>
      <c r="B39" s="13"/>
      <c r="C39" s="13"/>
      <c r="D39" s="13"/>
      <c r="E39" s="13"/>
      <c r="F39" s="13"/>
      <c r="G39" s="13"/>
      <c r="H39" s="13"/>
      <c r="I39" s="14" t="str">
        <f aca="false">IF(A39="","",B39+C39+E39-F39-G39)</f>
        <v/>
      </c>
      <c r="J39" s="14" t="str">
        <f aca="false">IF(OR(A39="",H39=""),"",ROUND(H39-I39,2))</f>
        <v/>
      </c>
      <c r="K39" s="15" t="str">
        <f aca="false">IF(J39="","",IF(J39=0,"Tam",IF(J39&lt;0,"Açık","Fazla")))</f>
        <v/>
      </c>
      <c r="L39" s="14" t="str">
        <f aca="false">IF(A39="","",C39+D39)</f>
        <v/>
      </c>
    </row>
    <row r="40" customFormat="false" ht="15" hidden="false" customHeight="false" outlineLevel="0" collapsed="false">
      <c r="A40" s="12"/>
      <c r="B40" s="13"/>
      <c r="C40" s="13"/>
      <c r="D40" s="13"/>
      <c r="E40" s="13"/>
      <c r="F40" s="13"/>
      <c r="G40" s="13"/>
      <c r="H40" s="13"/>
      <c r="I40" s="14" t="str">
        <f aca="false">IF(A40="","",B40+C40+E40-F40-G40)</f>
        <v/>
      </c>
      <c r="J40" s="14" t="str">
        <f aca="false">IF(OR(A40="",H40=""),"",ROUND(H40-I40,2))</f>
        <v/>
      </c>
      <c r="K40" s="15" t="str">
        <f aca="false">IF(J40="","",IF(J40=0,"Tam",IF(J40&lt;0,"Açık","Fazla")))</f>
        <v/>
      </c>
      <c r="L40" s="14" t="str">
        <f aca="false">IF(A40="","",C40+D40)</f>
        <v/>
      </c>
    </row>
    <row r="41" customFormat="false" ht="15" hidden="false" customHeight="false" outlineLevel="0" collapsed="false">
      <c r="A41" s="12"/>
      <c r="B41" s="13"/>
      <c r="C41" s="13"/>
      <c r="D41" s="13"/>
      <c r="E41" s="13"/>
      <c r="F41" s="13"/>
      <c r="G41" s="13"/>
      <c r="H41" s="13"/>
      <c r="I41" s="14" t="str">
        <f aca="false">IF(A41="","",B41+C41+E41-F41-G41)</f>
        <v/>
      </c>
      <c r="J41" s="14" t="str">
        <f aca="false">IF(OR(A41="",H41=""),"",ROUND(H41-I41,2))</f>
        <v/>
      </c>
      <c r="K41" s="15" t="str">
        <f aca="false">IF(J41="","",IF(J41=0,"Tam",IF(J41&lt;0,"Açık","Fazla")))</f>
        <v/>
      </c>
      <c r="L41" s="14" t="str">
        <f aca="false">IF(A41="","",C41+D41)</f>
        <v/>
      </c>
    </row>
    <row r="42" customFormat="false" ht="15" hidden="false" customHeight="false" outlineLevel="0" collapsed="false">
      <c r="A42" s="12"/>
      <c r="B42" s="13"/>
      <c r="C42" s="13"/>
      <c r="D42" s="13"/>
      <c r="E42" s="13"/>
      <c r="F42" s="13"/>
      <c r="G42" s="13"/>
      <c r="H42" s="13"/>
      <c r="I42" s="14" t="str">
        <f aca="false">IF(A42="","",B42+C42+E42-F42-G42)</f>
        <v/>
      </c>
      <c r="J42" s="14" t="str">
        <f aca="false">IF(OR(A42="",H42=""),"",ROUND(H42-I42,2))</f>
        <v/>
      </c>
      <c r="K42" s="15" t="str">
        <f aca="false">IF(J42="","",IF(J42=0,"Tam",IF(J42&lt;0,"Açık","Fazla")))</f>
        <v/>
      </c>
      <c r="L42" s="14" t="str">
        <f aca="false">IF(A42="","",C42+D42)</f>
        <v/>
      </c>
    </row>
    <row r="43" customFormat="false" ht="15" hidden="false" customHeight="false" outlineLevel="0" collapsed="false">
      <c r="A43" s="12"/>
      <c r="B43" s="13"/>
      <c r="C43" s="13"/>
      <c r="D43" s="13"/>
      <c r="E43" s="13"/>
      <c r="F43" s="13"/>
      <c r="G43" s="13"/>
      <c r="H43" s="13"/>
      <c r="I43" s="14" t="str">
        <f aca="false">IF(A43="","",B43+C43+E43-F43-G43)</f>
        <v/>
      </c>
      <c r="J43" s="14" t="str">
        <f aca="false">IF(OR(A43="",H43=""),"",ROUND(H43-I43,2))</f>
        <v/>
      </c>
      <c r="K43" s="15" t="str">
        <f aca="false">IF(J43="","",IF(J43=0,"Tam",IF(J43&lt;0,"Açık","Fazla")))</f>
        <v/>
      </c>
      <c r="L43" s="14" t="str">
        <f aca="false">IF(A43="","",C43+D43)</f>
        <v/>
      </c>
    </row>
    <row r="44" customFormat="false" ht="15" hidden="false" customHeight="false" outlineLevel="0" collapsed="false">
      <c r="A44" s="12"/>
      <c r="B44" s="13"/>
      <c r="C44" s="13"/>
      <c r="D44" s="13"/>
      <c r="E44" s="13"/>
      <c r="F44" s="13"/>
      <c r="G44" s="13"/>
      <c r="H44" s="13"/>
      <c r="I44" s="14" t="str">
        <f aca="false">IF(A44="","",B44+C44+E44-F44-G44)</f>
        <v/>
      </c>
      <c r="J44" s="14" t="str">
        <f aca="false">IF(OR(A44="",H44=""),"",ROUND(H44-I44,2))</f>
        <v/>
      </c>
      <c r="K44" s="15" t="str">
        <f aca="false">IF(J44="","",IF(J44=0,"Tam",IF(J44&lt;0,"Açık","Fazla")))</f>
        <v/>
      </c>
      <c r="L44" s="14" t="str">
        <f aca="false">IF(A44="","",C44+D44)</f>
        <v/>
      </c>
    </row>
    <row r="45" customFormat="false" ht="15" hidden="false" customHeight="false" outlineLevel="0" collapsed="false">
      <c r="A45" s="12"/>
      <c r="B45" s="13"/>
      <c r="C45" s="13"/>
      <c r="D45" s="13"/>
      <c r="E45" s="13"/>
      <c r="F45" s="13"/>
      <c r="G45" s="13"/>
      <c r="H45" s="13"/>
      <c r="I45" s="14" t="str">
        <f aca="false">IF(A45="","",B45+C45+E45-F45-G45)</f>
        <v/>
      </c>
      <c r="J45" s="14" t="str">
        <f aca="false">IF(OR(A45="",H45=""),"",ROUND(H45-I45,2))</f>
        <v/>
      </c>
      <c r="K45" s="15" t="str">
        <f aca="false">IF(J45="","",IF(J45=0,"Tam",IF(J45&lt;0,"Açık","Fazla")))</f>
        <v/>
      </c>
      <c r="L45" s="14" t="str">
        <f aca="false">IF(A45="","",C45+D45)</f>
        <v/>
      </c>
    </row>
    <row r="46" customFormat="false" ht="15" hidden="false" customHeight="false" outlineLevel="0" collapsed="false">
      <c r="A46" s="12"/>
      <c r="B46" s="13"/>
      <c r="C46" s="13"/>
      <c r="D46" s="13"/>
      <c r="E46" s="13"/>
      <c r="F46" s="13"/>
      <c r="G46" s="13"/>
      <c r="H46" s="13"/>
      <c r="I46" s="14" t="str">
        <f aca="false">IF(A46="","",B46+C46+E46-F46-G46)</f>
        <v/>
      </c>
      <c r="J46" s="14" t="str">
        <f aca="false">IF(OR(A46="",H46=""),"",ROUND(H46-I46,2))</f>
        <v/>
      </c>
      <c r="K46" s="15" t="str">
        <f aca="false">IF(J46="","",IF(J46=0,"Tam",IF(J46&lt;0,"Açık","Fazla")))</f>
        <v/>
      </c>
      <c r="L46" s="14" t="str">
        <f aca="false">IF(A46="","",C46+D46)</f>
        <v/>
      </c>
    </row>
    <row r="47" customFormat="false" ht="15" hidden="false" customHeight="false" outlineLevel="0" collapsed="false">
      <c r="A47" s="12"/>
      <c r="B47" s="13"/>
      <c r="C47" s="13"/>
      <c r="D47" s="13"/>
      <c r="E47" s="13"/>
      <c r="F47" s="13"/>
      <c r="G47" s="13"/>
      <c r="H47" s="13"/>
      <c r="I47" s="14" t="str">
        <f aca="false">IF(A47="","",B47+C47+E47-F47-G47)</f>
        <v/>
      </c>
      <c r="J47" s="14" t="str">
        <f aca="false">IF(OR(A47="",H47=""),"",ROUND(H47-I47,2))</f>
        <v/>
      </c>
      <c r="K47" s="15" t="str">
        <f aca="false">IF(J47="","",IF(J47=0,"Tam",IF(J47&lt;0,"Açık","Fazla")))</f>
        <v/>
      </c>
      <c r="L47" s="14" t="str">
        <f aca="false">IF(A47="","",C47+D47)</f>
        <v/>
      </c>
    </row>
    <row r="48" customFormat="false" ht="15" hidden="false" customHeight="false" outlineLevel="0" collapsed="false">
      <c r="A48" s="12"/>
      <c r="B48" s="13"/>
      <c r="C48" s="13"/>
      <c r="D48" s="13"/>
      <c r="E48" s="13"/>
      <c r="F48" s="13"/>
      <c r="G48" s="13"/>
      <c r="H48" s="13"/>
      <c r="I48" s="14" t="str">
        <f aca="false">IF(A48="","",B48+C48+E48-F48-G48)</f>
        <v/>
      </c>
      <c r="J48" s="14" t="str">
        <f aca="false">IF(OR(A48="",H48=""),"",ROUND(H48-I48,2))</f>
        <v/>
      </c>
      <c r="K48" s="15" t="str">
        <f aca="false">IF(J48="","",IF(J48=0,"Tam",IF(J48&lt;0,"Açık","Fazla")))</f>
        <v/>
      </c>
      <c r="L48" s="14" t="str">
        <f aca="false">IF(A48="","",C48+D48)</f>
        <v/>
      </c>
    </row>
    <row r="49" customFormat="false" ht="15" hidden="false" customHeight="false" outlineLevel="0" collapsed="false">
      <c r="A49" s="12"/>
      <c r="B49" s="13"/>
      <c r="C49" s="13"/>
      <c r="D49" s="13"/>
      <c r="E49" s="13"/>
      <c r="F49" s="13"/>
      <c r="G49" s="13"/>
      <c r="H49" s="13"/>
      <c r="I49" s="14" t="str">
        <f aca="false">IF(A49="","",B49+C49+E49-F49-G49)</f>
        <v/>
      </c>
      <c r="J49" s="14" t="str">
        <f aca="false">IF(OR(A49="",H49=""),"",ROUND(H49-I49,2))</f>
        <v/>
      </c>
      <c r="K49" s="15" t="str">
        <f aca="false">IF(J49="","",IF(J49=0,"Tam",IF(J49&lt;0,"Açık","Fazla")))</f>
        <v/>
      </c>
      <c r="L49" s="14" t="str">
        <f aca="false">IF(A49="","",C49+D49)</f>
        <v/>
      </c>
    </row>
    <row r="50" customFormat="false" ht="15" hidden="false" customHeight="false" outlineLevel="0" collapsed="false">
      <c r="A50" s="12"/>
      <c r="B50" s="13"/>
      <c r="C50" s="13"/>
      <c r="D50" s="13"/>
      <c r="E50" s="13"/>
      <c r="F50" s="13"/>
      <c r="G50" s="13"/>
      <c r="H50" s="13"/>
      <c r="I50" s="14" t="str">
        <f aca="false">IF(A50="","",B50+C50+E50-F50-G50)</f>
        <v/>
      </c>
      <c r="J50" s="14" t="str">
        <f aca="false">IF(OR(A50="",H50=""),"",ROUND(H50-I50,2))</f>
        <v/>
      </c>
      <c r="K50" s="15" t="str">
        <f aca="false">IF(J50="","",IF(J50=0,"Tam",IF(J50&lt;0,"Açık","Fazla")))</f>
        <v/>
      </c>
      <c r="L50" s="14" t="str">
        <f aca="false">IF(A50="","",C50+D50)</f>
        <v/>
      </c>
    </row>
    <row r="51" customFormat="false" ht="15" hidden="false" customHeight="false" outlineLevel="0" collapsed="false">
      <c r="A51" s="12"/>
      <c r="B51" s="13"/>
      <c r="C51" s="13"/>
      <c r="D51" s="13"/>
      <c r="E51" s="13"/>
      <c r="F51" s="13"/>
      <c r="G51" s="13"/>
      <c r="H51" s="13"/>
      <c r="I51" s="14" t="str">
        <f aca="false">IF(A51="","",B51+C51+E51-F51-G51)</f>
        <v/>
      </c>
      <c r="J51" s="14" t="str">
        <f aca="false">IF(OR(A51="",H51=""),"",ROUND(H51-I51,2))</f>
        <v/>
      </c>
      <c r="K51" s="15" t="str">
        <f aca="false">IF(J51="","",IF(J51=0,"Tam",IF(J51&lt;0,"Açık","Fazla")))</f>
        <v/>
      </c>
      <c r="L51" s="14" t="str">
        <f aca="false">IF(A51="","",C51+D51)</f>
        <v/>
      </c>
    </row>
    <row r="52" customFormat="false" ht="15" hidden="false" customHeight="false" outlineLevel="0" collapsed="false">
      <c r="A52" s="12"/>
      <c r="B52" s="13"/>
      <c r="C52" s="13"/>
      <c r="D52" s="13"/>
      <c r="E52" s="13"/>
      <c r="F52" s="13"/>
      <c r="G52" s="13"/>
      <c r="H52" s="13"/>
      <c r="I52" s="14" t="str">
        <f aca="false">IF(A52="","",B52+C52+E52-F52-G52)</f>
        <v/>
      </c>
      <c r="J52" s="14" t="str">
        <f aca="false">IF(OR(A52="",H52=""),"",ROUND(H52-I52,2))</f>
        <v/>
      </c>
      <c r="K52" s="15" t="str">
        <f aca="false">IF(J52="","",IF(J52=0,"Tam",IF(J52&lt;0,"Açık","Fazla")))</f>
        <v/>
      </c>
      <c r="L52" s="14" t="str">
        <f aca="false">IF(A52="","",C52+D52)</f>
        <v/>
      </c>
    </row>
    <row r="53" customFormat="false" ht="15" hidden="false" customHeight="false" outlineLevel="0" collapsed="false">
      <c r="A53" s="12"/>
      <c r="B53" s="13"/>
      <c r="C53" s="13"/>
      <c r="D53" s="13"/>
      <c r="E53" s="13"/>
      <c r="F53" s="13"/>
      <c r="G53" s="13"/>
      <c r="H53" s="13"/>
      <c r="I53" s="14" t="str">
        <f aca="false">IF(A53="","",B53+C53+E53-F53-G53)</f>
        <v/>
      </c>
      <c r="J53" s="14" t="str">
        <f aca="false">IF(OR(A53="",H53=""),"",ROUND(H53-I53,2))</f>
        <v/>
      </c>
      <c r="K53" s="15" t="str">
        <f aca="false">IF(J53="","",IF(J53=0,"Tam",IF(J53&lt;0,"Açık","Fazla")))</f>
        <v/>
      </c>
      <c r="L53" s="14" t="str">
        <f aca="false">IF(A53="","",C53+D53)</f>
        <v/>
      </c>
    </row>
    <row r="54" customFormat="false" ht="15" hidden="false" customHeight="false" outlineLevel="0" collapsed="false">
      <c r="A54" s="12"/>
      <c r="B54" s="13"/>
      <c r="C54" s="13"/>
      <c r="D54" s="13"/>
      <c r="E54" s="13"/>
      <c r="F54" s="13"/>
      <c r="G54" s="13"/>
      <c r="H54" s="13"/>
      <c r="I54" s="14" t="str">
        <f aca="false">IF(A54="","",B54+C54+E54-F54-G54)</f>
        <v/>
      </c>
      <c r="J54" s="14" t="str">
        <f aca="false">IF(OR(A54="",H54=""),"",ROUND(H54-I54,2))</f>
        <v/>
      </c>
      <c r="K54" s="15" t="str">
        <f aca="false">IF(J54="","",IF(J54=0,"Tam",IF(J54&lt;0,"Açık","Fazla")))</f>
        <v/>
      </c>
      <c r="L54" s="14" t="str">
        <f aca="false">IF(A54="","",C54+D54)</f>
        <v/>
      </c>
    </row>
    <row r="55" customFormat="false" ht="15" hidden="false" customHeight="false" outlineLevel="0" collapsed="false">
      <c r="A55" s="12"/>
      <c r="B55" s="13"/>
      <c r="C55" s="13"/>
      <c r="D55" s="13"/>
      <c r="E55" s="13"/>
      <c r="F55" s="13"/>
      <c r="G55" s="13"/>
      <c r="H55" s="13"/>
      <c r="I55" s="14" t="str">
        <f aca="false">IF(A55="","",B55+C55+E55-F55-G55)</f>
        <v/>
      </c>
      <c r="J55" s="14" t="str">
        <f aca="false">IF(OR(A55="",H55=""),"",ROUND(H55-I55,2))</f>
        <v/>
      </c>
      <c r="K55" s="15" t="str">
        <f aca="false">IF(J55="","",IF(J55=0,"Tam",IF(J55&lt;0,"Açık","Fazla")))</f>
        <v/>
      </c>
      <c r="L55" s="14" t="str">
        <f aca="false">IF(A55="","",C55+D55)</f>
        <v/>
      </c>
    </row>
    <row r="56" customFormat="false" ht="15" hidden="false" customHeight="false" outlineLevel="0" collapsed="false">
      <c r="A56" s="12"/>
      <c r="B56" s="13"/>
      <c r="C56" s="13"/>
      <c r="D56" s="13"/>
      <c r="E56" s="13"/>
      <c r="F56" s="13"/>
      <c r="G56" s="13"/>
      <c r="H56" s="13"/>
      <c r="I56" s="14" t="str">
        <f aca="false">IF(A56="","",B56+C56+E56-F56-G56)</f>
        <v/>
      </c>
      <c r="J56" s="14" t="str">
        <f aca="false">IF(OR(A56="",H56=""),"",ROUND(H56-I56,2))</f>
        <v/>
      </c>
      <c r="K56" s="15" t="str">
        <f aca="false">IF(J56="","",IF(J56=0,"Tam",IF(J56&lt;0,"Açık","Fazla")))</f>
        <v/>
      </c>
      <c r="L56" s="14" t="str">
        <f aca="false">IF(A56="","",C56+D56)</f>
        <v/>
      </c>
    </row>
    <row r="57" customFormat="false" ht="15" hidden="false" customHeight="false" outlineLevel="0" collapsed="false">
      <c r="A57" s="12"/>
      <c r="B57" s="13"/>
      <c r="C57" s="13"/>
      <c r="D57" s="13"/>
      <c r="E57" s="13"/>
      <c r="F57" s="13"/>
      <c r="G57" s="13"/>
      <c r="H57" s="13"/>
      <c r="I57" s="14" t="str">
        <f aca="false">IF(A57="","",B57+C57+E57-F57-G57)</f>
        <v/>
      </c>
      <c r="J57" s="14" t="str">
        <f aca="false">IF(OR(A57="",H57=""),"",ROUND(H57-I57,2))</f>
        <v/>
      </c>
      <c r="K57" s="15" t="str">
        <f aca="false">IF(J57="","",IF(J57=0,"Tam",IF(J57&lt;0,"Açık","Fazla")))</f>
        <v/>
      </c>
      <c r="L57" s="14" t="str">
        <f aca="false">IF(A57="","",C57+D57)</f>
        <v/>
      </c>
    </row>
    <row r="58" customFormat="false" ht="15" hidden="false" customHeight="false" outlineLevel="0" collapsed="false">
      <c r="A58" s="12"/>
      <c r="B58" s="13"/>
      <c r="C58" s="13"/>
      <c r="D58" s="13"/>
      <c r="E58" s="13"/>
      <c r="F58" s="13"/>
      <c r="G58" s="13"/>
      <c r="H58" s="13"/>
      <c r="I58" s="14" t="str">
        <f aca="false">IF(A58="","",B58+C58+E58-F58-G58)</f>
        <v/>
      </c>
      <c r="J58" s="14" t="str">
        <f aca="false">IF(OR(A58="",H58=""),"",ROUND(H58-I58,2))</f>
        <v/>
      </c>
      <c r="K58" s="15" t="str">
        <f aca="false">IF(J58="","",IF(J58=0,"Tam",IF(J58&lt;0,"Açık","Fazla")))</f>
        <v/>
      </c>
      <c r="L58" s="14" t="str">
        <f aca="false">IF(A58="","",C58+D58)</f>
        <v/>
      </c>
    </row>
    <row r="59" customFormat="false" ht="15" hidden="false" customHeight="false" outlineLevel="0" collapsed="false">
      <c r="A59" s="12"/>
      <c r="B59" s="13"/>
      <c r="C59" s="13"/>
      <c r="D59" s="13"/>
      <c r="E59" s="13"/>
      <c r="F59" s="13"/>
      <c r="G59" s="13"/>
      <c r="H59" s="13"/>
      <c r="I59" s="14" t="str">
        <f aca="false">IF(A59="","",B59+C59+E59-F59-G59)</f>
        <v/>
      </c>
      <c r="J59" s="14" t="str">
        <f aca="false">IF(OR(A59="",H59=""),"",ROUND(H59-I59,2))</f>
        <v/>
      </c>
      <c r="K59" s="15" t="str">
        <f aca="false">IF(J59="","",IF(J59=0,"Tam",IF(J59&lt;0,"Açık","Fazla")))</f>
        <v/>
      </c>
      <c r="L59" s="14" t="str">
        <f aca="false">IF(A59="","",C59+D59)</f>
        <v/>
      </c>
    </row>
    <row r="60" customFormat="false" ht="15" hidden="false" customHeight="false" outlineLevel="0" collapsed="false">
      <c r="A60" s="12"/>
      <c r="B60" s="13"/>
      <c r="C60" s="13"/>
      <c r="D60" s="13"/>
      <c r="E60" s="13"/>
      <c r="F60" s="13"/>
      <c r="G60" s="13"/>
      <c r="H60" s="13"/>
      <c r="I60" s="14" t="str">
        <f aca="false">IF(A60="","",B60+C60+E60-F60-G60)</f>
        <v/>
      </c>
      <c r="J60" s="14" t="str">
        <f aca="false">IF(OR(A60="",H60=""),"",ROUND(H60-I60,2))</f>
        <v/>
      </c>
      <c r="K60" s="15" t="str">
        <f aca="false">IF(J60="","",IF(J60=0,"Tam",IF(J60&lt;0,"Açık","Fazla")))</f>
        <v/>
      </c>
      <c r="L60" s="14" t="str">
        <f aca="false">IF(A60="","",C60+D60)</f>
        <v/>
      </c>
    </row>
    <row r="61" customFormat="false" ht="15" hidden="false" customHeight="false" outlineLevel="0" collapsed="false">
      <c r="A61" s="12"/>
      <c r="B61" s="13"/>
      <c r="C61" s="13"/>
      <c r="D61" s="13"/>
      <c r="E61" s="13"/>
      <c r="F61" s="13"/>
      <c r="G61" s="13"/>
      <c r="H61" s="13"/>
      <c r="I61" s="14" t="str">
        <f aca="false">IF(A61="","",B61+C61+E61-F61-G61)</f>
        <v/>
      </c>
      <c r="J61" s="14" t="str">
        <f aca="false">IF(OR(A61="",H61=""),"",ROUND(H61-I61,2))</f>
        <v/>
      </c>
      <c r="K61" s="15" t="str">
        <f aca="false">IF(J61="","",IF(J61=0,"Tam",IF(J61&lt;0,"Açık","Fazla")))</f>
        <v/>
      </c>
      <c r="L61" s="14" t="str">
        <f aca="false">IF(A61="","",C61+D61)</f>
        <v/>
      </c>
    </row>
    <row r="62" customFormat="false" ht="15" hidden="false" customHeight="false" outlineLevel="0" collapsed="false">
      <c r="A62" s="12"/>
      <c r="B62" s="13"/>
      <c r="C62" s="13"/>
      <c r="D62" s="13"/>
      <c r="E62" s="13"/>
      <c r="F62" s="13"/>
      <c r="G62" s="13"/>
      <c r="H62" s="13"/>
      <c r="I62" s="14" t="str">
        <f aca="false">IF(A62="","",B62+C62+E62-F62-G62)</f>
        <v/>
      </c>
      <c r="J62" s="14" t="str">
        <f aca="false">IF(OR(A62="",H62=""),"",ROUND(H62-I62,2))</f>
        <v/>
      </c>
      <c r="K62" s="15" t="str">
        <f aca="false">IF(J62="","",IF(J62=0,"Tam",IF(J62&lt;0,"Açık","Fazla")))</f>
        <v/>
      </c>
      <c r="L62" s="14" t="str">
        <f aca="false">IF(A62="","",C62+D62)</f>
        <v/>
      </c>
    </row>
    <row r="63" customFormat="false" ht="15" hidden="false" customHeight="false" outlineLevel="0" collapsed="false">
      <c r="A63" s="12"/>
      <c r="B63" s="13"/>
      <c r="C63" s="13"/>
      <c r="D63" s="13"/>
      <c r="E63" s="13"/>
      <c r="F63" s="13"/>
      <c r="G63" s="13"/>
      <c r="H63" s="13"/>
      <c r="I63" s="14" t="str">
        <f aca="false">IF(A63="","",B63+C63+E63-F63-G63)</f>
        <v/>
      </c>
      <c r="J63" s="14" t="str">
        <f aca="false">IF(OR(A63="",H63=""),"",ROUND(H63-I63,2))</f>
        <v/>
      </c>
      <c r="K63" s="15" t="str">
        <f aca="false">IF(J63="","",IF(J63=0,"Tam",IF(J63&lt;0,"Açık","Fazla")))</f>
        <v/>
      </c>
      <c r="L63" s="14" t="str">
        <f aca="false">IF(A63="","",C63+D63)</f>
        <v/>
      </c>
    </row>
    <row r="64" customFormat="false" ht="15" hidden="false" customHeight="false" outlineLevel="0" collapsed="false">
      <c r="A64" s="12"/>
      <c r="B64" s="13"/>
      <c r="C64" s="13"/>
      <c r="D64" s="13"/>
      <c r="E64" s="13"/>
      <c r="F64" s="13"/>
      <c r="G64" s="13"/>
      <c r="H64" s="13"/>
      <c r="I64" s="14" t="str">
        <f aca="false">IF(A64="","",B64+C64+E64-F64-G64)</f>
        <v/>
      </c>
      <c r="J64" s="14" t="str">
        <f aca="false">IF(OR(A64="",H64=""),"",ROUND(H64-I64,2))</f>
        <v/>
      </c>
      <c r="K64" s="15" t="str">
        <f aca="false">IF(J64="","",IF(J64=0,"Tam",IF(J64&lt;0,"Açık","Fazla")))</f>
        <v/>
      </c>
      <c r="L64" s="14" t="str">
        <f aca="false">IF(A64="","",C64+D64)</f>
        <v/>
      </c>
    </row>
    <row r="65" customFormat="false" ht="15" hidden="false" customHeight="false" outlineLevel="0" collapsed="false">
      <c r="A65" s="12"/>
      <c r="B65" s="13"/>
      <c r="C65" s="13"/>
      <c r="D65" s="13"/>
      <c r="E65" s="13"/>
      <c r="F65" s="13"/>
      <c r="G65" s="13"/>
      <c r="H65" s="13"/>
      <c r="I65" s="14" t="str">
        <f aca="false">IF(A65="","",B65+C65+E65-F65-G65)</f>
        <v/>
      </c>
      <c r="J65" s="14" t="str">
        <f aca="false">IF(OR(A65="",H65=""),"",ROUND(H65-I65,2))</f>
        <v/>
      </c>
      <c r="K65" s="15" t="str">
        <f aca="false">IF(J65="","",IF(J65=0,"Tam",IF(J65&lt;0,"Açık","Fazla")))</f>
        <v/>
      </c>
      <c r="L65" s="14" t="str">
        <f aca="false">IF(A65="","",C65+D65)</f>
        <v/>
      </c>
    </row>
    <row r="66" customFormat="false" ht="15" hidden="false" customHeight="false" outlineLevel="0" collapsed="false">
      <c r="A66" s="12"/>
      <c r="B66" s="13"/>
      <c r="C66" s="13"/>
      <c r="D66" s="13"/>
      <c r="E66" s="13"/>
      <c r="F66" s="13"/>
      <c r="G66" s="13"/>
      <c r="H66" s="13"/>
      <c r="I66" s="14" t="str">
        <f aca="false">IF(A66="","",B66+C66+E66-F66-G66)</f>
        <v/>
      </c>
      <c r="J66" s="14" t="str">
        <f aca="false">IF(OR(A66="",H66=""),"",ROUND(H66-I66,2))</f>
        <v/>
      </c>
      <c r="K66" s="15" t="str">
        <f aca="false">IF(J66="","",IF(J66=0,"Tam",IF(J66&lt;0,"Açık","Fazla")))</f>
        <v/>
      </c>
      <c r="L66" s="14" t="str">
        <f aca="false">IF(A66="","",C66+D66)</f>
        <v/>
      </c>
    </row>
    <row r="67" customFormat="false" ht="15" hidden="false" customHeight="false" outlineLevel="0" collapsed="false">
      <c r="A67" s="12"/>
      <c r="B67" s="13"/>
      <c r="C67" s="13"/>
      <c r="D67" s="13"/>
      <c r="E67" s="13"/>
      <c r="F67" s="13"/>
      <c r="G67" s="13"/>
      <c r="H67" s="13"/>
      <c r="I67" s="14" t="str">
        <f aca="false">IF(A67="","",B67+C67+E67-F67-G67)</f>
        <v/>
      </c>
      <c r="J67" s="14" t="str">
        <f aca="false">IF(OR(A67="",H67=""),"",ROUND(H67-I67,2))</f>
        <v/>
      </c>
      <c r="K67" s="15" t="str">
        <f aca="false">IF(J67="","",IF(J67=0,"Tam",IF(J67&lt;0,"Açık","Fazla")))</f>
        <v/>
      </c>
      <c r="L67" s="14" t="str">
        <f aca="false">IF(A67="","",C67+D67)</f>
        <v/>
      </c>
    </row>
    <row r="68" customFormat="false" ht="15" hidden="false" customHeight="false" outlineLevel="0" collapsed="false">
      <c r="A68" s="12"/>
      <c r="B68" s="13"/>
      <c r="C68" s="13"/>
      <c r="D68" s="13"/>
      <c r="E68" s="13"/>
      <c r="F68" s="13"/>
      <c r="G68" s="13"/>
      <c r="H68" s="13"/>
      <c r="I68" s="14" t="str">
        <f aca="false">IF(A68="","",B68+C68+E68-F68-G68)</f>
        <v/>
      </c>
      <c r="J68" s="14" t="str">
        <f aca="false">IF(OR(A68="",H68=""),"",ROUND(H68-I68,2))</f>
        <v/>
      </c>
      <c r="K68" s="15" t="str">
        <f aca="false">IF(J68="","",IF(J68=0,"Tam",IF(J68&lt;0,"Açık","Fazla")))</f>
        <v/>
      </c>
      <c r="L68" s="14" t="str">
        <f aca="false">IF(A68="","",C68+D68)</f>
        <v/>
      </c>
    </row>
    <row r="69" customFormat="false" ht="15" hidden="false" customHeight="false" outlineLevel="0" collapsed="false">
      <c r="A69" s="12"/>
      <c r="B69" s="13"/>
      <c r="C69" s="13"/>
      <c r="D69" s="13"/>
      <c r="E69" s="13"/>
      <c r="F69" s="13"/>
      <c r="G69" s="13"/>
      <c r="H69" s="13"/>
      <c r="I69" s="14" t="str">
        <f aca="false">IF(A69="","",B69+C69+E69-F69-G69)</f>
        <v/>
      </c>
      <c r="J69" s="14" t="str">
        <f aca="false">IF(OR(A69="",H69=""),"",ROUND(H69-I69,2))</f>
        <v/>
      </c>
      <c r="K69" s="15" t="str">
        <f aca="false">IF(J69="","",IF(J69=0,"Tam",IF(J69&lt;0,"Açık","Fazla")))</f>
        <v/>
      </c>
      <c r="L69" s="14" t="str">
        <f aca="false">IF(A69="","",C69+D69)</f>
        <v/>
      </c>
    </row>
    <row r="70" customFormat="false" ht="15" hidden="false" customHeight="false" outlineLevel="0" collapsed="false">
      <c r="A70" s="12"/>
      <c r="B70" s="13"/>
      <c r="C70" s="13"/>
      <c r="D70" s="13"/>
      <c r="E70" s="13"/>
      <c r="F70" s="13"/>
      <c r="G70" s="13"/>
      <c r="H70" s="13"/>
      <c r="I70" s="14" t="str">
        <f aca="false">IF(A70="","",B70+C70+E70-F70-G70)</f>
        <v/>
      </c>
      <c r="J70" s="14" t="str">
        <f aca="false">IF(OR(A70="",H70=""),"",ROUND(H70-I70,2))</f>
        <v/>
      </c>
      <c r="K70" s="15" t="str">
        <f aca="false">IF(J70="","",IF(J70=0,"Tam",IF(J70&lt;0,"Açık","Fazla")))</f>
        <v/>
      </c>
      <c r="L70" s="14" t="str">
        <f aca="false">IF(A70="","",C70+D70)</f>
        <v/>
      </c>
    </row>
    <row r="71" customFormat="false" ht="15" hidden="false" customHeight="false" outlineLevel="0" collapsed="false">
      <c r="A71" s="12"/>
      <c r="B71" s="13"/>
      <c r="C71" s="13"/>
      <c r="D71" s="13"/>
      <c r="E71" s="13"/>
      <c r="F71" s="13"/>
      <c r="G71" s="13"/>
      <c r="H71" s="13"/>
      <c r="I71" s="14" t="str">
        <f aca="false">IF(A71="","",B71+C71+E71-F71-G71)</f>
        <v/>
      </c>
      <c r="J71" s="14" t="str">
        <f aca="false">IF(OR(A71="",H71=""),"",ROUND(H71-I71,2))</f>
        <v/>
      </c>
      <c r="K71" s="15" t="str">
        <f aca="false">IF(J71="","",IF(J71=0,"Tam",IF(J71&lt;0,"Açık","Fazla")))</f>
        <v/>
      </c>
      <c r="L71" s="14" t="str">
        <f aca="false">IF(A71="","",C71+D71)</f>
        <v/>
      </c>
    </row>
    <row r="72" customFormat="false" ht="15" hidden="false" customHeight="false" outlineLevel="0" collapsed="false">
      <c r="A72" s="12"/>
      <c r="B72" s="13"/>
      <c r="C72" s="13"/>
      <c r="D72" s="13"/>
      <c r="E72" s="13"/>
      <c r="F72" s="13"/>
      <c r="G72" s="13"/>
      <c r="H72" s="13"/>
      <c r="I72" s="14" t="str">
        <f aca="false">IF(A72="","",B72+C72+E72-F72-G72)</f>
        <v/>
      </c>
      <c r="J72" s="14" t="str">
        <f aca="false">IF(OR(A72="",H72=""),"",ROUND(H72-I72,2))</f>
        <v/>
      </c>
      <c r="K72" s="15" t="str">
        <f aca="false">IF(J72="","",IF(J72=0,"Tam",IF(J72&lt;0,"Açık","Fazla")))</f>
        <v/>
      </c>
      <c r="L72" s="14" t="str">
        <f aca="false">IF(A72="","",C72+D72)</f>
        <v/>
      </c>
    </row>
    <row r="73" customFormat="false" ht="15" hidden="false" customHeight="false" outlineLevel="0" collapsed="false">
      <c r="A73" s="12"/>
      <c r="B73" s="13"/>
      <c r="C73" s="13"/>
      <c r="D73" s="13"/>
      <c r="E73" s="13"/>
      <c r="F73" s="13"/>
      <c r="G73" s="13"/>
      <c r="H73" s="13"/>
      <c r="I73" s="14" t="str">
        <f aca="false">IF(A73="","",B73+C73+E73-F73-G73)</f>
        <v/>
      </c>
      <c r="J73" s="14" t="str">
        <f aca="false">IF(OR(A73="",H73=""),"",ROUND(H73-I73,2))</f>
        <v/>
      </c>
      <c r="K73" s="15" t="str">
        <f aca="false">IF(J73="","",IF(J73=0,"Tam",IF(J73&lt;0,"Açık","Fazla")))</f>
        <v/>
      </c>
      <c r="L73" s="14" t="str">
        <f aca="false">IF(A73="","",C73+D73)</f>
        <v/>
      </c>
    </row>
    <row r="74" customFormat="false" ht="15" hidden="false" customHeight="false" outlineLevel="0" collapsed="false">
      <c r="A74" s="12"/>
      <c r="B74" s="13"/>
      <c r="C74" s="13"/>
      <c r="D74" s="13"/>
      <c r="E74" s="13"/>
      <c r="F74" s="13"/>
      <c r="G74" s="13"/>
      <c r="H74" s="13"/>
      <c r="I74" s="14" t="str">
        <f aca="false">IF(A74="","",B74+C74+E74-F74-G74)</f>
        <v/>
      </c>
      <c r="J74" s="14" t="str">
        <f aca="false">IF(OR(A74="",H74=""),"",ROUND(H74-I74,2))</f>
        <v/>
      </c>
      <c r="K74" s="15" t="str">
        <f aca="false">IF(J74="","",IF(J74=0,"Tam",IF(J74&lt;0,"Açık","Fazla")))</f>
        <v/>
      </c>
      <c r="L74" s="14" t="str">
        <f aca="false">IF(A74="","",C74+D74)</f>
        <v/>
      </c>
    </row>
    <row r="75" customFormat="false" ht="15" hidden="false" customHeight="false" outlineLevel="0" collapsed="false">
      <c r="A75" s="12"/>
      <c r="B75" s="13"/>
      <c r="C75" s="13"/>
      <c r="D75" s="13"/>
      <c r="E75" s="13"/>
      <c r="F75" s="13"/>
      <c r="G75" s="13"/>
      <c r="H75" s="13"/>
      <c r="I75" s="14" t="str">
        <f aca="false">IF(A75="","",B75+C75+E75-F75-G75)</f>
        <v/>
      </c>
      <c r="J75" s="14" t="str">
        <f aca="false">IF(OR(A75="",H75=""),"",ROUND(H75-I75,2))</f>
        <v/>
      </c>
      <c r="K75" s="15" t="str">
        <f aca="false">IF(J75="","",IF(J75=0,"Tam",IF(J75&lt;0,"Açık","Fazla")))</f>
        <v/>
      </c>
      <c r="L75" s="14" t="str">
        <f aca="false">IF(A75="","",C75+D75)</f>
        <v/>
      </c>
    </row>
    <row r="76" customFormat="false" ht="15" hidden="false" customHeight="false" outlineLevel="0" collapsed="false">
      <c r="A76" s="12"/>
      <c r="B76" s="13"/>
      <c r="C76" s="13"/>
      <c r="D76" s="13"/>
      <c r="E76" s="13"/>
      <c r="F76" s="13"/>
      <c r="G76" s="13"/>
      <c r="H76" s="13"/>
      <c r="I76" s="14" t="str">
        <f aca="false">IF(A76="","",B76+C76+E76-F76-G76)</f>
        <v/>
      </c>
      <c r="J76" s="14" t="str">
        <f aca="false">IF(OR(A76="",H76=""),"",ROUND(H76-I76,2))</f>
        <v/>
      </c>
      <c r="K76" s="15" t="str">
        <f aca="false">IF(J76="","",IF(J76=0,"Tam",IF(J76&lt;0,"Açık","Fazla")))</f>
        <v/>
      </c>
      <c r="L76" s="14" t="str">
        <f aca="false">IF(A76="","",C76+D76)</f>
        <v/>
      </c>
    </row>
    <row r="77" customFormat="false" ht="15" hidden="false" customHeight="false" outlineLevel="0" collapsed="false">
      <c r="A77" s="12"/>
      <c r="B77" s="13"/>
      <c r="C77" s="13"/>
      <c r="D77" s="13"/>
      <c r="E77" s="13"/>
      <c r="F77" s="13"/>
      <c r="G77" s="13"/>
      <c r="H77" s="13"/>
      <c r="I77" s="14" t="str">
        <f aca="false">IF(A77="","",B77+C77+E77-F77-G77)</f>
        <v/>
      </c>
      <c r="J77" s="14" t="str">
        <f aca="false">IF(OR(A77="",H77=""),"",ROUND(H77-I77,2))</f>
        <v/>
      </c>
      <c r="K77" s="15" t="str">
        <f aca="false">IF(J77="","",IF(J77=0,"Tam",IF(J77&lt;0,"Açık","Fazla")))</f>
        <v/>
      </c>
      <c r="L77" s="14" t="str">
        <f aca="false">IF(A77="","",C77+D77)</f>
        <v/>
      </c>
    </row>
    <row r="78" customFormat="false" ht="15" hidden="false" customHeight="false" outlineLevel="0" collapsed="false">
      <c r="A78" s="12"/>
      <c r="B78" s="13"/>
      <c r="C78" s="13"/>
      <c r="D78" s="13"/>
      <c r="E78" s="13"/>
      <c r="F78" s="13"/>
      <c r="G78" s="13"/>
      <c r="H78" s="13"/>
      <c r="I78" s="14" t="str">
        <f aca="false">IF(A78="","",B78+C78+E78-F78-G78)</f>
        <v/>
      </c>
      <c r="J78" s="14" t="str">
        <f aca="false">IF(OR(A78="",H78=""),"",ROUND(H78-I78,2))</f>
        <v/>
      </c>
      <c r="K78" s="15" t="str">
        <f aca="false">IF(J78="","",IF(J78=0,"Tam",IF(J78&lt;0,"Açık","Fazla")))</f>
        <v/>
      </c>
      <c r="L78" s="14" t="str">
        <f aca="false">IF(A78="","",C78+D78)</f>
        <v/>
      </c>
    </row>
    <row r="79" customFormat="false" ht="15" hidden="false" customHeight="false" outlineLevel="0" collapsed="false">
      <c r="A79" s="12"/>
      <c r="B79" s="13"/>
      <c r="C79" s="13"/>
      <c r="D79" s="13"/>
      <c r="E79" s="13"/>
      <c r="F79" s="13"/>
      <c r="G79" s="13"/>
      <c r="H79" s="13"/>
      <c r="I79" s="14" t="str">
        <f aca="false">IF(A79="","",B79+C79+E79-F79-G79)</f>
        <v/>
      </c>
      <c r="J79" s="14" t="str">
        <f aca="false">IF(OR(A79="",H79=""),"",ROUND(H79-I79,2))</f>
        <v/>
      </c>
      <c r="K79" s="15" t="str">
        <f aca="false">IF(J79="","",IF(J79=0,"Tam",IF(J79&lt;0,"Açık","Fazla")))</f>
        <v/>
      </c>
      <c r="L79" s="14" t="str">
        <f aca="false">IF(A79="","",C79+D79)</f>
        <v/>
      </c>
    </row>
    <row r="80" customFormat="false" ht="15" hidden="false" customHeight="false" outlineLevel="0" collapsed="false">
      <c r="A80" s="12"/>
      <c r="B80" s="13"/>
      <c r="C80" s="13"/>
      <c r="D80" s="13"/>
      <c r="E80" s="13"/>
      <c r="F80" s="13"/>
      <c r="G80" s="13"/>
      <c r="H80" s="13"/>
      <c r="I80" s="14" t="str">
        <f aca="false">IF(A80="","",B80+C80+E80-F80-G80)</f>
        <v/>
      </c>
      <c r="J80" s="14" t="str">
        <f aca="false">IF(OR(A80="",H80=""),"",ROUND(H80-I80,2))</f>
        <v/>
      </c>
      <c r="K80" s="15" t="str">
        <f aca="false">IF(J80="","",IF(J80=0,"Tam",IF(J80&lt;0,"Açık","Fazla")))</f>
        <v/>
      </c>
      <c r="L80" s="14" t="str">
        <f aca="false">IF(A80="","",C80+D80)</f>
        <v/>
      </c>
    </row>
    <row r="81" customFormat="false" ht="15" hidden="false" customHeight="false" outlineLevel="0" collapsed="false">
      <c r="A81" s="12"/>
      <c r="B81" s="13"/>
      <c r="C81" s="13"/>
      <c r="D81" s="13"/>
      <c r="E81" s="13"/>
      <c r="F81" s="13"/>
      <c r="G81" s="13"/>
      <c r="H81" s="13"/>
      <c r="I81" s="14" t="str">
        <f aca="false">IF(A81="","",B81+C81+E81-F81-G81)</f>
        <v/>
      </c>
      <c r="J81" s="14" t="str">
        <f aca="false">IF(OR(A81="",H81=""),"",ROUND(H81-I81,2))</f>
        <v/>
      </c>
      <c r="K81" s="15" t="str">
        <f aca="false">IF(J81="","",IF(J81=0,"Tam",IF(J81&lt;0,"Açık","Fazla")))</f>
        <v/>
      </c>
      <c r="L81" s="14" t="str">
        <f aca="false">IF(A81="","",C81+D81)</f>
        <v/>
      </c>
    </row>
    <row r="82" customFormat="false" ht="15" hidden="false" customHeight="false" outlineLevel="0" collapsed="false">
      <c r="A82" s="12"/>
      <c r="B82" s="13"/>
      <c r="C82" s="13"/>
      <c r="D82" s="13"/>
      <c r="E82" s="13"/>
      <c r="F82" s="13"/>
      <c r="G82" s="13"/>
      <c r="H82" s="13"/>
      <c r="I82" s="14" t="str">
        <f aca="false">IF(A82="","",B82+C82+E82-F82-G82)</f>
        <v/>
      </c>
      <c r="J82" s="14" t="str">
        <f aca="false">IF(OR(A82="",H82=""),"",ROUND(H82-I82,2))</f>
        <v/>
      </c>
      <c r="K82" s="15" t="str">
        <f aca="false">IF(J82="","",IF(J82=0,"Tam",IF(J82&lt;0,"Açık","Fazla")))</f>
        <v/>
      </c>
      <c r="L82" s="14" t="str">
        <f aca="false">IF(A82="","",C82+D82)</f>
        <v/>
      </c>
    </row>
    <row r="83" customFormat="false" ht="15" hidden="false" customHeight="false" outlineLevel="0" collapsed="false">
      <c r="A83" s="12"/>
      <c r="B83" s="13"/>
      <c r="C83" s="13"/>
      <c r="D83" s="13"/>
      <c r="E83" s="13"/>
      <c r="F83" s="13"/>
      <c r="G83" s="13"/>
      <c r="H83" s="13"/>
      <c r="I83" s="14" t="str">
        <f aca="false">IF(A83="","",B83+C83+E83-F83-G83)</f>
        <v/>
      </c>
      <c r="J83" s="14" t="str">
        <f aca="false">IF(OR(A83="",H83=""),"",ROUND(H83-I83,2))</f>
        <v/>
      </c>
      <c r="K83" s="15" t="str">
        <f aca="false">IF(J83="","",IF(J83=0,"Tam",IF(J83&lt;0,"Açık","Fazla")))</f>
        <v/>
      </c>
      <c r="L83" s="14" t="str">
        <f aca="false">IF(A83="","",C83+D83)</f>
        <v/>
      </c>
    </row>
    <row r="84" customFormat="false" ht="15" hidden="false" customHeight="false" outlineLevel="0" collapsed="false">
      <c r="A84" s="12"/>
      <c r="B84" s="13"/>
      <c r="C84" s="13"/>
      <c r="D84" s="13"/>
      <c r="E84" s="13"/>
      <c r="F84" s="13"/>
      <c r="G84" s="13"/>
      <c r="H84" s="13"/>
      <c r="I84" s="14" t="str">
        <f aca="false">IF(A84="","",B84+C84+E84-F84-G84)</f>
        <v/>
      </c>
      <c r="J84" s="14" t="str">
        <f aca="false">IF(OR(A84="",H84=""),"",ROUND(H84-I84,2))</f>
        <v/>
      </c>
      <c r="K84" s="15" t="str">
        <f aca="false">IF(J84="","",IF(J84=0,"Tam",IF(J84&lt;0,"Açık","Fazla")))</f>
        <v/>
      </c>
      <c r="L84" s="14" t="str">
        <f aca="false">IF(A84="","",C84+D84)</f>
        <v/>
      </c>
    </row>
    <row r="85" customFormat="false" ht="15" hidden="false" customHeight="false" outlineLevel="0" collapsed="false">
      <c r="A85" s="12"/>
      <c r="B85" s="13"/>
      <c r="C85" s="13"/>
      <c r="D85" s="13"/>
      <c r="E85" s="13"/>
      <c r="F85" s="13"/>
      <c r="G85" s="13"/>
      <c r="H85" s="13"/>
      <c r="I85" s="14" t="str">
        <f aca="false">IF(A85="","",B85+C85+E85-F85-G85)</f>
        <v/>
      </c>
      <c r="J85" s="14" t="str">
        <f aca="false">IF(OR(A85="",H85=""),"",ROUND(H85-I85,2))</f>
        <v/>
      </c>
      <c r="K85" s="15" t="str">
        <f aca="false">IF(J85="","",IF(J85=0,"Tam",IF(J85&lt;0,"Açık","Fazla")))</f>
        <v/>
      </c>
      <c r="L85" s="14" t="str">
        <f aca="false">IF(A85="","",C85+D85)</f>
        <v/>
      </c>
    </row>
    <row r="86" customFormat="false" ht="15" hidden="false" customHeight="false" outlineLevel="0" collapsed="false">
      <c r="A86" s="12"/>
      <c r="B86" s="13"/>
      <c r="C86" s="13"/>
      <c r="D86" s="13"/>
      <c r="E86" s="13"/>
      <c r="F86" s="13"/>
      <c r="G86" s="13"/>
      <c r="H86" s="13"/>
      <c r="I86" s="14" t="str">
        <f aca="false">IF(A86="","",B86+C86+E86-F86-G86)</f>
        <v/>
      </c>
      <c r="J86" s="14" t="str">
        <f aca="false">IF(OR(A86="",H86=""),"",ROUND(H86-I86,2))</f>
        <v/>
      </c>
      <c r="K86" s="15" t="str">
        <f aca="false">IF(J86="","",IF(J86=0,"Tam",IF(J86&lt;0,"Açık","Fazla")))</f>
        <v/>
      </c>
      <c r="L86" s="14" t="str">
        <f aca="false">IF(A86="","",C86+D86)</f>
        <v/>
      </c>
    </row>
    <row r="87" customFormat="false" ht="15" hidden="false" customHeight="false" outlineLevel="0" collapsed="false">
      <c r="A87" s="12"/>
      <c r="B87" s="13"/>
      <c r="C87" s="13"/>
      <c r="D87" s="13"/>
      <c r="E87" s="13"/>
      <c r="F87" s="13"/>
      <c r="G87" s="13"/>
      <c r="H87" s="13"/>
      <c r="I87" s="14" t="str">
        <f aca="false">IF(A87="","",B87+C87+E87-F87-G87)</f>
        <v/>
      </c>
      <c r="J87" s="14" t="str">
        <f aca="false">IF(OR(A87="",H87=""),"",ROUND(H87-I87,2))</f>
        <v/>
      </c>
      <c r="K87" s="15" t="str">
        <f aca="false">IF(J87="","",IF(J87=0,"Tam",IF(J87&lt;0,"Açık","Fazla")))</f>
        <v/>
      </c>
      <c r="L87" s="14" t="str">
        <f aca="false">IF(A87="","",C87+D87)</f>
        <v/>
      </c>
    </row>
    <row r="88" customFormat="false" ht="15" hidden="false" customHeight="false" outlineLevel="0" collapsed="false">
      <c r="A88" s="12"/>
      <c r="B88" s="13"/>
      <c r="C88" s="13"/>
      <c r="D88" s="13"/>
      <c r="E88" s="13"/>
      <c r="F88" s="13"/>
      <c r="G88" s="13"/>
      <c r="H88" s="13"/>
      <c r="I88" s="14" t="str">
        <f aca="false">IF(A88="","",B88+C88+E88-F88-G88)</f>
        <v/>
      </c>
      <c r="J88" s="14" t="str">
        <f aca="false">IF(OR(A88="",H88=""),"",ROUND(H88-I88,2))</f>
        <v/>
      </c>
      <c r="K88" s="15" t="str">
        <f aca="false">IF(J88="","",IF(J88=0,"Tam",IF(J88&lt;0,"Açık","Fazla")))</f>
        <v/>
      </c>
      <c r="L88" s="14" t="str">
        <f aca="false">IF(A88="","",C88+D88)</f>
        <v/>
      </c>
    </row>
    <row r="89" customFormat="false" ht="15" hidden="false" customHeight="false" outlineLevel="0" collapsed="false">
      <c r="A89" s="12"/>
      <c r="B89" s="13"/>
      <c r="C89" s="13"/>
      <c r="D89" s="13"/>
      <c r="E89" s="13"/>
      <c r="F89" s="13"/>
      <c r="G89" s="13"/>
      <c r="H89" s="13"/>
      <c r="I89" s="14" t="str">
        <f aca="false">IF(A89="","",B89+C89+E89-F89-G89)</f>
        <v/>
      </c>
      <c r="J89" s="14" t="str">
        <f aca="false">IF(OR(A89="",H89=""),"",ROUND(H89-I89,2))</f>
        <v/>
      </c>
      <c r="K89" s="15" t="str">
        <f aca="false">IF(J89="","",IF(J89=0,"Tam",IF(J89&lt;0,"Açık","Fazla")))</f>
        <v/>
      </c>
      <c r="L89" s="14" t="str">
        <f aca="false">IF(A89="","",C89+D89)</f>
        <v/>
      </c>
    </row>
    <row r="90" customFormat="false" ht="15" hidden="false" customHeight="false" outlineLevel="0" collapsed="false">
      <c r="A90" s="12"/>
      <c r="B90" s="13"/>
      <c r="C90" s="13"/>
      <c r="D90" s="13"/>
      <c r="E90" s="13"/>
      <c r="F90" s="13"/>
      <c r="G90" s="13"/>
      <c r="H90" s="13"/>
      <c r="I90" s="14" t="str">
        <f aca="false">IF(A90="","",B90+C90+E90-F90-G90)</f>
        <v/>
      </c>
      <c r="J90" s="14" t="str">
        <f aca="false">IF(OR(A90="",H90=""),"",ROUND(H90-I90,2))</f>
        <v/>
      </c>
      <c r="K90" s="15" t="str">
        <f aca="false">IF(J90="","",IF(J90=0,"Tam",IF(J90&lt;0,"Açık","Fazla")))</f>
        <v/>
      </c>
      <c r="L90" s="14" t="str">
        <f aca="false">IF(A90="","",C90+D90)</f>
        <v/>
      </c>
    </row>
    <row r="91" customFormat="false" ht="15" hidden="false" customHeight="false" outlineLevel="0" collapsed="false">
      <c r="A91" s="12"/>
      <c r="B91" s="13"/>
      <c r="C91" s="13"/>
      <c r="D91" s="13"/>
      <c r="E91" s="13"/>
      <c r="F91" s="13"/>
      <c r="G91" s="13"/>
      <c r="H91" s="13"/>
      <c r="I91" s="14" t="str">
        <f aca="false">IF(A91="","",B91+C91+E91-F91-G91)</f>
        <v/>
      </c>
      <c r="J91" s="14" t="str">
        <f aca="false">IF(OR(A91="",H91=""),"",ROUND(H91-I91,2))</f>
        <v/>
      </c>
      <c r="K91" s="15" t="str">
        <f aca="false">IF(J91="","",IF(J91=0,"Tam",IF(J91&lt;0,"Açık","Fazla")))</f>
        <v/>
      </c>
      <c r="L91" s="14" t="str">
        <f aca="false">IF(A91="","",C91+D91)</f>
        <v/>
      </c>
    </row>
    <row r="92" customFormat="false" ht="15" hidden="false" customHeight="false" outlineLevel="0" collapsed="false">
      <c r="A92" s="12"/>
      <c r="B92" s="13"/>
      <c r="C92" s="13"/>
      <c r="D92" s="13"/>
      <c r="E92" s="13"/>
      <c r="F92" s="13"/>
      <c r="G92" s="13"/>
      <c r="H92" s="13"/>
      <c r="I92" s="14" t="str">
        <f aca="false">IF(A92="","",B92+C92+E92-F92-G92)</f>
        <v/>
      </c>
      <c r="J92" s="14" t="str">
        <f aca="false">IF(OR(A92="",H92=""),"",ROUND(H92-I92,2))</f>
        <v/>
      </c>
      <c r="K92" s="15" t="str">
        <f aca="false">IF(J92="","",IF(J92=0,"Tam",IF(J92&lt;0,"Açık","Fazla")))</f>
        <v/>
      </c>
      <c r="L92" s="14" t="str">
        <f aca="false">IF(A92="","",C92+D92)</f>
        <v/>
      </c>
    </row>
    <row r="93" customFormat="false" ht="15" hidden="false" customHeight="false" outlineLevel="0" collapsed="false">
      <c r="A93" s="12"/>
      <c r="B93" s="13"/>
      <c r="C93" s="13"/>
      <c r="D93" s="13"/>
      <c r="E93" s="13"/>
      <c r="F93" s="13"/>
      <c r="G93" s="13"/>
      <c r="H93" s="13"/>
      <c r="I93" s="14" t="str">
        <f aca="false">IF(A93="","",B93+C93+E93-F93-G93)</f>
        <v/>
      </c>
      <c r="J93" s="14" t="str">
        <f aca="false">IF(OR(A93="",H93=""),"",ROUND(H93-I93,2))</f>
        <v/>
      </c>
      <c r="K93" s="15" t="str">
        <f aca="false">IF(J93="","",IF(J93=0,"Tam",IF(J93&lt;0,"Açık","Fazla")))</f>
        <v/>
      </c>
      <c r="L93" s="14" t="str">
        <f aca="false">IF(A93="","",C93+D93)</f>
        <v/>
      </c>
    </row>
    <row r="94" customFormat="false" ht="15" hidden="false" customHeight="false" outlineLevel="0" collapsed="false">
      <c r="A94" s="12"/>
      <c r="B94" s="13"/>
      <c r="C94" s="13"/>
      <c r="D94" s="13"/>
      <c r="E94" s="13"/>
      <c r="F94" s="13"/>
      <c r="G94" s="13"/>
      <c r="H94" s="13"/>
      <c r="I94" s="14" t="str">
        <f aca="false">IF(A94="","",B94+C94+E94-F94-G94)</f>
        <v/>
      </c>
      <c r="J94" s="14" t="str">
        <f aca="false">IF(OR(A94="",H94=""),"",ROUND(H94-I94,2))</f>
        <v/>
      </c>
      <c r="K94" s="15" t="str">
        <f aca="false">IF(J94="","",IF(J94=0,"Tam",IF(J94&lt;0,"Açık","Fazla")))</f>
        <v/>
      </c>
      <c r="L94" s="14" t="str">
        <f aca="false">IF(A94="","",C94+D94)</f>
        <v/>
      </c>
    </row>
    <row r="95" customFormat="false" ht="15" hidden="false" customHeight="false" outlineLevel="0" collapsed="false">
      <c r="A95" s="12"/>
      <c r="B95" s="13"/>
      <c r="C95" s="13"/>
      <c r="D95" s="13"/>
      <c r="E95" s="13"/>
      <c r="F95" s="13"/>
      <c r="G95" s="13"/>
      <c r="H95" s="13"/>
      <c r="I95" s="14" t="str">
        <f aca="false">IF(A95="","",B95+C95+E95-F95-G95)</f>
        <v/>
      </c>
      <c r="J95" s="14" t="str">
        <f aca="false">IF(OR(A95="",H95=""),"",ROUND(H95-I95,2))</f>
        <v/>
      </c>
      <c r="K95" s="15" t="str">
        <f aca="false">IF(J95="","",IF(J95=0,"Tam",IF(J95&lt;0,"Açık","Fazla")))</f>
        <v/>
      </c>
      <c r="L95" s="14" t="str">
        <f aca="false">IF(A95="","",C95+D95)</f>
        <v/>
      </c>
    </row>
    <row r="96" customFormat="false" ht="15" hidden="false" customHeight="false" outlineLevel="0" collapsed="false">
      <c r="A96" s="12"/>
      <c r="B96" s="13"/>
      <c r="C96" s="13"/>
      <c r="D96" s="13"/>
      <c r="E96" s="13"/>
      <c r="F96" s="13"/>
      <c r="G96" s="13"/>
      <c r="H96" s="13"/>
      <c r="I96" s="14" t="str">
        <f aca="false">IF(A96="","",B96+C96+E96-F96-G96)</f>
        <v/>
      </c>
      <c r="J96" s="14" t="str">
        <f aca="false">IF(OR(A96="",H96=""),"",ROUND(H96-I96,2))</f>
        <v/>
      </c>
      <c r="K96" s="15" t="str">
        <f aca="false">IF(J96="","",IF(J96=0,"Tam",IF(J96&lt;0,"Açık","Fazla")))</f>
        <v/>
      </c>
      <c r="L96" s="14" t="str">
        <f aca="false">IF(A96="","",C96+D96)</f>
        <v/>
      </c>
    </row>
    <row r="97" customFormat="false" ht="15" hidden="false" customHeight="false" outlineLevel="0" collapsed="false">
      <c r="A97" s="12"/>
      <c r="B97" s="13"/>
      <c r="C97" s="13"/>
      <c r="D97" s="13"/>
      <c r="E97" s="13"/>
      <c r="F97" s="13"/>
      <c r="G97" s="13"/>
      <c r="H97" s="13"/>
      <c r="I97" s="14" t="str">
        <f aca="false">IF(A97="","",B97+C97+E97-F97-G97)</f>
        <v/>
      </c>
      <c r="J97" s="14" t="str">
        <f aca="false">IF(OR(A97="",H97=""),"",ROUND(H97-I97,2))</f>
        <v/>
      </c>
      <c r="K97" s="15" t="str">
        <f aca="false">IF(J97="","",IF(J97=0,"Tam",IF(J97&lt;0,"Açık","Fazla")))</f>
        <v/>
      </c>
      <c r="L97" s="14" t="str">
        <f aca="false">IF(A97="","",C97+D97)</f>
        <v/>
      </c>
    </row>
    <row r="98" customFormat="false" ht="15" hidden="false" customHeight="false" outlineLevel="0" collapsed="false">
      <c r="A98" s="12"/>
      <c r="B98" s="13"/>
      <c r="C98" s="13"/>
      <c r="D98" s="13"/>
      <c r="E98" s="13"/>
      <c r="F98" s="13"/>
      <c r="G98" s="13"/>
      <c r="H98" s="13"/>
      <c r="I98" s="14" t="str">
        <f aca="false">IF(A98="","",B98+C98+E98-F98-G98)</f>
        <v/>
      </c>
      <c r="J98" s="14" t="str">
        <f aca="false">IF(OR(A98="",H98=""),"",ROUND(H98-I98,2))</f>
        <v/>
      </c>
      <c r="K98" s="15" t="str">
        <f aca="false">IF(J98="","",IF(J98=0,"Tam",IF(J98&lt;0,"Açık","Fazla")))</f>
        <v/>
      </c>
      <c r="L98" s="14" t="str">
        <f aca="false">IF(A98="","",C98+D98)</f>
        <v/>
      </c>
    </row>
    <row r="99" customFormat="false" ht="15" hidden="false" customHeight="false" outlineLevel="0" collapsed="false">
      <c r="A99" s="12"/>
      <c r="B99" s="13"/>
      <c r="C99" s="13"/>
      <c r="D99" s="13"/>
      <c r="E99" s="13"/>
      <c r="F99" s="13"/>
      <c r="G99" s="13"/>
      <c r="H99" s="13"/>
      <c r="I99" s="14" t="str">
        <f aca="false">IF(A99="","",B99+C99+E99-F99-G99)</f>
        <v/>
      </c>
      <c r="J99" s="14" t="str">
        <f aca="false">IF(OR(A99="",H99=""),"",ROUND(H99-I99,2))</f>
        <v/>
      </c>
      <c r="K99" s="15" t="str">
        <f aca="false">IF(J99="","",IF(J99=0,"Tam",IF(J99&lt;0,"Açık","Fazla")))</f>
        <v/>
      </c>
      <c r="L99" s="14" t="str">
        <f aca="false">IF(A99="","",C99+D99)</f>
        <v/>
      </c>
    </row>
    <row r="100" customFormat="false" ht="15" hidden="false" customHeight="false" outlineLevel="0" collapsed="false">
      <c r="A100" s="12"/>
      <c r="B100" s="13"/>
      <c r="C100" s="13"/>
      <c r="D100" s="13"/>
      <c r="E100" s="13"/>
      <c r="F100" s="13"/>
      <c r="G100" s="13"/>
      <c r="H100" s="13"/>
      <c r="I100" s="14" t="str">
        <f aca="false">IF(A100="","",B100+C100+E100-F100-G100)</f>
        <v/>
      </c>
      <c r="J100" s="14" t="str">
        <f aca="false">IF(OR(A100="",H100=""),"",ROUND(H100-I100,2))</f>
        <v/>
      </c>
      <c r="K100" s="15" t="str">
        <f aca="false">IF(J100="","",IF(J100=0,"Tam",IF(J100&lt;0,"Açık","Fazla")))</f>
        <v/>
      </c>
      <c r="L100" s="14" t="str">
        <f aca="false">IF(A100="","",C100+D100)</f>
        <v/>
      </c>
    </row>
    <row r="101" customFormat="false" ht="15" hidden="false" customHeight="false" outlineLevel="0" collapsed="false">
      <c r="A101" s="12"/>
      <c r="B101" s="13"/>
      <c r="C101" s="13"/>
      <c r="D101" s="13"/>
      <c r="E101" s="13"/>
      <c r="F101" s="13"/>
      <c r="G101" s="13"/>
      <c r="H101" s="13"/>
      <c r="I101" s="14" t="str">
        <f aca="false">IF(A101="","",B101+C101+E101-F101-G101)</f>
        <v/>
      </c>
      <c r="J101" s="14" t="str">
        <f aca="false">IF(OR(A101="",H101=""),"",ROUND(H101-I101,2))</f>
        <v/>
      </c>
      <c r="K101" s="15" t="str">
        <f aca="false">IF(J101="","",IF(J101=0,"Tam",IF(J101&lt;0,"Açık","Fazla")))</f>
        <v/>
      </c>
      <c r="L101" s="14" t="str">
        <f aca="false">IF(A101="","",C101+D101)</f>
        <v/>
      </c>
    </row>
    <row r="102" customFormat="false" ht="15" hidden="false" customHeight="false" outlineLevel="0" collapsed="false">
      <c r="A102" s="12"/>
      <c r="B102" s="13"/>
      <c r="C102" s="13"/>
      <c r="D102" s="13"/>
      <c r="E102" s="13"/>
      <c r="F102" s="13"/>
      <c r="G102" s="13"/>
      <c r="H102" s="13"/>
      <c r="I102" s="14" t="str">
        <f aca="false">IF(A102="","",B102+C102+E102-F102-G102)</f>
        <v/>
      </c>
      <c r="J102" s="14" t="str">
        <f aca="false">IF(OR(A102="",H102=""),"",ROUND(H102-I102,2))</f>
        <v/>
      </c>
      <c r="K102" s="15" t="str">
        <f aca="false">IF(J102="","",IF(J102=0,"Tam",IF(J102&lt;0,"Açık","Fazla")))</f>
        <v/>
      </c>
      <c r="L102" s="14" t="str">
        <f aca="false">IF(A102="","",C102+D102)</f>
        <v/>
      </c>
    </row>
    <row r="103" customFormat="false" ht="15" hidden="false" customHeight="false" outlineLevel="0" collapsed="false">
      <c r="A103" s="12"/>
      <c r="B103" s="13"/>
      <c r="C103" s="13"/>
      <c r="D103" s="13"/>
      <c r="E103" s="13"/>
      <c r="F103" s="13"/>
      <c r="G103" s="13"/>
      <c r="H103" s="13"/>
      <c r="I103" s="14" t="str">
        <f aca="false">IF(A103="","",B103+C103+E103-F103-G103)</f>
        <v/>
      </c>
      <c r="J103" s="14" t="str">
        <f aca="false">IF(OR(A103="",H103=""),"",ROUND(H103-I103,2))</f>
        <v/>
      </c>
      <c r="K103" s="15" t="str">
        <f aca="false">IF(J103="","",IF(J103=0,"Tam",IF(J103&lt;0,"Açık","Fazla")))</f>
        <v/>
      </c>
      <c r="L103" s="14" t="str">
        <f aca="false">IF(A103="","",C103+D103)</f>
        <v/>
      </c>
    </row>
    <row r="104" customFormat="false" ht="15" hidden="false" customHeight="false" outlineLevel="0" collapsed="false">
      <c r="A104" s="12"/>
      <c r="B104" s="13"/>
      <c r="C104" s="13"/>
      <c r="D104" s="13"/>
      <c r="E104" s="13"/>
      <c r="F104" s="13"/>
      <c r="G104" s="13"/>
      <c r="H104" s="13"/>
      <c r="I104" s="14" t="str">
        <f aca="false">IF(A104="","",B104+C104+E104-F104-G104)</f>
        <v/>
      </c>
      <c r="J104" s="14" t="str">
        <f aca="false">IF(OR(A104="",H104=""),"",ROUND(H104-I104,2))</f>
        <v/>
      </c>
      <c r="K104" s="15" t="str">
        <f aca="false">IF(J104="","",IF(J104=0,"Tam",IF(J104&lt;0,"Açık","Fazla")))</f>
        <v/>
      </c>
      <c r="L104" s="14" t="str">
        <f aca="false">IF(A104="","",C104+D104)</f>
        <v/>
      </c>
    </row>
    <row r="105" customFormat="false" ht="15" hidden="false" customHeight="false" outlineLevel="0" collapsed="false">
      <c r="A105" s="12"/>
      <c r="B105" s="13"/>
      <c r="C105" s="13"/>
      <c r="D105" s="13"/>
      <c r="E105" s="13"/>
      <c r="F105" s="13"/>
      <c r="G105" s="13"/>
      <c r="H105" s="13"/>
      <c r="I105" s="14" t="str">
        <f aca="false">IF(A105="","",B105+C105+E105-F105-G105)</f>
        <v/>
      </c>
      <c r="J105" s="14" t="str">
        <f aca="false">IF(OR(A105="",H105=""),"",ROUND(H105-I105,2))</f>
        <v/>
      </c>
      <c r="K105" s="15" t="str">
        <f aca="false">IF(J105="","",IF(J105=0,"Tam",IF(J105&lt;0,"Açık","Fazla")))</f>
        <v/>
      </c>
      <c r="L105" s="14" t="str">
        <f aca="false">IF(A105="","",C105+D105)</f>
        <v/>
      </c>
    </row>
    <row r="106" customFormat="false" ht="15" hidden="false" customHeight="false" outlineLevel="0" collapsed="false">
      <c r="A106" s="12"/>
      <c r="B106" s="13"/>
      <c r="C106" s="13"/>
      <c r="D106" s="13"/>
      <c r="E106" s="13"/>
      <c r="F106" s="13"/>
      <c r="G106" s="13"/>
      <c r="H106" s="13"/>
      <c r="I106" s="14" t="str">
        <f aca="false">IF(A106="","",B106+C106+E106-F106-G106)</f>
        <v/>
      </c>
      <c r="J106" s="14" t="str">
        <f aca="false">IF(OR(A106="",H106=""),"",ROUND(H106-I106,2))</f>
        <v/>
      </c>
      <c r="K106" s="15" t="str">
        <f aca="false">IF(J106="","",IF(J106=0,"Tam",IF(J106&lt;0,"Açık","Fazla")))</f>
        <v/>
      </c>
      <c r="L106" s="14" t="str">
        <f aca="false">IF(A106="","",C106+D106)</f>
        <v/>
      </c>
    </row>
    <row r="107" customFormat="false" ht="15" hidden="false" customHeight="false" outlineLevel="0" collapsed="false">
      <c r="A107" s="12"/>
      <c r="B107" s="13"/>
      <c r="C107" s="13"/>
      <c r="D107" s="13"/>
      <c r="E107" s="13"/>
      <c r="F107" s="13"/>
      <c r="G107" s="13"/>
      <c r="H107" s="13"/>
      <c r="I107" s="14" t="str">
        <f aca="false">IF(A107="","",B107+C107+E107-F107-G107)</f>
        <v/>
      </c>
      <c r="J107" s="14" t="str">
        <f aca="false">IF(OR(A107="",H107=""),"",ROUND(H107-I107,2))</f>
        <v/>
      </c>
      <c r="K107" s="15" t="str">
        <f aca="false">IF(J107="","",IF(J107=0,"Tam",IF(J107&lt;0,"Açık","Fazla")))</f>
        <v/>
      </c>
      <c r="L107" s="14" t="str">
        <f aca="false">IF(A107="","",C107+D107)</f>
        <v/>
      </c>
    </row>
    <row r="108" customFormat="false" ht="15" hidden="false" customHeight="false" outlineLevel="0" collapsed="false">
      <c r="A108" s="12"/>
      <c r="B108" s="13"/>
      <c r="C108" s="13"/>
      <c r="D108" s="13"/>
      <c r="E108" s="13"/>
      <c r="F108" s="13"/>
      <c r="G108" s="13"/>
      <c r="H108" s="13"/>
      <c r="I108" s="14" t="str">
        <f aca="false">IF(A108="","",B108+C108+E108-F108-G108)</f>
        <v/>
      </c>
      <c r="J108" s="14" t="str">
        <f aca="false">IF(OR(A108="",H108=""),"",ROUND(H108-I108,2))</f>
        <v/>
      </c>
      <c r="K108" s="15" t="str">
        <f aca="false">IF(J108="","",IF(J108=0,"Tam",IF(J108&lt;0,"Açık","Fazla")))</f>
        <v/>
      </c>
      <c r="L108" s="14" t="str">
        <f aca="false">IF(A108="","",C108+D108)</f>
        <v/>
      </c>
    </row>
    <row r="109" customFormat="false" ht="15" hidden="false" customHeight="false" outlineLevel="0" collapsed="false">
      <c r="A109" s="12"/>
      <c r="B109" s="13"/>
      <c r="C109" s="13"/>
      <c r="D109" s="13"/>
      <c r="E109" s="13"/>
      <c r="F109" s="13"/>
      <c r="G109" s="13"/>
      <c r="H109" s="13"/>
      <c r="I109" s="14" t="str">
        <f aca="false">IF(A109="","",B109+C109+E109-F109-G109)</f>
        <v/>
      </c>
      <c r="J109" s="14" t="str">
        <f aca="false">IF(OR(A109="",H109=""),"",ROUND(H109-I109,2))</f>
        <v/>
      </c>
      <c r="K109" s="15" t="str">
        <f aca="false">IF(J109="","",IF(J109=0,"Tam",IF(J109&lt;0,"Açık","Fazla")))</f>
        <v/>
      </c>
      <c r="L109" s="14" t="str">
        <f aca="false">IF(A109="","",C109+D109)</f>
        <v/>
      </c>
    </row>
    <row r="110" customFormat="false" ht="15" hidden="false" customHeight="false" outlineLevel="0" collapsed="false">
      <c r="A110" s="12"/>
      <c r="B110" s="13"/>
      <c r="C110" s="13"/>
      <c r="D110" s="13"/>
      <c r="E110" s="13"/>
      <c r="F110" s="13"/>
      <c r="G110" s="13"/>
      <c r="H110" s="13"/>
      <c r="I110" s="14" t="str">
        <f aca="false">IF(A110="","",B110+C110+E110-F110-G110)</f>
        <v/>
      </c>
      <c r="J110" s="14" t="str">
        <f aca="false">IF(OR(A110="",H110=""),"",ROUND(H110-I110,2))</f>
        <v/>
      </c>
      <c r="K110" s="15" t="str">
        <f aca="false">IF(J110="","",IF(J110=0,"Tam",IF(J110&lt;0,"Açık","Fazla")))</f>
        <v/>
      </c>
      <c r="L110" s="14" t="str">
        <f aca="false">IF(A110="","",C110+D110)</f>
        <v/>
      </c>
    </row>
    <row r="111" customFormat="false" ht="15" hidden="false" customHeight="false" outlineLevel="0" collapsed="false">
      <c r="A111" s="12"/>
      <c r="B111" s="13"/>
      <c r="C111" s="13"/>
      <c r="D111" s="13"/>
      <c r="E111" s="13"/>
      <c r="F111" s="13"/>
      <c r="G111" s="13"/>
      <c r="H111" s="13"/>
      <c r="I111" s="14" t="str">
        <f aca="false">IF(A111="","",B111+C111+E111-F111-G111)</f>
        <v/>
      </c>
      <c r="J111" s="14" t="str">
        <f aca="false">IF(OR(A111="",H111=""),"",ROUND(H111-I111,2))</f>
        <v/>
      </c>
      <c r="K111" s="15" t="str">
        <f aca="false">IF(J111="","",IF(J111=0,"Tam",IF(J111&lt;0,"Açık","Fazla")))</f>
        <v/>
      </c>
      <c r="L111" s="14" t="str">
        <f aca="false">IF(A111="","",C111+D111)</f>
        <v/>
      </c>
    </row>
    <row r="112" customFormat="false" ht="15" hidden="false" customHeight="false" outlineLevel="0" collapsed="false">
      <c r="A112" s="12"/>
      <c r="B112" s="13"/>
      <c r="C112" s="13"/>
      <c r="D112" s="13"/>
      <c r="E112" s="13"/>
      <c r="F112" s="13"/>
      <c r="G112" s="13"/>
      <c r="H112" s="13"/>
      <c r="I112" s="14" t="str">
        <f aca="false">IF(A112="","",B112+C112+E112-F112-G112)</f>
        <v/>
      </c>
      <c r="J112" s="14" t="str">
        <f aca="false">IF(OR(A112="",H112=""),"",ROUND(H112-I112,2))</f>
        <v/>
      </c>
      <c r="K112" s="15" t="str">
        <f aca="false">IF(J112="","",IF(J112=0,"Tam",IF(J112&lt;0,"Açık","Fazla")))</f>
        <v/>
      </c>
      <c r="L112" s="14" t="str">
        <f aca="false">IF(A112="","",C112+D112)</f>
        <v/>
      </c>
    </row>
    <row r="113" customFormat="false" ht="15" hidden="false" customHeight="false" outlineLevel="0" collapsed="false">
      <c r="A113" s="12"/>
      <c r="B113" s="13"/>
      <c r="C113" s="13"/>
      <c r="D113" s="13"/>
      <c r="E113" s="13"/>
      <c r="F113" s="13"/>
      <c r="G113" s="13"/>
      <c r="H113" s="13"/>
      <c r="I113" s="14" t="str">
        <f aca="false">IF(A113="","",B113+C113+E113-F113-G113)</f>
        <v/>
      </c>
      <c r="J113" s="14" t="str">
        <f aca="false">IF(OR(A113="",H113=""),"",ROUND(H113-I113,2))</f>
        <v/>
      </c>
      <c r="K113" s="15" t="str">
        <f aca="false">IF(J113="","",IF(J113=0,"Tam",IF(J113&lt;0,"Açık","Fazla")))</f>
        <v/>
      </c>
      <c r="L113" s="14" t="str">
        <f aca="false">IF(A113="","",C113+D113)</f>
        <v/>
      </c>
    </row>
    <row r="114" customFormat="false" ht="15" hidden="false" customHeight="false" outlineLevel="0" collapsed="false">
      <c r="A114" s="12"/>
      <c r="B114" s="13"/>
      <c r="C114" s="13"/>
      <c r="D114" s="13"/>
      <c r="E114" s="13"/>
      <c r="F114" s="13"/>
      <c r="G114" s="13"/>
      <c r="H114" s="13"/>
      <c r="I114" s="14" t="str">
        <f aca="false">IF(A114="","",B114+C114+E114-F114-G114)</f>
        <v/>
      </c>
      <c r="J114" s="14" t="str">
        <f aca="false">IF(OR(A114="",H114=""),"",ROUND(H114-I114,2))</f>
        <v/>
      </c>
      <c r="K114" s="15" t="str">
        <f aca="false">IF(J114="","",IF(J114=0,"Tam",IF(J114&lt;0,"Açık","Fazla")))</f>
        <v/>
      </c>
      <c r="L114" s="14" t="str">
        <f aca="false">IF(A114="","",C114+D114)</f>
        <v/>
      </c>
    </row>
    <row r="115" customFormat="false" ht="15" hidden="false" customHeight="false" outlineLevel="0" collapsed="false">
      <c r="A115" s="12"/>
      <c r="B115" s="13"/>
      <c r="C115" s="13"/>
      <c r="D115" s="13"/>
      <c r="E115" s="13"/>
      <c r="F115" s="13"/>
      <c r="G115" s="13"/>
      <c r="H115" s="13"/>
      <c r="I115" s="14" t="str">
        <f aca="false">IF(A115="","",B115+C115+E115-F115-G115)</f>
        <v/>
      </c>
      <c r="J115" s="14" t="str">
        <f aca="false">IF(OR(A115="",H115=""),"",ROUND(H115-I115,2))</f>
        <v/>
      </c>
      <c r="K115" s="15" t="str">
        <f aca="false">IF(J115="","",IF(J115=0,"Tam",IF(J115&lt;0,"Açık","Fazla")))</f>
        <v/>
      </c>
      <c r="L115" s="14" t="str">
        <f aca="false">IF(A115="","",C115+D115)</f>
        <v/>
      </c>
    </row>
    <row r="116" customFormat="false" ht="15" hidden="false" customHeight="false" outlineLevel="0" collapsed="false">
      <c r="A116" s="12"/>
      <c r="B116" s="13"/>
      <c r="C116" s="13"/>
      <c r="D116" s="13"/>
      <c r="E116" s="13"/>
      <c r="F116" s="13"/>
      <c r="G116" s="13"/>
      <c r="H116" s="13"/>
      <c r="I116" s="14" t="str">
        <f aca="false">IF(A116="","",B116+C116+E116-F116-G116)</f>
        <v/>
      </c>
      <c r="J116" s="14" t="str">
        <f aca="false">IF(OR(A116="",H116=""),"",ROUND(H116-I116,2))</f>
        <v/>
      </c>
      <c r="K116" s="15" t="str">
        <f aca="false">IF(J116="","",IF(J116=0,"Tam",IF(J116&lt;0,"Açık","Fazla")))</f>
        <v/>
      </c>
      <c r="L116" s="14" t="str">
        <f aca="false">IF(A116="","",C116+D116)</f>
        <v/>
      </c>
    </row>
    <row r="117" customFormat="false" ht="15" hidden="false" customHeight="false" outlineLevel="0" collapsed="false">
      <c r="A117" s="12"/>
      <c r="B117" s="13"/>
      <c r="C117" s="13"/>
      <c r="D117" s="13"/>
      <c r="E117" s="13"/>
      <c r="F117" s="13"/>
      <c r="G117" s="13"/>
      <c r="H117" s="13"/>
      <c r="I117" s="14" t="str">
        <f aca="false">IF(A117="","",B117+C117+E117-F117-G117)</f>
        <v/>
      </c>
      <c r="J117" s="14" t="str">
        <f aca="false">IF(OR(A117="",H117=""),"",ROUND(H117-I117,2))</f>
        <v/>
      </c>
      <c r="K117" s="15" t="str">
        <f aca="false">IF(J117="","",IF(J117=0,"Tam",IF(J117&lt;0,"Açık","Fazla")))</f>
        <v/>
      </c>
      <c r="L117" s="14" t="str">
        <f aca="false">IF(A117="","",C117+D117)</f>
        <v/>
      </c>
    </row>
    <row r="118" customFormat="false" ht="15" hidden="false" customHeight="false" outlineLevel="0" collapsed="false">
      <c r="A118" s="12"/>
      <c r="B118" s="13"/>
      <c r="C118" s="13"/>
      <c r="D118" s="13"/>
      <c r="E118" s="13"/>
      <c r="F118" s="13"/>
      <c r="G118" s="13"/>
      <c r="H118" s="13"/>
      <c r="I118" s="14" t="str">
        <f aca="false">IF(A118="","",B118+C118+E118-F118-G118)</f>
        <v/>
      </c>
      <c r="J118" s="14" t="str">
        <f aca="false">IF(OR(A118="",H118=""),"",ROUND(H118-I118,2))</f>
        <v/>
      </c>
      <c r="K118" s="15" t="str">
        <f aca="false">IF(J118="","",IF(J118=0,"Tam",IF(J118&lt;0,"Açık","Fazla")))</f>
        <v/>
      </c>
      <c r="L118" s="14" t="str">
        <f aca="false">IF(A118="","",C118+D118)</f>
        <v/>
      </c>
    </row>
    <row r="119" customFormat="false" ht="15" hidden="false" customHeight="false" outlineLevel="0" collapsed="false">
      <c r="A119" s="12"/>
      <c r="B119" s="13"/>
      <c r="C119" s="13"/>
      <c r="D119" s="13"/>
      <c r="E119" s="13"/>
      <c r="F119" s="13"/>
      <c r="G119" s="13"/>
      <c r="H119" s="13"/>
      <c r="I119" s="14" t="str">
        <f aca="false">IF(A119="","",B119+C119+E119-F119-G119)</f>
        <v/>
      </c>
      <c r="J119" s="14" t="str">
        <f aca="false">IF(OR(A119="",H119=""),"",ROUND(H119-I119,2))</f>
        <v/>
      </c>
      <c r="K119" s="15" t="str">
        <f aca="false">IF(J119="","",IF(J119=0,"Tam",IF(J119&lt;0,"Açık","Fazla")))</f>
        <v/>
      </c>
      <c r="L119" s="14" t="str">
        <f aca="false">IF(A119="","",C119+D119)</f>
        <v/>
      </c>
    </row>
    <row r="120" customFormat="false" ht="15" hidden="false" customHeight="false" outlineLevel="0" collapsed="false">
      <c r="A120" s="12"/>
      <c r="B120" s="13"/>
      <c r="C120" s="13"/>
      <c r="D120" s="13"/>
      <c r="E120" s="13"/>
      <c r="F120" s="13"/>
      <c r="G120" s="13"/>
      <c r="H120" s="13"/>
      <c r="I120" s="14" t="str">
        <f aca="false">IF(A120="","",B120+C120+E120-F120-G120)</f>
        <v/>
      </c>
      <c r="J120" s="14" t="str">
        <f aca="false">IF(OR(A120="",H120=""),"",ROUND(H120-I120,2))</f>
        <v/>
      </c>
      <c r="K120" s="15" t="str">
        <f aca="false">IF(J120="","",IF(J120=0,"Tam",IF(J120&lt;0,"Açık","Fazla")))</f>
        <v/>
      </c>
      <c r="L120" s="14" t="str">
        <f aca="false">IF(A120="","",C120+D120)</f>
        <v/>
      </c>
    </row>
    <row r="121" customFormat="false" ht="15" hidden="false" customHeight="false" outlineLevel="0" collapsed="false">
      <c r="A121" s="12"/>
      <c r="B121" s="13"/>
      <c r="C121" s="13"/>
      <c r="D121" s="13"/>
      <c r="E121" s="13"/>
      <c r="F121" s="13"/>
      <c r="G121" s="13"/>
      <c r="H121" s="13"/>
      <c r="I121" s="14" t="str">
        <f aca="false">IF(A121="","",B121+C121+E121-F121-G121)</f>
        <v/>
      </c>
      <c r="J121" s="14" t="str">
        <f aca="false">IF(OR(A121="",H121=""),"",ROUND(H121-I121,2))</f>
        <v/>
      </c>
      <c r="K121" s="15" t="str">
        <f aca="false">IF(J121="","",IF(J121=0,"Tam",IF(J121&lt;0,"Açık","Fazla")))</f>
        <v/>
      </c>
      <c r="L121" s="14" t="str">
        <f aca="false">IF(A121="","",C121+D121)</f>
        <v/>
      </c>
    </row>
    <row r="122" customFormat="false" ht="15" hidden="false" customHeight="false" outlineLevel="0" collapsed="false">
      <c r="A122" s="12"/>
      <c r="B122" s="13"/>
      <c r="C122" s="13"/>
      <c r="D122" s="13"/>
      <c r="E122" s="13"/>
      <c r="F122" s="13"/>
      <c r="G122" s="13"/>
      <c r="H122" s="13"/>
      <c r="I122" s="14" t="str">
        <f aca="false">IF(A122="","",B122+C122+E122-F122-G122)</f>
        <v/>
      </c>
      <c r="J122" s="14" t="str">
        <f aca="false">IF(OR(A122="",H122=""),"",ROUND(H122-I122,2))</f>
        <v/>
      </c>
      <c r="K122" s="15" t="str">
        <f aca="false">IF(J122="","",IF(J122=0,"Tam",IF(J122&lt;0,"Açık","Fazla")))</f>
        <v/>
      </c>
      <c r="L122" s="14" t="str">
        <f aca="false">IF(A122="","",C122+D122)</f>
        <v/>
      </c>
    </row>
    <row r="123" customFormat="false" ht="15" hidden="false" customHeight="false" outlineLevel="0" collapsed="false">
      <c r="A123" s="12"/>
      <c r="B123" s="13"/>
      <c r="C123" s="13"/>
      <c r="D123" s="13"/>
      <c r="E123" s="13"/>
      <c r="F123" s="13"/>
      <c r="G123" s="13"/>
      <c r="H123" s="13"/>
      <c r="I123" s="14" t="str">
        <f aca="false">IF(A123="","",B123+C123+E123-F123-G123)</f>
        <v/>
      </c>
      <c r="J123" s="14" t="str">
        <f aca="false">IF(OR(A123="",H123=""),"",ROUND(H123-I123,2))</f>
        <v/>
      </c>
      <c r="K123" s="15" t="str">
        <f aca="false">IF(J123="","",IF(J123=0,"Tam",IF(J123&lt;0,"Açık","Fazla")))</f>
        <v/>
      </c>
      <c r="L123" s="14" t="str">
        <f aca="false">IF(A123="","",C123+D123)</f>
        <v/>
      </c>
    </row>
    <row r="124" customFormat="false" ht="15" hidden="false" customHeight="false" outlineLevel="0" collapsed="false">
      <c r="A124" s="12"/>
      <c r="B124" s="13"/>
      <c r="C124" s="13"/>
      <c r="D124" s="13"/>
      <c r="E124" s="13"/>
      <c r="F124" s="13"/>
      <c r="G124" s="13"/>
      <c r="H124" s="13"/>
      <c r="I124" s="14" t="str">
        <f aca="false">IF(A124="","",B124+C124+E124-F124-G124)</f>
        <v/>
      </c>
      <c r="J124" s="14" t="str">
        <f aca="false">IF(OR(A124="",H124=""),"",ROUND(H124-I124,2))</f>
        <v/>
      </c>
      <c r="K124" s="15" t="str">
        <f aca="false">IF(J124="","",IF(J124=0,"Tam",IF(J124&lt;0,"Açık","Fazla")))</f>
        <v/>
      </c>
      <c r="L124" s="14" t="str">
        <f aca="false">IF(A124="","",C124+D124)</f>
        <v/>
      </c>
    </row>
    <row r="125" customFormat="false" ht="15" hidden="false" customHeight="false" outlineLevel="0" collapsed="false">
      <c r="A125" s="12"/>
      <c r="B125" s="13"/>
      <c r="C125" s="13"/>
      <c r="D125" s="13"/>
      <c r="E125" s="13"/>
      <c r="F125" s="13"/>
      <c r="G125" s="13"/>
      <c r="H125" s="13"/>
      <c r="I125" s="14" t="str">
        <f aca="false">IF(A125="","",B125+C125+E125-F125-G125)</f>
        <v/>
      </c>
      <c r="J125" s="14" t="str">
        <f aca="false">IF(OR(A125="",H125=""),"",ROUND(H125-I125,2))</f>
        <v/>
      </c>
      <c r="K125" s="15" t="str">
        <f aca="false">IF(J125="","",IF(J125=0,"Tam",IF(J125&lt;0,"Açık","Fazla")))</f>
        <v/>
      </c>
      <c r="L125" s="14" t="str">
        <f aca="false">IF(A125="","",C125+D125)</f>
        <v/>
      </c>
    </row>
    <row r="126" customFormat="false" ht="15" hidden="false" customHeight="false" outlineLevel="0" collapsed="false">
      <c r="A126" s="12"/>
      <c r="B126" s="13"/>
      <c r="C126" s="13"/>
      <c r="D126" s="13"/>
      <c r="E126" s="13"/>
      <c r="F126" s="13"/>
      <c r="G126" s="13"/>
      <c r="H126" s="13"/>
      <c r="I126" s="14" t="str">
        <f aca="false">IF(A126="","",B126+C126+E126-F126-G126)</f>
        <v/>
      </c>
      <c r="J126" s="14" t="str">
        <f aca="false">IF(OR(A126="",H126=""),"",ROUND(H126-I126,2))</f>
        <v/>
      </c>
      <c r="K126" s="15" t="str">
        <f aca="false">IF(J126="","",IF(J126=0,"Tam",IF(J126&lt;0,"Açık","Fazla")))</f>
        <v/>
      </c>
      <c r="L126" s="14" t="str">
        <f aca="false">IF(A126="","",C126+D126)</f>
        <v/>
      </c>
    </row>
    <row r="127" customFormat="false" ht="15" hidden="false" customHeight="false" outlineLevel="0" collapsed="false">
      <c r="A127" s="12"/>
      <c r="B127" s="13"/>
      <c r="C127" s="13"/>
      <c r="D127" s="13"/>
      <c r="E127" s="13"/>
      <c r="F127" s="13"/>
      <c r="G127" s="13"/>
      <c r="H127" s="13"/>
      <c r="I127" s="14" t="str">
        <f aca="false">IF(A127="","",B127+C127+E127-F127-G127)</f>
        <v/>
      </c>
      <c r="J127" s="14" t="str">
        <f aca="false">IF(OR(A127="",H127=""),"",ROUND(H127-I127,2))</f>
        <v/>
      </c>
      <c r="K127" s="15" t="str">
        <f aca="false">IF(J127="","",IF(J127=0,"Tam",IF(J127&lt;0,"Açık","Fazla")))</f>
        <v/>
      </c>
      <c r="L127" s="14" t="str">
        <f aca="false">IF(A127="","",C127+D127)</f>
        <v/>
      </c>
    </row>
    <row r="128" customFormat="false" ht="15" hidden="false" customHeight="false" outlineLevel="0" collapsed="false">
      <c r="A128" s="12"/>
      <c r="B128" s="13"/>
      <c r="C128" s="13"/>
      <c r="D128" s="13"/>
      <c r="E128" s="13"/>
      <c r="F128" s="13"/>
      <c r="G128" s="13"/>
      <c r="H128" s="13"/>
      <c r="I128" s="14" t="str">
        <f aca="false">IF(A128="","",B128+C128+E128-F128-G128)</f>
        <v/>
      </c>
      <c r="J128" s="14" t="str">
        <f aca="false">IF(OR(A128="",H128=""),"",ROUND(H128-I128,2))</f>
        <v/>
      </c>
      <c r="K128" s="15" t="str">
        <f aca="false">IF(J128="","",IF(J128=0,"Tam",IF(J128&lt;0,"Açık","Fazla")))</f>
        <v/>
      </c>
      <c r="L128" s="14" t="str">
        <f aca="false">IF(A128="","",C128+D128)</f>
        <v/>
      </c>
    </row>
    <row r="129" customFormat="false" ht="15" hidden="false" customHeight="false" outlineLevel="0" collapsed="false">
      <c r="A129" s="12"/>
      <c r="B129" s="13"/>
      <c r="C129" s="13"/>
      <c r="D129" s="13"/>
      <c r="E129" s="13"/>
      <c r="F129" s="13"/>
      <c r="G129" s="13"/>
      <c r="H129" s="13"/>
      <c r="I129" s="14" t="str">
        <f aca="false">IF(A129="","",B129+C129+E129-F129-G129)</f>
        <v/>
      </c>
      <c r="J129" s="14" t="str">
        <f aca="false">IF(OR(A129="",H129=""),"",ROUND(H129-I129,2))</f>
        <v/>
      </c>
      <c r="K129" s="15" t="str">
        <f aca="false">IF(J129="","",IF(J129=0,"Tam",IF(J129&lt;0,"Açık","Fazla")))</f>
        <v/>
      </c>
      <c r="L129" s="14" t="str">
        <f aca="false">IF(A129="","",C129+D129)</f>
        <v/>
      </c>
    </row>
    <row r="130" customFormat="false" ht="15" hidden="false" customHeight="false" outlineLevel="0" collapsed="false">
      <c r="A130" s="12"/>
      <c r="B130" s="13"/>
      <c r="C130" s="13"/>
      <c r="D130" s="13"/>
      <c r="E130" s="13"/>
      <c r="F130" s="13"/>
      <c r="G130" s="13"/>
      <c r="H130" s="13"/>
      <c r="I130" s="14" t="str">
        <f aca="false">IF(A130="","",B130+C130+E130-F130-G130)</f>
        <v/>
      </c>
      <c r="J130" s="14" t="str">
        <f aca="false">IF(OR(A130="",H130=""),"",ROUND(H130-I130,2))</f>
        <v/>
      </c>
      <c r="K130" s="15" t="str">
        <f aca="false">IF(J130="","",IF(J130=0,"Tam",IF(J130&lt;0,"Açık","Fazla")))</f>
        <v/>
      </c>
      <c r="L130" s="14" t="str">
        <f aca="false">IF(A130="","",C130+D130)</f>
        <v/>
      </c>
    </row>
    <row r="131" customFormat="false" ht="15" hidden="false" customHeight="false" outlineLevel="0" collapsed="false">
      <c r="A131" s="12"/>
      <c r="B131" s="13"/>
      <c r="C131" s="13"/>
      <c r="D131" s="13"/>
      <c r="E131" s="13"/>
      <c r="F131" s="13"/>
      <c r="G131" s="13"/>
      <c r="H131" s="13"/>
      <c r="I131" s="14" t="str">
        <f aca="false">IF(A131="","",B131+C131+E131-F131-G131)</f>
        <v/>
      </c>
      <c r="J131" s="14" t="str">
        <f aca="false">IF(OR(A131="",H131=""),"",ROUND(H131-I131,2))</f>
        <v/>
      </c>
      <c r="K131" s="15" t="str">
        <f aca="false">IF(J131="","",IF(J131=0,"Tam",IF(J131&lt;0,"Açık","Fazla")))</f>
        <v/>
      </c>
      <c r="L131" s="14" t="str">
        <f aca="false">IF(A131="","",C131+D131)</f>
        <v/>
      </c>
    </row>
    <row r="132" customFormat="false" ht="15" hidden="false" customHeight="false" outlineLevel="0" collapsed="false">
      <c r="A132" s="12"/>
      <c r="B132" s="13"/>
      <c r="C132" s="13"/>
      <c r="D132" s="13"/>
      <c r="E132" s="13"/>
      <c r="F132" s="13"/>
      <c r="G132" s="13"/>
      <c r="H132" s="13"/>
      <c r="I132" s="14" t="str">
        <f aca="false">IF(A132="","",B132+C132+E132-F132-G132)</f>
        <v/>
      </c>
      <c r="J132" s="14" t="str">
        <f aca="false">IF(OR(A132="",H132=""),"",ROUND(H132-I132,2))</f>
        <v/>
      </c>
      <c r="K132" s="15" t="str">
        <f aca="false">IF(J132="","",IF(J132=0,"Tam",IF(J132&lt;0,"Açık","Fazla")))</f>
        <v/>
      </c>
      <c r="L132" s="14" t="str">
        <f aca="false">IF(A132="","",C132+D132)</f>
        <v/>
      </c>
    </row>
    <row r="133" customFormat="false" ht="15" hidden="false" customHeight="false" outlineLevel="0" collapsed="false">
      <c r="A133" s="12"/>
      <c r="B133" s="13"/>
      <c r="C133" s="13"/>
      <c r="D133" s="13"/>
      <c r="E133" s="13"/>
      <c r="F133" s="13"/>
      <c r="G133" s="13"/>
      <c r="H133" s="13"/>
      <c r="I133" s="14" t="str">
        <f aca="false">IF(A133="","",B133+C133+E133-F133-G133)</f>
        <v/>
      </c>
      <c r="J133" s="14" t="str">
        <f aca="false">IF(OR(A133="",H133=""),"",ROUND(H133-I133,2))</f>
        <v/>
      </c>
      <c r="K133" s="15" t="str">
        <f aca="false">IF(J133="","",IF(J133=0,"Tam",IF(J133&lt;0,"Açık","Fazla")))</f>
        <v/>
      </c>
      <c r="L133" s="14" t="str">
        <f aca="false">IF(A133="","",C133+D133)</f>
        <v/>
      </c>
    </row>
    <row r="134" customFormat="false" ht="15" hidden="false" customHeight="false" outlineLevel="0" collapsed="false">
      <c r="A134" s="12"/>
      <c r="B134" s="13"/>
      <c r="C134" s="13"/>
      <c r="D134" s="13"/>
      <c r="E134" s="13"/>
      <c r="F134" s="13"/>
      <c r="G134" s="13"/>
      <c r="H134" s="13"/>
      <c r="I134" s="14" t="str">
        <f aca="false">IF(A134="","",B134+C134+E134-F134-G134)</f>
        <v/>
      </c>
      <c r="J134" s="14" t="str">
        <f aca="false">IF(OR(A134="",H134=""),"",ROUND(H134-I134,2))</f>
        <v/>
      </c>
      <c r="K134" s="15" t="str">
        <f aca="false">IF(J134="","",IF(J134=0,"Tam",IF(J134&lt;0,"Açık","Fazla")))</f>
        <v/>
      </c>
      <c r="L134" s="14" t="str">
        <f aca="false">IF(A134="","",C134+D134)</f>
        <v/>
      </c>
    </row>
    <row r="135" customFormat="false" ht="15" hidden="false" customHeight="false" outlineLevel="0" collapsed="false">
      <c r="A135" s="12"/>
      <c r="B135" s="13"/>
      <c r="C135" s="13"/>
      <c r="D135" s="13"/>
      <c r="E135" s="13"/>
      <c r="F135" s="13"/>
      <c r="G135" s="13"/>
      <c r="H135" s="13"/>
      <c r="I135" s="14" t="str">
        <f aca="false">IF(A135="","",B135+C135+E135-F135-G135)</f>
        <v/>
      </c>
      <c r="J135" s="14" t="str">
        <f aca="false">IF(OR(A135="",H135=""),"",ROUND(H135-I135,2))</f>
        <v/>
      </c>
      <c r="K135" s="15" t="str">
        <f aca="false">IF(J135="","",IF(J135=0,"Tam",IF(J135&lt;0,"Açık","Fazla")))</f>
        <v/>
      </c>
      <c r="L135" s="14" t="str">
        <f aca="false">IF(A135="","",C135+D135)</f>
        <v/>
      </c>
    </row>
    <row r="136" customFormat="false" ht="15" hidden="false" customHeight="false" outlineLevel="0" collapsed="false">
      <c r="A136" s="12"/>
      <c r="B136" s="13"/>
      <c r="C136" s="13"/>
      <c r="D136" s="13"/>
      <c r="E136" s="13"/>
      <c r="F136" s="13"/>
      <c r="G136" s="13"/>
      <c r="H136" s="13"/>
      <c r="I136" s="14" t="str">
        <f aca="false">IF(A136="","",B136+C136+E136-F136-G136)</f>
        <v/>
      </c>
      <c r="J136" s="14" t="str">
        <f aca="false">IF(OR(A136="",H136=""),"",ROUND(H136-I136,2))</f>
        <v/>
      </c>
      <c r="K136" s="15" t="str">
        <f aca="false">IF(J136="","",IF(J136=0,"Tam",IF(J136&lt;0,"Açık","Fazla")))</f>
        <v/>
      </c>
      <c r="L136" s="14" t="str">
        <f aca="false">IF(A136="","",C136+D136)</f>
        <v/>
      </c>
    </row>
    <row r="137" customFormat="false" ht="15" hidden="false" customHeight="false" outlineLevel="0" collapsed="false">
      <c r="A137" s="12"/>
      <c r="B137" s="13"/>
      <c r="C137" s="13"/>
      <c r="D137" s="13"/>
      <c r="E137" s="13"/>
      <c r="F137" s="13"/>
      <c r="G137" s="13"/>
      <c r="H137" s="13"/>
      <c r="I137" s="14" t="str">
        <f aca="false">IF(A137="","",B137+C137+E137-F137-G137)</f>
        <v/>
      </c>
      <c r="J137" s="14" t="str">
        <f aca="false">IF(OR(A137="",H137=""),"",ROUND(H137-I137,2))</f>
        <v/>
      </c>
      <c r="K137" s="15" t="str">
        <f aca="false">IF(J137="","",IF(J137=0,"Tam",IF(J137&lt;0,"Açık","Fazla")))</f>
        <v/>
      </c>
      <c r="L137" s="14" t="str">
        <f aca="false">IF(A137="","",C137+D137)</f>
        <v/>
      </c>
    </row>
    <row r="138" customFormat="false" ht="15" hidden="false" customHeight="false" outlineLevel="0" collapsed="false">
      <c r="A138" s="12"/>
      <c r="B138" s="13"/>
      <c r="C138" s="13"/>
      <c r="D138" s="13"/>
      <c r="E138" s="13"/>
      <c r="F138" s="13"/>
      <c r="G138" s="13"/>
      <c r="H138" s="13"/>
      <c r="I138" s="14" t="str">
        <f aca="false">IF(A138="","",B138+C138+E138-F138-G138)</f>
        <v/>
      </c>
      <c r="J138" s="14" t="str">
        <f aca="false">IF(OR(A138="",H138=""),"",ROUND(H138-I138,2))</f>
        <v/>
      </c>
      <c r="K138" s="15" t="str">
        <f aca="false">IF(J138="","",IF(J138=0,"Tam",IF(J138&lt;0,"Açık","Fazla")))</f>
        <v/>
      </c>
      <c r="L138" s="14" t="str">
        <f aca="false">IF(A138="","",C138+D138)</f>
        <v/>
      </c>
    </row>
    <row r="139" customFormat="false" ht="15" hidden="false" customHeight="false" outlineLevel="0" collapsed="false">
      <c r="A139" s="12"/>
      <c r="B139" s="13"/>
      <c r="C139" s="13"/>
      <c r="D139" s="13"/>
      <c r="E139" s="13"/>
      <c r="F139" s="13"/>
      <c r="G139" s="13"/>
      <c r="H139" s="13"/>
      <c r="I139" s="14" t="str">
        <f aca="false">IF(A139="","",B139+C139+E139-F139-G139)</f>
        <v/>
      </c>
      <c r="J139" s="14" t="str">
        <f aca="false">IF(OR(A139="",H139=""),"",ROUND(H139-I139,2))</f>
        <v/>
      </c>
      <c r="K139" s="15" t="str">
        <f aca="false">IF(J139="","",IF(J139=0,"Tam",IF(J139&lt;0,"Açık","Fazla")))</f>
        <v/>
      </c>
      <c r="L139" s="14" t="str">
        <f aca="false">IF(A139="","",C139+D139)</f>
        <v/>
      </c>
    </row>
    <row r="140" customFormat="false" ht="15" hidden="false" customHeight="false" outlineLevel="0" collapsed="false">
      <c r="A140" s="12"/>
      <c r="B140" s="13"/>
      <c r="C140" s="13"/>
      <c r="D140" s="13"/>
      <c r="E140" s="13"/>
      <c r="F140" s="13"/>
      <c r="G140" s="13"/>
      <c r="H140" s="13"/>
      <c r="I140" s="14" t="str">
        <f aca="false">IF(A140="","",B140+C140+E140-F140-G140)</f>
        <v/>
      </c>
      <c r="J140" s="14" t="str">
        <f aca="false">IF(OR(A140="",H140=""),"",ROUND(H140-I140,2))</f>
        <v/>
      </c>
      <c r="K140" s="15" t="str">
        <f aca="false">IF(J140="","",IF(J140=0,"Tam",IF(J140&lt;0,"Açık","Fazla")))</f>
        <v/>
      </c>
      <c r="L140" s="14" t="str">
        <f aca="false">IF(A140="","",C140+D140)</f>
        <v/>
      </c>
    </row>
    <row r="141" customFormat="false" ht="15" hidden="false" customHeight="false" outlineLevel="0" collapsed="false">
      <c r="A141" s="12"/>
      <c r="B141" s="13"/>
      <c r="C141" s="13"/>
      <c r="D141" s="13"/>
      <c r="E141" s="13"/>
      <c r="F141" s="13"/>
      <c r="G141" s="13"/>
      <c r="H141" s="13"/>
      <c r="I141" s="14" t="str">
        <f aca="false">IF(A141="","",B141+C141+E141-F141-G141)</f>
        <v/>
      </c>
      <c r="J141" s="14" t="str">
        <f aca="false">IF(OR(A141="",H141=""),"",ROUND(H141-I141,2))</f>
        <v/>
      </c>
      <c r="K141" s="15" t="str">
        <f aca="false">IF(J141="","",IF(J141=0,"Tam",IF(J141&lt;0,"Açık","Fazla")))</f>
        <v/>
      </c>
      <c r="L141" s="14" t="str">
        <f aca="false">IF(A141="","",C141+D141)</f>
        <v/>
      </c>
    </row>
    <row r="142" customFormat="false" ht="15" hidden="false" customHeight="false" outlineLevel="0" collapsed="false">
      <c r="A142" s="12"/>
      <c r="B142" s="13"/>
      <c r="C142" s="13"/>
      <c r="D142" s="13"/>
      <c r="E142" s="13"/>
      <c r="F142" s="13"/>
      <c r="G142" s="13"/>
      <c r="H142" s="13"/>
      <c r="I142" s="14" t="str">
        <f aca="false">IF(A142="","",B142+C142+E142-F142-G142)</f>
        <v/>
      </c>
      <c r="J142" s="14" t="str">
        <f aca="false">IF(OR(A142="",H142=""),"",ROUND(H142-I142,2))</f>
        <v/>
      </c>
      <c r="K142" s="15" t="str">
        <f aca="false">IF(J142="","",IF(J142=0,"Tam",IF(J142&lt;0,"Açık","Fazla")))</f>
        <v/>
      </c>
      <c r="L142" s="14" t="str">
        <f aca="false">IF(A142="","",C142+D142)</f>
        <v/>
      </c>
    </row>
    <row r="143" customFormat="false" ht="15" hidden="false" customHeight="false" outlineLevel="0" collapsed="false">
      <c r="A143" s="12"/>
      <c r="B143" s="13"/>
      <c r="C143" s="13"/>
      <c r="D143" s="13"/>
      <c r="E143" s="13"/>
      <c r="F143" s="13"/>
      <c r="G143" s="13"/>
      <c r="H143" s="13"/>
      <c r="I143" s="14" t="str">
        <f aca="false">IF(A143="","",B143+C143+E143-F143-G143)</f>
        <v/>
      </c>
      <c r="J143" s="14" t="str">
        <f aca="false">IF(OR(A143="",H143=""),"",ROUND(H143-I143,2))</f>
        <v/>
      </c>
      <c r="K143" s="15" t="str">
        <f aca="false">IF(J143="","",IF(J143=0,"Tam",IF(J143&lt;0,"Açık","Fazla")))</f>
        <v/>
      </c>
      <c r="L143" s="14" t="str">
        <f aca="false">IF(A143="","",C143+D143)</f>
        <v/>
      </c>
    </row>
    <row r="144" customFormat="false" ht="15" hidden="false" customHeight="false" outlineLevel="0" collapsed="false">
      <c r="A144" s="12"/>
      <c r="B144" s="13"/>
      <c r="C144" s="13"/>
      <c r="D144" s="13"/>
      <c r="E144" s="13"/>
      <c r="F144" s="13"/>
      <c r="G144" s="13"/>
      <c r="H144" s="13"/>
      <c r="I144" s="14" t="str">
        <f aca="false">IF(A144="","",B144+C144+E144-F144-G144)</f>
        <v/>
      </c>
      <c r="J144" s="14" t="str">
        <f aca="false">IF(OR(A144="",H144=""),"",ROUND(H144-I144,2))</f>
        <v/>
      </c>
      <c r="K144" s="15" t="str">
        <f aca="false">IF(J144="","",IF(J144=0,"Tam",IF(J144&lt;0,"Açık","Fazla")))</f>
        <v/>
      </c>
      <c r="L144" s="14" t="str">
        <f aca="false">IF(A144="","",C144+D144)</f>
        <v/>
      </c>
    </row>
    <row r="145" customFormat="false" ht="15" hidden="false" customHeight="false" outlineLevel="0" collapsed="false">
      <c r="A145" s="12"/>
      <c r="B145" s="13"/>
      <c r="C145" s="13"/>
      <c r="D145" s="13"/>
      <c r="E145" s="13"/>
      <c r="F145" s="13"/>
      <c r="G145" s="13"/>
      <c r="H145" s="13"/>
      <c r="I145" s="14" t="str">
        <f aca="false">IF(A145="","",B145+C145+E145-F145-G145)</f>
        <v/>
      </c>
      <c r="J145" s="14" t="str">
        <f aca="false">IF(OR(A145="",H145=""),"",ROUND(H145-I145,2))</f>
        <v/>
      </c>
      <c r="K145" s="15" t="str">
        <f aca="false">IF(J145="","",IF(J145=0,"Tam",IF(J145&lt;0,"Açık","Fazla")))</f>
        <v/>
      </c>
      <c r="L145" s="14" t="str">
        <f aca="false">IF(A145="","",C145+D145)</f>
        <v/>
      </c>
    </row>
    <row r="146" customFormat="false" ht="15" hidden="false" customHeight="false" outlineLevel="0" collapsed="false">
      <c r="A146" s="12"/>
      <c r="B146" s="13"/>
      <c r="C146" s="13"/>
      <c r="D146" s="13"/>
      <c r="E146" s="13"/>
      <c r="F146" s="13"/>
      <c r="G146" s="13"/>
      <c r="H146" s="13"/>
      <c r="I146" s="14" t="str">
        <f aca="false">IF(A146="","",B146+C146+E146-F146-G146)</f>
        <v/>
      </c>
      <c r="J146" s="14" t="str">
        <f aca="false">IF(OR(A146="",H146=""),"",ROUND(H146-I146,2))</f>
        <v/>
      </c>
      <c r="K146" s="15" t="str">
        <f aca="false">IF(J146="","",IF(J146=0,"Tam",IF(J146&lt;0,"Açık","Fazla")))</f>
        <v/>
      </c>
      <c r="L146" s="14" t="str">
        <f aca="false">IF(A146="","",C146+D146)</f>
        <v/>
      </c>
    </row>
    <row r="147" customFormat="false" ht="15" hidden="false" customHeight="false" outlineLevel="0" collapsed="false">
      <c r="A147" s="12"/>
      <c r="B147" s="13"/>
      <c r="C147" s="13"/>
      <c r="D147" s="13"/>
      <c r="E147" s="13"/>
      <c r="F147" s="13"/>
      <c r="G147" s="13"/>
      <c r="H147" s="13"/>
      <c r="I147" s="14" t="str">
        <f aca="false">IF(A147="","",B147+C147+E147-F147-G147)</f>
        <v/>
      </c>
      <c r="J147" s="14" t="str">
        <f aca="false">IF(OR(A147="",H147=""),"",ROUND(H147-I147,2))</f>
        <v/>
      </c>
      <c r="K147" s="15" t="str">
        <f aca="false">IF(J147="","",IF(J147=0,"Tam",IF(J147&lt;0,"Açık","Fazla")))</f>
        <v/>
      </c>
      <c r="L147" s="14" t="str">
        <f aca="false">IF(A147="","",C147+D147)</f>
        <v/>
      </c>
    </row>
    <row r="148" customFormat="false" ht="15" hidden="false" customHeight="false" outlineLevel="0" collapsed="false">
      <c r="A148" s="12"/>
      <c r="B148" s="13"/>
      <c r="C148" s="13"/>
      <c r="D148" s="13"/>
      <c r="E148" s="13"/>
      <c r="F148" s="13"/>
      <c r="G148" s="13"/>
      <c r="H148" s="13"/>
      <c r="I148" s="14" t="str">
        <f aca="false">IF(A148="","",B148+C148+E148-F148-G148)</f>
        <v/>
      </c>
      <c r="J148" s="14" t="str">
        <f aca="false">IF(OR(A148="",H148=""),"",ROUND(H148-I148,2))</f>
        <v/>
      </c>
      <c r="K148" s="15" t="str">
        <f aca="false">IF(J148="","",IF(J148=0,"Tam",IF(J148&lt;0,"Açık","Fazla")))</f>
        <v/>
      </c>
      <c r="L148" s="14" t="str">
        <f aca="false">IF(A148="","",C148+D148)</f>
        <v/>
      </c>
    </row>
    <row r="149" customFormat="false" ht="15" hidden="false" customHeight="false" outlineLevel="0" collapsed="false">
      <c r="A149" s="12"/>
      <c r="B149" s="13"/>
      <c r="C149" s="13"/>
      <c r="D149" s="13"/>
      <c r="E149" s="13"/>
      <c r="F149" s="13"/>
      <c r="G149" s="13"/>
      <c r="H149" s="13"/>
      <c r="I149" s="14" t="str">
        <f aca="false">IF(A149="","",B149+C149+E149-F149-G149)</f>
        <v/>
      </c>
      <c r="J149" s="14" t="str">
        <f aca="false">IF(OR(A149="",H149=""),"",ROUND(H149-I149,2))</f>
        <v/>
      </c>
      <c r="K149" s="15" t="str">
        <f aca="false">IF(J149="","",IF(J149=0,"Tam",IF(J149&lt;0,"Açık","Fazla")))</f>
        <v/>
      </c>
      <c r="L149" s="14" t="str">
        <f aca="false">IF(A149="","",C149+D149)</f>
        <v/>
      </c>
    </row>
    <row r="150" customFormat="false" ht="15" hidden="false" customHeight="false" outlineLevel="0" collapsed="false">
      <c r="A150" s="12"/>
      <c r="B150" s="13"/>
      <c r="C150" s="13"/>
      <c r="D150" s="13"/>
      <c r="E150" s="13"/>
      <c r="F150" s="13"/>
      <c r="G150" s="13"/>
      <c r="H150" s="13"/>
      <c r="I150" s="14" t="str">
        <f aca="false">IF(A150="","",B150+C150+E150-F150-G150)</f>
        <v/>
      </c>
      <c r="J150" s="14" t="str">
        <f aca="false">IF(OR(A150="",H150=""),"",ROUND(H150-I150,2))</f>
        <v/>
      </c>
      <c r="K150" s="15" t="str">
        <f aca="false">IF(J150="","",IF(J150=0,"Tam",IF(J150&lt;0,"Açık","Fazla")))</f>
        <v/>
      </c>
      <c r="L150" s="14" t="str">
        <f aca="false">IF(A150="","",C150+D150)</f>
        <v/>
      </c>
    </row>
    <row r="151" customFormat="false" ht="15" hidden="false" customHeight="false" outlineLevel="0" collapsed="false">
      <c r="A151" s="12"/>
      <c r="B151" s="13"/>
      <c r="C151" s="13"/>
      <c r="D151" s="13"/>
      <c r="E151" s="13"/>
      <c r="F151" s="13"/>
      <c r="G151" s="13"/>
      <c r="H151" s="13"/>
      <c r="I151" s="14" t="str">
        <f aca="false">IF(A151="","",B151+C151+E151-F151-G151)</f>
        <v/>
      </c>
      <c r="J151" s="14" t="str">
        <f aca="false">IF(OR(A151="",H151=""),"",ROUND(H151-I151,2))</f>
        <v/>
      </c>
      <c r="K151" s="15" t="str">
        <f aca="false">IF(J151="","",IF(J151=0,"Tam",IF(J151&lt;0,"Açık","Fazla")))</f>
        <v/>
      </c>
      <c r="L151" s="14" t="str">
        <f aca="false">IF(A151="","",C151+D151)</f>
        <v/>
      </c>
    </row>
    <row r="152" customFormat="false" ht="15" hidden="false" customHeight="false" outlineLevel="0" collapsed="false">
      <c r="A152" s="12"/>
      <c r="B152" s="13"/>
      <c r="C152" s="13"/>
      <c r="D152" s="13"/>
      <c r="E152" s="13"/>
      <c r="F152" s="13"/>
      <c r="G152" s="13"/>
      <c r="H152" s="13"/>
      <c r="I152" s="14" t="str">
        <f aca="false">IF(A152="","",B152+C152+E152-F152-G152)</f>
        <v/>
      </c>
      <c r="J152" s="14" t="str">
        <f aca="false">IF(OR(A152="",H152=""),"",ROUND(H152-I152,2))</f>
        <v/>
      </c>
      <c r="K152" s="15" t="str">
        <f aca="false">IF(J152="","",IF(J152=0,"Tam",IF(J152&lt;0,"Açık","Fazla")))</f>
        <v/>
      </c>
      <c r="L152" s="14" t="str">
        <f aca="false">IF(A152="","",C152+D152)</f>
        <v/>
      </c>
    </row>
    <row r="153" customFormat="false" ht="15" hidden="false" customHeight="false" outlineLevel="0" collapsed="false">
      <c r="A153" s="12"/>
      <c r="B153" s="13"/>
      <c r="C153" s="13"/>
      <c r="D153" s="13"/>
      <c r="E153" s="13"/>
      <c r="F153" s="13"/>
      <c r="G153" s="13"/>
      <c r="H153" s="13"/>
      <c r="I153" s="14" t="str">
        <f aca="false">IF(A153="","",B153+C153+E153-F153-G153)</f>
        <v/>
      </c>
      <c r="J153" s="14" t="str">
        <f aca="false">IF(OR(A153="",H153=""),"",ROUND(H153-I153,2))</f>
        <v/>
      </c>
      <c r="K153" s="15" t="str">
        <f aca="false">IF(J153="","",IF(J153=0,"Tam",IF(J153&lt;0,"Açık","Fazla")))</f>
        <v/>
      </c>
      <c r="L153" s="14" t="str">
        <f aca="false">IF(A153="","",C153+D153)</f>
        <v/>
      </c>
    </row>
    <row r="154" customFormat="false" ht="15" hidden="false" customHeight="false" outlineLevel="0" collapsed="false">
      <c r="A154" s="12"/>
      <c r="B154" s="13"/>
      <c r="C154" s="13"/>
      <c r="D154" s="13"/>
      <c r="E154" s="13"/>
      <c r="F154" s="13"/>
      <c r="G154" s="13"/>
      <c r="H154" s="13"/>
      <c r="I154" s="14" t="str">
        <f aca="false">IF(A154="","",B154+C154+E154-F154-G154)</f>
        <v/>
      </c>
      <c r="J154" s="14" t="str">
        <f aca="false">IF(OR(A154="",H154=""),"",ROUND(H154-I154,2))</f>
        <v/>
      </c>
      <c r="K154" s="15" t="str">
        <f aca="false">IF(J154="","",IF(J154=0,"Tam",IF(J154&lt;0,"Açık","Fazla")))</f>
        <v/>
      </c>
      <c r="L154" s="14" t="str">
        <f aca="false">IF(A154="","",C154+D154)</f>
        <v/>
      </c>
    </row>
    <row r="155" customFormat="false" ht="15" hidden="false" customHeight="false" outlineLevel="0" collapsed="false">
      <c r="A155" s="12"/>
      <c r="B155" s="13"/>
      <c r="C155" s="13"/>
      <c r="D155" s="13"/>
      <c r="E155" s="13"/>
      <c r="F155" s="13"/>
      <c r="G155" s="13"/>
      <c r="H155" s="13"/>
      <c r="I155" s="14" t="str">
        <f aca="false">IF(A155="","",B155+C155+E155-F155-G155)</f>
        <v/>
      </c>
      <c r="J155" s="14" t="str">
        <f aca="false">IF(OR(A155="",H155=""),"",ROUND(H155-I155,2))</f>
        <v/>
      </c>
      <c r="K155" s="15" t="str">
        <f aca="false">IF(J155="","",IF(J155=0,"Tam",IF(J155&lt;0,"Açık","Fazla")))</f>
        <v/>
      </c>
      <c r="L155" s="14" t="str">
        <f aca="false">IF(A155="","",C155+D155)</f>
        <v/>
      </c>
    </row>
    <row r="156" customFormat="false" ht="15" hidden="false" customHeight="false" outlineLevel="0" collapsed="false">
      <c r="A156" s="12"/>
      <c r="B156" s="13"/>
      <c r="C156" s="13"/>
      <c r="D156" s="13"/>
      <c r="E156" s="13"/>
      <c r="F156" s="13"/>
      <c r="G156" s="13"/>
      <c r="H156" s="13"/>
      <c r="I156" s="14" t="str">
        <f aca="false">IF(A156="","",B156+C156+E156-F156-G156)</f>
        <v/>
      </c>
      <c r="J156" s="14" t="str">
        <f aca="false">IF(OR(A156="",H156=""),"",ROUND(H156-I156,2))</f>
        <v/>
      </c>
      <c r="K156" s="15" t="str">
        <f aca="false">IF(J156="","",IF(J156=0,"Tam",IF(J156&lt;0,"Açık","Fazla")))</f>
        <v/>
      </c>
      <c r="L156" s="14" t="str">
        <f aca="false">IF(A156="","",C156+D156)</f>
        <v/>
      </c>
    </row>
    <row r="157" customFormat="false" ht="15" hidden="false" customHeight="false" outlineLevel="0" collapsed="false">
      <c r="A157" s="12"/>
      <c r="B157" s="13"/>
      <c r="C157" s="13"/>
      <c r="D157" s="13"/>
      <c r="E157" s="13"/>
      <c r="F157" s="13"/>
      <c r="G157" s="13"/>
      <c r="H157" s="13"/>
      <c r="I157" s="14" t="str">
        <f aca="false">IF(A157="","",B157+C157+E157-F157-G157)</f>
        <v/>
      </c>
      <c r="J157" s="14" t="str">
        <f aca="false">IF(OR(A157="",H157=""),"",ROUND(H157-I157,2))</f>
        <v/>
      </c>
      <c r="K157" s="15" t="str">
        <f aca="false">IF(J157="","",IF(J157=0,"Tam",IF(J157&lt;0,"Açık","Fazla")))</f>
        <v/>
      </c>
      <c r="L157" s="14" t="str">
        <f aca="false">IF(A157="","",C157+D157)</f>
        <v/>
      </c>
    </row>
    <row r="158" customFormat="false" ht="15" hidden="false" customHeight="false" outlineLevel="0" collapsed="false">
      <c r="A158" s="12"/>
      <c r="B158" s="13"/>
      <c r="C158" s="13"/>
      <c r="D158" s="13"/>
      <c r="E158" s="13"/>
      <c r="F158" s="13"/>
      <c r="G158" s="13"/>
      <c r="H158" s="13"/>
      <c r="I158" s="14" t="str">
        <f aca="false">IF(A158="","",B158+C158+E158-F158-G158)</f>
        <v/>
      </c>
      <c r="J158" s="14" t="str">
        <f aca="false">IF(OR(A158="",H158=""),"",ROUND(H158-I158,2))</f>
        <v/>
      </c>
      <c r="K158" s="15" t="str">
        <f aca="false">IF(J158="","",IF(J158=0,"Tam",IF(J158&lt;0,"Açık","Fazla")))</f>
        <v/>
      </c>
      <c r="L158" s="14" t="str">
        <f aca="false">IF(A158="","",C158+D158)</f>
        <v/>
      </c>
    </row>
    <row r="159" customFormat="false" ht="15" hidden="false" customHeight="false" outlineLevel="0" collapsed="false">
      <c r="A159" s="12"/>
      <c r="B159" s="13"/>
      <c r="C159" s="13"/>
      <c r="D159" s="13"/>
      <c r="E159" s="13"/>
      <c r="F159" s="13"/>
      <c r="G159" s="13"/>
      <c r="H159" s="13"/>
      <c r="I159" s="14" t="str">
        <f aca="false">IF(A159="","",B159+C159+E159-F159-G159)</f>
        <v/>
      </c>
      <c r="J159" s="14" t="str">
        <f aca="false">IF(OR(A159="",H159=""),"",ROUND(H159-I159,2))</f>
        <v/>
      </c>
      <c r="K159" s="15" t="str">
        <f aca="false">IF(J159="","",IF(J159=0,"Tam",IF(J159&lt;0,"Açık","Fazla")))</f>
        <v/>
      </c>
      <c r="L159" s="14" t="str">
        <f aca="false">IF(A159="","",C159+D159)</f>
        <v/>
      </c>
    </row>
    <row r="160" customFormat="false" ht="15" hidden="false" customHeight="false" outlineLevel="0" collapsed="false">
      <c r="A160" s="12"/>
      <c r="B160" s="13"/>
      <c r="C160" s="13"/>
      <c r="D160" s="13"/>
      <c r="E160" s="13"/>
      <c r="F160" s="13"/>
      <c r="G160" s="13"/>
      <c r="H160" s="13"/>
      <c r="I160" s="14" t="str">
        <f aca="false">IF(A160="","",B160+C160+E160-F160-G160)</f>
        <v/>
      </c>
      <c r="J160" s="14" t="str">
        <f aca="false">IF(OR(A160="",H160=""),"",ROUND(H160-I160,2))</f>
        <v/>
      </c>
      <c r="K160" s="15" t="str">
        <f aca="false">IF(J160="","",IF(J160=0,"Tam",IF(J160&lt;0,"Açık","Fazla")))</f>
        <v/>
      </c>
      <c r="L160" s="14" t="str">
        <f aca="false">IF(A160="","",C160+D160)</f>
        <v/>
      </c>
    </row>
    <row r="161" customFormat="false" ht="15" hidden="false" customHeight="false" outlineLevel="0" collapsed="false">
      <c r="A161" s="12"/>
      <c r="B161" s="13"/>
      <c r="C161" s="13"/>
      <c r="D161" s="13"/>
      <c r="E161" s="13"/>
      <c r="F161" s="13"/>
      <c r="G161" s="13"/>
      <c r="H161" s="13"/>
      <c r="I161" s="14" t="str">
        <f aca="false">IF(A161="","",B161+C161+E161-F161-G161)</f>
        <v/>
      </c>
      <c r="J161" s="14" t="str">
        <f aca="false">IF(OR(A161="",H161=""),"",ROUND(H161-I161,2))</f>
        <v/>
      </c>
      <c r="K161" s="15" t="str">
        <f aca="false">IF(J161="","",IF(J161=0,"Tam",IF(J161&lt;0,"Açık","Fazla")))</f>
        <v/>
      </c>
      <c r="L161" s="14" t="str">
        <f aca="false">IF(A161="","",C161+D161)</f>
        <v/>
      </c>
    </row>
    <row r="162" customFormat="false" ht="15" hidden="false" customHeight="false" outlineLevel="0" collapsed="false">
      <c r="A162" s="12"/>
      <c r="B162" s="13"/>
      <c r="C162" s="13"/>
      <c r="D162" s="13"/>
      <c r="E162" s="13"/>
      <c r="F162" s="13"/>
      <c r="G162" s="13"/>
      <c r="H162" s="13"/>
      <c r="I162" s="14" t="str">
        <f aca="false">IF(A162="","",B162+C162+E162-F162-G162)</f>
        <v/>
      </c>
      <c r="J162" s="14" t="str">
        <f aca="false">IF(OR(A162="",H162=""),"",ROUND(H162-I162,2))</f>
        <v/>
      </c>
      <c r="K162" s="15" t="str">
        <f aca="false">IF(J162="","",IF(J162=0,"Tam",IF(J162&lt;0,"Açık","Fazla")))</f>
        <v/>
      </c>
      <c r="L162" s="14" t="str">
        <f aca="false">IF(A162="","",C162+D162)</f>
        <v/>
      </c>
    </row>
    <row r="163" customFormat="false" ht="15" hidden="false" customHeight="false" outlineLevel="0" collapsed="false">
      <c r="A163" s="12"/>
      <c r="B163" s="13"/>
      <c r="C163" s="13"/>
      <c r="D163" s="13"/>
      <c r="E163" s="13"/>
      <c r="F163" s="13"/>
      <c r="G163" s="13"/>
      <c r="H163" s="13"/>
      <c r="I163" s="14" t="str">
        <f aca="false">IF(A163="","",B163+C163+E163-F163-G163)</f>
        <v/>
      </c>
      <c r="J163" s="14" t="str">
        <f aca="false">IF(OR(A163="",H163=""),"",ROUND(H163-I163,2))</f>
        <v/>
      </c>
      <c r="K163" s="15" t="str">
        <f aca="false">IF(J163="","",IF(J163=0,"Tam",IF(J163&lt;0,"Açık","Fazla")))</f>
        <v/>
      </c>
      <c r="L163" s="14" t="str">
        <f aca="false">IF(A163="","",C163+D163)</f>
        <v/>
      </c>
    </row>
    <row r="164" customFormat="false" ht="15" hidden="false" customHeight="false" outlineLevel="0" collapsed="false">
      <c r="A164" s="12"/>
      <c r="B164" s="13"/>
      <c r="C164" s="13"/>
      <c r="D164" s="13"/>
      <c r="E164" s="13"/>
      <c r="F164" s="13"/>
      <c r="G164" s="13"/>
      <c r="H164" s="13"/>
      <c r="I164" s="14" t="str">
        <f aca="false">IF(A164="","",B164+C164+E164-F164-G164)</f>
        <v/>
      </c>
      <c r="J164" s="14" t="str">
        <f aca="false">IF(OR(A164="",H164=""),"",ROUND(H164-I164,2))</f>
        <v/>
      </c>
      <c r="K164" s="15" t="str">
        <f aca="false">IF(J164="","",IF(J164=0,"Tam",IF(J164&lt;0,"Açık","Fazla")))</f>
        <v/>
      </c>
      <c r="L164" s="14" t="str">
        <f aca="false">IF(A164="","",C164+D164)</f>
        <v/>
      </c>
    </row>
    <row r="165" customFormat="false" ht="15" hidden="false" customHeight="false" outlineLevel="0" collapsed="false">
      <c r="A165" s="12"/>
      <c r="B165" s="13"/>
      <c r="C165" s="13"/>
      <c r="D165" s="13"/>
      <c r="E165" s="13"/>
      <c r="F165" s="13"/>
      <c r="G165" s="13"/>
      <c r="H165" s="13"/>
      <c r="I165" s="14" t="str">
        <f aca="false">IF(A165="","",B165+C165+E165-F165-G165)</f>
        <v/>
      </c>
      <c r="J165" s="14" t="str">
        <f aca="false">IF(OR(A165="",H165=""),"",ROUND(H165-I165,2))</f>
        <v/>
      </c>
      <c r="K165" s="15" t="str">
        <f aca="false">IF(J165="","",IF(J165=0,"Tam",IF(J165&lt;0,"Açık","Fazla")))</f>
        <v/>
      </c>
      <c r="L165" s="14" t="str">
        <f aca="false">IF(A165="","",C165+D165)</f>
        <v/>
      </c>
    </row>
    <row r="166" customFormat="false" ht="15" hidden="false" customHeight="false" outlineLevel="0" collapsed="false">
      <c r="A166" s="12"/>
      <c r="B166" s="13"/>
      <c r="C166" s="13"/>
      <c r="D166" s="13"/>
      <c r="E166" s="13"/>
      <c r="F166" s="13"/>
      <c r="G166" s="13"/>
      <c r="H166" s="13"/>
      <c r="I166" s="14" t="str">
        <f aca="false">IF(A166="","",B166+C166+E166-F166-G166)</f>
        <v/>
      </c>
      <c r="J166" s="14" t="str">
        <f aca="false">IF(OR(A166="",H166=""),"",ROUND(H166-I166,2))</f>
        <v/>
      </c>
      <c r="K166" s="15" t="str">
        <f aca="false">IF(J166="","",IF(J166=0,"Tam",IF(J166&lt;0,"Açık","Fazla")))</f>
        <v/>
      </c>
      <c r="L166" s="14" t="str">
        <f aca="false">IF(A166="","",C166+D166)</f>
        <v/>
      </c>
    </row>
    <row r="167" customFormat="false" ht="15" hidden="false" customHeight="false" outlineLevel="0" collapsed="false">
      <c r="A167" s="12"/>
      <c r="B167" s="13"/>
      <c r="C167" s="13"/>
      <c r="D167" s="13"/>
      <c r="E167" s="13"/>
      <c r="F167" s="13"/>
      <c r="G167" s="13"/>
      <c r="H167" s="13"/>
      <c r="I167" s="14" t="str">
        <f aca="false">IF(A167="","",B167+C167+E167-F167-G167)</f>
        <v/>
      </c>
      <c r="J167" s="14" t="str">
        <f aca="false">IF(OR(A167="",H167=""),"",ROUND(H167-I167,2))</f>
        <v/>
      </c>
      <c r="K167" s="15" t="str">
        <f aca="false">IF(J167="","",IF(J167=0,"Tam",IF(J167&lt;0,"Açık","Fazla")))</f>
        <v/>
      </c>
      <c r="L167" s="14" t="str">
        <f aca="false">IF(A167="","",C167+D167)</f>
        <v/>
      </c>
    </row>
    <row r="168" customFormat="false" ht="15" hidden="false" customHeight="false" outlineLevel="0" collapsed="false">
      <c r="A168" s="12"/>
      <c r="B168" s="13"/>
      <c r="C168" s="13"/>
      <c r="D168" s="13"/>
      <c r="E168" s="13"/>
      <c r="F168" s="13"/>
      <c r="G168" s="13"/>
      <c r="H168" s="13"/>
      <c r="I168" s="14" t="str">
        <f aca="false">IF(A168="","",B168+C168+E168-F168-G168)</f>
        <v/>
      </c>
      <c r="J168" s="14" t="str">
        <f aca="false">IF(OR(A168="",H168=""),"",ROUND(H168-I168,2))</f>
        <v/>
      </c>
      <c r="K168" s="15" t="str">
        <f aca="false">IF(J168="","",IF(J168=0,"Tam",IF(J168&lt;0,"Açık","Fazla")))</f>
        <v/>
      </c>
      <c r="L168" s="14" t="str">
        <f aca="false">IF(A168="","",C168+D168)</f>
        <v/>
      </c>
    </row>
    <row r="169" customFormat="false" ht="15" hidden="false" customHeight="false" outlineLevel="0" collapsed="false">
      <c r="A169" s="12"/>
      <c r="B169" s="13"/>
      <c r="C169" s="13"/>
      <c r="D169" s="13"/>
      <c r="E169" s="13"/>
      <c r="F169" s="13"/>
      <c r="G169" s="13"/>
      <c r="H169" s="13"/>
      <c r="I169" s="14" t="str">
        <f aca="false">IF(A169="","",B169+C169+E169-F169-G169)</f>
        <v/>
      </c>
      <c r="J169" s="14" t="str">
        <f aca="false">IF(OR(A169="",H169=""),"",ROUND(H169-I169,2))</f>
        <v/>
      </c>
      <c r="K169" s="15" t="str">
        <f aca="false">IF(J169="","",IF(J169=0,"Tam",IF(J169&lt;0,"Açık","Fazla")))</f>
        <v/>
      </c>
      <c r="L169" s="14" t="str">
        <f aca="false">IF(A169="","",C169+D169)</f>
        <v/>
      </c>
    </row>
    <row r="170" customFormat="false" ht="15" hidden="false" customHeight="false" outlineLevel="0" collapsed="false">
      <c r="A170" s="12"/>
      <c r="B170" s="13"/>
      <c r="C170" s="13"/>
      <c r="D170" s="13"/>
      <c r="E170" s="13"/>
      <c r="F170" s="13"/>
      <c r="G170" s="13"/>
      <c r="H170" s="13"/>
      <c r="I170" s="14" t="str">
        <f aca="false">IF(A170="","",B170+C170+E170-F170-G170)</f>
        <v/>
      </c>
      <c r="J170" s="14" t="str">
        <f aca="false">IF(OR(A170="",H170=""),"",ROUND(H170-I170,2))</f>
        <v/>
      </c>
      <c r="K170" s="15" t="str">
        <f aca="false">IF(J170="","",IF(J170=0,"Tam",IF(J170&lt;0,"Açık","Fazla")))</f>
        <v/>
      </c>
      <c r="L170" s="14" t="str">
        <f aca="false">IF(A170="","",C170+D170)</f>
        <v/>
      </c>
    </row>
    <row r="171" customFormat="false" ht="15" hidden="false" customHeight="false" outlineLevel="0" collapsed="false">
      <c r="A171" s="12"/>
      <c r="B171" s="13"/>
      <c r="C171" s="13"/>
      <c r="D171" s="13"/>
      <c r="E171" s="13"/>
      <c r="F171" s="13"/>
      <c r="G171" s="13"/>
      <c r="H171" s="13"/>
      <c r="I171" s="14" t="str">
        <f aca="false">IF(A171="","",B171+C171+E171-F171-G171)</f>
        <v/>
      </c>
      <c r="J171" s="14" t="str">
        <f aca="false">IF(OR(A171="",H171=""),"",ROUND(H171-I171,2))</f>
        <v/>
      </c>
      <c r="K171" s="15" t="str">
        <f aca="false">IF(J171="","",IF(J171=0,"Tam",IF(J171&lt;0,"Açık","Fazla")))</f>
        <v/>
      </c>
      <c r="L171" s="14" t="str">
        <f aca="false">IF(A171="","",C171+D171)</f>
        <v/>
      </c>
    </row>
    <row r="172" customFormat="false" ht="15" hidden="false" customHeight="false" outlineLevel="0" collapsed="false">
      <c r="A172" s="12"/>
      <c r="B172" s="13"/>
      <c r="C172" s="13"/>
      <c r="D172" s="13"/>
      <c r="E172" s="13"/>
      <c r="F172" s="13"/>
      <c r="G172" s="13"/>
      <c r="H172" s="13"/>
      <c r="I172" s="14" t="str">
        <f aca="false">IF(A172="","",B172+C172+E172-F172-G172)</f>
        <v/>
      </c>
      <c r="J172" s="14" t="str">
        <f aca="false">IF(OR(A172="",H172=""),"",ROUND(H172-I172,2))</f>
        <v/>
      </c>
      <c r="K172" s="15" t="str">
        <f aca="false">IF(J172="","",IF(J172=0,"Tam",IF(J172&lt;0,"Açık","Fazla")))</f>
        <v/>
      </c>
      <c r="L172" s="14" t="str">
        <f aca="false">IF(A172="","",C172+D172)</f>
        <v/>
      </c>
    </row>
    <row r="173" customFormat="false" ht="15" hidden="false" customHeight="false" outlineLevel="0" collapsed="false">
      <c r="A173" s="12"/>
      <c r="B173" s="13"/>
      <c r="C173" s="13"/>
      <c r="D173" s="13"/>
      <c r="E173" s="13"/>
      <c r="F173" s="13"/>
      <c r="G173" s="13"/>
      <c r="H173" s="13"/>
      <c r="I173" s="14" t="str">
        <f aca="false">IF(A173="","",B173+C173+E173-F173-G173)</f>
        <v/>
      </c>
      <c r="J173" s="14" t="str">
        <f aca="false">IF(OR(A173="",H173=""),"",ROUND(H173-I173,2))</f>
        <v/>
      </c>
      <c r="K173" s="15" t="str">
        <f aca="false">IF(J173="","",IF(J173=0,"Tam",IF(J173&lt;0,"Açık","Fazla")))</f>
        <v/>
      </c>
      <c r="L173" s="14" t="str">
        <f aca="false">IF(A173="","",C173+D173)</f>
        <v/>
      </c>
    </row>
    <row r="174" customFormat="false" ht="15" hidden="false" customHeight="false" outlineLevel="0" collapsed="false">
      <c r="A174" s="12"/>
      <c r="B174" s="13"/>
      <c r="C174" s="13"/>
      <c r="D174" s="13"/>
      <c r="E174" s="13"/>
      <c r="F174" s="13"/>
      <c r="G174" s="13"/>
      <c r="H174" s="13"/>
      <c r="I174" s="14" t="str">
        <f aca="false">IF(A174="","",B174+C174+E174-F174-G174)</f>
        <v/>
      </c>
      <c r="J174" s="14" t="str">
        <f aca="false">IF(OR(A174="",H174=""),"",ROUND(H174-I174,2))</f>
        <v/>
      </c>
      <c r="K174" s="15" t="str">
        <f aca="false">IF(J174="","",IF(J174=0,"Tam",IF(J174&lt;0,"Açık","Fazla")))</f>
        <v/>
      </c>
      <c r="L174" s="14" t="str">
        <f aca="false">IF(A174="","",C174+D174)</f>
        <v/>
      </c>
    </row>
    <row r="175" customFormat="false" ht="15" hidden="false" customHeight="false" outlineLevel="0" collapsed="false">
      <c r="A175" s="12"/>
      <c r="B175" s="13"/>
      <c r="C175" s="13"/>
      <c r="D175" s="13"/>
      <c r="E175" s="13"/>
      <c r="F175" s="13"/>
      <c r="G175" s="13"/>
      <c r="H175" s="13"/>
      <c r="I175" s="14" t="str">
        <f aca="false">IF(A175="","",B175+C175+E175-F175-G175)</f>
        <v/>
      </c>
      <c r="J175" s="14" t="str">
        <f aca="false">IF(OR(A175="",H175=""),"",ROUND(H175-I175,2))</f>
        <v/>
      </c>
      <c r="K175" s="15" t="str">
        <f aca="false">IF(J175="","",IF(J175=0,"Tam",IF(J175&lt;0,"Açık","Fazla")))</f>
        <v/>
      </c>
      <c r="L175" s="14" t="str">
        <f aca="false">IF(A175="","",C175+D175)</f>
        <v/>
      </c>
    </row>
    <row r="176" customFormat="false" ht="15" hidden="false" customHeight="false" outlineLevel="0" collapsed="false">
      <c r="A176" s="12"/>
      <c r="B176" s="13"/>
      <c r="C176" s="13"/>
      <c r="D176" s="13"/>
      <c r="E176" s="13"/>
      <c r="F176" s="13"/>
      <c r="G176" s="13"/>
      <c r="H176" s="13"/>
      <c r="I176" s="14" t="str">
        <f aca="false">IF(A176="","",B176+C176+E176-F176-G176)</f>
        <v/>
      </c>
      <c r="J176" s="14" t="str">
        <f aca="false">IF(OR(A176="",H176=""),"",ROUND(H176-I176,2))</f>
        <v/>
      </c>
      <c r="K176" s="15" t="str">
        <f aca="false">IF(J176="","",IF(J176=0,"Tam",IF(J176&lt;0,"Açık","Fazla")))</f>
        <v/>
      </c>
      <c r="L176" s="14" t="str">
        <f aca="false">IF(A176="","",C176+D176)</f>
        <v/>
      </c>
    </row>
    <row r="177" customFormat="false" ht="15" hidden="false" customHeight="false" outlineLevel="0" collapsed="false">
      <c r="A177" s="12"/>
      <c r="B177" s="13"/>
      <c r="C177" s="13"/>
      <c r="D177" s="13"/>
      <c r="E177" s="13"/>
      <c r="F177" s="13"/>
      <c r="G177" s="13"/>
      <c r="H177" s="13"/>
      <c r="I177" s="14" t="str">
        <f aca="false">IF(A177="","",B177+C177+E177-F177-G177)</f>
        <v/>
      </c>
      <c r="J177" s="14" t="str">
        <f aca="false">IF(OR(A177="",H177=""),"",ROUND(H177-I177,2))</f>
        <v/>
      </c>
      <c r="K177" s="15" t="str">
        <f aca="false">IF(J177="","",IF(J177=0,"Tam",IF(J177&lt;0,"Açık","Fazla")))</f>
        <v/>
      </c>
      <c r="L177" s="14" t="str">
        <f aca="false">IF(A177="","",C177+D177)</f>
        <v/>
      </c>
    </row>
    <row r="178" customFormat="false" ht="15" hidden="false" customHeight="false" outlineLevel="0" collapsed="false">
      <c r="A178" s="12"/>
      <c r="B178" s="13"/>
      <c r="C178" s="13"/>
      <c r="D178" s="13"/>
      <c r="E178" s="13"/>
      <c r="F178" s="13"/>
      <c r="G178" s="13"/>
      <c r="H178" s="13"/>
      <c r="I178" s="14" t="str">
        <f aca="false">IF(A178="","",B178+C178+E178-F178-G178)</f>
        <v/>
      </c>
      <c r="J178" s="14" t="str">
        <f aca="false">IF(OR(A178="",H178=""),"",ROUND(H178-I178,2))</f>
        <v/>
      </c>
      <c r="K178" s="15" t="str">
        <f aca="false">IF(J178="","",IF(J178=0,"Tam",IF(J178&lt;0,"Açık","Fazla")))</f>
        <v/>
      </c>
      <c r="L178" s="14" t="str">
        <f aca="false">IF(A178="","",C178+D178)</f>
        <v/>
      </c>
    </row>
    <row r="179" customFormat="false" ht="15" hidden="false" customHeight="false" outlineLevel="0" collapsed="false">
      <c r="A179" s="12"/>
      <c r="B179" s="13"/>
      <c r="C179" s="13"/>
      <c r="D179" s="13"/>
      <c r="E179" s="13"/>
      <c r="F179" s="13"/>
      <c r="G179" s="13"/>
      <c r="H179" s="13"/>
      <c r="I179" s="14" t="str">
        <f aca="false">IF(A179="","",B179+C179+E179-F179-G179)</f>
        <v/>
      </c>
      <c r="J179" s="14" t="str">
        <f aca="false">IF(OR(A179="",H179=""),"",ROUND(H179-I179,2))</f>
        <v/>
      </c>
      <c r="K179" s="15" t="str">
        <f aca="false">IF(J179="","",IF(J179=0,"Tam",IF(J179&lt;0,"Açık","Fazla")))</f>
        <v/>
      </c>
      <c r="L179" s="14" t="str">
        <f aca="false">IF(A179="","",C179+D179)</f>
        <v/>
      </c>
    </row>
    <row r="180" customFormat="false" ht="15" hidden="false" customHeight="false" outlineLevel="0" collapsed="false">
      <c r="A180" s="12"/>
      <c r="B180" s="13"/>
      <c r="C180" s="13"/>
      <c r="D180" s="13"/>
      <c r="E180" s="13"/>
      <c r="F180" s="13"/>
      <c r="G180" s="13"/>
      <c r="H180" s="13"/>
      <c r="I180" s="14" t="str">
        <f aca="false">IF(A180="","",B180+C180+E180-F180-G180)</f>
        <v/>
      </c>
      <c r="J180" s="14" t="str">
        <f aca="false">IF(OR(A180="",H180=""),"",ROUND(H180-I180,2))</f>
        <v/>
      </c>
      <c r="K180" s="15" t="str">
        <f aca="false">IF(J180="","",IF(J180=0,"Tam",IF(J180&lt;0,"Açık","Fazla")))</f>
        <v/>
      </c>
      <c r="L180" s="14" t="str">
        <f aca="false">IF(A180="","",C180+D180)</f>
        <v/>
      </c>
    </row>
    <row r="181" customFormat="false" ht="15" hidden="false" customHeight="false" outlineLevel="0" collapsed="false">
      <c r="A181" s="12"/>
      <c r="B181" s="13"/>
      <c r="C181" s="13"/>
      <c r="D181" s="13"/>
      <c r="E181" s="13"/>
      <c r="F181" s="13"/>
      <c r="G181" s="13"/>
      <c r="H181" s="13"/>
      <c r="I181" s="14" t="str">
        <f aca="false">IF(A181="","",B181+C181+E181-F181-G181)</f>
        <v/>
      </c>
      <c r="J181" s="14" t="str">
        <f aca="false">IF(OR(A181="",H181=""),"",ROUND(H181-I181,2))</f>
        <v/>
      </c>
      <c r="K181" s="15" t="str">
        <f aca="false">IF(J181="","",IF(J181=0,"Tam",IF(J181&lt;0,"Açık","Fazla")))</f>
        <v/>
      </c>
      <c r="L181" s="14" t="str">
        <f aca="false">IF(A181="","",C181+D181)</f>
        <v/>
      </c>
    </row>
    <row r="182" customFormat="false" ht="15" hidden="false" customHeight="false" outlineLevel="0" collapsed="false">
      <c r="A182" s="12"/>
      <c r="B182" s="13"/>
      <c r="C182" s="13"/>
      <c r="D182" s="13"/>
      <c r="E182" s="13"/>
      <c r="F182" s="13"/>
      <c r="G182" s="13"/>
      <c r="H182" s="13"/>
      <c r="I182" s="14" t="str">
        <f aca="false">IF(A182="","",B182+C182+E182-F182-G182)</f>
        <v/>
      </c>
      <c r="J182" s="14" t="str">
        <f aca="false">IF(OR(A182="",H182=""),"",ROUND(H182-I182,2))</f>
        <v/>
      </c>
      <c r="K182" s="15" t="str">
        <f aca="false">IF(J182="","",IF(J182=0,"Tam",IF(J182&lt;0,"Açık","Fazla")))</f>
        <v/>
      </c>
      <c r="L182" s="14" t="str">
        <f aca="false">IF(A182="","",C182+D182)</f>
        <v/>
      </c>
    </row>
    <row r="183" customFormat="false" ht="15" hidden="false" customHeight="false" outlineLevel="0" collapsed="false">
      <c r="A183" s="12"/>
      <c r="B183" s="13"/>
      <c r="C183" s="13"/>
      <c r="D183" s="13"/>
      <c r="E183" s="13"/>
      <c r="F183" s="13"/>
      <c r="G183" s="13"/>
      <c r="H183" s="13"/>
      <c r="I183" s="14" t="str">
        <f aca="false">IF(A183="","",B183+C183+E183-F183-G183)</f>
        <v/>
      </c>
      <c r="J183" s="14" t="str">
        <f aca="false">IF(OR(A183="",H183=""),"",ROUND(H183-I183,2))</f>
        <v/>
      </c>
      <c r="K183" s="15" t="str">
        <f aca="false">IF(J183="","",IF(J183=0,"Tam",IF(J183&lt;0,"Açık","Fazla")))</f>
        <v/>
      </c>
      <c r="L183" s="14" t="str">
        <f aca="false">IF(A183="","",C183+D183)</f>
        <v/>
      </c>
    </row>
    <row r="184" customFormat="false" ht="15" hidden="false" customHeight="false" outlineLevel="0" collapsed="false">
      <c r="A184" s="12"/>
      <c r="B184" s="13"/>
      <c r="C184" s="13"/>
      <c r="D184" s="13"/>
      <c r="E184" s="13"/>
      <c r="F184" s="13"/>
      <c r="G184" s="13"/>
      <c r="H184" s="13"/>
      <c r="I184" s="14" t="str">
        <f aca="false">IF(A184="","",B184+C184+E184-F184-G184)</f>
        <v/>
      </c>
      <c r="J184" s="14" t="str">
        <f aca="false">IF(OR(A184="",H184=""),"",ROUND(H184-I184,2))</f>
        <v/>
      </c>
      <c r="K184" s="15" t="str">
        <f aca="false">IF(J184="","",IF(J184=0,"Tam",IF(J184&lt;0,"Açık","Fazla")))</f>
        <v/>
      </c>
      <c r="L184" s="14" t="str">
        <f aca="false">IF(A184="","",C184+D184)</f>
        <v/>
      </c>
    </row>
    <row r="185" customFormat="false" ht="15" hidden="false" customHeight="false" outlineLevel="0" collapsed="false">
      <c r="A185" s="12"/>
      <c r="B185" s="13"/>
      <c r="C185" s="13"/>
      <c r="D185" s="13"/>
      <c r="E185" s="13"/>
      <c r="F185" s="13"/>
      <c r="G185" s="13"/>
      <c r="H185" s="13"/>
      <c r="I185" s="14" t="str">
        <f aca="false">IF(A185="","",B185+C185+E185-F185-G185)</f>
        <v/>
      </c>
      <c r="J185" s="14" t="str">
        <f aca="false">IF(OR(A185="",H185=""),"",ROUND(H185-I185,2))</f>
        <v/>
      </c>
      <c r="K185" s="15" t="str">
        <f aca="false">IF(J185="","",IF(J185=0,"Tam",IF(J185&lt;0,"Açık","Fazla")))</f>
        <v/>
      </c>
      <c r="L185" s="14" t="str">
        <f aca="false">IF(A185="","",C185+D185)</f>
        <v/>
      </c>
    </row>
    <row r="186" customFormat="false" ht="15" hidden="false" customHeight="false" outlineLevel="0" collapsed="false">
      <c r="A186" s="12"/>
      <c r="B186" s="13"/>
      <c r="C186" s="13"/>
      <c r="D186" s="13"/>
      <c r="E186" s="13"/>
      <c r="F186" s="13"/>
      <c r="G186" s="13"/>
      <c r="H186" s="13"/>
      <c r="I186" s="14" t="str">
        <f aca="false">IF(A186="","",B186+C186+E186-F186-G186)</f>
        <v/>
      </c>
      <c r="J186" s="14" t="str">
        <f aca="false">IF(OR(A186="",H186=""),"",ROUND(H186-I186,2))</f>
        <v/>
      </c>
      <c r="K186" s="15" t="str">
        <f aca="false">IF(J186="","",IF(J186=0,"Tam",IF(J186&lt;0,"Açık","Fazla")))</f>
        <v/>
      </c>
      <c r="L186" s="14" t="str">
        <f aca="false">IF(A186="","",C186+D186)</f>
        <v/>
      </c>
    </row>
    <row r="187" customFormat="false" ht="15" hidden="false" customHeight="false" outlineLevel="0" collapsed="false">
      <c r="A187" s="12"/>
      <c r="B187" s="13"/>
      <c r="C187" s="13"/>
      <c r="D187" s="13"/>
      <c r="E187" s="13"/>
      <c r="F187" s="13"/>
      <c r="G187" s="13"/>
      <c r="H187" s="13"/>
      <c r="I187" s="14" t="str">
        <f aca="false">IF(A187="","",B187+C187+E187-F187-G187)</f>
        <v/>
      </c>
      <c r="J187" s="14" t="str">
        <f aca="false">IF(OR(A187="",H187=""),"",ROUND(H187-I187,2))</f>
        <v/>
      </c>
      <c r="K187" s="15" t="str">
        <f aca="false">IF(J187="","",IF(J187=0,"Tam",IF(J187&lt;0,"Açık","Fazla")))</f>
        <v/>
      </c>
      <c r="L187" s="14" t="str">
        <f aca="false">IF(A187="","",C187+D187)</f>
        <v/>
      </c>
    </row>
    <row r="188" customFormat="false" ht="15" hidden="false" customHeight="false" outlineLevel="0" collapsed="false">
      <c r="A188" s="12"/>
      <c r="B188" s="13"/>
      <c r="C188" s="13"/>
      <c r="D188" s="13"/>
      <c r="E188" s="13"/>
      <c r="F188" s="13"/>
      <c r="G188" s="13"/>
      <c r="H188" s="13"/>
      <c r="I188" s="14" t="str">
        <f aca="false">IF(A188="","",B188+C188+E188-F188-G188)</f>
        <v/>
      </c>
      <c r="J188" s="14" t="str">
        <f aca="false">IF(OR(A188="",H188=""),"",ROUND(H188-I188,2))</f>
        <v/>
      </c>
      <c r="K188" s="15" t="str">
        <f aca="false">IF(J188="","",IF(J188=0,"Tam",IF(J188&lt;0,"Açık","Fazla")))</f>
        <v/>
      </c>
      <c r="L188" s="14" t="str">
        <f aca="false">IF(A188="","",C188+D188)</f>
        <v/>
      </c>
    </row>
    <row r="189" customFormat="false" ht="15" hidden="false" customHeight="false" outlineLevel="0" collapsed="false">
      <c r="A189" s="12"/>
      <c r="B189" s="13"/>
      <c r="C189" s="13"/>
      <c r="D189" s="13"/>
      <c r="E189" s="13"/>
      <c r="F189" s="13"/>
      <c r="G189" s="13"/>
      <c r="H189" s="13"/>
      <c r="I189" s="14" t="str">
        <f aca="false">IF(A189="","",B189+C189+E189-F189-G189)</f>
        <v/>
      </c>
      <c r="J189" s="14" t="str">
        <f aca="false">IF(OR(A189="",H189=""),"",ROUND(H189-I189,2))</f>
        <v/>
      </c>
      <c r="K189" s="15" t="str">
        <f aca="false">IF(J189="","",IF(J189=0,"Tam",IF(J189&lt;0,"Açık","Fazla")))</f>
        <v/>
      </c>
      <c r="L189" s="14" t="str">
        <f aca="false">IF(A189="","",C189+D189)</f>
        <v/>
      </c>
    </row>
    <row r="190" customFormat="false" ht="15" hidden="false" customHeight="false" outlineLevel="0" collapsed="false">
      <c r="A190" s="12"/>
      <c r="B190" s="13"/>
      <c r="C190" s="13"/>
      <c r="D190" s="13"/>
      <c r="E190" s="13"/>
      <c r="F190" s="13"/>
      <c r="G190" s="13"/>
      <c r="H190" s="13"/>
      <c r="I190" s="14" t="str">
        <f aca="false">IF(A190="","",B190+C190+E190-F190-G190)</f>
        <v/>
      </c>
      <c r="J190" s="14" t="str">
        <f aca="false">IF(OR(A190="",H190=""),"",ROUND(H190-I190,2))</f>
        <v/>
      </c>
      <c r="K190" s="15" t="str">
        <f aca="false">IF(J190="","",IF(J190=0,"Tam",IF(J190&lt;0,"Açık","Fazla")))</f>
        <v/>
      </c>
      <c r="L190" s="14" t="str">
        <f aca="false">IF(A190="","",C190+D190)</f>
        <v/>
      </c>
    </row>
    <row r="191" customFormat="false" ht="15" hidden="false" customHeight="false" outlineLevel="0" collapsed="false">
      <c r="A191" s="12"/>
      <c r="B191" s="13"/>
      <c r="C191" s="13"/>
      <c r="D191" s="13"/>
      <c r="E191" s="13"/>
      <c r="F191" s="13"/>
      <c r="G191" s="13"/>
      <c r="H191" s="13"/>
      <c r="I191" s="14" t="str">
        <f aca="false">IF(A191="","",B191+C191+E191-F191-G191)</f>
        <v/>
      </c>
      <c r="J191" s="14" t="str">
        <f aca="false">IF(OR(A191="",H191=""),"",ROUND(H191-I191,2))</f>
        <v/>
      </c>
      <c r="K191" s="15" t="str">
        <f aca="false">IF(J191="","",IF(J191=0,"Tam",IF(J191&lt;0,"Açık","Fazla")))</f>
        <v/>
      </c>
      <c r="L191" s="14" t="str">
        <f aca="false">IF(A191="","",C191+D191)</f>
        <v/>
      </c>
    </row>
    <row r="192" customFormat="false" ht="15" hidden="false" customHeight="false" outlineLevel="0" collapsed="false">
      <c r="A192" s="12"/>
      <c r="B192" s="13"/>
      <c r="C192" s="13"/>
      <c r="D192" s="13"/>
      <c r="E192" s="13"/>
      <c r="F192" s="13"/>
      <c r="G192" s="13"/>
      <c r="H192" s="13"/>
      <c r="I192" s="14" t="str">
        <f aca="false">IF(A192="","",B192+C192+E192-F192-G192)</f>
        <v/>
      </c>
      <c r="J192" s="14" t="str">
        <f aca="false">IF(OR(A192="",H192=""),"",ROUND(H192-I192,2))</f>
        <v/>
      </c>
      <c r="K192" s="15" t="str">
        <f aca="false">IF(J192="","",IF(J192=0,"Tam",IF(J192&lt;0,"Açık","Fazla")))</f>
        <v/>
      </c>
      <c r="L192" s="14" t="str">
        <f aca="false">IF(A192="","",C192+D192)</f>
        <v/>
      </c>
    </row>
    <row r="193" customFormat="false" ht="15" hidden="false" customHeight="false" outlineLevel="0" collapsed="false">
      <c r="A193" s="12"/>
      <c r="B193" s="13"/>
      <c r="C193" s="13"/>
      <c r="D193" s="13"/>
      <c r="E193" s="13"/>
      <c r="F193" s="13"/>
      <c r="G193" s="13"/>
      <c r="H193" s="13"/>
      <c r="I193" s="14" t="str">
        <f aca="false">IF(A193="","",B193+C193+E193-F193-G193)</f>
        <v/>
      </c>
      <c r="J193" s="14" t="str">
        <f aca="false">IF(OR(A193="",H193=""),"",ROUND(H193-I193,2))</f>
        <v/>
      </c>
      <c r="K193" s="15" t="str">
        <f aca="false">IF(J193="","",IF(J193=0,"Tam",IF(J193&lt;0,"Açık","Fazla")))</f>
        <v/>
      </c>
      <c r="L193" s="14" t="str">
        <f aca="false">IF(A193="","",C193+D193)</f>
        <v/>
      </c>
    </row>
    <row r="194" customFormat="false" ht="15" hidden="false" customHeight="false" outlineLevel="0" collapsed="false">
      <c r="A194" s="12"/>
      <c r="B194" s="13"/>
      <c r="C194" s="13"/>
      <c r="D194" s="13"/>
      <c r="E194" s="13"/>
      <c r="F194" s="13"/>
      <c r="G194" s="13"/>
      <c r="H194" s="13"/>
      <c r="I194" s="14" t="str">
        <f aca="false">IF(A194="","",B194+C194+E194-F194-G194)</f>
        <v/>
      </c>
      <c r="J194" s="14" t="str">
        <f aca="false">IF(OR(A194="",H194=""),"",ROUND(H194-I194,2))</f>
        <v/>
      </c>
      <c r="K194" s="15" t="str">
        <f aca="false">IF(J194="","",IF(J194=0,"Tam",IF(J194&lt;0,"Açık","Fazla")))</f>
        <v/>
      </c>
      <c r="L194" s="14" t="str">
        <f aca="false">IF(A194="","",C194+D194)</f>
        <v/>
      </c>
    </row>
    <row r="195" customFormat="false" ht="15" hidden="false" customHeight="false" outlineLevel="0" collapsed="false">
      <c r="A195" s="12"/>
      <c r="B195" s="13"/>
      <c r="C195" s="13"/>
      <c r="D195" s="13"/>
      <c r="E195" s="13"/>
      <c r="F195" s="13"/>
      <c r="G195" s="13"/>
      <c r="H195" s="13"/>
      <c r="I195" s="14" t="str">
        <f aca="false">IF(A195="","",B195+C195+E195-F195-G195)</f>
        <v/>
      </c>
      <c r="J195" s="14" t="str">
        <f aca="false">IF(OR(A195="",H195=""),"",ROUND(H195-I195,2))</f>
        <v/>
      </c>
      <c r="K195" s="15" t="str">
        <f aca="false">IF(J195="","",IF(J195=0,"Tam",IF(J195&lt;0,"Açık","Fazla")))</f>
        <v/>
      </c>
      <c r="L195" s="14" t="str">
        <f aca="false">IF(A195="","",C195+D195)</f>
        <v/>
      </c>
    </row>
    <row r="196" customFormat="false" ht="15" hidden="false" customHeight="false" outlineLevel="0" collapsed="false">
      <c r="A196" s="12"/>
      <c r="B196" s="13"/>
      <c r="C196" s="13"/>
      <c r="D196" s="13"/>
      <c r="E196" s="13"/>
      <c r="F196" s="13"/>
      <c r="G196" s="13"/>
      <c r="H196" s="13"/>
      <c r="I196" s="14" t="str">
        <f aca="false">IF(A196="","",B196+C196+E196-F196-G196)</f>
        <v/>
      </c>
      <c r="J196" s="14" t="str">
        <f aca="false">IF(OR(A196="",H196=""),"",ROUND(H196-I196,2))</f>
        <v/>
      </c>
      <c r="K196" s="15" t="str">
        <f aca="false">IF(J196="","",IF(J196=0,"Tam",IF(J196&lt;0,"Açık","Fazla")))</f>
        <v/>
      </c>
      <c r="L196" s="14" t="str">
        <f aca="false">IF(A196="","",C196+D196)</f>
        <v/>
      </c>
    </row>
    <row r="197" customFormat="false" ht="15" hidden="false" customHeight="false" outlineLevel="0" collapsed="false">
      <c r="A197" s="12"/>
      <c r="B197" s="13"/>
      <c r="C197" s="13"/>
      <c r="D197" s="13"/>
      <c r="E197" s="13"/>
      <c r="F197" s="13"/>
      <c r="G197" s="13"/>
      <c r="H197" s="13"/>
      <c r="I197" s="14" t="str">
        <f aca="false">IF(A197="","",B197+C197+E197-F197-G197)</f>
        <v/>
      </c>
      <c r="J197" s="14" t="str">
        <f aca="false">IF(OR(A197="",H197=""),"",ROUND(H197-I197,2))</f>
        <v/>
      </c>
      <c r="K197" s="15" t="str">
        <f aca="false">IF(J197="","",IF(J197=0,"Tam",IF(J197&lt;0,"Açık","Fazla")))</f>
        <v/>
      </c>
      <c r="L197" s="14" t="str">
        <f aca="false">IF(A197="","",C197+D197)</f>
        <v/>
      </c>
    </row>
    <row r="198" customFormat="false" ht="15" hidden="false" customHeight="false" outlineLevel="0" collapsed="false">
      <c r="A198" s="12"/>
      <c r="B198" s="13"/>
      <c r="C198" s="13"/>
      <c r="D198" s="13"/>
      <c r="E198" s="13"/>
      <c r="F198" s="13"/>
      <c r="G198" s="13"/>
      <c r="H198" s="13"/>
      <c r="I198" s="14" t="str">
        <f aca="false">IF(A198="","",B198+C198+E198-F198-G198)</f>
        <v/>
      </c>
      <c r="J198" s="14" t="str">
        <f aca="false">IF(OR(A198="",H198=""),"",ROUND(H198-I198,2))</f>
        <v/>
      </c>
      <c r="K198" s="15" t="str">
        <f aca="false">IF(J198="","",IF(J198=0,"Tam",IF(J198&lt;0,"Açık","Fazla")))</f>
        <v/>
      </c>
      <c r="L198" s="14" t="str">
        <f aca="false">IF(A198="","",C198+D198)</f>
        <v/>
      </c>
    </row>
    <row r="199" customFormat="false" ht="15" hidden="false" customHeight="false" outlineLevel="0" collapsed="false">
      <c r="A199" s="12"/>
      <c r="B199" s="13"/>
      <c r="C199" s="13"/>
      <c r="D199" s="13"/>
      <c r="E199" s="13"/>
      <c r="F199" s="13"/>
      <c r="G199" s="13"/>
      <c r="H199" s="13"/>
      <c r="I199" s="14" t="str">
        <f aca="false">IF(A199="","",B199+C199+E199-F199-G199)</f>
        <v/>
      </c>
      <c r="J199" s="14" t="str">
        <f aca="false">IF(OR(A199="",H199=""),"",ROUND(H199-I199,2))</f>
        <v/>
      </c>
      <c r="K199" s="15" t="str">
        <f aca="false">IF(J199="","",IF(J199=0,"Tam",IF(J199&lt;0,"Açık","Fazla")))</f>
        <v/>
      </c>
      <c r="L199" s="14" t="str">
        <f aca="false">IF(A199="","",C199+D199)</f>
        <v/>
      </c>
    </row>
    <row r="200" customFormat="false" ht="15" hidden="false" customHeight="false" outlineLevel="0" collapsed="false">
      <c r="A200" s="12"/>
      <c r="B200" s="13"/>
      <c r="C200" s="13"/>
      <c r="D200" s="13"/>
      <c r="E200" s="13"/>
      <c r="F200" s="13"/>
      <c r="G200" s="13"/>
      <c r="H200" s="13"/>
      <c r="I200" s="14" t="str">
        <f aca="false">IF(A200="","",B200+C200+E200-F200-G200)</f>
        <v/>
      </c>
      <c r="J200" s="14" t="str">
        <f aca="false">IF(OR(A200="",H200=""),"",ROUND(H200-I200,2))</f>
        <v/>
      </c>
      <c r="K200" s="15" t="str">
        <f aca="false">IF(J200="","",IF(J200=0,"Tam",IF(J200&lt;0,"Açık","Fazla")))</f>
        <v/>
      </c>
      <c r="L200" s="14" t="str">
        <f aca="false">IF(A200="","",C200+D200)</f>
        <v/>
      </c>
    </row>
    <row r="201" customFormat="false" ht="15" hidden="false" customHeight="false" outlineLevel="0" collapsed="false">
      <c r="A201" s="12"/>
      <c r="B201" s="13"/>
      <c r="C201" s="13"/>
      <c r="D201" s="13"/>
      <c r="E201" s="13"/>
      <c r="F201" s="13"/>
      <c r="G201" s="13"/>
      <c r="H201" s="13"/>
      <c r="I201" s="14" t="str">
        <f aca="false">IF(A201="","",B201+C201+E201-F201-G201)</f>
        <v/>
      </c>
      <c r="J201" s="14" t="str">
        <f aca="false">IF(OR(A201="",H201=""),"",ROUND(H201-I201,2))</f>
        <v/>
      </c>
      <c r="K201" s="15" t="str">
        <f aca="false">IF(J201="","",IF(J201=0,"Tam",IF(J201&lt;0,"Açık","Fazla")))</f>
        <v/>
      </c>
      <c r="L201" s="14" t="str">
        <f aca="false">IF(A201="","",C201+D201)</f>
        <v/>
      </c>
    </row>
    <row r="202" customFormat="false" ht="15" hidden="false" customHeight="false" outlineLevel="0" collapsed="false">
      <c r="A202" s="12"/>
      <c r="B202" s="13"/>
      <c r="C202" s="13"/>
      <c r="D202" s="13"/>
      <c r="E202" s="13"/>
      <c r="F202" s="13"/>
      <c r="G202" s="13"/>
      <c r="H202" s="13"/>
      <c r="I202" s="14" t="str">
        <f aca="false">IF(A202="","",B202+C202+E202-F202-G202)</f>
        <v/>
      </c>
      <c r="J202" s="14" t="str">
        <f aca="false">IF(OR(A202="",H202=""),"",ROUND(H202-I202,2))</f>
        <v/>
      </c>
      <c r="K202" s="15" t="str">
        <f aca="false">IF(J202="","",IF(J202=0,"Tam",IF(J202&lt;0,"Açık","Fazla")))</f>
        <v/>
      </c>
      <c r="L202" s="14" t="str">
        <f aca="false">IF(A202="","",C202+D202)</f>
        <v/>
      </c>
    </row>
    <row r="203" customFormat="false" ht="15" hidden="false" customHeight="false" outlineLevel="0" collapsed="false">
      <c r="A203" s="12"/>
      <c r="B203" s="13"/>
      <c r="C203" s="13"/>
      <c r="D203" s="13"/>
      <c r="E203" s="13"/>
      <c r="F203" s="13"/>
      <c r="G203" s="13"/>
      <c r="H203" s="13"/>
      <c r="I203" s="14" t="str">
        <f aca="false">IF(A203="","",B203+C203+E203-F203-G203)</f>
        <v/>
      </c>
      <c r="J203" s="14" t="str">
        <f aca="false">IF(OR(A203="",H203=""),"",ROUND(H203-I203,2))</f>
        <v/>
      </c>
      <c r="K203" s="15" t="str">
        <f aca="false">IF(J203="","",IF(J203=0,"Tam",IF(J203&lt;0,"Açık","Fazla")))</f>
        <v/>
      </c>
      <c r="L203" s="14" t="str">
        <f aca="false">IF(A203="","",C203+D203)</f>
        <v/>
      </c>
    </row>
    <row r="204" customFormat="false" ht="15" hidden="false" customHeight="false" outlineLevel="0" collapsed="false">
      <c r="A204" s="12"/>
      <c r="B204" s="13"/>
      <c r="C204" s="13"/>
      <c r="D204" s="13"/>
      <c r="E204" s="13"/>
      <c r="F204" s="13"/>
      <c r="G204" s="13"/>
      <c r="H204" s="13"/>
      <c r="I204" s="14" t="str">
        <f aca="false">IF(A204="","",B204+C204+E204-F204-G204)</f>
        <v/>
      </c>
      <c r="J204" s="14" t="str">
        <f aca="false">IF(OR(A204="",H204=""),"",ROUND(H204-I204,2))</f>
        <v/>
      </c>
      <c r="K204" s="15" t="str">
        <f aca="false">IF(J204="","",IF(J204=0,"Tam",IF(J204&lt;0,"Açık","Fazla")))</f>
        <v/>
      </c>
      <c r="L204" s="14" t="str">
        <f aca="false">IF(A204="","",C204+D204)</f>
        <v/>
      </c>
    </row>
    <row r="205" customFormat="false" ht="15" hidden="false" customHeight="false" outlineLevel="0" collapsed="false">
      <c r="A205" s="12"/>
      <c r="B205" s="13"/>
      <c r="C205" s="13"/>
      <c r="D205" s="13"/>
      <c r="E205" s="13"/>
      <c r="F205" s="13"/>
      <c r="G205" s="13"/>
      <c r="H205" s="13"/>
      <c r="I205" s="14" t="str">
        <f aca="false">IF(A205="","",B205+C205+E205-F205-G205)</f>
        <v/>
      </c>
      <c r="J205" s="14" t="str">
        <f aca="false">IF(OR(A205="",H205=""),"",ROUND(H205-I205,2))</f>
        <v/>
      </c>
      <c r="K205" s="15" t="str">
        <f aca="false">IF(J205="","",IF(J205=0,"Tam",IF(J205&lt;0,"Açık","Fazla")))</f>
        <v/>
      </c>
      <c r="L205" s="14" t="str">
        <f aca="false">IF(A205="","",C205+D205)</f>
        <v/>
      </c>
    </row>
    <row r="206" customFormat="false" ht="15" hidden="false" customHeight="false" outlineLevel="0" collapsed="false">
      <c r="A206" s="12"/>
      <c r="B206" s="13"/>
      <c r="C206" s="13"/>
      <c r="D206" s="13"/>
      <c r="E206" s="13"/>
      <c r="F206" s="13"/>
      <c r="G206" s="13"/>
      <c r="H206" s="13"/>
      <c r="I206" s="14" t="str">
        <f aca="false">IF(A206="","",B206+C206+E206-F206-G206)</f>
        <v/>
      </c>
      <c r="J206" s="14" t="str">
        <f aca="false">IF(OR(A206="",H206=""),"",ROUND(H206-I206,2))</f>
        <v/>
      </c>
      <c r="K206" s="15" t="str">
        <f aca="false">IF(J206="","",IF(J206=0,"Tam",IF(J206&lt;0,"Açık","Fazla")))</f>
        <v/>
      </c>
      <c r="L206" s="14" t="str">
        <f aca="false">IF(A206="","",C206+D206)</f>
        <v/>
      </c>
    </row>
    <row r="207" customFormat="false" ht="15" hidden="false" customHeight="false" outlineLevel="0" collapsed="false">
      <c r="A207" s="12"/>
      <c r="B207" s="13"/>
      <c r="C207" s="13"/>
      <c r="D207" s="13"/>
      <c r="E207" s="13"/>
      <c r="F207" s="13"/>
      <c r="G207" s="13"/>
      <c r="H207" s="13"/>
      <c r="I207" s="14" t="str">
        <f aca="false">IF(A207="","",B207+C207+E207-F207-G207)</f>
        <v/>
      </c>
      <c r="J207" s="14" t="str">
        <f aca="false">IF(OR(A207="",H207=""),"",ROUND(H207-I207,2))</f>
        <v/>
      </c>
      <c r="K207" s="15" t="str">
        <f aca="false">IF(J207="","",IF(J207=0,"Tam",IF(J207&lt;0,"Açık","Fazla")))</f>
        <v/>
      </c>
      <c r="L207" s="14" t="str">
        <f aca="false">IF(A207="","",C207+D207)</f>
        <v/>
      </c>
    </row>
    <row r="208" customFormat="false" ht="15" hidden="false" customHeight="false" outlineLevel="0" collapsed="false">
      <c r="A208" s="12"/>
      <c r="B208" s="13"/>
      <c r="C208" s="13"/>
      <c r="D208" s="13"/>
      <c r="E208" s="13"/>
      <c r="F208" s="13"/>
      <c r="G208" s="13"/>
      <c r="H208" s="13"/>
      <c r="I208" s="14" t="str">
        <f aca="false">IF(A208="","",B208+C208+E208-F208-G208)</f>
        <v/>
      </c>
      <c r="J208" s="14" t="str">
        <f aca="false">IF(OR(A208="",H208=""),"",ROUND(H208-I208,2))</f>
        <v/>
      </c>
      <c r="K208" s="15" t="str">
        <f aca="false">IF(J208="","",IF(J208=0,"Tam",IF(J208&lt;0,"Açık","Fazla")))</f>
        <v/>
      </c>
      <c r="L208" s="14" t="str">
        <f aca="false">IF(A208="","",C208+D208)</f>
        <v/>
      </c>
    </row>
    <row r="209" customFormat="false" ht="15" hidden="false" customHeight="false" outlineLevel="0" collapsed="false">
      <c r="A209" s="12"/>
      <c r="B209" s="13"/>
      <c r="C209" s="13"/>
      <c r="D209" s="13"/>
      <c r="E209" s="13"/>
      <c r="F209" s="13"/>
      <c r="G209" s="13"/>
      <c r="H209" s="13"/>
      <c r="I209" s="14" t="str">
        <f aca="false">IF(A209="","",B209+C209+E209-F209-G209)</f>
        <v/>
      </c>
      <c r="J209" s="14" t="str">
        <f aca="false">IF(OR(A209="",H209=""),"",ROUND(H209-I209,2))</f>
        <v/>
      </c>
      <c r="K209" s="15" t="str">
        <f aca="false">IF(J209="","",IF(J209=0,"Tam",IF(J209&lt;0,"Açık","Fazla")))</f>
        <v/>
      </c>
      <c r="L209" s="14" t="str">
        <f aca="false">IF(A209="","",C209+D209)</f>
        <v/>
      </c>
    </row>
    <row r="210" customFormat="false" ht="15" hidden="false" customHeight="false" outlineLevel="0" collapsed="false">
      <c r="A210" s="12"/>
      <c r="B210" s="13"/>
      <c r="C210" s="13"/>
      <c r="D210" s="13"/>
      <c r="E210" s="13"/>
      <c r="F210" s="13"/>
      <c r="G210" s="13"/>
      <c r="H210" s="13"/>
      <c r="I210" s="14" t="str">
        <f aca="false">IF(A210="","",B210+C210+E210-F210-G210)</f>
        <v/>
      </c>
      <c r="J210" s="14" t="str">
        <f aca="false">IF(OR(A210="",H210=""),"",ROUND(H210-I210,2))</f>
        <v/>
      </c>
      <c r="K210" s="15" t="str">
        <f aca="false">IF(J210="","",IF(J210=0,"Tam",IF(J210&lt;0,"Açık","Fazla")))</f>
        <v/>
      </c>
      <c r="L210" s="14" t="str">
        <f aca="false">IF(A210="","",C210+D210)</f>
        <v/>
      </c>
    </row>
    <row r="211" customFormat="false" ht="15" hidden="false" customHeight="false" outlineLevel="0" collapsed="false">
      <c r="A211" s="12"/>
      <c r="B211" s="13"/>
      <c r="C211" s="13"/>
      <c r="D211" s="13"/>
      <c r="E211" s="13"/>
      <c r="F211" s="13"/>
      <c r="G211" s="13"/>
      <c r="H211" s="13"/>
      <c r="I211" s="14" t="str">
        <f aca="false">IF(A211="","",B211+C211+E211-F211-G211)</f>
        <v/>
      </c>
      <c r="J211" s="14" t="str">
        <f aca="false">IF(OR(A211="",H211=""),"",ROUND(H211-I211,2))</f>
        <v/>
      </c>
      <c r="K211" s="15" t="str">
        <f aca="false">IF(J211="","",IF(J211=0,"Tam",IF(J211&lt;0,"Açık","Fazla")))</f>
        <v/>
      </c>
      <c r="L211" s="14" t="str">
        <f aca="false">IF(A211="","",C211+D211)</f>
        <v/>
      </c>
    </row>
    <row r="212" customFormat="false" ht="15" hidden="false" customHeight="false" outlineLevel="0" collapsed="false">
      <c r="A212" s="12"/>
      <c r="B212" s="13"/>
      <c r="C212" s="13"/>
      <c r="D212" s="13"/>
      <c r="E212" s="13"/>
      <c r="F212" s="13"/>
      <c r="G212" s="13"/>
      <c r="H212" s="13"/>
      <c r="I212" s="14" t="str">
        <f aca="false">IF(A212="","",B212+C212+E212-F212-G212)</f>
        <v/>
      </c>
      <c r="J212" s="14" t="str">
        <f aca="false">IF(OR(A212="",H212=""),"",ROUND(H212-I212,2))</f>
        <v/>
      </c>
      <c r="K212" s="15" t="str">
        <f aca="false">IF(J212="","",IF(J212=0,"Tam",IF(J212&lt;0,"Açık","Fazla")))</f>
        <v/>
      </c>
      <c r="L212" s="14" t="str">
        <f aca="false">IF(A212="","",C212+D212)</f>
        <v/>
      </c>
    </row>
    <row r="213" customFormat="false" ht="15" hidden="false" customHeight="false" outlineLevel="0" collapsed="false">
      <c r="A213" s="12"/>
      <c r="B213" s="13"/>
      <c r="C213" s="13"/>
      <c r="D213" s="13"/>
      <c r="E213" s="13"/>
      <c r="F213" s="13"/>
      <c r="G213" s="13"/>
      <c r="H213" s="13"/>
      <c r="I213" s="14" t="str">
        <f aca="false">IF(A213="","",B213+C213+E213-F213-G213)</f>
        <v/>
      </c>
      <c r="J213" s="14" t="str">
        <f aca="false">IF(OR(A213="",H213=""),"",ROUND(H213-I213,2))</f>
        <v/>
      </c>
      <c r="K213" s="15" t="str">
        <f aca="false">IF(J213="","",IF(J213=0,"Tam",IF(J213&lt;0,"Açık","Fazla")))</f>
        <v/>
      </c>
      <c r="L213" s="14" t="str">
        <f aca="false">IF(A213="","",C213+D213)</f>
        <v/>
      </c>
    </row>
    <row r="214" customFormat="false" ht="15" hidden="false" customHeight="false" outlineLevel="0" collapsed="false">
      <c r="A214" s="12"/>
      <c r="B214" s="13"/>
      <c r="C214" s="13"/>
      <c r="D214" s="13"/>
      <c r="E214" s="13"/>
      <c r="F214" s="13"/>
      <c r="G214" s="13"/>
      <c r="H214" s="13"/>
      <c r="I214" s="14" t="str">
        <f aca="false">IF(A214="","",B214+C214+E214-F214-G214)</f>
        <v/>
      </c>
      <c r="J214" s="14" t="str">
        <f aca="false">IF(OR(A214="",H214=""),"",ROUND(H214-I214,2))</f>
        <v/>
      </c>
      <c r="K214" s="15" t="str">
        <f aca="false">IF(J214="","",IF(J214=0,"Tam",IF(J214&lt;0,"Açık","Fazla")))</f>
        <v/>
      </c>
      <c r="L214" s="14" t="str">
        <f aca="false">IF(A214="","",C214+D214)</f>
        <v/>
      </c>
    </row>
    <row r="215" customFormat="false" ht="15" hidden="false" customHeight="false" outlineLevel="0" collapsed="false">
      <c r="A215" s="12"/>
      <c r="B215" s="13"/>
      <c r="C215" s="13"/>
      <c r="D215" s="13"/>
      <c r="E215" s="13"/>
      <c r="F215" s="13"/>
      <c r="G215" s="13"/>
      <c r="H215" s="13"/>
      <c r="I215" s="14" t="str">
        <f aca="false">IF(A215="","",B215+C215+E215-F215-G215)</f>
        <v/>
      </c>
      <c r="J215" s="14" t="str">
        <f aca="false">IF(OR(A215="",H215=""),"",ROUND(H215-I215,2))</f>
        <v/>
      </c>
      <c r="K215" s="15" t="str">
        <f aca="false">IF(J215="","",IF(J215=0,"Tam",IF(J215&lt;0,"Açık","Fazla")))</f>
        <v/>
      </c>
      <c r="L215" s="14" t="str">
        <f aca="false">IF(A215="","",C215+D215)</f>
        <v/>
      </c>
    </row>
    <row r="216" customFormat="false" ht="15" hidden="false" customHeight="false" outlineLevel="0" collapsed="false">
      <c r="A216" s="12"/>
      <c r="B216" s="13"/>
      <c r="C216" s="13"/>
      <c r="D216" s="13"/>
      <c r="E216" s="13"/>
      <c r="F216" s="13"/>
      <c r="G216" s="13"/>
      <c r="H216" s="13"/>
      <c r="I216" s="14" t="str">
        <f aca="false">IF(A216="","",B216+C216+E216-F216-G216)</f>
        <v/>
      </c>
      <c r="J216" s="14" t="str">
        <f aca="false">IF(OR(A216="",H216=""),"",ROUND(H216-I216,2))</f>
        <v/>
      </c>
      <c r="K216" s="15" t="str">
        <f aca="false">IF(J216="","",IF(J216=0,"Tam",IF(J216&lt;0,"Açık","Fazla")))</f>
        <v/>
      </c>
      <c r="L216" s="14" t="str">
        <f aca="false">IF(A216="","",C216+D216)</f>
        <v/>
      </c>
    </row>
    <row r="217" customFormat="false" ht="15" hidden="false" customHeight="false" outlineLevel="0" collapsed="false">
      <c r="A217" s="12"/>
      <c r="B217" s="13"/>
      <c r="C217" s="13"/>
      <c r="D217" s="13"/>
      <c r="E217" s="13"/>
      <c r="F217" s="13"/>
      <c r="G217" s="13"/>
      <c r="H217" s="13"/>
      <c r="I217" s="14" t="str">
        <f aca="false">IF(A217="","",B217+C217+E217-F217-G217)</f>
        <v/>
      </c>
      <c r="J217" s="14" t="str">
        <f aca="false">IF(OR(A217="",H217=""),"",ROUND(H217-I217,2))</f>
        <v/>
      </c>
      <c r="K217" s="15" t="str">
        <f aca="false">IF(J217="","",IF(J217=0,"Tam",IF(J217&lt;0,"Açık","Fazla")))</f>
        <v/>
      </c>
      <c r="L217" s="14" t="str">
        <f aca="false">IF(A217="","",C217+D217)</f>
        <v/>
      </c>
    </row>
    <row r="218" customFormat="false" ht="15" hidden="false" customHeight="false" outlineLevel="0" collapsed="false">
      <c r="A218" s="12"/>
      <c r="B218" s="13"/>
      <c r="C218" s="13"/>
      <c r="D218" s="13"/>
      <c r="E218" s="13"/>
      <c r="F218" s="13"/>
      <c r="G218" s="13"/>
      <c r="H218" s="13"/>
      <c r="I218" s="14" t="str">
        <f aca="false">IF(A218="","",B218+C218+E218-F218-G218)</f>
        <v/>
      </c>
      <c r="J218" s="14" t="str">
        <f aca="false">IF(OR(A218="",H218=""),"",ROUND(H218-I218,2))</f>
        <v/>
      </c>
      <c r="K218" s="15" t="str">
        <f aca="false">IF(J218="","",IF(J218=0,"Tam",IF(J218&lt;0,"Açık","Fazla")))</f>
        <v/>
      </c>
      <c r="L218" s="14" t="str">
        <f aca="false">IF(A218="","",C218+D218)</f>
        <v/>
      </c>
    </row>
    <row r="219" customFormat="false" ht="15" hidden="false" customHeight="false" outlineLevel="0" collapsed="false">
      <c r="A219" s="12"/>
      <c r="B219" s="13"/>
      <c r="C219" s="13"/>
      <c r="D219" s="13"/>
      <c r="E219" s="13"/>
      <c r="F219" s="13"/>
      <c r="G219" s="13"/>
      <c r="H219" s="13"/>
      <c r="I219" s="14" t="str">
        <f aca="false">IF(A219="","",B219+C219+E219-F219-G219)</f>
        <v/>
      </c>
      <c r="J219" s="14" t="str">
        <f aca="false">IF(OR(A219="",H219=""),"",ROUND(H219-I219,2))</f>
        <v/>
      </c>
      <c r="K219" s="15" t="str">
        <f aca="false">IF(J219="","",IF(J219=0,"Tam",IF(J219&lt;0,"Açık","Fazla")))</f>
        <v/>
      </c>
      <c r="L219" s="14" t="str">
        <f aca="false">IF(A219="","",C219+D219)</f>
        <v/>
      </c>
    </row>
    <row r="220" customFormat="false" ht="15" hidden="false" customHeight="false" outlineLevel="0" collapsed="false">
      <c r="A220" s="12"/>
      <c r="B220" s="13"/>
      <c r="C220" s="13"/>
      <c r="D220" s="13"/>
      <c r="E220" s="13"/>
      <c r="F220" s="13"/>
      <c r="G220" s="13"/>
      <c r="H220" s="13"/>
      <c r="I220" s="14" t="str">
        <f aca="false">IF(A220="","",B220+C220+E220-F220-G220)</f>
        <v/>
      </c>
      <c r="J220" s="14" t="str">
        <f aca="false">IF(OR(A220="",H220=""),"",ROUND(H220-I220,2))</f>
        <v/>
      </c>
      <c r="K220" s="15" t="str">
        <f aca="false">IF(J220="","",IF(J220=0,"Tam",IF(J220&lt;0,"Açık","Fazla")))</f>
        <v/>
      </c>
      <c r="L220" s="14" t="str">
        <f aca="false">IF(A220="","",C220+D220)</f>
        <v/>
      </c>
    </row>
    <row r="221" customFormat="false" ht="15" hidden="false" customHeight="false" outlineLevel="0" collapsed="false">
      <c r="A221" s="12"/>
      <c r="B221" s="13"/>
      <c r="C221" s="13"/>
      <c r="D221" s="13"/>
      <c r="E221" s="13"/>
      <c r="F221" s="13"/>
      <c r="G221" s="13"/>
      <c r="H221" s="13"/>
      <c r="I221" s="14" t="str">
        <f aca="false">IF(A221="","",B221+C221+E221-F221-G221)</f>
        <v/>
      </c>
      <c r="J221" s="14" t="str">
        <f aca="false">IF(OR(A221="",H221=""),"",ROUND(H221-I221,2))</f>
        <v/>
      </c>
      <c r="K221" s="15" t="str">
        <f aca="false">IF(J221="","",IF(J221=0,"Tam",IF(J221&lt;0,"Açık","Fazla")))</f>
        <v/>
      </c>
      <c r="L221" s="14" t="str">
        <f aca="false">IF(A221="","",C221+D221)</f>
        <v/>
      </c>
    </row>
    <row r="222" customFormat="false" ht="15" hidden="false" customHeight="false" outlineLevel="0" collapsed="false">
      <c r="A222" s="12"/>
      <c r="B222" s="13"/>
      <c r="C222" s="13"/>
      <c r="D222" s="13"/>
      <c r="E222" s="13"/>
      <c r="F222" s="13"/>
      <c r="G222" s="13"/>
      <c r="H222" s="13"/>
      <c r="I222" s="14" t="str">
        <f aca="false">IF(A222="","",B222+C222+E222-F222-G222)</f>
        <v/>
      </c>
      <c r="J222" s="14" t="str">
        <f aca="false">IF(OR(A222="",H222=""),"",ROUND(H222-I222,2))</f>
        <v/>
      </c>
      <c r="K222" s="15" t="str">
        <f aca="false">IF(J222="","",IF(J222=0,"Tam",IF(J222&lt;0,"Açık","Fazla")))</f>
        <v/>
      </c>
      <c r="L222" s="14" t="str">
        <f aca="false">IF(A222="","",C222+D222)</f>
        <v/>
      </c>
    </row>
    <row r="223" customFormat="false" ht="15" hidden="false" customHeight="false" outlineLevel="0" collapsed="false">
      <c r="A223" s="12"/>
      <c r="B223" s="13"/>
      <c r="C223" s="13"/>
      <c r="D223" s="13"/>
      <c r="E223" s="13"/>
      <c r="F223" s="13"/>
      <c r="G223" s="13"/>
      <c r="H223" s="13"/>
      <c r="I223" s="14" t="str">
        <f aca="false">IF(A223="","",B223+C223+E223-F223-G223)</f>
        <v/>
      </c>
      <c r="J223" s="14" t="str">
        <f aca="false">IF(OR(A223="",H223=""),"",ROUND(H223-I223,2))</f>
        <v/>
      </c>
      <c r="K223" s="15" t="str">
        <f aca="false">IF(J223="","",IF(J223=0,"Tam",IF(J223&lt;0,"Açık","Fazla")))</f>
        <v/>
      </c>
      <c r="L223" s="14" t="str">
        <f aca="false">IF(A223="","",C223+D223)</f>
        <v/>
      </c>
    </row>
    <row r="224" customFormat="false" ht="15" hidden="false" customHeight="false" outlineLevel="0" collapsed="false">
      <c r="A224" s="12"/>
      <c r="B224" s="13"/>
      <c r="C224" s="13"/>
      <c r="D224" s="13"/>
      <c r="E224" s="13"/>
      <c r="F224" s="13"/>
      <c r="G224" s="13"/>
      <c r="H224" s="13"/>
      <c r="I224" s="14" t="str">
        <f aca="false">IF(A224="","",B224+C224+E224-F224-G224)</f>
        <v/>
      </c>
      <c r="J224" s="14" t="str">
        <f aca="false">IF(OR(A224="",H224=""),"",ROUND(H224-I224,2))</f>
        <v/>
      </c>
      <c r="K224" s="15" t="str">
        <f aca="false">IF(J224="","",IF(J224=0,"Tam",IF(J224&lt;0,"Açık","Fazla")))</f>
        <v/>
      </c>
      <c r="L224" s="14" t="str">
        <f aca="false">IF(A224="","",C224+D224)</f>
        <v/>
      </c>
    </row>
    <row r="225" customFormat="false" ht="15" hidden="false" customHeight="false" outlineLevel="0" collapsed="false">
      <c r="A225" s="12"/>
      <c r="B225" s="13"/>
      <c r="C225" s="13"/>
      <c r="D225" s="13"/>
      <c r="E225" s="13"/>
      <c r="F225" s="13"/>
      <c r="G225" s="13"/>
      <c r="H225" s="13"/>
      <c r="I225" s="14" t="str">
        <f aca="false">IF(A225="","",B225+C225+E225-F225-G225)</f>
        <v/>
      </c>
      <c r="J225" s="14" t="str">
        <f aca="false">IF(OR(A225="",H225=""),"",ROUND(H225-I225,2))</f>
        <v/>
      </c>
      <c r="K225" s="15" t="str">
        <f aca="false">IF(J225="","",IF(J225=0,"Tam",IF(J225&lt;0,"Açık","Fazla")))</f>
        <v/>
      </c>
      <c r="L225" s="14" t="str">
        <f aca="false">IF(A225="","",C225+D225)</f>
        <v/>
      </c>
    </row>
    <row r="226" customFormat="false" ht="15" hidden="false" customHeight="false" outlineLevel="0" collapsed="false">
      <c r="A226" s="12"/>
      <c r="B226" s="13"/>
      <c r="C226" s="13"/>
      <c r="D226" s="13"/>
      <c r="E226" s="13"/>
      <c r="F226" s="13"/>
      <c r="G226" s="13"/>
      <c r="H226" s="13"/>
      <c r="I226" s="14" t="str">
        <f aca="false">IF(A226="","",B226+C226+E226-F226-G226)</f>
        <v/>
      </c>
      <c r="J226" s="14" t="str">
        <f aca="false">IF(OR(A226="",H226=""),"",ROUND(H226-I226,2))</f>
        <v/>
      </c>
      <c r="K226" s="15" t="str">
        <f aca="false">IF(J226="","",IF(J226=0,"Tam",IF(J226&lt;0,"Açık","Fazla")))</f>
        <v/>
      </c>
      <c r="L226" s="14" t="str">
        <f aca="false">IF(A226="","",C226+D226)</f>
        <v/>
      </c>
    </row>
    <row r="227" customFormat="false" ht="15" hidden="false" customHeight="false" outlineLevel="0" collapsed="false">
      <c r="A227" s="12"/>
      <c r="B227" s="13"/>
      <c r="C227" s="13"/>
      <c r="D227" s="13"/>
      <c r="E227" s="13"/>
      <c r="F227" s="13"/>
      <c r="G227" s="13"/>
      <c r="H227" s="13"/>
      <c r="I227" s="14" t="str">
        <f aca="false">IF(A227="","",B227+C227+E227-F227-G227)</f>
        <v/>
      </c>
      <c r="J227" s="14" t="str">
        <f aca="false">IF(OR(A227="",H227=""),"",ROUND(H227-I227,2))</f>
        <v/>
      </c>
      <c r="K227" s="15" t="str">
        <f aca="false">IF(J227="","",IF(J227=0,"Tam",IF(J227&lt;0,"Açık","Fazla")))</f>
        <v/>
      </c>
      <c r="L227" s="14" t="str">
        <f aca="false">IF(A227="","",C227+D227)</f>
        <v/>
      </c>
    </row>
    <row r="228" customFormat="false" ht="15" hidden="false" customHeight="false" outlineLevel="0" collapsed="false">
      <c r="A228" s="12"/>
      <c r="B228" s="13"/>
      <c r="C228" s="13"/>
      <c r="D228" s="13"/>
      <c r="E228" s="13"/>
      <c r="F228" s="13"/>
      <c r="G228" s="13"/>
      <c r="H228" s="13"/>
      <c r="I228" s="14" t="str">
        <f aca="false">IF(A228="","",B228+C228+E228-F228-G228)</f>
        <v/>
      </c>
      <c r="J228" s="14" t="str">
        <f aca="false">IF(OR(A228="",H228=""),"",ROUND(H228-I228,2))</f>
        <v/>
      </c>
      <c r="K228" s="15" t="str">
        <f aca="false">IF(J228="","",IF(J228=0,"Tam",IF(J228&lt;0,"Açık","Fazla")))</f>
        <v/>
      </c>
      <c r="L228" s="14" t="str">
        <f aca="false">IF(A228="","",C228+D228)</f>
        <v/>
      </c>
    </row>
    <row r="229" customFormat="false" ht="15" hidden="false" customHeight="false" outlineLevel="0" collapsed="false">
      <c r="A229" s="12"/>
      <c r="B229" s="13"/>
      <c r="C229" s="13"/>
      <c r="D229" s="13"/>
      <c r="E229" s="13"/>
      <c r="F229" s="13"/>
      <c r="G229" s="13"/>
      <c r="H229" s="13"/>
      <c r="I229" s="14" t="str">
        <f aca="false">IF(A229="","",B229+C229+E229-F229-G229)</f>
        <v/>
      </c>
      <c r="J229" s="14" t="str">
        <f aca="false">IF(OR(A229="",H229=""),"",ROUND(H229-I229,2))</f>
        <v/>
      </c>
      <c r="K229" s="15" t="str">
        <f aca="false">IF(J229="","",IF(J229=0,"Tam",IF(J229&lt;0,"Açık","Fazla")))</f>
        <v/>
      </c>
      <c r="L229" s="14" t="str">
        <f aca="false">IF(A229="","",C229+D229)</f>
        <v/>
      </c>
    </row>
    <row r="230" customFormat="false" ht="15" hidden="false" customHeight="false" outlineLevel="0" collapsed="false">
      <c r="A230" s="12"/>
      <c r="B230" s="13"/>
      <c r="C230" s="13"/>
      <c r="D230" s="13"/>
      <c r="E230" s="13"/>
      <c r="F230" s="13"/>
      <c r="G230" s="13"/>
      <c r="H230" s="13"/>
      <c r="I230" s="14" t="str">
        <f aca="false">IF(A230="","",B230+C230+E230-F230-G230)</f>
        <v/>
      </c>
      <c r="J230" s="14" t="str">
        <f aca="false">IF(OR(A230="",H230=""),"",ROUND(H230-I230,2))</f>
        <v/>
      </c>
      <c r="K230" s="15" t="str">
        <f aca="false">IF(J230="","",IF(J230=0,"Tam",IF(J230&lt;0,"Açık","Fazla")))</f>
        <v/>
      </c>
      <c r="L230" s="14" t="str">
        <f aca="false">IF(A230="","",C230+D230)</f>
        <v/>
      </c>
    </row>
    <row r="231" customFormat="false" ht="15" hidden="false" customHeight="false" outlineLevel="0" collapsed="false">
      <c r="A231" s="12"/>
      <c r="B231" s="13"/>
      <c r="C231" s="13"/>
      <c r="D231" s="13"/>
      <c r="E231" s="13"/>
      <c r="F231" s="13"/>
      <c r="G231" s="13"/>
      <c r="H231" s="13"/>
      <c r="I231" s="14" t="str">
        <f aca="false">IF(A231="","",B231+C231+E231-F231-G231)</f>
        <v/>
      </c>
      <c r="J231" s="14" t="str">
        <f aca="false">IF(OR(A231="",H231=""),"",ROUND(H231-I231,2))</f>
        <v/>
      </c>
      <c r="K231" s="15" t="str">
        <f aca="false">IF(J231="","",IF(J231=0,"Tam",IF(J231&lt;0,"Açık","Fazla")))</f>
        <v/>
      </c>
      <c r="L231" s="14" t="str">
        <f aca="false">IF(A231="","",C231+D231)</f>
        <v/>
      </c>
    </row>
    <row r="232" customFormat="false" ht="15" hidden="false" customHeight="false" outlineLevel="0" collapsed="false">
      <c r="A232" s="12"/>
      <c r="B232" s="13"/>
      <c r="C232" s="13"/>
      <c r="D232" s="13"/>
      <c r="E232" s="13"/>
      <c r="F232" s="13"/>
      <c r="G232" s="13"/>
      <c r="H232" s="13"/>
      <c r="I232" s="14" t="str">
        <f aca="false">IF(A232="","",B232+C232+E232-F232-G232)</f>
        <v/>
      </c>
      <c r="J232" s="14" t="str">
        <f aca="false">IF(OR(A232="",H232=""),"",ROUND(H232-I232,2))</f>
        <v/>
      </c>
      <c r="K232" s="15" t="str">
        <f aca="false">IF(J232="","",IF(J232=0,"Tam",IF(J232&lt;0,"Açık","Fazla")))</f>
        <v/>
      </c>
      <c r="L232" s="14" t="str">
        <f aca="false">IF(A232="","",C232+D232)</f>
        <v/>
      </c>
    </row>
    <row r="233" customFormat="false" ht="15" hidden="false" customHeight="false" outlineLevel="0" collapsed="false">
      <c r="A233" s="12"/>
      <c r="B233" s="13"/>
      <c r="C233" s="13"/>
      <c r="D233" s="13"/>
      <c r="E233" s="13"/>
      <c r="F233" s="13"/>
      <c r="G233" s="13"/>
      <c r="H233" s="13"/>
      <c r="I233" s="14" t="str">
        <f aca="false">IF(A233="","",B233+C233+E233-F233-G233)</f>
        <v/>
      </c>
      <c r="J233" s="14" t="str">
        <f aca="false">IF(OR(A233="",H233=""),"",ROUND(H233-I233,2))</f>
        <v/>
      </c>
      <c r="K233" s="15" t="str">
        <f aca="false">IF(J233="","",IF(J233=0,"Tam",IF(J233&lt;0,"Açık","Fazla")))</f>
        <v/>
      </c>
      <c r="L233" s="14" t="str">
        <f aca="false">IF(A233="","",C233+D233)</f>
        <v/>
      </c>
    </row>
    <row r="234" customFormat="false" ht="15" hidden="false" customHeight="false" outlineLevel="0" collapsed="false">
      <c r="A234" s="12"/>
      <c r="B234" s="13"/>
      <c r="C234" s="13"/>
      <c r="D234" s="13"/>
      <c r="E234" s="13"/>
      <c r="F234" s="13"/>
      <c r="G234" s="13"/>
      <c r="H234" s="13"/>
      <c r="I234" s="14" t="str">
        <f aca="false">IF(A234="","",B234+C234+E234-F234-G234)</f>
        <v/>
      </c>
      <c r="J234" s="14" t="str">
        <f aca="false">IF(OR(A234="",H234=""),"",ROUND(H234-I234,2))</f>
        <v/>
      </c>
      <c r="K234" s="15" t="str">
        <f aca="false">IF(J234="","",IF(J234=0,"Tam",IF(J234&lt;0,"Açık","Fazla")))</f>
        <v/>
      </c>
      <c r="L234" s="14" t="str">
        <f aca="false">IF(A234="","",C234+D234)</f>
        <v/>
      </c>
    </row>
    <row r="235" customFormat="false" ht="15" hidden="false" customHeight="false" outlineLevel="0" collapsed="false">
      <c r="A235" s="12"/>
      <c r="B235" s="13"/>
      <c r="C235" s="13"/>
      <c r="D235" s="13"/>
      <c r="E235" s="13"/>
      <c r="F235" s="13"/>
      <c r="G235" s="13"/>
      <c r="H235" s="13"/>
      <c r="I235" s="14" t="str">
        <f aca="false">IF(A235="","",B235+C235+E235-F235-G235)</f>
        <v/>
      </c>
      <c r="J235" s="14" t="str">
        <f aca="false">IF(OR(A235="",H235=""),"",ROUND(H235-I235,2))</f>
        <v/>
      </c>
      <c r="K235" s="15" t="str">
        <f aca="false">IF(J235="","",IF(J235=0,"Tam",IF(J235&lt;0,"Açık","Fazla")))</f>
        <v/>
      </c>
      <c r="L235" s="14" t="str">
        <f aca="false">IF(A235="","",C235+D235)</f>
        <v/>
      </c>
    </row>
    <row r="236" customFormat="false" ht="15" hidden="false" customHeight="false" outlineLevel="0" collapsed="false">
      <c r="A236" s="12"/>
      <c r="B236" s="13"/>
      <c r="C236" s="13"/>
      <c r="D236" s="13"/>
      <c r="E236" s="13"/>
      <c r="F236" s="13"/>
      <c r="G236" s="13"/>
      <c r="H236" s="13"/>
      <c r="I236" s="14" t="str">
        <f aca="false">IF(A236="","",B236+C236+E236-F236-G236)</f>
        <v/>
      </c>
      <c r="J236" s="14" t="str">
        <f aca="false">IF(OR(A236="",H236=""),"",ROUND(H236-I236,2))</f>
        <v/>
      </c>
      <c r="K236" s="15" t="str">
        <f aca="false">IF(J236="","",IF(J236=0,"Tam",IF(J236&lt;0,"Açık","Fazla")))</f>
        <v/>
      </c>
      <c r="L236" s="14" t="str">
        <f aca="false">IF(A236="","",C236+D236)</f>
        <v/>
      </c>
    </row>
    <row r="237" customFormat="false" ht="15" hidden="false" customHeight="false" outlineLevel="0" collapsed="false">
      <c r="A237" s="12"/>
      <c r="B237" s="13"/>
      <c r="C237" s="13"/>
      <c r="D237" s="13"/>
      <c r="E237" s="13"/>
      <c r="F237" s="13"/>
      <c r="G237" s="13"/>
      <c r="H237" s="13"/>
      <c r="I237" s="14" t="str">
        <f aca="false">IF(A237="","",B237+C237+E237-F237-G237)</f>
        <v/>
      </c>
      <c r="J237" s="14" t="str">
        <f aca="false">IF(OR(A237="",H237=""),"",ROUND(H237-I237,2))</f>
        <v/>
      </c>
      <c r="K237" s="15" t="str">
        <f aca="false">IF(J237="","",IF(J237=0,"Tam",IF(J237&lt;0,"Açık","Fazla")))</f>
        <v/>
      </c>
      <c r="L237" s="14" t="str">
        <f aca="false">IF(A237="","",C237+D237)</f>
        <v/>
      </c>
    </row>
    <row r="238" customFormat="false" ht="15" hidden="false" customHeight="false" outlineLevel="0" collapsed="false">
      <c r="A238" s="12"/>
      <c r="B238" s="13"/>
      <c r="C238" s="13"/>
      <c r="D238" s="13"/>
      <c r="E238" s="13"/>
      <c r="F238" s="13"/>
      <c r="G238" s="13"/>
      <c r="H238" s="13"/>
      <c r="I238" s="14" t="str">
        <f aca="false">IF(A238="","",B238+C238+E238-F238-G238)</f>
        <v/>
      </c>
      <c r="J238" s="14" t="str">
        <f aca="false">IF(OR(A238="",H238=""),"",ROUND(H238-I238,2))</f>
        <v/>
      </c>
      <c r="K238" s="15" t="str">
        <f aca="false">IF(J238="","",IF(J238=0,"Tam",IF(J238&lt;0,"Açık","Fazla")))</f>
        <v/>
      </c>
      <c r="L238" s="14" t="str">
        <f aca="false">IF(A238="","",C238+D238)</f>
        <v/>
      </c>
    </row>
    <row r="239" customFormat="false" ht="15" hidden="false" customHeight="false" outlineLevel="0" collapsed="false">
      <c r="A239" s="12"/>
      <c r="B239" s="13"/>
      <c r="C239" s="13"/>
      <c r="D239" s="13"/>
      <c r="E239" s="13"/>
      <c r="F239" s="13"/>
      <c r="G239" s="13"/>
      <c r="H239" s="13"/>
      <c r="I239" s="14" t="str">
        <f aca="false">IF(A239="","",B239+C239+E239-F239-G239)</f>
        <v/>
      </c>
      <c r="J239" s="14" t="str">
        <f aca="false">IF(OR(A239="",H239=""),"",ROUND(H239-I239,2))</f>
        <v/>
      </c>
      <c r="K239" s="15" t="str">
        <f aca="false">IF(J239="","",IF(J239=0,"Tam",IF(J239&lt;0,"Açık","Fazla")))</f>
        <v/>
      </c>
      <c r="L239" s="14" t="str">
        <f aca="false">IF(A239="","",C239+D239)</f>
        <v/>
      </c>
    </row>
    <row r="240" customFormat="false" ht="15" hidden="false" customHeight="false" outlineLevel="0" collapsed="false">
      <c r="A240" s="12"/>
      <c r="B240" s="13"/>
      <c r="C240" s="13"/>
      <c r="D240" s="13"/>
      <c r="E240" s="13"/>
      <c r="F240" s="13"/>
      <c r="G240" s="13"/>
      <c r="H240" s="13"/>
      <c r="I240" s="14" t="str">
        <f aca="false">IF(A240="","",B240+C240+E240-F240-G240)</f>
        <v/>
      </c>
      <c r="J240" s="14" t="str">
        <f aca="false">IF(OR(A240="",H240=""),"",ROUND(H240-I240,2))</f>
        <v/>
      </c>
      <c r="K240" s="15" t="str">
        <f aca="false">IF(J240="","",IF(J240=0,"Tam",IF(J240&lt;0,"Açık","Fazla")))</f>
        <v/>
      </c>
      <c r="L240" s="14" t="str">
        <f aca="false">IF(A240="","",C240+D240)</f>
        <v/>
      </c>
    </row>
    <row r="241" customFormat="false" ht="15" hidden="false" customHeight="false" outlineLevel="0" collapsed="false">
      <c r="A241" s="12"/>
      <c r="B241" s="13"/>
      <c r="C241" s="13"/>
      <c r="D241" s="13"/>
      <c r="E241" s="13"/>
      <c r="F241" s="13"/>
      <c r="G241" s="13"/>
      <c r="H241" s="13"/>
      <c r="I241" s="14" t="str">
        <f aca="false">IF(A241="","",B241+C241+E241-F241-G241)</f>
        <v/>
      </c>
      <c r="J241" s="14" t="str">
        <f aca="false">IF(OR(A241="",H241=""),"",ROUND(H241-I241,2))</f>
        <v/>
      </c>
      <c r="K241" s="15" t="str">
        <f aca="false">IF(J241="","",IF(J241=0,"Tam",IF(J241&lt;0,"Açık","Fazla")))</f>
        <v/>
      </c>
      <c r="L241" s="14" t="str">
        <f aca="false">IF(A241="","",C241+D241)</f>
        <v/>
      </c>
    </row>
    <row r="242" customFormat="false" ht="15" hidden="false" customHeight="false" outlineLevel="0" collapsed="false">
      <c r="A242" s="12"/>
      <c r="B242" s="13"/>
      <c r="C242" s="13"/>
      <c r="D242" s="13"/>
      <c r="E242" s="13"/>
      <c r="F242" s="13"/>
      <c r="G242" s="13"/>
      <c r="H242" s="13"/>
      <c r="I242" s="14" t="str">
        <f aca="false">IF(A242="","",B242+C242+E242-F242-G242)</f>
        <v/>
      </c>
      <c r="J242" s="14" t="str">
        <f aca="false">IF(OR(A242="",H242=""),"",ROUND(H242-I242,2))</f>
        <v/>
      </c>
      <c r="K242" s="15" t="str">
        <f aca="false">IF(J242="","",IF(J242=0,"Tam",IF(J242&lt;0,"Açık","Fazla")))</f>
        <v/>
      </c>
      <c r="L242" s="14" t="str">
        <f aca="false">IF(A242="","",C242+D242)</f>
        <v/>
      </c>
    </row>
    <row r="243" customFormat="false" ht="15" hidden="false" customHeight="false" outlineLevel="0" collapsed="false">
      <c r="A243" s="12"/>
      <c r="B243" s="13"/>
      <c r="C243" s="13"/>
      <c r="D243" s="13"/>
      <c r="E243" s="13"/>
      <c r="F243" s="13"/>
      <c r="G243" s="13"/>
      <c r="H243" s="13"/>
      <c r="I243" s="14" t="str">
        <f aca="false">IF(A243="","",B243+C243+E243-F243-G243)</f>
        <v/>
      </c>
      <c r="J243" s="14" t="str">
        <f aca="false">IF(OR(A243="",H243=""),"",ROUND(H243-I243,2))</f>
        <v/>
      </c>
      <c r="K243" s="15" t="str">
        <f aca="false">IF(J243="","",IF(J243=0,"Tam",IF(J243&lt;0,"Açık","Fazla")))</f>
        <v/>
      </c>
      <c r="L243" s="14" t="str">
        <f aca="false">IF(A243="","",C243+D243)</f>
        <v/>
      </c>
    </row>
    <row r="244" customFormat="false" ht="15" hidden="false" customHeight="false" outlineLevel="0" collapsed="false">
      <c r="A244" s="12"/>
      <c r="B244" s="13"/>
      <c r="C244" s="13"/>
      <c r="D244" s="13"/>
      <c r="E244" s="13"/>
      <c r="F244" s="13"/>
      <c r="G244" s="13"/>
      <c r="H244" s="13"/>
      <c r="I244" s="14" t="str">
        <f aca="false">IF(A244="","",B244+C244+E244-F244-G244)</f>
        <v/>
      </c>
      <c r="J244" s="14" t="str">
        <f aca="false">IF(OR(A244="",H244=""),"",ROUND(H244-I244,2))</f>
        <v/>
      </c>
      <c r="K244" s="15" t="str">
        <f aca="false">IF(J244="","",IF(J244=0,"Tam",IF(J244&lt;0,"Açık","Fazla")))</f>
        <v/>
      </c>
      <c r="L244" s="14" t="str">
        <f aca="false">IF(A244="","",C244+D244)</f>
        <v/>
      </c>
    </row>
    <row r="245" customFormat="false" ht="15" hidden="false" customHeight="false" outlineLevel="0" collapsed="false">
      <c r="A245" s="12"/>
      <c r="B245" s="13"/>
      <c r="C245" s="13"/>
      <c r="D245" s="13"/>
      <c r="E245" s="13"/>
      <c r="F245" s="13"/>
      <c r="G245" s="13"/>
      <c r="H245" s="13"/>
      <c r="I245" s="14" t="str">
        <f aca="false">IF(A245="","",B245+C245+E245-F245-G245)</f>
        <v/>
      </c>
      <c r="J245" s="14" t="str">
        <f aca="false">IF(OR(A245="",H245=""),"",ROUND(H245-I245,2))</f>
        <v/>
      </c>
      <c r="K245" s="15" t="str">
        <f aca="false">IF(J245="","",IF(J245=0,"Tam",IF(J245&lt;0,"Açık","Fazla")))</f>
        <v/>
      </c>
      <c r="L245" s="14" t="str">
        <f aca="false">IF(A245="","",C245+D245)</f>
        <v/>
      </c>
    </row>
    <row r="246" customFormat="false" ht="15" hidden="false" customHeight="false" outlineLevel="0" collapsed="false">
      <c r="A246" s="12"/>
      <c r="B246" s="13"/>
      <c r="C246" s="13"/>
      <c r="D246" s="13"/>
      <c r="E246" s="13"/>
      <c r="F246" s="13"/>
      <c r="G246" s="13"/>
      <c r="H246" s="13"/>
      <c r="I246" s="14" t="str">
        <f aca="false">IF(A246="","",B246+C246+E246-F246-G246)</f>
        <v/>
      </c>
      <c r="J246" s="14" t="str">
        <f aca="false">IF(OR(A246="",H246=""),"",ROUND(H246-I246,2))</f>
        <v/>
      </c>
      <c r="K246" s="15" t="str">
        <f aca="false">IF(J246="","",IF(J246=0,"Tam",IF(J246&lt;0,"Açık","Fazla")))</f>
        <v/>
      </c>
      <c r="L246" s="14" t="str">
        <f aca="false">IF(A246="","",C246+D246)</f>
        <v/>
      </c>
    </row>
    <row r="247" customFormat="false" ht="15" hidden="false" customHeight="false" outlineLevel="0" collapsed="false">
      <c r="A247" s="12"/>
      <c r="B247" s="13"/>
      <c r="C247" s="13"/>
      <c r="D247" s="13"/>
      <c r="E247" s="13"/>
      <c r="F247" s="13"/>
      <c r="G247" s="13"/>
      <c r="H247" s="13"/>
      <c r="I247" s="14" t="str">
        <f aca="false">IF(A247="","",B247+C247+E247-F247-G247)</f>
        <v/>
      </c>
      <c r="J247" s="14" t="str">
        <f aca="false">IF(OR(A247="",H247=""),"",ROUND(H247-I247,2))</f>
        <v/>
      </c>
      <c r="K247" s="15" t="str">
        <f aca="false">IF(J247="","",IF(J247=0,"Tam",IF(J247&lt;0,"Açık","Fazla")))</f>
        <v/>
      </c>
      <c r="L247" s="14" t="str">
        <f aca="false">IF(A247="","",C247+D247)</f>
        <v/>
      </c>
    </row>
    <row r="248" customFormat="false" ht="15" hidden="false" customHeight="false" outlineLevel="0" collapsed="false">
      <c r="A248" s="12"/>
      <c r="B248" s="13"/>
      <c r="C248" s="13"/>
      <c r="D248" s="13"/>
      <c r="E248" s="13"/>
      <c r="F248" s="13"/>
      <c r="G248" s="13"/>
      <c r="H248" s="13"/>
      <c r="I248" s="14" t="str">
        <f aca="false">IF(A248="","",B248+C248+E248-F248-G248)</f>
        <v/>
      </c>
      <c r="J248" s="14" t="str">
        <f aca="false">IF(OR(A248="",H248=""),"",ROUND(H248-I248,2))</f>
        <v/>
      </c>
      <c r="K248" s="15" t="str">
        <f aca="false">IF(J248="","",IF(J248=0,"Tam",IF(J248&lt;0,"Açık","Fazla")))</f>
        <v/>
      </c>
      <c r="L248" s="14" t="str">
        <f aca="false">IF(A248="","",C248+D248)</f>
        <v/>
      </c>
    </row>
    <row r="249" customFormat="false" ht="15" hidden="false" customHeight="false" outlineLevel="0" collapsed="false">
      <c r="A249" s="12"/>
      <c r="B249" s="13"/>
      <c r="C249" s="13"/>
      <c r="D249" s="13"/>
      <c r="E249" s="13"/>
      <c r="F249" s="13"/>
      <c r="G249" s="13"/>
      <c r="H249" s="13"/>
      <c r="I249" s="14" t="str">
        <f aca="false">IF(A249="","",B249+C249+E249-F249-G249)</f>
        <v/>
      </c>
      <c r="J249" s="14" t="str">
        <f aca="false">IF(OR(A249="",H249=""),"",ROUND(H249-I249,2))</f>
        <v/>
      </c>
      <c r="K249" s="15" t="str">
        <f aca="false">IF(J249="","",IF(J249=0,"Tam",IF(J249&lt;0,"Açık","Fazla")))</f>
        <v/>
      </c>
      <c r="L249" s="14" t="str">
        <f aca="false">IF(A249="","",C249+D249)</f>
        <v/>
      </c>
    </row>
    <row r="250" customFormat="false" ht="15" hidden="false" customHeight="false" outlineLevel="0" collapsed="false">
      <c r="A250" s="12"/>
      <c r="B250" s="13"/>
      <c r="C250" s="13"/>
      <c r="D250" s="13"/>
      <c r="E250" s="13"/>
      <c r="F250" s="13"/>
      <c r="G250" s="13"/>
      <c r="H250" s="13"/>
      <c r="I250" s="14" t="str">
        <f aca="false">IF(A250="","",B250+C250+E250-F250-G250)</f>
        <v/>
      </c>
      <c r="J250" s="14" t="str">
        <f aca="false">IF(OR(A250="",H250=""),"",ROUND(H250-I250,2))</f>
        <v/>
      </c>
      <c r="K250" s="15" t="str">
        <f aca="false">IF(J250="","",IF(J250=0,"Tam",IF(J250&lt;0,"Açık","Fazla")))</f>
        <v/>
      </c>
      <c r="L250" s="14" t="str">
        <f aca="false">IF(A250="","",C250+D250)</f>
        <v/>
      </c>
    </row>
    <row r="251" customFormat="false" ht="15" hidden="false" customHeight="false" outlineLevel="0" collapsed="false">
      <c r="A251" s="12"/>
      <c r="B251" s="13"/>
      <c r="C251" s="13"/>
      <c r="D251" s="13"/>
      <c r="E251" s="13"/>
      <c r="F251" s="13"/>
      <c r="G251" s="13"/>
      <c r="H251" s="13"/>
      <c r="I251" s="14" t="str">
        <f aca="false">IF(A251="","",B251+C251+E251-F251-G251)</f>
        <v/>
      </c>
      <c r="J251" s="14" t="str">
        <f aca="false">IF(OR(A251="",H251=""),"",ROUND(H251-I251,2))</f>
        <v/>
      </c>
      <c r="K251" s="15" t="str">
        <f aca="false">IF(J251="","",IF(J251=0,"Tam",IF(J251&lt;0,"Açık","Fazla")))</f>
        <v/>
      </c>
      <c r="L251" s="14" t="str">
        <f aca="false">IF(A251="","",C251+D251)</f>
        <v/>
      </c>
    </row>
    <row r="252" customFormat="false" ht="15" hidden="false" customHeight="false" outlineLevel="0" collapsed="false">
      <c r="A252" s="12"/>
      <c r="B252" s="13"/>
      <c r="C252" s="13"/>
      <c r="D252" s="13"/>
      <c r="E252" s="13"/>
      <c r="F252" s="13"/>
      <c r="G252" s="13"/>
      <c r="H252" s="13"/>
      <c r="I252" s="14" t="str">
        <f aca="false">IF(A252="","",B252+C252+E252-F252-G252)</f>
        <v/>
      </c>
      <c r="J252" s="14" t="str">
        <f aca="false">IF(OR(A252="",H252=""),"",ROUND(H252-I252,2))</f>
        <v/>
      </c>
      <c r="K252" s="15" t="str">
        <f aca="false">IF(J252="","",IF(J252=0,"Tam",IF(J252&lt;0,"Açık","Fazla")))</f>
        <v/>
      </c>
      <c r="L252" s="14" t="str">
        <f aca="false">IF(A252="","",C252+D252)</f>
        <v/>
      </c>
    </row>
    <row r="253" customFormat="false" ht="15" hidden="false" customHeight="false" outlineLevel="0" collapsed="false">
      <c r="A253" s="12"/>
      <c r="B253" s="13"/>
      <c r="C253" s="13"/>
      <c r="D253" s="13"/>
      <c r="E253" s="13"/>
      <c r="F253" s="13"/>
      <c r="G253" s="13"/>
      <c r="H253" s="13"/>
      <c r="I253" s="14" t="str">
        <f aca="false">IF(A253="","",B253+C253+E253-F253-G253)</f>
        <v/>
      </c>
      <c r="J253" s="14" t="str">
        <f aca="false">IF(OR(A253="",H253=""),"",ROUND(H253-I253,2))</f>
        <v/>
      </c>
      <c r="K253" s="15" t="str">
        <f aca="false">IF(J253="","",IF(J253=0,"Tam",IF(J253&lt;0,"Açık","Fazla")))</f>
        <v/>
      </c>
      <c r="L253" s="14" t="str">
        <f aca="false">IF(A253="","",C253+D253)</f>
        <v/>
      </c>
    </row>
    <row r="254" customFormat="false" ht="15" hidden="false" customHeight="false" outlineLevel="0" collapsed="false">
      <c r="A254" s="12"/>
      <c r="B254" s="13"/>
      <c r="C254" s="13"/>
      <c r="D254" s="13"/>
      <c r="E254" s="13"/>
      <c r="F254" s="13"/>
      <c r="G254" s="13"/>
      <c r="H254" s="13"/>
      <c r="I254" s="14" t="str">
        <f aca="false">IF(A254="","",B254+C254+E254-F254-G254)</f>
        <v/>
      </c>
      <c r="J254" s="14" t="str">
        <f aca="false">IF(OR(A254="",H254=""),"",ROUND(H254-I254,2))</f>
        <v/>
      </c>
      <c r="K254" s="15" t="str">
        <f aca="false">IF(J254="","",IF(J254=0,"Tam",IF(J254&lt;0,"Açık","Fazla")))</f>
        <v/>
      </c>
      <c r="L254" s="14" t="str">
        <f aca="false">IF(A254="","",C254+D254)</f>
        <v/>
      </c>
    </row>
    <row r="255" customFormat="false" ht="15" hidden="false" customHeight="false" outlineLevel="0" collapsed="false">
      <c r="A255" s="12"/>
      <c r="B255" s="13"/>
      <c r="C255" s="13"/>
      <c r="D255" s="13"/>
      <c r="E255" s="13"/>
      <c r="F255" s="13"/>
      <c r="G255" s="13"/>
      <c r="H255" s="13"/>
      <c r="I255" s="14" t="str">
        <f aca="false">IF(A255="","",B255+C255+E255-F255-G255)</f>
        <v/>
      </c>
      <c r="J255" s="14" t="str">
        <f aca="false">IF(OR(A255="",H255=""),"",ROUND(H255-I255,2))</f>
        <v/>
      </c>
      <c r="K255" s="15" t="str">
        <f aca="false">IF(J255="","",IF(J255=0,"Tam",IF(J255&lt;0,"Açık","Fazla")))</f>
        <v/>
      </c>
      <c r="L255" s="14" t="str">
        <f aca="false">IF(A255="","",C255+D255)</f>
        <v/>
      </c>
    </row>
    <row r="256" customFormat="false" ht="15" hidden="false" customHeight="false" outlineLevel="0" collapsed="false">
      <c r="A256" s="12"/>
      <c r="B256" s="13"/>
      <c r="C256" s="13"/>
      <c r="D256" s="13"/>
      <c r="E256" s="13"/>
      <c r="F256" s="13"/>
      <c r="G256" s="13"/>
      <c r="H256" s="13"/>
      <c r="I256" s="14" t="str">
        <f aca="false">IF(A256="","",B256+C256+E256-F256-G256)</f>
        <v/>
      </c>
      <c r="J256" s="14" t="str">
        <f aca="false">IF(OR(A256="",H256=""),"",ROUND(H256-I256,2))</f>
        <v/>
      </c>
      <c r="K256" s="15" t="str">
        <f aca="false">IF(J256="","",IF(J256=0,"Tam",IF(J256&lt;0,"Açık","Fazla")))</f>
        <v/>
      </c>
      <c r="L256" s="14" t="str">
        <f aca="false">IF(A256="","",C256+D256)</f>
        <v/>
      </c>
    </row>
    <row r="257" customFormat="false" ht="15" hidden="false" customHeight="false" outlineLevel="0" collapsed="false">
      <c r="A257" s="12"/>
      <c r="B257" s="13"/>
      <c r="C257" s="13"/>
      <c r="D257" s="13"/>
      <c r="E257" s="13"/>
      <c r="F257" s="13"/>
      <c r="G257" s="13"/>
      <c r="H257" s="13"/>
      <c r="I257" s="14" t="str">
        <f aca="false">IF(A257="","",B257+C257+E257-F257-G257)</f>
        <v/>
      </c>
      <c r="J257" s="14" t="str">
        <f aca="false">IF(OR(A257="",H257=""),"",ROUND(H257-I257,2))</f>
        <v/>
      </c>
      <c r="K257" s="15" t="str">
        <f aca="false">IF(J257="","",IF(J257=0,"Tam",IF(J257&lt;0,"Açık","Fazla")))</f>
        <v/>
      </c>
      <c r="L257" s="14" t="str">
        <f aca="false">IF(A257="","",C257+D257)</f>
        <v/>
      </c>
    </row>
    <row r="258" customFormat="false" ht="15" hidden="false" customHeight="false" outlineLevel="0" collapsed="false">
      <c r="A258" s="12"/>
      <c r="B258" s="13"/>
      <c r="C258" s="13"/>
      <c r="D258" s="13"/>
      <c r="E258" s="13"/>
      <c r="F258" s="13"/>
      <c r="G258" s="13"/>
      <c r="H258" s="13"/>
      <c r="I258" s="14" t="str">
        <f aca="false">IF(A258="","",B258+C258+E258-F258-G258)</f>
        <v/>
      </c>
      <c r="J258" s="14" t="str">
        <f aca="false">IF(OR(A258="",H258=""),"",ROUND(H258-I258,2))</f>
        <v/>
      </c>
      <c r="K258" s="15" t="str">
        <f aca="false">IF(J258="","",IF(J258=0,"Tam",IF(J258&lt;0,"Açık","Fazla")))</f>
        <v/>
      </c>
      <c r="L258" s="14" t="str">
        <f aca="false">IF(A258="","",C258+D258)</f>
        <v/>
      </c>
    </row>
    <row r="259" customFormat="false" ht="15" hidden="false" customHeight="false" outlineLevel="0" collapsed="false">
      <c r="A259" s="12"/>
      <c r="B259" s="13"/>
      <c r="C259" s="13"/>
      <c r="D259" s="13"/>
      <c r="E259" s="13"/>
      <c r="F259" s="13"/>
      <c r="G259" s="13"/>
      <c r="H259" s="13"/>
      <c r="I259" s="14" t="str">
        <f aca="false">IF(A259="","",B259+C259+E259-F259-G259)</f>
        <v/>
      </c>
      <c r="J259" s="14" t="str">
        <f aca="false">IF(OR(A259="",H259=""),"",ROUND(H259-I259,2))</f>
        <v/>
      </c>
      <c r="K259" s="15" t="str">
        <f aca="false">IF(J259="","",IF(J259=0,"Tam",IF(J259&lt;0,"Açık","Fazla")))</f>
        <v/>
      </c>
      <c r="L259" s="14" t="str">
        <f aca="false">IF(A259="","",C259+D259)</f>
        <v/>
      </c>
    </row>
    <row r="260" customFormat="false" ht="15" hidden="false" customHeight="false" outlineLevel="0" collapsed="false">
      <c r="A260" s="12"/>
      <c r="B260" s="13"/>
      <c r="C260" s="13"/>
      <c r="D260" s="13"/>
      <c r="E260" s="13"/>
      <c r="F260" s="13"/>
      <c r="G260" s="13"/>
      <c r="H260" s="13"/>
      <c r="I260" s="14" t="str">
        <f aca="false">IF(A260="","",B260+C260+E260-F260-G260)</f>
        <v/>
      </c>
      <c r="J260" s="14" t="str">
        <f aca="false">IF(OR(A260="",H260=""),"",ROUND(H260-I260,2))</f>
        <v/>
      </c>
      <c r="K260" s="15" t="str">
        <f aca="false">IF(J260="","",IF(J260=0,"Tam",IF(J260&lt;0,"Açık","Fazla")))</f>
        <v/>
      </c>
      <c r="L260" s="14" t="str">
        <f aca="false">IF(A260="","",C260+D260)</f>
        <v/>
      </c>
    </row>
    <row r="261" customFormat="false" ht="15" hidden="false" customHeight="false" outlineLevel="0" collapsed="false">
      <c r="A261" s="12"/>
      <c r="B261" s="13"/>
      <c r="C261" s="13"/>
      <c r="D261" s="13"/>
      <c r="E261" s="13"/>
      <c r="F261" s="13"/>
      <c r="G261" s="13"/>
      <c r="H261" s="13"/>
      <c r="I261" s="14" t="str">
        <f aca="false">IF(A261="","",B261+C261+E261-F261-G261)</f>
        <v/>
      </c>
      <c r="J261" s="14" t="str">
        <f aca="false">IF(OR(A261="",H261=""),"",ROUND(H261-I261,2))</f>
        <v/>
      </c>
      <c r="K261" s="15" t="str">
        <f aca="false">IF(J261="","",IF(J261=0,"Tam",IF(J261&lt;0,"Açık","Fazla")))</f>
        <v/>
      </c>
      <c r="L261" s="14" t="str">
        <f aca="false">IF(A261="","",C261+D261)</f>
        <v/>
      </c>
    </row>
    <row r="262" customFormat="false" ht="15" hidden="false" customHeight="false" outlineLevel="0" collapsed="false">
      <c r="A262" s="12"/>
      <c r="B262" s="13"/>
      <c r="C262" s="13"/>
      <c r="D262" s="13"/>
      <c r="E262" s="13"/>
      <c r="F262" s="13"/>
      <c r="G262" s="13"/>
      <c r="H262" s="13"/>
      <c r="I262" s="14" t="str">
        <f aca="false">IF(A262="","",B262+C262+E262-F262-G262)</f>
        <v/>
      </c>
      <c r="J262" s="14" t="str">
        <f aca="false">IF(OR(A262="",H262=""),"",ROUND(H262-I262,2))</f>
        <v/>
      </c>
      <c r="K262" s="15" t="str">
        <f aca="false">IF(J262="","",IF(J262=0,"Tam",IF(J262&lt;0,"Açık","Fazla")))</f>
        <v/>
      </c>
      <c r="L262" s="14" t="str">
        <f aca="false">IF(A262="","",C262+D262)</f>
        <v/>
      </c>
    </row>
    <row r="263" customFormat="false" ht="15" hidden="false" customHeight="false" outlineLevel="0" collapsed="false">
      <c r="A263" s="12"/>
      <c r="B263" s="13"/>
      <c r="C263" s="13"/>
      <c r="D263" s="13"/>
      <c r="E263" s="13"/>
      <c r="F263" s="13"/>
      <c r="G263" s="13"/>
      <c r="H263" s="13"/>
      <c r="I263" s="14" t="str">
        <f aca="false">IF(A263="","",B263+C263+E263-F263-G263)</f>
        <v/>
      </c>
      <c r="J263" s="14" t="str">
        <f aca="false">IF(OR(A263="",H263=""),"",ROUND(H263-I263,2))</f>
        <v/>
      </c>
      <c r="K263" s="15" t="str">
        <f aca="false">IF(J263="","",IF(J263=0,"Tam",IF(J263&lt;0,"Açık","Fazla")))</f>
        <v/>
      </c>
      <c r="L263" s="14" t="str">
        <f aca="false">IF(A263="","",C263+D263)</f>
        <v/>
      </c>
    </row>
    <row r="264" customFormat="false" ht="15" hidden="false" customHeight="false" outlineLevel="0" collapsed="false">
      <c r="A264" s="12"/>
      <c r="B264" s="13"/>
      <c r="C264" s="13"/>
      <c r="D264" s="13"/>
      <c r="E264" s="13"/>
      <c r="F264" s="13"/>
      <c r="G264" s="13"/>
      <c r="H264" s="13"/>
      <c r="I264" s="14" t="str">
        <f aca="false">IF(A264="","",B264+C264+E264-F264-G264)</f>
        <v/>
      </c>
      <c r="J264" s="14" t="str">
        <f aca="false">IF(OR(A264="",H264=""),"",ROUND(H264-I264,2))</f>
        <v/>
      </c>
      <c r="K264" s="15" t="str">
        <f aca="false">IF(J264="","",IF(J264=0,"Tam",IF(J264&lt;0,"Açık","Fazla")))</f>
        <v/>
      </c>
      <c r="L264" s="14" t="str">
        <f aca="false">IF(A264="","",C264+D264)</f>
        <v/>
      </c>
    </row>
    <row r="265" customFormat="false" ht="15" hidden="false" customHeight="false" outlineLevel="0" collapsed="false">
      <c r="A265" s="12"/>
      <c r="B265" s="13"/>
      <c r="C265" s="13"/>
      <c r="D265" s="13"/>
      <c r="E265" s="13"/>
      <c r="F265" s="13"/>
      <c r="G265" s="13"/>
      <c r="H265" s="13"/>
      <c r="I265" s="14" t="str">
        <f aca="false">IF(A265="","",B265+C265+E265-F265-G265)</f>
        <v/>
      </c>
      <c r="J265" s="14" t="str">
        <f aca="false">IF(OR(A265="",H265=""),"",ROUND(H265-I265,2))</f>
        <v/>
      </c>
      <c r="K265" s="15" t="str">
        <f aca="false">IF(J265="","",IF(J265=0,"Tam",IF(J265&lt;0,"Açık","Fazla")))</f>
        <v/>
      </c>
      <c r="L265" s="14" t="str">
        <f aca="false">IF(A265="","",C265+D265)</f>
        <v/>
      </c>
    </row>
    <row r="266" customFormat="false" ht="15" hidden="false" customHeight="false" outlineLevel="0" collapsed="false">
      <c r="A266" s="12"/>
      <c r="B266" s="13"/>
      <c r="C266" s="13"/>
      <c r="D266" s="13"/>
      <c r="E266" s="13"/>
      <c r="F266" s="13"/>
      <c r="G266" s="13"/>
      <c r="H266" s="13"/>
      <c r="I266" s="14" t="str">
        <f aca="false">IF(A266="","",B266+C266+E266-F266-G266)</f>
        <v/>
      </c>
      <c r="J266" s="14" t="str">
        <f aca="false">IF(OR(A266="",H266=""),"",ROUND(H266-I266,2))</f>
        <v/>
      </c>
      <c r="K266" s="15" t="str">
        <f aca="false">IF(J266="","",IF(J266=0,"Tam",IF(J266&lt;0,"Açık","Fazla")))</f>
        <v/>
      </c>
      <c r="L266" s="14" t="str">
        <f aca="false">IF(A266="","",C266+D266)</f>
        <v/>
      </c>
    </row>
    <row r="267" customFormat="false" ht="15" hidden="false" customHeight="false" outlineLevel="0" collapsed="false">
      <c r="A267" s="12"/>
      <c r="B267" s="13"/>
      <c r="C267" s="13"/>
      <c r="D267" s="13"/>
      <c r="E267" s="13"/>
      <c r="F267" s="13"/>
      <c r="G267" s="13"/>
      <c r="H267" s="13"/>
      <c r="I267" s="14" t="str">
        <f aca="false">IF(A267="","",B267+C267+E267-F267-G267)</f>
        <v/>
      </c>
      <c r="J267" s="14" t="str">
        <f aca="false">IF(OR(A267="",H267=""),"",ROUND(H267-I267,2))</f>
        <v/>
      </c>
      <c r="K267" s="15" t="str">
        <f aca="false">IF(J267="","",IF(J267=0,"Tam",IF(J267&lt;0,"Açık","Fazla")))</f>
        <v/>
      </c>
      <c r="L267" s="14" t="str">
        <f aca="false">IF(A267="","",C267+D267)</f>
        <v/>
      </c>
    </row>
    <row r="268" customFormat="false" ht="15" hidden="false" customHeight="false" outlineLevel="0" collapsed="false">
      <c r="A268" s="12"/>
      <c r="B268" s="13"/>
      <c r="C268" s="13"/>
      <c r="D268" s="13"/>
      <c r="E268" s="13"/>
      <c r="F268" s="13"/>
      <c r="G268" s="13"/>
      <c r="H268" s="13"/>
      <c r="I268" s="14" t="str">
        <f aca="false">IF(A268="","",B268+C268+E268-F268-G268)</f>
        <v/>
      </c>
      <c r="J268" s="14" t="str">
        <f aca="false">IF(OR(A268="",H268=""),"",ROUND(H268-I268,2))</f>
        <v/>
      </c>
      <c r="K268" s="15" t="str">
        <f aca="false">IF(J268="","",IF(J268=0,"Tam",IF(J268&lt;0,"Açık","Fazla")))</f>
        <v/>
      </c>
      <c r="L268" s="14" t="str">
        <f aca="false">IF(A268="","",C268+D268)</f>
        <v/>
      </c>
    </row>
    <row r="269" customFormat="false" ht="15" hidden="false" customHeight="false" outlineLevel="0" collapsed="false">
      <c r="A269" s="12"/>
      <c r="B269" s="13"/>
      <c r="C269" s="13"/>
      <c r="D269" s="13"/>
      <c r="E269" s="13"/>
      <c r="F269" s="13"/>
      <c r="G269" s="13"/>
      <c r="H269" s="13"/>
      <c r="I269" s="14" t="str">
        <f aca="false">IF(A269="","",B269+C269+E269-F269-G269)</f>
        <v/>
      </c>
      <c r="J269" s="14" t="str">
        <f aca="false">IF(OR(A269="",H269=""),"",ROUND(H269-I269,2))</f>
        <v/>
      </c>
      <c r="K269" s="15" t="str">
        <f aca="false">IF(J269="","",IF(J269=0,"Tam",IF(J269&lt;0,"Açık","Fazla")))</f>
        <v/>
      </c>
      <c r="L269" s="14" t="str">
        <f aca="false">IF(A269="","",C269+D269)</f>
        <v/>
      </c>
    </row>
    <row r="270" customFormat="false" ht="15" hidden="false" customHeight="false" outlineLevel="0" collapsed="false">
      <c r="A270" s="12"/>
      <c r="B270" s="13"/>
      <c r="C270" s="13"/>
      <c r="D270" s="13"/>
      <c r="E270" s="13"/>
      <c r="F270" s="13"/>
      <c r="G270" s="13"/>
      <c r="H270" s="13"/>
      <c r="I270" s="14" t="str">
        <f aca="false">IF(A270="","",B270+C270+E270-F270-G270)</f>
        <v/>
      </c>
      <c r="J270" s="14" t="str">
        <f aca="false">IF(OR(A270="",H270=""),"",ROUND(H270-I270,2))</f>
        <v/>
      </c>
      <c r="K270" s="15" t="str">
        <f aca="false">IF(J270="","",IF(J270=0,"Tam",IF(J270&lt;0,"Açık","Fazla")))</f>
        <v/>
      </c>
      <c r="L270" s="14" t="str">
        <f aca="false">IF(A270="","",C270+D270)</f>
        <v/>
      </c>
    </row>
    <row r="271" customFormat="false" ht="15" hidden="false" customHeight="false" outlineLevel="0" collapsed="false">
      <c r="A271" s="12"/>
      <c r="B271" s="13"/>
      <c r="C271" s="13"/>
      <c r="D271" s="13"/>
      <c r="E271" s="13"/>
      <c r="F271" s="13"/>
      <c r="G271" s="13"/>
      <c r="H271" s="13"/>
      <c r="I271" s="14" t="str">
        <f aca="false">IF(A271="","",B271+C271+E271-F271-G271)</f>
        <v/>
      </c>
      <c r="J271" s="14" t="str">
        <f aca="false">IF(OR(A271="",H271=""),"",ROUND(H271-I271,2))</f>
        <v/>
      </c>
      <c r="K271" s="15" t="str">
        <f aca="false">IF(J271="","",IF(J271=0,"Tam",IF(J271&lt;0,"Açık","Fazla")))</f>
        <v/>
      </c>
      <c r="L271" s="14" t="str">
        <f aca="false">IF(A271="","",C271+D271)</f>
        <v/>
      </c>
    </row>
    <row r="272" customFormat="false" ht="15" hidden="false" customHeight="false" outlineLevel="0" collapsed="false">
      <c r="A272" s="12"/>
      <c r="B272" s="13"/>
      <c r="C272" s="13"/>
      <c r="D272" s="13"/>
      <c r="E272" s="13"/>
      <c r="F272" s="13"/>
      <c r="G272" s="13"/>
      <c r="H272" s="13"/>
      <c r="I272" s="14" t="str">
        <f aca="false">IF(A272="","",B272+C272+E272-F272-G272)</f>
        <v/>
      </c>
      <c r="J272" s="14" t="str">
        <f aca="false">IF(OR(A272="",H272=""),"",ROUND(H272-I272,2))</f>
        <v/>
      </c>
      <c r="K272" s="15" t="str">
        <f aca="false">IF(J272="","",IF(J272=0,"Tam",IF(J272&lt;0,"Açık","Fazla")))</f>
        <v/>
      </c>
      <c r="L272" s="14" t="str">
        <f aca="false">IF(A272="","",C272+D272)</f>
        <v/>
      </c>
    </row>
    <row r="273" customFormat="false" ht="15" hidden="false" customHeight="false" outlineLevel="0" collapsed="false">
      <c r="A273" s="12"/>
      <c r="B273" s="13"/>
      <c r="C273" s="13"/>
      <c r="D273" s="13"/>
      <c r="E273" s="13"/>
      <c r="F273" s="13"/>
      <c r="G273" s="13"/>
      <c r="H273" s="13"/>
      <c r="I273" s="14" t="str">
        <f aca="false">IF(A273="","",B273+C273+E273-F273-G273)</f>
        <v/>
      </c>
      <c r="J273" s="14" t="str">
        <f aca="false">IF(OR(A273="",H273=""),"",ROUND(H273-I273,2))</f>
        <v/>
      </c>
      <c r="K273" s="15" t="str">
        <f aca="false">IF(J273="","",IF(J273=0,"Tam",IF(J273&lt;0,"Açık","Fazla")))</f>
        <v/>
      </c>
      <c r="L273" s="14" t="str">
        <f aca="false">IF(A273="","",C273+D273)</f>
        <v/>
      </c>
    </row>
    <row r="274" customFormat="false" ht="15" hidden="false" customHeight="false" outlineLevel="0" collapsed="false">
      <c r="A274" s="12"/>
      <c r="B274" s="13"/>
      <c r="C274" s="13"/>
      <c r="D274" s="13"/>
      <c r="E274" s="13"/>
      <c r="F274" s="13"/>
      <c r="G274" s="13"/>
      <c r="H274" s="13"/>
      <c r="I274" s="14" t="str">
        <f aca="false">IF(A274="","",B274+C274+E274-F274-G274)</f>
        <v/>
      </c>
      <c r="J274" s="14" t="str">
        <f aca="false">IF(OR(A274="",H274=""),"",ROUND(H274-I274,2))</f>
        <v/>
      </c>
      <c r="K274" s="15" t="str">
        <f aca="false">IF(J274="","",IF(J274=0,"Tam",IF(J274&lt;0,"Açık","Fazla")))</f>
        <v/>
      </c>
      <c r="L274" s="14" t="str">
        <f aca="false">IF(A274="","",C274+D274)</f>
        <v/>
      </c>
    </row>
    <row r="275" customFormat="false" ht="15" hidden="false" customHeight="false" outlineLevel="0" collapsed="false">
      <c r="A275" s="12"/>
      <c r="B275" s="13"/>
      <c r="C275" s="13"/>
      <c r="D275" s="13"/>
      <c r="E275" s="13"/>
      <c r="F275" s="13"/>
      <c r="G275" s="13"/>
      <c r="H275" s="13"/>
      <c r="I275" s="14" t="str">
        <f aca="false">IF(A275="","",B275+C275+E275-F275-G275)</f>
        <v/>
      </c>
      <c r="J275" s="14" t="str">
        <f aca="false">IF(OR(A275="",H275=""),"",ROUND(H275-I275,2))</f>
        <v/>
      </c>
      <c r="K275" s="15" t="str">
        <f aca="false">IF(J275="","",IF(J275=0,"Tam",IF(J275&lt;0,"Açık","Fazla")))</f>
        <v/>
      </c>
      <c r="L275" s="14" t="str">
        <f aca="false">IF(A275="","",C275+D275)</f>
        <v/>
      </c>
    </row>
    <row r="276" customFormat="false" ht="15" hidden="false" customHeight="false" outlineLevel="0" collapsed="false">
      <c r="A276" s="12"/>
      <c r="B276" s="13"/>
      <c r="C276" s="13"/>
      <c r="D276" s="13"/>
      <c r="E276" s="13"/>
      <c r="F276" s="13"/>
      <c r="G276" s="13"/>
      <c r="H276" s="13"/>
      <c r="I276" s="14" t="str">
        <f aca="false">IF(A276="","",B276+C276+E276-F276-G276)</f>
        <v/>
      </c>
      <c r="J276" s="14" t="str">
        <f aca="false">IF(OR(A276="",H276=""),"",ROUND(H276-I276,2))</f>
        <v/>
      </c>
      <c r="K276" s="15" t="str">
        <f aca="false">IF(J276="","",IF(J276=0,"Tam",IF(J276&lt;0,"Açık","Fazla")))</f>
        <v/>
      </c>
      <c r="L276" s="14" t="str">
        <f aca="false">IF(A276="","",C276+D276)</f>
        <v/>
      </c>
    </row>
    <row r="277" customFormat="false" ht="15" hidden="false" customHeight="false" outlineLevel="0" collapsed="false">
      <c r="A277" s="12"/>
      <c r="B277" s="13"/>
      <c r="C277" s="13"/>
      <c r="D277" s="13"/>
      <c r="E277" s="13"/>
      <c r="F277" s="13"/>
      <c r="G277" s="13"/>
      <c r="H277" s="13"/>
      <c r="I277" s="14" t="str">
        <f aca="false">IF(A277="","",B277+C277+E277-F277-G277)</f>
        <v/>
      </c>
      <c r="J277" s="14" t="str">
        <f aca="false">IF(OR(A277="",H277=""),"",ROUND(H277-I277,2))</f>
        <v/>
      </c>
      <c r="K277" s="15" t="str">
        <f aca="false">IF(J277="","",IF(J277=0,"Tam",IF(J277&lt;0,"Açık","Fazla")))</f>
        <v/>
      </c>
      <c r="L277" s="14" t="str">
        <f aca="false">IF(A277="","",C277+D277)</f>
        <v/>
      </c>
    </row>
    <row r="278" customFormat="false" ht="15" hidden="false" customHeight="false" outlineLevel="0" collapsed="false">
      <c r="A278" s="12"/>
      <c r="B278" s="13"/>
      <c r="C278" s="13"/>
      <c r="D278" s="13"/>
      <c r="E278" s="13"/>
      <c r="F278" s="13"/>
      <c r="G278" s="13"/>
      <c r="H278" s="13"/>
      <c r="I278" s="14" t="str">
        <f aca="false">IF(A278="","",B278+C278+E278-F278-G278)</f>
        <v/>
      </c>
      <c r="J278" s="14" t="str">
        <f aca="false">IF(OR(A278="",H278=""),"",ROUND(H278-I278,2))</f>
        <v/>
      </c>
      <c r="K278" s="15" t="str">
        <f aca="false">IF(J278="","",IF(J278=0,"Tam",IF(J278&lt;0,"Açık","Fazla")))</f>
        <v/>
      </c>
      <c r="L278" s="14" t="str">
        <f aca="false">IF(A278="","",C278+D278)</f>
        <v/>
      </c>
    </row>
    <row r="279" customFormat="false" ht="15" hidden="false" customHeight="false" outlineLevel="0" collapsed="false">
      <c r="A279" s="12"/>
      <c r="B279" s="13"/>
      <c r="C279" s="13"/>
      <c r="D279" s="13"/>
      <c r="E279" s="13"/>
      <c r="F279" s="13"/>
      <c r="G279" s="13"/>
      <c r="H279" s="13"/>
      <c r="I279" s="14" t="str">
        <f aca="false">IF(A279="","",B279+C279+E279-F279-G279)</f>
        <v/>
      </c>
      <c r="J279" s="14" t="str">
        <f aca="false">IF(OR(A279="",H279=""),"",ROUND(H279-I279,2))</f>
        <v/>
      </c>
      <c r="K279" s="15" t="str">
        <f aca="false">IF(J279="","",IF(J279=0,"Tam",IF(J279&lt;0,"Açık","Fazla")))</f>
        <v/>
      </c>
      <c r="L279" s="14" t="str">
        <f aca="false">IF(A279="","",C279+D279)</f>
        <v/>
      </c>
    </row>
    <row r="280" customFormat="false" ht="15" hidden="false" customHeight="false" outlineLevel="0" collapsed="false">
      <c r="A280" s="12"/>
      <c r="B280" s="13"/>
      <c r="C280" s="13"/>
      <c r="D280" s="13"/>
      <c r="E280" s="13"/>
      <c r="F280" s="13"/>
      <c r="G280" s="13"/>
      <c r="H280" s="13"/>
      <c r="I280" s="14" t="str">
        <f aca="false">IF(A280="","",B280+C280+E280-F280-G280)</f>
        <v/>
      </c>
      <c r="J280" s="14" t="str">
        <f aca="false">IF(OR(A280="",H280=""),"",ROUND(H280-I280,2))</f>
        <v/>
      </c>
      <c r="K280" s="15" t="str">
        <f aca="false">IF(J280="","",IF(J280=0,"Tam",IF(J280&lt;0,"Açık","Fazla")))</f>
        <v/>
      </c>
      <c r="L280" s="14" t="str">
        <f aca="false">IF(A280="","",C280+D280)</f>
        <v/>
      </c>
    </row>
    <row r="281" customFormat="false" ht="15" hidden="false" customHeight="false" outlineLevel="0" collapsed="false">
      <c r="A281" s="12"/>
      <c r="B281" s="13"/>
      <c r="C281" s="13"/>
      <c r="D281" s="13"/>
      <c r="E281" s="13"/>
      <c r="F281" s="13"/>
      <c r="G281" s="13"/>
      <c r="H281" s="13"/>
      <c r="I281" s="14" t="str">
        <f aca="false">IF(A281="","",B281+C281+E281-F281-G281)</f>
        <v/>
      </c>
      <c r="J281" s="14" t="str">
        <f aca="false">IF(OR(A281="",H281=""),"",ROUND(H281-I281,2))</f>
        <v/>
      </c>
      <c r="K281" s="15" t="str">
        <f aca="false">IF(J281="","",IF(J281=0,"Tam",IF(J281&lt;0,"Açık","Fazla")))</f>
        <v/>
      </c>
      <c r="L281" s="14" t="str">
        <f aca="false">IF(A281="","",C281+D281)</f>
        <v/>
      </c>
    </row>
    <row r="282" customFormat="false" ht="15" hidden="false" customHeight="false" outlineLevel="0" collapsed="false">
      <c r="A282" s="12"/>
      <c r="B282" s="13"/>
      <c r="C282" s="13"/>
      <c r="D282" s="13"/>
      <c r="E282" s="13"/>
      <c r="F282" s="13"/>
      <c r="G282" s="13"/>
      <c r="H282" s="13"/>
      <c r="I282" s="14" t="str">
        <f aca="false">IF(A282="","",B282+C282+E282-F282-G282)</f>
        <v/>
      </c>
      <c r="J282" s="14" t="str">
        <f aca="false">IF(OR(A282="",H282=""),"",ROUND(H282-I282,2))</f>
        <v/>
      </c>
      <c r="K282" s="15" t="str">
        <f aca="false">IF(J282="","",IF(J282=0,"Tam",IF(J282&lt;0,"Açık","Fazla")))</f>
        <v/>
      </c>
      <c r="L282" s="14" t="str">
        <f aca="false">IF(A282="","",C282+D282)</f>
        <v/>
      </c>
    </row>
    <row r="283" customFormat="false" ht="15" hidden="false" customHeight="false" outlineLevel="0" collapsed="false">
      <c r="A283" s="12"/>
      <c r="B283" s="13"/>
      <c r="C283" s="13"/>
      <c r="D283" s="13"/>
      <c r="E283" s="13"/>
      <c r="F283" s="13"/>
      <c r="G283" s="13"/>
      <c r="H283" s="13"/>
      <c r="I283" s="14" t="str">
        <f aca="false">IF(A283="","",B283+C283+E283-F283-G283)</f>
        <v/>
      </c>
      <c r="J283" s="14" t="str">
        <f aca="false">IF(OR(A283="",H283=""),"",ROUND(H283-I283,2))</f>
        <v/>
      </c>
      <c r="K283" s="15" t="str">
        <f aca="false">IF(J283="","",IF(J283=0,"Tam",IF(J283&lt;0,"Açık","Fazla")))</f>
        <v/>
      </c>
      <c r="L283" s="14" t="str">
        <f aca="false">IF(A283="","",C283+D283)</f>
        <v/>
      </c>
    </row>
    <row r="284" customFormat="false" ht="15" hidden="false" customHeight="false" outlineLevel="0" collapsed="false">
      <c r="A284" s="12"/>
      <c r="B284" s="13"/>
      <c r="C284" s="13"/>
      <c r="D284" s="13"/>
      <c r="E284" s="13"/>
      <c r="F284" s="13"/>
      <c r="G284" s="13"/>
      <c r="H284" s="13"/>
      <c r="I284" s="14" t="str">
        <f aca="false">IF(A284="","",B284+C284+E284-F284-G284)</f>
        <v/>
      </c>
      <c r="J284" s="14" t="str">
        <f aca="false">IF(OR(A284="",H284=""),"",ROUND(H284-I284,2))</f>
        <v/>
      </c>
      <c r="K284" s="15" t="str">
        <f aca="false">IF(J284="","",IF(J284=0,"Tam",IF(J284&lt;0,"Açık","Fazla")))</f>
        <v/>
      </c>
      <c r="L284" s="14" t="str">
        <f aca="false">IF(A284="","",C284+D284)</f>
        <v/>
      </c>
    </row>
    <row r="285" customFormat="false" ht="15" hidden="false" customHeight="false" outlineLevel="0" collapsed="false">
      <c r="A285" s="12"/>
      <c r="B285" s="13"/>
      <c r="C285" s="13"/>
      <c r="D285" s="13"/>
      <c r="E285" s="13"/>
      <c r="F285" s="13"/>
      <c r="G285" s="13"/>
      <c r="H285" s="13"/>
      <c r="I285" s="14" t="str">
        <f aca="false">IF(A285="","",B285+C285+E285-F285-G285)</f>
        <v/>
      </c>
      <c r="J285" s="14" t="str">
        <f aca="false">IF(OR(A285="",H285=""),"",ROUND(H285-I285,2))</f>
        <v/>
      </c>
      <c r="K285" s="15" t="str">
        <f aca="false">IF(J285="","",IF(J285=0,"Tam",IF(J285&lt;0,"Açık","Fazla")))</f>
        <v/>
      </c>
      <c r="L285" s="14" t="str">
        <f aca="false">IF(A285="","",C285+D285)</f>
        <v/>
      </c>
    </row>
    <row r="286" customFormat="false" ht="15" hidden="false" customHeight="false" outlineLevel="0" collapsed="false">
      <c r="A286" s="12"/>
      <c r="B286" s="13"/>
      <c r="C286" s="13"/>
      <c r="D286" s="13"/>
      <c r="E286" s="13"/>
      <c r="F286" s="13"/>
      <c r="G286" s="13"/>
      <c r="H286" s="13"/>
      <c r="I286" s="14" t="str">
        <f aca="false">IF(A286="","",B286+C286+E286-F286-G286)</f>
        <v/>
      </c>
      <c r="J286" s="14" t="str">
        <f aca="false">IF(OR(A286="",H286=""),"",ROUND(H286-I286,2))</f>
        <v/>
      </c>
      <c r="K286" s="15" t="str">
        <f aca="false">IF(J286="","",IF(J286=0,"Tam",IF(J286&lt;0,"Açık","Fazla")))</f>
        <v/>
      </c>
      <c r="L286" s="14" t="str">
        <f aca="false">IF(A286="","",C286+D286)</f>
        <v/>
      </c>
    </row>
    <row r="287" customFormat="false" ht="15" hidden="false" customHeight="false" outlineLevel="0" collapsed="false">
      <c r="A287" s="12"/>
      <c r="B287" s="13"/>
      <c r="C287" s="13"/>
      <c r="D287" s="13"/>
      <c r="E287" s="13"/>
      <c r="F287" s="13"/>
      <c r="G287" s="13"/>
      <c r="H287" s="13"/>
      <c r="I287" s="14" t="str">
        <f aca="false">IF(A287="","",B287+C287+E287-F287-G287)</f>
        <v/>
      </c>
      <c r="J287" s="14" t="str">
        <f aca="false">IF(OR(A287="",H287=""),"",ROUND(H287-I287,2))</f>
        <v/>
      </c>
      <c r="K287" s="15" t="str">
        <f aca="false">IF(J287="","",IF(J287=0,"Tam",IF(J287&lt;0,"Açık","Fazla")))</f>
        <v/>
      </c>
      <c r="L287" s="14" t="str">
        <f aca="false">IF(A287="","",C287+D287)</f>
        <v/>
      </c>
    </row>
    <row r="288" customFormat="false" ht="15" hidden="false" customHeight="false" outlineLevel="0" collapsed="false">
      <c r="A288" s="12"/>
      <c r="B288" s="13"/>
      <c r="C288" s="13"/>
      <c r="D288" s="13"/>
      <c r="E288" s="13"/>
      <c r="F288" s="13"/>
      <c r="G288" s="13"/>
      <c r="H288" s="13"/>
      <c r="I288" s="14" t="str">
        <f aca="false">IF(A288="","",B288+C288+E288-F288-G288)</f>
        <v/>
      </c>
      <c r="J288" s="14" t="str">
        <f aca="false">IF(OR(A288="",H288=""),"",ROUND(H288-I288,2))</f>
        <v/>
      </c>
      <c r="K288" s="15" t="str">
        <f aca="false">IF(J288="","",IF(J288=0,"Tam",IF(J288&lt;0,"Açık","Fazla")))</f>
        <v/>
      </c>
      <c r="L288" s="14" t="str">
        <f aca="false">IF(A288="","",C288+D288)</f>
        <v/>
      </c>
    </row>
    <row r="289" customFormat="false" ht="15" hidden="false" customHeight="false" outlineLevel="0" collapsed="false">
      <c r="A289" s="12"/>
      <c r="B289" s="13"/>
      <c r="C289" s="13"/>
      <c r="D289" s="13"/>
      <c r="E289" s="13"/>
      <c r="F289" s="13"/>
      <c r="G289" s="13"/>
      <c r="H289" s="13"/>
      <c r="I289" s="14" t="str">
        <f aca="false">IF(A289="","",B289+C289+E289-F289-G289)</f>
        <v/>
      </c>
      <c r="J289" s="14" t="str">
        <f aca="false">IF(OR(A289="",H289=""),"",ROUND(H289-I289,2))</f>
        <v/>
      </c>
      <c r="K289" s="15" t="str">
        <f aca="false">IF(J289="","",IF(J289=0,"Tam",IF(J289&lt;0,"Açık","Fazla")))</f>
        <v/>
      </c>
      <c r="L289" s="14" t="str">
        <f aca="false">IF(A289="","",C289+D289)</f>
        <v/>
      </c>
    </row>
    <row r="290" customFormat="false" ht="15" hidden="false" customHeight="false" outlineLevel="0" collapsed="false">
      <c r="A290" s="12"/>
      <c r="B290" s="13"/>
      <c r="C290" s="13"/>
      <c r="D290" s="13"/>
      <c r="E290" s="13"/>
      <c r="F290" s="13"/>
      <c r="G290" s="13"/>
      <c r="H290" s="13"/>
      <c r="I290" s="14" t="str">
        <f aca="false">IF(A290="","",B290+C290+E290-F290-G290)</f>
        <v/>
      </c>
      <c r="J290" s="14" t="str">
        <f aca="false">IF(OR(A290="",H290=""),"",ROUND(H290-I290,2))</f>
        <v/>
      </c>
      <c r="K290" s="15" t="str">
        <f aca="false">IF(J290="","",IF(J290=0,"Tam",IF(J290&lt;0,"Açık","Fazla")))</f>
        <v/>
      </c>
      <c r="L290" s="14" t="str">
        <f aca="false">IF(A290="","",C290+D290)</f>
        <v/>
      </c>
    </row>
    <row r="291" customFormat="false" ht="15" hidden="false" customHeight="false" outlineLevel="0" collapsed="false">
      <c r="A291" s="12"/>
      <c r="B291" s="13"/>
      <c r="C291" s="13"/>
      <c r="D291" s="13"/>
      <c r="E291" s="13"/>
      <c r="F291" s="13"/>
      <c r="G291" s="13"/>
      <c r="H291" s="13"/>
      <c r="I291" s="14" t="str">
        <f aca="false">IF(A291="","",B291+C291+E291-F291-G291)</f>
        <v/>
      </c>
      <c r="J291" s="14" t="str">
        <f aca="false">IF(OR(A291="",H291=""),"",ROUND(H291-I291,2))</f>
        <v/>
      </c>
      <c r="K291" s="15" t="str">
        <f aca="false">IF(J291="","",IF(J291=0,"Tam",IF(J291&lt;0,"Açık","Fazla")))</f>
        <v/>
      </c>
      <c r="L291" s="14" t="str">
        <f aca="false">IF(A291="","",C291+D291)</f>
        <v/>
      </c>
    </row>
    <row r="292" customFormat="false" ht="15" hidden="false" customHeight="false" outlineLevel="0" collapsed="false">
      <c r="A292" s="12"/>
      <c r="B292" s="13"/>
      <c r="C292" s="13"/>
      <c r="D292" s="13"/>
      <c r="E292" s="13"/>
      <c r="F292" s="13"/>
      <c r="G292" s="13"/>
      <c r="H292" s="13"/>
      <c r="I292" s="14" t="str">
        <f aca="false">IF(A292="","",B292+C292+E292-F292-G292)</f>
        <v/>
      </c>
      <c r="J292" s="14" t="str">
        <f aca="false">IF(OR(A292="",H292=""),"",ROUND(H292-I292,2))</f>
        <v/>
      </c>
      <c r="K292" s="15" t="str">
        <f aca="false">IF(J292="","",IF(J292=0,"Tam",IF(J292&lt;0,"Açık","Fazla")))</f>
        <v/>
      </c>
      <c r="L292" s="14" t="str">
        <f aca="false">IF(A292="","",C292+D292)</f>
        <v/>
      </c>
    </row>
    <row r="293" customFormat="false" ht="15" hidden="false" customHeight="false" outlineLevel="0" collapsed="false">
      <c r="A293" s="12"/>
      <c r="B293" s="13"/>
      <c r="C293" s="13"/>
      <c r="D293" s="13"/>
      <c r="E293" s="13"/>
      <c r="F293" s="13"/>
      <c r="G293" s="13"/>
      <c r="H293" s="13"/>
      <c r="I293" s="14" t="str">
        <f aca="false">IF(A293="","",B293+C293+E293-F293-G293)</f>
        <v/>
      </c>
      <c r="J293" s="14" t="str">
        <f aca="false">IF(OR(A293="",H293=""),"",ROUND(H293-I293,2))</f>
        <v/>
      </c>
      <c r="K293" s="15" t="str">
        <f aca="false">IF(J293="","",IF(J293=0,"Tam",IF(J293&lt;0,"Açık","Fazla")))</f>
        <v/>
      </c>
      <c r="L293" s="14" t="str">
        <f aca="false">IF(A293="","",C293+D293)</f>
        <v/>
      </c>
    </row>
    <row r="294" customFormat="false" ht="15" hidden="false" customHeight="false" outlineLevel="0" collapsed="false">
      <c r="A294" s="12"/>
      <c r="B294" s="13"/>
      <c r="C294" s="13"/>
      <c r="D294" s="13"/>
      <c r="E294" s="13"/>
      <c r="F294" s="13"/>
      <c r="G294" s="13"/>
      <c r="H294" s="13"/>
      <c r="I294" s="14" t="str">
        <f aca="false">IF(A294="","",B294+C294+E294-F294-G294)</f>
        <v/>
      </c>
      <c r="J294" s="14" t="str">
        <f aca="false">IF(OR(A294="",H294=""),"",ROUND(H294-I294,2))</f>
        <v/>
      </c>
      <c r="K294" s="15" t="str">
        <f aca="false">IF(J294="","",IF(J294=0,"Tam",IF(J294&lt;0,"Açık","Fazla")))</f>
        <v/>
      </c>
      <c r="L294" s="14" t="str">
        <f aca="false">IF(A294="","",C294+D294)</f>
        <v/>
      </c>
    </row>
    <row r="295" customFormat="false" ht="15" hidden="false" customHeight="false" outlineLevel="0" collapsed="false">
      <c r="A295" s="12"/>
      <c r="B295" s="13"/>
      <c r="C295" s="13"/>
      <c r="D295" s="13"/>
      <c r="E295" s="13"/>
      <c r="F295" s="13"/>
      <c r="G295" s="13"/>
      <c r="H295" s="13"/>
      <c r="I295" s="14" t="str">
        <f aca="false">IF(A295="","",B295+C295+E295-F295-G295)</f>
        <v/>
      </c>
      <c r="J295" s="14" t="str">
        <f aca="false">IF(OR(A295="",H295=""),"",ROUND(H295-I295,2))</f>
        <v/>
      </c>
      <c r="K295" s="15" t="str">
        <f aca="false">IF(J295="","",IF(J295=0,"Tam",IF(J295&lt;0,"Açık","Fazla")))</f>
        <v/>
      </c>
      <c r="L295" s="14" t="str">
        <f aca="false">IF(A295="","",C295+D295)</f>
        <v/>
      </c>
    </row>
    <row r="296" customFormat="false" ht="15" hidden="false" customHeight="false" outlineLevel="0" collapsed="false">
      <c r="A296" s="12"/>
      <c r="B296" s="13"/>
      <c r="C296" s="13"/>
      <c r="D296" s="13"/>
      <c r="E296" s="13"/>
      <c r="F296" s="13"/>
      <c r="G296" s="13"/>
      <c r="H296" s="13"/>
      <c r="I296" s="14" t="str">
        <f aca="false">IF(A296="","",B296+C296+E296-F296-G296)</f>
        <v/>
      </c>
      <c r="J296" s="14" t="str">
        <f aca="false">IF(OR(A296="",H296=""),"",ROUND(H296-I296,2))</f>
        <v/>
      </c>
      <c r="K296" s="15" t="str">
        <f aca="false">IF(J296="","",IF(J296=0,"Tam",IF(J296&lt;0,"Açık","Fazla")))</f>
        <v/>
      </c>
      <c r="L296" s="14" t="str">
        <f aca="false">IF(A296="","",C296+D296)</f>
        <v/>
      </c>
    </row>
    <row r="297" customFormat="false" ht="15" hidden="false" customHeight="false" outlineLevel="0" collapsed="false">
      <c r="A297" s="12"/>
      <c r="B297" s="13"/>
      <c r="C297" s="13"/>
      <c r="D297" s="13"/>
      <c r="E297" s="13"/>
      <c r="F297" s="13"/>
      <c r="G297" s="13"/>
      <c r="H297" s="13"/>
      <c r="I297" s="14" t="str">
        <f aca="false">IF(A297="","",B297+C297+E297-F297-G297)</f>
        <v/>
      </c>
      <c r="J297" s="14" t="str">
        <f aca="false">IF(OR(A297="",H297=""),"",ROUND(H297-I297,2))</f>
        <v/>
      </c>
      <c r="K297" s="15" t="str">
        <f aca="false">IF(J297="","",IF(J297=0,"Tam",IF(J297&lt;0,"Açık","Fazla")))</f>
        <v/>
      </c>
      <c r="L297" s="14" t="str">
        <f aca="false">IF(A297="","",C297+D297)</f>
        <v/>
      </c>
    </row>
    <row r="298" customFormat="false" ht="15" hidden="false" customHeight="false" outlineLevel="0" collapsed="false">
      <c r="A298" s="12"/>
      <c r="B298" s="13"/>
      <c r="C298" s="13"/>
      <c r="D298" s="13"/>
      <c r="E298" s="13"/>
      <c r="F298" s="13"/>
      <c r="G298" s="13"/>
      <c r="H298" s="13"/>
      <c r="I298" s="14" t="str">
        <f aca="false">IF(A298="","",B298+C298+E298-F298-G298)</f>
        <v/>
      </c>
      <c r="J298" s="14" t="str">
        <f aca="false">IF(OR(A298="",H298=""),"",ROUND(H298-I298,2))</f>
        <v/>
      </c>
      <c r="K298" s="15" t="str">
        <f aca="false">IF(J298="","",IF(J298=0,"Tam",IF(J298&lt;0,"Açık","Fazla")))</f>
        <v/>
      </c>
      <c r="L298" s="14" t="str">
        <f aca="false">IF(A298="","",C298+D298)</f>
        <v/>
      </c>
    </row>
    <row r="299" customFormat="false" ht="15" hidden="false" customHeight="false" outlineLevel="0" collapsed="false">
      <c r="A299" s="12"/>
      <c r="B299" s="13"/>
      <c r="C299" s="13"/>
      <c r="D299" s="13"/>
      <c r="E299" s="13"/>
      <c r="F299" s="13"/>
      <c r="G299" s="13"/>
      <c r="H299" s="13"/>
      <c r="I299" s="14" t="str">
        <f aca="false">IF(A299="","",B299+C299+E299-F299-G299)</f>
        <v/>
      </c>
      <c r="J299" s="14" t="str">
        <f aca="false">IF(OR(A299="",H299=""),"",ROUND(H299-I299,2))</f>
        <v/>
      </c>
      <c r="K299" s="15" t="str">
        <f aca="false">IF(J299="","",IF(J299=0,"Tam",IF(J299&lt;0,"Açık","Fazla")))</f>
        <v/>
      </c>
      <c r="L299" s="14" t="str">
        <f aca="false">IF(A299="","",C299+D299)</f>
        <v/>
      </c>
    </row>
    <row r="300" customFormat="false" ht="15" hidden="false" customHeight="false" outlineLevel="0" collapsed="false">
      <c r="A300" s="12"/>
      <c r="B300" s="13"/>
      <c r="C300" s="13"/>
      <c r="D300" s="13"/>
      <c r="E300" s="13"/>
      <c r="F300" s="13"/>
      <c r="G300" s="13"/>
      <c r="H300" s="13"/>
      <c r="I300" s="14" t="str">
        <f aca="false">IF(A300="","",B300+C300+E300-F300-G300)</f>
        <v/>
      </c>
      <c r="J300" s="14" t="str">
        <f aca="false">IF(OR(A300="",H300=""),"",ROUND(H300-I300,2))</f>
        <v/>
      </c>
      <c r="K300" s="15" t="str">
        <f aca="false">IF(J300="","",IF(J300=0,"Tam",IF(J300&lt;0,"Açık","Fazla")))</f>
        <v/>
      </c>
      <c r="L300" s="14" t="str">
        <f aca="false">IF(A300="","",C300+D300)</f>
        <v/>
      </c>
    </row>
    <row r="301" customFormat="false" ht="15" hidden="false" customHeight="false" outlineLevel="0" collapsed="false">
      <c r="A301" s="12"/>
      <c r="B301" s="13"/>
      <c r="C301" s="13"/>
      <c r="D301" s="13"/>
      <c r="E301" s="13"/>
      <c r="F301" s="13"/>
      <c r="G301" s="13"/>
      <c r="H301" s="13"/>
      <c r="I301" s="14" t="str">
        <f aca="false">IF(A301="","",B301+C301+E301-F301-G301)</f>
        <v/>
      </c>
      <c r="J301" s="14" t="str">
        <f aca="false">IF(OR(A301="",H301=""),"",ROUND(H301-I301,2))</f>
        <v/>
      </c>
      <c r="K301" s="15" t="str">
        <f aca="false">IF(J301="","",IF(J301=0,"Tam",IF(J301&lt;0,"Açık","Fazla")))</f>
        <v/>
      </c>
      <c r="L301" s="14" t="str">
        <f aca="false">IF(A301="","",C301+D301)</f>
        <v/>
      </c>
    </row>
    <row r="302" customFormat="false" ht="15" hidden="false" customHeight="false" outlineLevel="0" collapsed="false">
      <c r="A302" s="12"/>
      <c r="B302" s="13"/>
      <c r="C302" s="13"/>
      <c r="D302" s="13"/>
      <c r="E302" s="13"/>
      <c r="F302" s="13"/>
      <c r="G302" s="13"/>
      <c r="H302" s="13"/>
      <c r="I302" s="14" t="str">
        <f aca="false">IF(A302="","",B302+C302+E302-F302-G302)</f>
        <v/>
      </c>
      <c r="J302" s="14" t="str">
        <f aca="false">IF(OR(A302="",H302=""),"",ROUND(H302-I302,2))</f>
        <v/>
      </c>
      <c r="K302" s="15" t="str">
        <f aca="false">IF(J302="","",IF(J302=0,"Tam",IF(J302&lt;0,"Açık","Fazla")))</f>
        <v/>
      </c>
      <c r="L302" s="14" t="str">
        <f aca="false">IF(A302="","",C302+D302)</f>
        <v/>
      </c>
    </row>
    <row r="303" customFormat="false" ht="15" hidden="false" customHeight="false" outlineLevel="0" collapsed="false">
      <c r="A303" s="12"/>
      <c r="B303" s="13"/>
      <c r="C303" s="13"/>
      <c r="D303" s="13"/>
      <c r="E303" s="13"/>
      <c r="F303" s="13"/>
      <c r="G303" s="13"/>
      <c r="H303" s="13"/>
      <c r="I303" s="14" t="str">
        <f aca="false">IF(A303="","",B303+C303+E303-F303-G303)</f>
        <v/>
      </c>
      <c r="J303" s="14" t="str">
        <f aca="false">IF(OR(A303="",H303=""),"",ROUND(H303-I303,2))</f>
        <v/>
      </c>
      <c r="K303" s="15" t="str">
        <f aca="false">IF(J303="","",IF(J303=0,"Tam",IF(J303&lt;0,"Açık","Fazla")))</f>
        <v/>
      </c>
      <c r="L303" s="14" t="str">
        <f aca="false">IF(A303="","",C303+D303)</f>
        <v/>
      </c>
    </row>
    <row r="304" customFormat="false" ht="15" hidden="false" customHeight="false" outlineLevel="0" collapsed="false">
      <c r="A304" s="12"/>
      <c r="B304" s="13"/>
      <c r="C304" s="13"/>
      <c r="D304" s="13"/>
      <c r="E304" s="13"/>
      <c r="F304" s="13"/>
      <c r="G304" s="13"/>
      <c r="H304" s="13"/>
      <c r="I304" s="14" t="str">
        <f aca="false">IF(A304="","",B304+C304+E304-F304-G304)</f>
        <v/>
      </c>
      <c r="J304" s="14" t="str">
        <f aca="false">IF(OR(A304="",H304=""),"",ROUND(H304-I304,2))</f>
        <v/>
      </c>
      <c r="K304" s="15" t="str">
        <f aca="false">IF(J304="","",IF(J304=0,"Tam",IF(J304&lt;0,"Açık","Fazla")))</f>
        <v/>
      </c>
      <c r="L304" s="14" t="str">
        <f aca="false">IF(A304="","",C304+D304)</f>
        <v/>
      </c>
    </row>
    <row r="305" customFormat="false" ht="15" hidden="false" customHeight="false" outlineLevel="0" collapsed="false">
      <c r="A305" s="12"/>
      <c r="B305" s="13"/>
      <c r="C305" s="13"/>
      <c r="D305" s="13"/>
      <c r="E305" s="13"/>
      <c r="F305" s="13"/>
      <c r="G305" s="13"/>
      <c r="H305" s="13"/>
      <c r="I305" s="14" t="str">
        <f aca="false">IF(A305="","",B305+C305+E305-F305-G305)</f>
        <v/>
      </c>
      <c r="J305" s="14" t="str">
        <f aca="false">IF(OR(A305="",H305=""),"",ROUND(H305-I305,2))</f>
        <v/>
      </c>
      <c r="K305" s="15" t="str">
        <f aca="false">IF(J305="","",IF(J305=0,"Tam",IF(J305&lt;0,"Açık","Fazla")))</f>
        <v/>
      </c>
      <c r="L305" s="14" t="str">
        <f aca="false">IF(A305="","",C305+D305)</f>
        <v/>
      </c>
    </row>
    <row r="306" customFormat="false" ht="15" hidden="false" customHeight="false" outlineLevel="0" collapsed="false">
      <c r="A306" s="12"/>
      <c r="B306" s="13"/>
      <c r="C306" s="13"/>
      <c r="D306" s="13"/>
      <c r="E306" s="13"/>
      <c r="F306" s="13"/>
      <c r="G306" s="13"/>
      <c r="H306" s="13"/>
      <c r="I306" s="14" t="str">
        <f aca="false">IF(A306="","",B306+C306+E306-F306-G306)</f>
        <v/>
      </c>
      <c r="J306" s="14" t="str">
        <f aca="false">IF(OR(A306="",H306=""),"",ROUND(H306-I306,2))</f>
        <v/>
      </c>
      <c r="K306" s="15" t="str">
        <f aca="false">IF(J306="","",IF(J306=0,"Tam",IF(J306&lt;0,"Açık","Fazla")))</f>
        <v/>
      </c>
      <c r="L306" s="14" t="str">
        <f aca="false">IF(A306="","",C306+D306)</f>
        <v/>
      </c>
    </row>
    <row r="307" customFormat="false" ht="15" hidden="false" customHeight="false" outlineLevel="0" collapsed="false">
      <c r="A307" s="12"/>
      <c r="B307" s="13"/>
      <c r="C307" s="13"/>
      <c r="D307" s="13"/>
      <c r="E307" s="13"/>
      <c r="F307" s="13"/>
      <c r="G307" s="13"/>
      <c r="H307" s="13"/>
      <c r="I307" s="14" t="str">
        <f aca="false">IF(A307="","",B307+C307+E307-F307-G307)</f>
        <v/>
      </c>
      <c r="J307" s="14" t="str">
        <f aca="false">IF(OR(A307="",H307=""),"",ROUND(H307-I307,2))</f>
        <v/>
      </c>
      <c r="K307" s="15" t="str">
        <f aca="false">IF(J307="","",IF(J307=0,"Tam",IF(J307&lt;0,"Açık","Fazla")))</f>
        <v/>
      </c>
      <c r="L307" s="14" t="str">
        <f aca="false">IF(A307="","",C307+D307)</f>
        <v/>
      </c>
    </row>
    <row r="308" customFormat="false" ht="15" hidden="false" customHeight="false" outlineLevel="0" collapsed="false">
      <c r="A308" s="12"/>
      <c r="B308" s="13"/>
      <c r="C308" s="13"/>
      <c r="D308" s="13"/>
      <c r="E308" s="13"/>
      <c r="F308" s="13"/>
      <c r="G308" s="13"/>
      <c r="H308" s="13"/>
      <c r="I308" s="14" t="str">
        <f aca="false">IF(A308="","",B308+C308+E308-F308-G308)</f>
        <v/>
      </c>
      <c r="J308" s="14" t="str">
        <f aca="false">IF(OR(A308="",H308=""),"",ROUND(H308-I308,2))</f>
        <v/>
      </c>
      <c r="K308" s="15" t="str">
        <f aca="false">IF(J308="","",IF(J308=0,"Tam",IF(J308&lt;0,"Açık","Fazla")))</f>
        <v/>
      </c>
      <c r="L308" s="14" t="str">
        <f aca="false">IF(A308="","",C308+D308)</f>
        <v/>
      </c>
    </row>
    <row r="309" customFormat="false" ht="15" hidden="false" customHeight="false" outlineLevel="0" collapsed="false">
      <c r="A309" s="12"/>
      <c r="B309" s="13"/>
      <c r="C309" s="13"/>
      <c r="D309" s="13"/>
      <c r="E309" s="13"/>
      <c r="F309" s="13"/>
      <c r="G309" s="13"/>
      <c r="H309" s="13"/>
      <c r="I309" s="14" t="str">
        <f aca="false">IF(A309="","",B309+C309+E309-F309-G309)</f>
        <v/>
      </c>
      <c r="J309" s="14" t="str">
        <f aca="false">IF(OR(A309="",H309=""),"",ROUND(H309-I309,2))</f>
        <v/>
      </c>
      <c r="K309" s="15" t="str">
        <f aca="false">IF(J309="","",IF(J309=0,"Tam",IF(J309&lt;0,"Açık","Fazla")))</f>
        <v/>
      </c>
      <c r="L309" s="14" t="str">
        <f aca="false">IF(A309="","",C309+D309)</f>
        <v/>
      </c>
    </row>
    <row r="310" customFormat="false" ht="15" hidden="false" customHeight="false" outlineLevel="0" collapsed="false">
      <c r="A310" s="12"/>
      <c r="B310" s="13"/>
      <c r="C310" s="13"/>
      <c r="D310" s="13"/>
      <c r="E310" s="13"/>
      <c r="F310" s="13"/>
      <c r="G310" s="13"/>
      <c r="H310" s="13"/>
      <c r="I310" s="14" t="str">
        <f aca="false">IF(A310="","",B310+C310+E310-F310-G310)</f>
        <v/>
      </c>
      <c r="J310" s="14" t="str">
        <f aca="false">IF(OR(A310="",H310=""),"",ROUND(H310-I310,2))</f>
        <v/>
      </c>
      <c r="K310" s="15" t="str">
        <f aca="false">IF(J310="","",IF(J310=0,"Tam",IF(J310&lt;0,"Açık","Fazla")))</f>
        <v/>
      </c>
      <c r="L310" s="14" t="str">
        <f aca="false">IF(A310="","",C310+D310)</f>
        <v/>
      </c>
    </row>
    <row r="311" customFormat="false" ht="15" hidden="false" customHeight="false" outlineLevel="0" collapsed="false">
      <c r="A311" s="12"/>
      <c r="B311" s="13"/>
      <c r="C311" s="13"/>
      <c r="D311" s="13"/>
      <c r="E311" s="13"/>
      <c r="F311" s="13"/>
      <c r="G311" s="13"/>
      <c r="H311" s="13"/>
      <c r="I311" s="14" t="str">
        <f aca="false">IF(A311="","",B311+C311+E311-F311-G311)</f>
        <v/>
      </c>
      <c r="J311" s="14" t="str">
        <f aca="false">IF(OR(A311="",H311=""),"",ROUND(H311-I311,2))</f>
        <v/>
      </c>
      <c r="K311" s="15" t="str">
        <f aca="false">IF(J311="","",IF(J311=0,"Tam",IF(J311&lt;0,"Açık","Fazla")))</f>
        <v/>
      </c>
      <c r="L311" s="14" t="str">
        <f aca="false">IF(A311="","",C311+D311)</f>
        <v/>
      </c>
    </row>
    <row r="312" customFormat="false" ht="15" hidden="false" customHeight="false" outlineLevel="0" collapsed="false">
      <c r="A312" s="12"/>
      <c r="B312" s="13"/>
      <c r="C312" s="13"/>
      <c r="D312" s="13"/>
      <c r="E312" s="13"/>
      <c r="F312" s="13"/>
      <c r="G312" s="13"/>
      <c r="H312" s="13"/>
      <c r="I312" s="14" t="str">
        <f aca="false">IF(A312="","",B312+C312+E312-F312-G312)</f>
        <v/>
      </c>
      <c r="J312" s="14" t="str">
        <f aca="false">IF(OR(A312="",H312=""),"",ROUND(H312-I312,2))</f>
        <v/>
      </c>
      <c r="K312" s="15" t="str">
        <f aca="false">IF(J312="","",IF(J312=0,"Tam",IF(J312&lt;0,"Açık","Fazla")))</f>
        <v/>
      </c>
      <c r="L312" s="14" t="str">
        <f aca="false">IF(A312="","",C312+D312)</f>
        <v/>
      </c>
    </row>
    <row r="313" customFormat="false" ht="15" hidden="false" customHeight="false" outlineLevel="0" collapsed="false">
      <c r="A313" s="12"/>
      <c r="B313" s="13"/>
      <c r="C313" s="13"/>
      <c r="D313" s="13"/>
      <c r="E313" s="13"/>
      <c r="F313" s="13"/>
      <c r="G313" s="13"/>
      <c r="H313" s="13"/>
      <c r="I313" s="14" t="str">
        <f aca="false">IF(A313="","",B313+C313+E313-F313-G313)</f>
        <v/>
      </c>
      <c r="J313" s="14" t="str">
        <f aca="false">IF(OR(A313="",H313=""),"",ROUND(H313-I313,2))</f>
        <v/>
      </c>
      <c r="K313" s="15" t="str">
        <f aca="false">IF(J313="","",IF(J313=0,"Tam",IF(J313&lt;0,"Açık","Fazla")))</f>
        <v/>
      </c>
      <c r="L313" s="14" t="str">
        <f aca="false">IF(A313="","",C313+D313)</f>
        <v/>
      </c>
    </row>
    <row r="314" customFormat="false" ht="15" hidden="false" customHeight="false" outlineLevel="0" collapsed="false">
      <c r="A314" s="12"/>
      <c r="B314" s="13"/>
      <c r="C314" s="13"/>
      <c r="D314" s="13"/>
      <c r="E314" s="13"/>
      <c r="F314" s="13"/>
      <c r="G314" s="13"/>
      <c r="H314" s="13"/>
      <c r="I314" s="14" t="str">
        <f aca="false">IF(A314="","",B314+C314+E314-F314-G314)</f>
        <v/>
      </c>
      <c r="J314" s="14" t="str">
        <f aca="false">IF(OR(A314="",H314=""),"",ROUND(H314-I314,2))</f>
        <v/>
      </c>
      <c r="K314" s="15" t="str">
        <f aca="false">IF(J314="","",IF(J314=0,"Tam",IF(J314&lt;0,"Açık","Fazla")))</f>
        <v/>
      </c>
      <c r="L314" s="14" t="str">
        <f aca="false">IF(A314="","",C314+D314)</f>
        <v/>
      </c>
    </row>
    <row r="315" customFormat="false" ht="15" hidden="false" customHeight="false" outlineLevel="0" collapsed="false">
      <c r="A315" s="12"/>
      <c r="B315" s="13"/>
      <c r="C315" s="13"/>
      <c r="D315" s="13"/>
      <c r="E315" s="13"/>
      <c r="F315" s="13"/>
      <c r="G315" s="13"/>
      <c r="H315" s="13"/>
      <c r="I315" s="14" t="str">
        <f aca="false">IF(A315="","",B315+C315+E315-F315-G315)</f>
        <v/>
      </c>
      <c r="J315" s="14" t="str">
        <f aca="false">IF(OR(A315="",H315=""),"",ROUND(H315-I315,2))</f>
        <v/>
      </c>
      <c r="K315" s="15" t="str">
        <f aca="false">IF(J315="","",IF(J315=0,"Tam",IF(J315&lt;0,"Açık","Fazla")))</f>
        <v/>
      </c>
      <c r="L315" s="14" t="str">
        <f aca="false">IF(A315="","",C315+D315)</f>
        <v/>
      </c>
    </row>
    <row r="316" customFormat="false" ht="15" hidden="false" customHeight="false" outlineLevel="0" collapsed="false">
      <c r="A316" s="12"/>
      <c r="B316" s="13"/>
      <c r="C316" s="13"/>
      <c r="D316" s="13"/>
      <c r="E316" s="13"/>
      <c r="F316" s="13"/>
      <c r="G316" s="13"/>
      <c r="H316" s="13"/>
      <c r="I316" s="14" t="str">
        <f aca="false">IF(A316="","",B316+C316+E316-F316-G316)</f>
        <v/>
      </c>
      <c r="J316" s="14" t="str">
        <f aca="false">IF(OR(A316="",H316=""),"",ROUND(H316-I316,2))</f>
        <v/>
      </c>
      <c r="K316" s="15" t="str">
        <f aca="false">IF(J316="","",IF(J316=0,"Tam",IF(J316&lt;0,"Açık","Fazla")))</f>
        <v/>
      </c>
      <c r="L316" s="14" t="str">
        <f aca="false">IF(A316="","",C316+D316)</f>
        <v/>
      </c>
    </row>
    <row r="317" customFormat="false" ht="15" hidden="false" customHeight="false" outlineLevel="0" collapsed="false">
      <c r="A317" s="12"/>
      <c r="B317" s="13"/>
      <c r="C317" s="13"/>
      <c r="D317" s="13"/>
      <c r="E317" s="13"/>
      <c r="F317" s="13"/>
      <c r="G317" s="13"/>
      <c r="H317" s="13"/>
      <c r="I317" s="14" t="str">
        <f aca="false">IF(A317="","",B317+C317+E317-F317-G317)</f>
        <v/>
      </c>
      <c r="J317" s="14" t="str">
        <f aca="false">IF(OR(A317="",H317=""),"",ROUND(H317-I317,2))</f>
        <v/>
      </c>
      <c r="K317" s="15" t="str">
        <f aca="false">IF(J317="","",IF(J317=0,"Tam",IF(J317&lt;0,"Açık","Fazla")))</f>
        <v/>
      </c>
      <c r="L317" s="14" t="str">
        <f aca="false">IF(A317="","",C317+D317)</f>
        <v/>
      </c>
    </row>
    <row r="318" customFormat="false" ht="15" hidden="false" customHeight="false" outlineLevel="0" collapsed="false">
      <c r="A318" s="12"/>
      <c r="B318" s="13"/>
      <c r="C318" s="13"/>
      <c r="D318" s="13"/>
      <c r="E318" s="13"/>
      <c r="F318" s="13"/>
      <c r="G318" s="13"/>
      <c r="H318" s="13"/>
      <c r="I318" s="14" t="str">
        <f aca="false">IF(A318="","",B318+C318+E318-F318-G318)</f>
        <v/>
      </c>
      <c r="J318" s="14" t="str">
        <f aca="false">IF(OR(A318="",H318=""),"",ROUND(H318-I318,2))</f>
        <v/>
      </c>
      <c r="K318" s="15" t="str">
        <f aca="false">IF(J318="","",IF(J318=0,"Tam",IF(J318&lt;0,"Açık","Fazla")))</f>
        <v/>
      </c>
      <c r="L318" s="14" t="str">
        <f aca="false">IF(A318="","",C318+D318)</f>
        <v/>
      </c>
    </row>
    <row r="319" customFormat="false" ht="15" hidden="false" customHeight="false" outlineLevel="0" collapsed="false">
      <c r="A319" s="12"/>
      <c r="B319" s="13"/>
      <c r="C319" s="13"/>
      <c r="D319" s="13"/>
      <c r="E319" s="13"/>
      <c r="F319" s="13"/>
      <c r="G319" s="13"/>
      <c r="H319" s="13"/>
      <c r="I319" s="14" t="str">
        <f aca="false">IF(A319="","",B319+C319+E319-F319-G319)</f>
        <v/>
      </c>
      <c r="J319" s="14" t="str">
        <f aca="false">IF(OR(A319="",H319=""),"",ROUND(H319-I319,2))</f>
        <v/>
      </c>
      <c r="K319" s="15" t="str">
        <f aca="false">IF(J319="","",IF(J319=0,"Tam",IF(J319&lt;0,"Açık","Fazla")))</f>
        <v/>
      </c>
      <c r="L319" s="14" t="str">
        <f aca="false">IF(A319="","",C319+D319)</f>
        <v/>
      </c>
    </row>
    <row r="320" customFormat="false" ht="15" hidden="false" customHeight="false" outlineLevel="0" collapsed="false">
      <c r="A320" s="12"/>
      <c r="B320" s="13"/>
      <c r="C320" s="13"/>
      <c r="D320" s="13"/>
      <c r="E320" s="13"/>
      <c r="F320" s="13"/>
      <c r="G320" s="13"/>
      <c r="H320" s="13"/>
      <c r="I320" s="14" t="str">
        <f aca="false">IF(A320="","",B320+C320+E320-F320-G320)</f>
        <v/>
      </c>
      <c r="J320" s="14" t="str">
        <f aca="false">IF(OR(A320="",H320=""),"",ROUND(H320-I320,2))</f>
        <v/>
      </c>
      <c r="K320" s="15" t="str">
        <f aca="false">IF(J320="","",IF(J320=0,"Tam",IF(J320&lt;0,"Açık","Fazla")))</f>
        <v/>
      </c>
      <c r="L320" s="14" t="str">
        <f aca="false">IF(A320="","",C320+D320)</f>
        <v/>
      </c>
    </row>
    <row r="321" customFormat="false" ht="15" hidden="false" customHeight="false" outlineLevel="0" collapsed="false">
      <c r="A321" s="12"/>
      <c r="B321" s="13"/>
      <c r="C321" s="13"/>
      <c r="D321" s="13"/>
      <c r="E321" s="13"/>
      <c r="F321" s="13"/>
      <c r="G321" s="13"/>
      <c r="H321" s="13"/>
      <c r="I321" s="14" t="str">
        <f aca="false">IF(A321="","",B321+C321+E321-F321-G321)</f>
        <v/>
      </c>
      <c r="J321" s="14" t="str">
        <f aca="false">IF(OR(A321="",H321=""),"",ROUND(H321-I321,2))</f>
        <v/>
      </c>
      <c r="K321" s="15" t="str">
        <f aca="false">IF(J321="","",IF(J321=0,"Tam",IF(J321&lt;0,"Açık","Fazla")))</f>
        <v/>
      </c>
      <c r="L321" s="14" t="str">
        <f aca="false">IF(A321="","",C321+D321)</f>
        <v/>
      </c>
    </row>
    <row r="322" customFormat="false" ht="15" hidden="false" customHeight="false" outlineLevel="0" collapsed="false">
      <c r="A322" s="12"/>
      <c r="B322" s="13"/>
      <c r="C322" s="13"/>
      <c r="D322" s="13"/>
      <c r="E322" s="13"/>
      <c r="F322" s="13"/>
      <c r="G322" s="13"/>
      <c r="H322" s="13"/>
      <c r="I322" s="14" t="str">
        <f aca="false">IF(A322="","",B322+C322+E322-F322-G322)</f>
        <v/>
      </c>
      <c r="J322" s="14" t="str">
        <f aca="false">IF(OR(A322="",H322=""),"",ROUND(H322-I322,2))</f>
        <v/>
      </c>
      <c r="K322" s="15" t="str">
        <f aca="false">IF(J322="","",IF(J322=0,"Tam",IF(J322&lt;0,"Açık","Fazla")))</f>
        <v/>
      </c>
      <c r="L322" s="14" t="str">
        <f aca="false">IF(A322="","",C322+D322)</f>
        <v/>
      </c>
    </row>
    <row r="323" customFormat="false" ht="15" hidden="false" customHeight="false" outlineLevel="0" collapsed="false">
      <c r="A323" s="12"/>
      <c r="B323" s="13"/>
      <c r="C323" s="13"/>
      <c r="D323" s="13"/>
      <c r="E323" s="13"/>
      <c r="F323" s="13"/>
      <c r="G323" s="13"/>
      <c r="H323" s="13"/>
      <c r="I323" s="14" t="str">
        <f aca="false">IF(A323="","",B323+C323+E323-F323-G323)</f>
        <v/>
      </c>
      <c r="J323" s="14" t="str">
        <f aca="false">IF(OR(A323="",H323=""),"",ROUND(H323-I323,2))</f>
        <v/>
      </c>
      <c r="K323" s="15" t="str">
        <f aca="false">IF(J323="","",IF(J323=0,"Tam",IF(J323&lt;0,"Açık","Fazla")))</f>
        <v/>
      </c>
      <c r="L323" s="14" t="str">
        <f aca="false">IF(A323="","",C323+D323)</f>
        <v/>
      </c>
    </row>
    <row r="324" customFormat="false" ht="15" hidden="false" customHeight="false" outlineLevel="0" collapsed="false">
      <c r="A324" s="12"/>
      <c r="B324" s="13"/>
      <c r="C324" s="13"/>
      <c r="D324" s="13"/>
      <c r="E324" s="13"/>
      <c r="F324" s="13"/>
      <c r="G324" s="13"/>
      <c r="H324" s="13"/>
      <c r="I324" s="14" t="str">
        <f aca="false">IF(A324="","",B324+C324+E324-F324-G324)</f>
        <v/>
      </c>
      <c r="J324" s="14" t="str">
        <f aca="false">IF(OR(A324="",H324=""),"",ROUND(H324-I324,2))</f>
        <v/>
      </c>
      <c r="K324" s="15" t="str">
        <f aca="false">IF(J324="","",IF(J324=0,"Tam",IF(J324&lt;0,"Açık","Fazla")))</f>
        <v/>
      </c>
      <c r="L324" s="14" t="str">
        <f aca="false">IF(A324="","",C324+D324)</f>
        <v/>
      </c>
    </row>
    <row r="325" customFormat="false" ht="15" hidden="false" customHeight="false" outlineLevel="0" collapsed="false">
      <c r="A325" s="12"/>
      <c r="B325" s="13"/>
      <c r="C325" s="13"/>
      <c r="D325" s="13"/>
      <c r="E325" s="13"/>
      <c r="F325" s="13"/>
      <c r="G325" s="13"/>
      <c r="H325" s="13"/>
      <c r="I325" s="14" t="str">
        <f aca="false">IF(A325="","",B325+C325+E325-F325-G325)</f>
        <v/>
      </c>
      <c r="J325" s="14" t="str">
        <f aca="false">IF(OR(A325="",H325=""),"",ROUND(H325-I325,2))</f>
        <v/>
      </c>
      <c r="K325" s="15" t="str">
        <f aca="false">IF(J325="","",IF(J325=0,"Tam",IF(J325&lt;0,"Açık","Fazla")))</f>
        <v/>
      </c>
      <c r="L325" s="14" t="str">
        <f aca="false">IF(A325="","",C325+D325)</f>
        <v/>
      </c>
    </row>
    <row r="326" customFormat="false" ht="15" hidden="false" customHeight="false" outlineLevel="0" collapsed="false">
      <c r="A326" s="12"/>
      <c r="B326" s="13"/>
      <c r="C326" s="13"/>
      <c r="D326" s="13"/>
      <c r="E326" s="13"/>
      <c r="F326" s="13"/>
      <c r="G326" s="13"/>
      <c r="H326" s="13"/>
      <c r="I326" s="14" t="str">
        <f aca="false">IF(A326="","",B326+C326+E326-F326-G326)</f>
        <v/>
      </c>
      <c r="J326" s="14" t="str">
        <f aca="false">IF(OR(A326="",H326=""),"",ROUND(H326-I326,2))</f>
        <v/>
      </c>
      <c r="K326" s="15" t="str">
        <f aca="false">IF(J326="","",IF(J326=0,"Tam",IF(J326&lt;0,"Açık","Fazla")))</f>
        <v/>
      </c>
      <c r="L326" s="14" t="str">
        <f aca="false">IF(A326="","",C326+D326)</f>
        <v/>
      </c>
    </row>
    <row r="327" customFormat="false" ht="15" hidden="false" customHeight="false" outlineLevel="0" collapsed="false">
      <c r="A327" s="12"/>
      <c r="B327" s="13"/>
      <c r="C327" s="13"/>
      <c r="D327" s="13"/>
      <c r="E327" s="13"/>
      <c r="F327" s="13"/>
      <c r="G327" s="13"/>
      <c r="H327" s="13"/>
      <c r="I327" s="14" t="str">
        <f aca="false">IF(A327="","",B327+C327+E327-F327-G327)</f>
        <v/>
      </c>
      <c r="J327" s="14" t="str">
        <f aca="false">IF(OR(A327="",H327=""),"",ROUND(H327-I327,2))</f>
        <v/>
      </c>
      <c r="K327" s="15" t="str">
        <f aca="false">IF(J327="","",IF(J327=0,"Tam",IF(J327&lt;0,"Açık","Fazla")))</f>
        <v/>
      </c>
      <c r="L327" s="14" t="str">
        <f aca="false">IF(A327="","",C327+D327)</f>
        <v/>
      </c>
    </row>
    <row r="328" customFormat="false" ht="15" hidden="false" customHeight="false" outlineLevel="0" collapsed="false">
      <c r="A328" s="12"/>
      <c r="B328" s="13"/>
      <c r="C328" s="13"/>
      <c r="D328" s="13"/>
      <c r="E328" s="13"/>
      <c r="F328" s="13"/>
      <c r="G328" s="13"/>
      <c r="H328" s="13"/>
      <c r="I328" s="14" t="str">
        <f aca="false">IF(A328="","",B328+C328+E328-F328-G328)</f>
        <v/>
      </c>
      <c r="J328" s="14" t="str">
        <f aca="false">IF(OR(A328="",H328=""),"",ROUND(H328-I328,2))</f>
        <v/>
      </c>
      <c r="K328" s="15" t="str">
        <f aca="false">IF(J328="","",IF(J328=0,"Tam",IF(J328&lt;0,"Açık","Fazla")))</f>
        <v/>
      </c>
      <c r="L328" s="14" t="str">
        <f aca="false">IF(A328="","",C328+D328)</f>
        <v/>
      </c>
    </row>
    <row r="329" customFormat="false" ht="15" hidden="false" customHeight="false" outlineLevel="0" collapsed="false">
      <c r="A329" s="12"/>
      <c r="B329" s="13"/>
      <c r="C329" s="13"/>
      <c r="D329" s="13"/>
      <c r="E329" s="13"/>
      <c r="F329" s="13"/>
      <c r="G329" s="13"/>
      <c r="H329" s="13"/>
      <c r="I329" s="14" t="str">
        <f aca="false">IF(A329="","",B329+C329+E329-F329-G329)</f>
        <v/>
      </c>
      <c r="J329" s="14" t="str">
        <f aca="false">IF(OR(A329="",H329=""),"",ROUND(H329-I329,2))</f>
        <v/>
      </c>
      <c r="K329" s="15" t="str">
        <f aca="false">IF(J329="","",IF(J329=0,"Tam",IF(J329&lt;0,"Açık","Fazla")))</f>
        <v/>
      </c>
      <c r="L329" s="14" t="str">
        <f aca="false">IF(A329="","",C329+D329)</f>
        <v/>
      </c>
    </row>
    <row r="330" customFormat="false" ht="15" hidden="false" customHeight="false" outlineLevel="0" collapsed="false">
      <c r="A330" s="12"/>
      <c r="B330" s="13"/>
      <c r="C330" s="13"/>
      <c r="D330" s="13"/>
      <c r="E330" s="13"/>
      <c r="F330" s="13"/>
      <c r="G330" s="13"/>
      <c r="H330" s="13"/>
      <c r="I330" s="14" t="str">
        <f aca="false">IF(A330="","",B330+C330+E330-F330-G330)</f>
        <v/>
      </c>
      <c r="J330" s="14" t="str">
        <f aca="false">IF(OR(A330="",H330=""),"",ROUND(H330-I330,2))</f>
        <v/>
      </c>
      <c r="K330" s="15" t="str">
        <f aca="false">IF(J330="","",IF(J330=0,"Tam",IF(J330&lt;0,"Açık","Fazla")))</f>
        <v/>
      </c>
      <c r="L330" s="14" t="str">
        <f aca="false">IF(A330="","",C330+D330)</f>
        <v/>
      </c>
    </row>
    <row r="331" customFormat="false" ht="15" hidden="false" customHeight="false" outlineLevel="0" collapsed="false">
      <c r="A331" s="12"/>
      <c r="B331" s="13"/>
      <c r="C331" s="13"/>
      <c r="D331" s="13"/>
      <c r="E331" s="13"/>
      <c r="F331" s="13"/>
      <c r="G331" s="13"/>
      <c r="H331" s="13"/>
      <c r="I331" s="14" t="str">
        <f aca="false">IF(A331="","",B331+C331+E331-F331-G331)</f>
        <v/>
      </c>
      <c r="J331" s="14" t="str">
        <f aca="false">IF(OR(A331="",H331=""),"",ROUND(H331-I331,2))</f>
        <v/>
      </c>
      <c r="K331" s="15" t="str">
        <f aca="false">IF(J331="","",IF(J331=0,"Tam",IF(J331&lt;0,"Açık","Fazla")))</f>
        <v/>
      </c>
      <c r="L331" s="14" t="str">
        <f aca="false">IF(A331="","",C331+D331)</f>
        <v/>
      </c>
    </row>
    <row r="332" customFormat="false" ht="15" hidden="false" customHeight="false" outlineLevel="0" collapsed="false">
      <c r="A332" s="12"/>
      <c r="B332" s="13"/>
      <c r="C332" s="13"/>
      <c r="D332" s="13"/>
      <c r="E332" s="13"/>
      <c r="F332" s="13"/>
      <c r="G332" s="13"/>
      <c r="H332" s="13"/>
      <c r="I332" s="14" t="str">
        <f aca="false">IF(A332="","",B332+C332+E332-F332-G332)</f>
        <v/>
      </c>
      <c r="J332" s="14" t="str">
        <f aca="false">IF(OR(A332="",H332=""),"",ROUND(H332-I332,2))</f>
        <v/>
      </c>
      <c r="K332" s="15" t="str">
        <f aca="false">IF(J332="","",IF(J332=0,"Tam",IF(J332&lt;0,"Açık","Fazla")))</f>
        <v/>
      </c>
      <c r="L332" s="14" t="str">
        <f aca="false">IF(A332="","",C332+D332)</f>
        <v/>
      </c>
    </row>
    <row r="333" customFormat="false" ht="15" hidden="false" customHeight="false" outlineLevel="0" collapsed="false">
      <c r="A333" s="12"/>
      <c r="B333" s="13"/>
      <c r="C333" s="13"/>
      <c r="D333" s="13"/>
      <c r="E333" s="13"/>
      <c r="F333" s="13"/>
      <c r="G333" s="13"/>
      <c r="H333" s="13"/>
      <c r="I333" s="14" t="str">
        <f aca="false">IF(A333="","",B333+C333+E333-F333-G333)</f>
        <v/>
      </c>
      <c r="J333" s="14" t="str">
        <f aca="false">IF(OR(A333="",H333=""),"",ROUND(H333-I333,2))</f>
        <v/>
      </c>
      <c r="K333" s="15" t="str">
        <f aca="false">IF(J333="","",IF(J333=0,"Tam",IF(J333&lt;0,"Açık","Fazla")))</f>
        <v/>
      </c>
      <c r="L333" s="14" t="str">
        <f aca="false">IF(A333="","",C333+D333)</f>
        <v/>
      </c>
    </row>
    <row r="334" customFormat="false" ht="15" hidden="false" customHeight="false" outlineLevel="0" collapsed="false">
      <c r="A334" s="12"/>
      <c r="B334" s="13"/>
      <c r="C334" s="13"/>
      <c r="D334" s="13"/>
      <c r="E334" s="13"/>
      <c r="F334" s="13"/>
      <c r="G334" s="13"/>
      <c r="H334" s="13"/>
      <c r="I334" s="14" t="str">
        <f aca="false">IF(A334="","",B334+C334+E334-F334-G334)</f>
        <v/>
      </c>
      <c r="J334" s="14" t="str">
        <f aca="false">IF(OR(A334="",H334=""),"",ROUND(H334-I334,2))</f>
        <v/>
      </c>
      <c r="K334" s="15" t="str">
        <f aca="false">IF(J334="","",IF(J334=0,"Tam",IF(J334&lt;0,"Açık","Fazla")))</f>
        <v/>
      </c>
      <c r="L334" s="14" t="str">
        <f aca="false">IF(A334="","",C334+D334)</f>
        <v/>
      </c>
    </row>
    <row r="335" customFormat="false" ht="15" hidden="false" customHeight="false" outlineLevel="0" collapsed="false">
      <c r="A335" s="12"/>
      <c r="B335" s="13"/>
      <c r="C335" s="13"/>
      <c r="D335" s="13"/>
      <c r="E335" s="13"/>
      <c r="F335" s="13"/>
      <c r="G335" s="13"/>
      <c r="H335" s="13"/>
      <c r="I335" s="14" t="str">
        <f aca="false">IF(A335="","",B335+C335+E335-F335-G335)</f>
        <v/>
      </c>
      <c r="J335" s="14" t="str">
        <f aca="false">IF(OR(A335="",H335=""),"",ROUND(H335-I335,2))</f>
        <v/>
      </c>
      <c r="K335" s="15" t="str">
        <f aca="false">IF(J335="","",IF(J335=0,"Tam",IF(J335&lt;0,"Açık","Fazla")))</f>
        <v/>
      </c>
      <c r="L335" s="14" t="str">
        <f aca="false">IF(A335="","",C335+D335)</f>
        <v/>
      </c>
    </row>
    <row r="336" customFormat="false" ht="15" hidden="false" customHeight="false" outlineLevel="0" collapsed="false">
      <c r="A336" s="12"/>
      <c r="B336" s="13"/>
      <c r="C336" s="13"/>
      <c r="D336" s="13"/>
      <c r="E336" s="13"/>
      <c r="F336" s="13"/>
      <c r="G336" s="13"/>
      <c r="H336" s="13"/>
      <c r="I336" s="14" t="str">
        <f aca="false">IF(A336="","",B336+C336+E336-F336-G336)</f>
        <v/>
      </c>
      <c r="J336" s="14" t="str">
        <f aca="false">IF(OR(A336="",H336=""),"",ROUND(H336-I336,2))</f>
        <v/>
      </c>
      <c r="K336" s="15" t="str">
        <f aca="false">IF(J336="","",IF(J336=0,"Tam",IF(J336&lt;0,"Açık","Fazla")))</f>
        <v/>
      </c>
      <c r="L336" s="14" t="str">
        <f aca="false">IF(A336="","",C336+D336)</f>
        <v/>
      </c>
    </row>
    <row r="337" customFormat="false" ht="15" hidden="false" customHeight="false" outlineLevel="0" collapsed="false">
      <c r="A337" s="12"/>
      <c r="B337" s="13"/>
      <c r="C337" s="13"/>
      <c r="D337" s="13"/>
      <c r="E337" s="13"/>
      <c r="F337" s="13"/>
      <c r="G337" s="13"/>
      <c r="H337" s="13"/>
      <c r="I337" s="14" t="str">
        <f aca="false">IF(A337="","",B337+C337+E337-F337-G337)</f>
        <v/>
      </c>
      <c r="J337" s="14" t="str">
        <f aca="false">IF(OR(A337="",H337=""),"",ROUND(H337-I337,2))</f>
        <v/>
      </c>
      <c r="K337" s="15" t="str">
        <f aca="false">IF(J337="","",IF(J337=0,"Tam",IF(J337&lt;0,"Açık","Fazla")))</f>
        <v/>
      </c>
      <c r="L337" s="14" t="str">
        <f aca="false">IF(A337="","",C337+D337)</f>
        <v/>
      </c>
    </row>
    <row r="338" customFormat="false" ht="15" hidden="false" customHeight="false" outlineLevel="0" collapsed="false">
      <c r="A338" s="12"/>
      <c r="B338" s="13"/>
      <c r="C338" s="13"/>
      <c r="D338" s="13"/>
      <c r="E338" s="13"/>
      <c r="F338" s="13"/>
      <c r="G338" s="13"/>
      <c r="H338" s="13"/>
      <c r="I338" s="14" t="str">
        <f aca="false">IF(A338="","",B338+C338+E338-F338-G338)</f>
        <v/>
      </c>
      <c r="J338" s="14" t="str">
        <f aca="false">IF(OR(A338="",H338=""),"",ROUND(H338-I338,2))</f>
        <v/>
      </c>
      <c r="K338" s="15" t="str">
        <f aca="false">IF(J338="","",IF(J338=0,"Tam",IF(J338&lt;0,"Açık","Fazla")))</f>
        <v/>
      </c>
      <c r="L338" s="14" t="str">
        <f aca="false">IF(A338="","",C338+D338)</f>
        <v/>
      </c>
    </row>
    <row r="339" customFormat="false" ht="15" hidden="false" customHeight="false" outlineLevel="0" collapsed="false">
      <c r="A339" s="12"/>
      <c r="B339" s="13"/>
      <c r="C339" s="13"/>
      <c r="D339" s="13"/>
      <c r="E339" s="13"/>
      <c r="F339" s="13"/>
      <c r="G339" s="13"/>
      <c r="H339" s="13"/>
      <c r="I339" s="14" t="str">
        <f aca="false">IF(A339="","",B339+C339+E339-F339-G339)</f>
        <v/>
      </c>
      <c r="J339" s="14" t="str">
        <f aca="false">IF(OR(A339="",H339=""),"",ROUND(H339-I339,2))</f>
        <v/>
      </c>
      <c r="K339" s="15" t="str">
        <f aca="false">IF(J339="","",IF(J339=0,"Tam",IF(J339&lt;0,"Açık","Fazla")))</f>
        <v/>
      </c>
      <c r="L339" s="14" t="str">
        <f aca="false">IF(A339="","",C339+D339)</f>
        <v/>
      </c>
    </row>
    <row r="340" customFormat="false" ht="15" hidden="false" customHeight="false" outlineLevel="0" collapsed="false">
      <c r="A340" s="12"/>
      <c r="B340" s="13"/>
      <c r="C340" s="13"/>
      <c r="D340" s="13"/>
      <c r="E340" s="13"/>
      <c r="F340" s="13"/>
      <c r="G340" s="13"/>
      <c r="H340" s="13"/>
      <c r="I340" s="14" t="str">
        <f aca="false">IF(A340="","",B340+C340+E340-F340-G340)</f>
        <v/>
      </c>
      <c r="J340" s="14" t="str">
        <f aca="false">IF(OR(A340="",H340=""),"",ROUND(H340-I340,2))</f>
        <v/>
      </c>
      <c r="K340" s="15" t="str">
        <f aca="false">IF(J340="","",IF(J340=0,"Tam",IF(J340&lt;0,"Açık","Fazla")))</f>
        <v/>
      </c>
      <c r="L340" s="14" t="str">
        <f aca="false">IF(A340="","",C340+D340)</f>
        <v/>
      </c>
    </row>
    <row r="341" customFormat="false" ht="15" hidden="false" customHeight="false" outlineLevel="0" collapsed="false">
      <c r="A341" s="12"/>
      <c r="B341" s="13"/>
      <c r="C341" s="13"/>
      <c r="D341" s="13"/>
      <c r="E341" s="13"/>
      <c r="F341" s="13"/>
      <c r="G341" s="13"/>
      <c r="H341" s="13"/>
      <c r="I341" s="14" t="str">
        <f aca="false">IF(A341="","",B341+C341+E341-F341-G341)</f>
        <v/>
      </c>
      <c r="J341" s="14" t="str">
        <f aca="false">IF(OR(A341="",H341=""),"",ROUND(H341-I341,2))</f>
        <v/>
      </c>
      <c r="K341" s="15" t="str">
        <f aca="false">IF(J341="","",IF(J341=0,"Tam",IF(J341&lt;0,"Açık","Fazla")))</f>
        <v/>
      </c>
      <c r="L341" s="14" t="str">
        <f aca="false">IF(A341="","",C341+D341)</f>
        <v/>
      </c>
    </row>
    <row r="342" customFormat="false" ht="15" hidden="false" customHeight="false" outlineLevel="0" collapsed="false">
      <c r="A342" s="12"/>
      <c r="B342" s="13"/>
      <c r="C342" s="13"/>
      <c r="D342" s="13"/>
      <c r="E342" s="13"/>
      <c r="F342" s="13"/>
      <c r="G342" s="13"/>
      <c r="H342" s="13"/>
      <c r="I342" s="14" t="str">
        <f aca="false">IF(A342="","",B342+C342+E342-F342-G342)</f>
        <v/>
      </c>
      <c r="J342" s="14" t="str">
        <f aca="false">IF(OR(A342="",H342=""),"",ROUND(H342-I342,2))</f>
        <v/>
      </c>
      <c r="K342" s="15" t="str">
        <f aca="false">IF(J342="","",IF(J342=0,"Tam",IF(J342&lt;0,"Açık","Fazla")))</f>
        <v/>
      </c>
      <c r="L342" s="14" t="str">
        <f aca="false">IF(A342="","",C342+D342)</f>
        <v/>
      </c>
    </row>
    <row r="343" customFormat="false" ht="15" hidden="false" customHeight="false" outlineLevel="0" collapsed="false">
      <c r="A343" s="12"/>
      <c r="B343" s="13"/>
      <c r="C343" s="13"/>
      <c r="D343" s="13"/>
      <c r="E343" s="13"/>
      <c r="F343" s="13"/>
      <c r="G343" s="13"/>
      <c r="H343" s="13"/>
      <c r="I343" s="14" t="str">
        <f aca="false">IF(A343="","",B343+C343+E343-F343-G343)</f>
        <v/>
      </c>
      <c r="J343" s="14" t="str">
        <f aca="false">IF(OR(A343="",H343=""),"",ROUND(H343-I343,2))</f>
        <v/>
      </c>
      <c r="K343" s="15" t="str">
        <f aca="false">IF(J343="","",IF(J343=0,"Tam",IF(J343&lt;0,"Açık","Fazla")))</f>
        <v/>
      </c>
      <c r="L343" s="14" t="str">
        <f aca="false">IF(A343="","",C343+D343)</f>
        <v/>
      </c>
    </row>
    <row r="344" customFormat="false" ht="15" hidden="false" customHeight="false" outlineLevel="0" collapsed="false">
      <c r="A344" s="12"/>
      <c r="B344" s="13"/>
      <c r="C344" s="13"/>
      <c r="D344" s="13"/>
      <c r="E344" s="13"/>
      <c r="F344" s="13"/>
      <c r="G344" s="13"/>
      <c r="H344" s="13"/>
      <c r="I344" s="14" t="str">
        <f aca="false">IF(A344="","",B344+C344+E344-F344-G344)</f>
        <v/>
      </c>
      <c r="J344" s="14" t="str">
        <f aca="false">IF(OR(A344="",H344=""),"",ROUND(H344-I344,2))</f>
        <v/>
      </c>
      <c r="K344" s="15" t="str">
        <f aca="false">IF(J344="","",IF(J344=0,"Tam",IF(J344&lt;0,"Açık","Fazla")))</f>
        <v/>
      </c>
      <c r="L344" s="14" t="str">
        <f aca="false">IF(A344="","",C344+D344)</f>
        <v/>
      </c>
    </row>
    <row r="345" customFormat="false" ht="15" hidden="false" customHeight="false" outlineLevel="0" collapsed="false">
      <c r="A345" s="12"/>
      <c r="B345" s="13"/>
      <c r="C345" s="13"/>
      <c r="D345" s="13"/>
      <c r="E345" s="13"/>
      <c r="F345" s="13"/>
      <c r="G345" s="13"/>
      <c r="H345" s="13"/>
      <c r="I345" s="14" t="str">
        <f aca="false">IF(A345="","",B345+C345+E345-F345-G345)</f>
        <v/>
      </c>
      <c r="J345" s="14" t="str">
        <f aca="false">IF(OR(A345="",H345=""),"",ROUND(H345-I345,2))</f>
        <v/>
      </c>
      <c r="K345" s="15" t="str">
        <f aca="false">IF(J345="","",IF(J345=0,"Tam",IF(J345&lt;0,"Açık","Fazla")))</f>
        <v/>
      </c>
      <c r="L345" s="14" t="str">
        <f aca="false">IF(A345="","",C345+D345)</f>
        <v/>
      </c>
    </row>
    <row r="346" customFormat="false" ht="15" hidden="false" customHeight="false" outlineLevel="0" collapsed="false">
      <c r="A346" s="12"/>
      <c r="B346" s="13"/>
      <c r="C346" s="13"/>
      <c r="D346" s="13"/>
      <c r="E346" s="13"/>
      <c r="F346" s="13"/>
      <c r="G346" s="13"/>
      <c r="H346" s="13"/>
      <c r="I346" s="14" t="str">
        <f aca="false">IF(A346="","",B346+C346+E346-F346-G346)</f>
        <v/>
      </c>
      <c r="J346" s="14" t="str">
        <f aca="false">IF(OR(A346="",H346=""),"",ROUND(H346-I346,2))</f>
        <v/>
      </c>
      <c r="K346" s="15" t="str">
        <f aca="false">IF(J346="","",IF(J346=0,"Tam",IF(J346&lt;0,"Açık","Fazla")))</f>
        <v/>
      </c>
      <c r="L346" s="14" t="str">
        <f aca="false">IF(A346="","",C346+D346)</f>
        <v/>
      </c>
    </row>
    <row r="347" customFormat="false" ht="15" hidden="false" customHeight="false" outlineLevel="0" collapsed="false">
      <c r="A347" s="12"/>
      <c r="B347" s="13"/>
      <c r="C347" s="13"/>
      <c r="D347" s="13"/>
      <c r="E347" s="13"/>
      <c r="F347" s="13"/>
      <c r="G347" s="13"/>
      <c r="H347" s="13"/>
      <c r="I347" s="14" t="str">
        <f aca="false">IF(A347="","",B347+C347+E347-F347-G347)</f>
        <v/>
      </c>
      <c r="J347" s="14" t="str">
        <f aca="false">IF(OR(A347="",H347=""),"",ROUND(H347-I347,2))</f>
        <v/>
      </c>
      <c r="K347" s="15" t="str">
        <f aca="false">IF(J347="","",IF(J347=0,"Tam",IF(J347&lt;0,"Açık","Fazla")))</f>
        <v/>
      </c>
      <c r="L347" s="14" t="str">
        <f aca="false">IF(A347="","",C347+D347)</f>
        <v/>
      </c>
    </row>
    <row r="348" customFormat="false" ht="15" hidden="false" customHeight="false" outlineLevel="0" collapsed="false">
      <c r="A348" s="12"/>
      <c r="B348" s="13"/>
      <c r="C348" s="13"/>
      <c r="D348" s="13"/>
      <c r="E348" s="13"/>
      <c r="F348" s="13"/>
      <c r="G348" s="13"/>
      <c r="H348" s="13"/>
      <c r="I348" s="14" t="str">
        <f aca="false">IF(A348="","",B348+C348+E348-F348-G348)</f>
        <v/>
      </c>
      <c r="J348" s="14" t="str">
        <f aca="false">IF(OR(A348="",H348=""),"",ROUND(H348-I348,2))</f>
        <v/>
      </c>
      <c r="K348" s="15" t="str">
        <f aca="false">IF(J348="","",IF(J348=0,"Tam",IF(J348&lt;0,"Açık","Fazla")))</f>
        <v/>
      </c>
      <c r="L348" s="14" t="str">
        <f aca="false">IF(A348="","",C348+D348)</f>
        <v/>
      </c>
    </row>
    <row r="349" customFormat="false" ht="15" hidden="false" customHeight="false" outlineLevel="0" collapsed="false">
      <c r="A349" s="12"/>
      <c r="B349" s="13"/>
      <c r="C349" s="13"/>
      <c r="D349" s="13"/>
      <c r="E349" s="13"/>
      <c r="F349" s="13"/>
      <c r="G349" s="13"/>
      <c r="H349" s="13"/>
      <c r="I349" s="14" t="str">
        <f aca="false">IF(A349="","",B349+C349+E349-F349-G349)</f>
        <v/>
      </c>
      <c r="J349" s="14" t="str">
        <f aca="false">IF(OR(A349="",H349=""),"",ROUND(H349-I349,2))</f>
        <v/>
      </c>
      <c r="K349" s="15" t="str">
        <f aca="false">IF(J349="","",IF(J349=0,"Tam",IF(J349&lt;0,"Açık","Fazla")))</f>
        <v/>
      </c>
      <c r="L349" s="14" t="str">
        <f aca="false">IF(A349="","",C349+D349)</f>
        <v/>
      </c>
    </row>
    <row r="350" customFormat="false" ht="15" hidden="false" customHeight="false" outlineLevel="0" collapsed="false">
      <c r="A350" s="12"/>
      <c r="B350" s="13"/>
      <c r="C350" s="13"/>
      <c r="D350" s="13"/>
      <c r="E350" s="13"/>
      <c r="F350" s="13"/>
      <c r="G350" s="13"/>
      <c r="H350" s="13"/>
      <c r="I350" s="14" t="str">
        <f aca="false">IF(A350="","",B350+C350+E350-F350-G350)</f>
        <v/>
      </c>
      <c r="J350" s="14" t="str">
        <f aca="false">IF(OR(A350="",H350=""),"",ROUND(H350-I350,2))</f>
        <v/>
      </c>
      <c r="K350" s="15" t="str">
        <f aca="false">IF(J350="","",IF(J350=0,"Tam",IF(J350&lt;0,"Açık","Fazla")))</f>
        <v/>
      </c>
      <c r="L350" s="14" t="str">
        <f aca="false">IF(A350="","",C350+D350)</f>
        <v/>
      </c>
    </row>
    <row r="351" customFormat="false" ht="15" hidden="false" customHeight="false" outlineLevel="0" collapsed="false">
      <c r="A351" s="12"/>
      <c r="B351" s="13"/>
      <c r="C351" s="13"/>
      <c r="D351" s="13"/>
      <c r="E351" s="13"/>
      <c r="F351" s="13"/>
      <c r="G351" s="13"/>
      <c r="H351" s="13"/>
      <c r="I351" s="14" t="str">
        <f aca="false">IF(A351="","",B351+C351+E351-F351-G351)</f>
        <v/>
      </c>
      <c r="J351" s="14" t="str">
        <f aca="false">IF(OR(A351="",H351=""),"",ROUND(H351-I351,2))</f>
        <v/>
      </c>
      <c r="K351" s="15" t="str">
        <f aca="false">IF(J351="","",IF(J351=0,"Tam",IF(J351&lt;0,"Açık","Fazla")))</f>
        <v/>
      </c>
      <c r="L351" s="14" t="str">
        <f aca="false">IF(A351="","",C351+D351)</f>
        <v/>
      </c>
    </row>
    <row r="352" customFormat="false" ht="15" hidden="false" customHeight="false" outlineLevel="0" collapsed="false">
      <c r="A352" s="12"/>
      <c r="B352" s="13"/>
      <c r="C352" s="13"/>
      <c r="D352" s="13"/>
      <c r="E352" s="13"/>
      <c r="F352" s="13"/>
      <c r="G352" s="13"/>
      <c r="H352" s="13"/>
      <c r="I352" s="14" t="str">
        <f aca="false">IF(A352="","",B352+C352+E352-F352-G352)</f>
        <v/>
      </c>
      <c r="J352" s="14" t="str">
        <f aca="false">IF(OR(A352="",H352=""),"",ROUND(H352-I352,2))</f>
        <v/>
      </c>
      <c r="K352" s="15" t="str">
        <f aca="false">IF(J352="","",IF(J352=0,"Tam",IF(J352&lt;0,"Açık","Fazla")))</f>
        <v/>
      </c>
      <c r="L352" s="14" t="str">
        <f aca="false">IF(A352="","",C352+D352)</f>
        <v/>
      </c>
    </row>
    <row r="353" customFormat="false" ht="15" hidden="false" customHeight="false" outlineLevel="0" collapsed="false">
      <c r="A353" s="12"/>
      <c r="B353" s="13"/>
      <c r="C353" s="13"/>
      <c r="D353" s="13"/>
      <c r="E353" s="13"/>
      <c r="F353" s="13"/>
      <c r="G353" s="13"/>
      <c r="H353" s="13"/>
      <c r="I353" s="14" t="str">
        <f aca="false">IF(A353="","",B353+C353+E353-F353-G353)</f>
        <v/>
      </c>
      <c r="J353" s="14" t="str">
        <f aca="false">IF(OR(A353="",H353=""),"",ROUND(H353-I353,2))</f>
        <v/>
      </c>
      <c r="K353" s="15" t="str">
        <f aca="false">IF(J353="","",IF(J353=0,"Tam",IF(J353&lt;0,"Açık","Fazla")))</f>
        <v/>
      </c>
      <c r="L353" s="14" t="str">
        <f aca="false">IF(A353="","",C353+D353)</f>
        <v/>
      </c>
    </row>
    <row r="354" customFormat="false" ht="15" hidden="false" customHeight="false" outlineLevel="0" collapsed="false">
      <c r="A354" s="12"/>
      <c r="B354" s="13"/>
      <c r="C354" s="13"/>
      <c r="D354" s="13"/>
      <c r="E354" s="13"/>
      <c r="F354" s="13"/>
      <c r="G354" s="13"/>
      <c r="H354" s="13"/>
      <c r="I354" s="14" t="str">
        <f aca="false">IF(A354="","",B354+C354+E354-F354-G354)</f>
        <v/>
      </c>
      <c r="J354" s="14" t="str">
        <f aca="false">IF(OR(A354="",H354=""),"",ROUND(H354-I354,2))</f>
        <v/>
      </c>
      <c r="K354" s="15" t="str">
        <f aca="false">IF(J354="","",IF(J354=0,"Tam",IF(J354&lt;0,"Açık","Fazla")))</f>
        <v/>
      </c>
      <c r="L354" s="14" t="str">
        <f aca="false">IF(A354="","",C354+D354)</f>
        <v/>
      </c>
    </row>
    <row r="355" customFormat="false" ht="15" hidden="false" customHeight="false" outlineLevel="0" collapsed="false">
      <c r="A355" s="12"/>
      <c r="B355" s="13"/>
      <c r="C355" s="13"/>
      <c r="D355" s="13"/>
      <c r="E355" s="13"/>
      <c r="F355" s="13"/>
      <c r="G355" s="13"/>
      <c r="H355" s="13"/>
      <c r="I355" s="14" t="str">
        <f aca="false">IF(A355="","",B355+C355+E355-F355-G355)</f>
        <v/>
      </c>
      <c r="J355" s="14" t="str">
        <f aca="false">IF(OR(A355="",H355=""),"",ROUND(H355-I355,2))</f>
        <v/>
      </c>
      <c r="K355" s="15" t="str">
        <f aca="false">IF(J355="","",IF(J355=0,"Tam",IF(J355&lt;0,"Açık","Fazla")))</f>
        <v/>
      </c>
      <c r="L355" s="14" t="str">
        <f aca="false">IF(A355="","",C355+D355)</f>
        <v/>
      </c>
    </row>
    <row r="356" customFormat="false" ht="15" hidden="false" customHeight="false" outlineLevel="0" collapsed="false">
      <c r="A356" s="12"/>
      <c r="B356" s="13"/>
      <c r="C356" s="13"/>
      <c r="D356" s="13"/>
      <c r="E356" s="13"/>
      <c r="F356" s="13"/>
      <c r="G356" s="13"/>
      <c r="H356" s="13"/>
      <c r="I356" s="14" t="str">
        <f aca="false">IF(A356="","",B356+C356+E356-F356-G356)</f>
        <v/>
      </c>
      <c r="J356" s="14" t="str">
        <f aca="false">IF(OR(A356="",H356=""),"",ROUND(H356-I356,2))</f>
        <v/>
      </c>
      <c r="K356" s="15" t="str">
        <f aca="false">IF(J356="","",IF(J356=0,"Tam",IF(J356&lt;0,"Açık","Fazla")))</f>
        <v/>
      </c>
      <c r="L356" s="14" t="str">
        <f aca="false">IF(A356="","",C356+D356)</f>
        <v/>
      </c>
    </row>
    <row r="357" customFormat="false" ht="15" hidden="false" customHeight="false" outlineLevel="0" collapsed="false">
      <c r="A357" s="12"/>
      <c r="B357" s="13"/>
      <c r="C357" s="13"/>
      <c r="D357" s="13"/>
      <c r="E357" s="13"/>
      <c r="F357" s="13"/>
      <c r="G357" s="13"/>
      <c r="H357" s="13"/>
      <c r="I357" s="14" t="str">
        <f aca="false">IF(A357="","",B357+C357+E357-F357-G357)</f>
        <v/>
      </c>
      <c r="J357" s="14" t="str">
        <f aca="false">IF(OR(A357="",H357=""),"",ROUND(H357-I357,2))</f>
        <v/>
      </c>
      <c r="K357" s="15" t="str">
        <f aca="false">IF(J357="","",IF(J357=0,"Tam",IF(J357&lt;0,"Açık","Fazla")))</f>
        <v/>
      </c>
      <c r="L357" s="14" t="str">
        <f aca="false">IF(A357="","",C357+D357)</f>
        <v/>
      </c>
    </row>
    <row r="358" customFormat="false" ht="15" hidden="false" customHeight="false" outlineLevel="0" collapsed="false">
      <c r="A358" s="12"/>
      <c r="B358" s="13"/>
      <c r="C358" s="13"/>
      <c r="D358" s="13"/>
      <c r="E358" s="13"/>
      <c r="F358" s="13"/>
      <c r="G358" s="13"/>
      <c r="H358" s="13"/>
      <c r="I358" s="14" t="str">
        <f aca="false">IF(A358="","",B358+C358+E358-F358-G358)</f>
        <v/>
      </c>
      <c r="J358" s="14" t="str">
        <f aca="false">IF(OR(A358="",H358=""),"",ROUND(H358-I358,2))</f>
        <v/>
      </c>
      <c r="K358" s="15" t="str">
        <f aca="false">IF(J358="","",IF(J358=0,"Tam",IF(J358&lt;0,"Açık","Fazla")))</f>
        <v/>
      </c>
      <c r="L358" s="14" t="str">
        <f aca="false">IF(A358="","",C358+D358)</f>
        <v/>
      </c>
    </row>
    <row r="359" customFormat="false" ht="15" hidden="false" customHeight="false" outlineLevel="0" collapsed="false">
      <c r="A359" s="12"/>
      <c r="B359" s="13"/>
      <c r="C359" s="13"/>
      <c r="D359" s="13"/>
      <c r="E359" s="13"/>
      <c r="F359" s="13"/>
      <c r="G359" s="13"/>
      <c r="H359" s="13"/>
      <c r="I359" s="14" t="str">
        <f aca="false">IF(A359="","",B359+C359+E359-F359-G359)</f>
        <v/>
      </c>
      <c r="J359" s="14" t="str">
        <f aca="false">IF(OR(A359="",H359=""),"",ROUND(H359-I359,2))</f>
        <v/>
      </c>
      <c r="K359" s="15" t="str">
        <f aca="false">IF(J359="","",IF(J359=0,"Tam",IF(J359&lt;0,"Açık","Fazla")))</f>
        <v/>
      </c>
      <c r="L359" s="14" t="str">
        <f aca="false">IF(A359="","",C359+D359)</f>
        <v/>
      </c>
    </row>
    <row r="360" customFormat="false" ht="15" hidden="false" customHeight="false" outlineLevel="0" collapsed="false">
      <c r="A360" s="12"/>
      <c r="B360" s="13"/>
      <c r="C360" s="13"/>
      <c r="D360" s="13"/>
      <c r="E360" s="13"/>
      <c r="F360" s="13"/>
      <c r="G360" s="13"/>
      <c r="H360" s="13"/>
      <c r="I360" s="14" t="str">
        <f aca="false">IF(A360="","",B360+C360+E360-F360-G360)</f>
        <v/>
      </c>
      <c r="J360" s="14" t="str">
        <f aca="false">IF(OR(A360="",H360=""),"",ROUND(H360-I360,2))</f>
        <v/>
      </c>
      <c r="K360" s="15" t="str">
        <f aca="false">IF(J360="","",IF(J360=0,"Tam",IF(J360&lt;0,"Açık","Fazla")))</f>
        <v/>
      </c>
      <c r="L360" s="14" t="str">
        <f aca="false">IF(A360="","",C360+D360)</f>
        <v/>
      </c>
    </row>
    <row r="361" customFormat="false" ht="15" hidden="false" customHeight="false" outlineLevel="0" collapsed="false">
      <c r="A361" s="12"/>
      <c r="B361" s="13"/>
      <c r="C361" s="13"/>
      <c r="D361" s="13"/>
      <c r="E361" s="13"/>
      <c r="F361" s="13"/>
      <c r="G361" s="13"/>
      <c r="H361" s="13"/>
      <c r="I361" s="14" t="str">
        <f aca="false">IF(A361="","",B361+C361+E361-F361-G361)</f>
        <v/>
      </c>
      <c r="J361" s="14" t="str">
        <f aca="false">IF(OR(A361="",H361=""),"",ROUND(H361-I361,2))</f>
        <v/>
      </c>
      <c r="K361" s="15" t="str">
        <f aca="false">IF(J361="","",IF(J361=0,"Tam",IF(J361&lt;0,"Açık","Fazla")))</f>
        <v/>
      </c>
      <c r="L361" s="14" t="str">
        <f aca="false">IF(A361="","",C361+D361)</f>
        <v/>
      </c>
    </row>
    <row r="362" customFormat="false" ht="15" hidden="false" customHeight="false" outlineLevel="0" collapsed="false">
      <c r="A362" s="12"/>
      <c r="B362" s="13"/>
      <c r="C362" s="13"/>
      <c r="D362" s="13"/>
      <c r="E362" s="13"/>
      <c r="F362" s="13"/>
      <c r="G362" s="13"/>
      <c r="H362" s="13"/>
      <c r="I362" s="14" t="str">
        <f aca="false">IF(A362="","",B362+C362+E362-F362-G362)</f>
        <v/>
      </c>
      <c r="J362" s="14" t="str">
        <f aca="false">IF(OR(A362="",H362=""),"",ROUND(H362-I362,2))</f>
        <v/>
      </c>
      <c r="K362" s="15" t="str">
        <f aca="false">IF(J362="","",IF(J362=0,"Tam",IF(J362&lt;0,"Açık","Fazla")))</f>
        <v/>
      </c>
      <c r="L362" s="14" t="str">
        <f aca="false">IF(A362="","",C362+D362)</f>
        <v/>
      </c>
    </row>
    <row r="363" customFormat="false" ht="15" hidden="false" customHeight="false" outlineLevel="0" collapsed="false">
      <c r="A363" s="12"/>
      <c r="B363" s="13"/>
      <c r="C363" s="13"/>
      <c r="D363" s="13"/>
      <c r="E363" s="13"/>
      <c r="F363" s="13"/>
      <c r="G363" s="13"/>
      <c r="H363" s="13"/>
      <c r="I363" s="14" t="str">
        <f aca="false">IF(A363="","",B363+C363+E363-F363-G363)</f>
        <v/>
      </c>
      <c r="J363" s="14" t="str">
        <f aca="false">IF(OR(A363="",H363=""),"",ROUND(H363-I363,2))</f>
        <v/>
      </c>
      <c r="K363" s="15" t="str">
        <f aca="false">IF(J363="","",IF(J363=0,"Tam",IF(J363&lt;0,"Açık","Fazla")))</f>
        <v/>
      </c>
      <c r="L363" s="14" t="str">
        <f aca="false">IF(A363="","",C363+D363)</f>
        <v/>
      </c>
    </row>
    <row r="364" customFormat="false" ht="15" hidden="false" customHeight="false" outlineLevel="0" collapsed="false">
      <c r="A364" s="12"/>
      <c r="B364" s="13"/>
      <c r="C364" s="13"/>
      <c r="D364" s="13"/>
      <c r="E364" s="13"/>
      <c r="F364" s="13"/>
      <c r="G364" s="13"/>
      <c r="H364" s="13"/>
      <c r="I364" s="14" t="str">
        <f aca="false">IF(A364="","",B364+C364+E364-F364-G364)</f>
        <v/>
      </c>
      <c r="J364" s="14" t="str">
        <f aca="false">IF(OR(A364="",H364=""),"",ROUND(H364-I364,2))</f>
        <v/>
      </c>
      <c r="K364" s="15" t="str">
        <f aca="false">IF(J364="","",IF(J364=0,"Tam",IF(J364&lt;0,"Açık","Fazla")))</f>
        <v/>
      </c>
      <c r="L364" s="14" t="str">
        <f aca="false">IF(A364="","",C364+D364)</f>
        <v/>
      </c>
    </row>
    <row r="365" customFormat="false" ht="15" hidden="false" customHeight="false" outlineLevel="0" collapsed="false">
      <c r="A365" s="12"/>
      <c r="B365" s="13"/>
      <c r="C365" s="13"/>
      <c r="D365" s="13"/>
      <c r="E365" s="13"/>
      <c r="F365" s="13"/>
      <c r="G365" s="13"/>
      <c r="H365" s="13"/>
      <c r="I365" s="14" t="str">
        <f aca="false">IF(A365="","",B365+C365+E365-F365-G365)</f>
        <v/>
      </c>
      <c r="J365" s="14" t="str">
        <f aca="false">IF(OR(A365="",H365=""),"",ROUND(H365-I365,2))</f>
        <v/>
      </c>
      <c r="K365" s="15" t="str">
        <f aca="false">IF(J365="","",IF(J365=0,"Tam",IF(J365&lt;0,"Açık","Fazla")))</f>
        <v/>
      </c>
      <c r="L365" s="14" t="str">
        <f aca="false">IF(A365="","",C365+D365)</f>
        <v/>
      </c>
    </row>
    <row r="366" customFormat="false" ht="15" hidden="false" customHeight="false" outlineLevel="0" collapsed="false">
      <c r="A366" s="12"/>
      <c r="B366" s="13"/>
      <c r="C366" s="13"/>
      <c r="D366" s="13"/>
      <c r="E366" s="13"/>
      <c r="F366" s="13"/>
      <c r="G366" s="13"/>
      <c r="H366" s="13"/>
      <c r="I366" s="14" t="str">
        <f aca="false">IF(A366="","",B366+C366+E366-F366-G366)</f>
        <v/>
      </c>
      <c r="J366" s="14" t="str">
        <f aca="false">IF(OR(A366="",H366=""),"",ROUND(H366-I366,2))</f>
        <v/>
      </c>
      <c r="K366" s="15" t="str">
        <f aca="false">IF(J366="","",IF(J366=0,"Tam",IF(J366&lt;0,"Açık","Fazla")))</f>
        <v/>
      </c>
      <c r="L366" s="14" t="str">
        <f aca="false">IF(A366="","",C366+D366)</f>
        <v/>
      </c>
    </row>
    <row r="367" customFormat="false" ht="15" hidden="false" customHeight="false" outlineLevel="0" collapsed="false">
      <c r="A367" s="12"/>
      <c r="B367" s="13"/>
      <c r="C367" s="13"/>
      <c r="D367" s="13"/>
      <c r="E367" s="13"/>
      <c r="F367" s="13"/>
      <c r="G367" s="13"/>
      <c r="H367" s="13"/>
      <c r="I367" s="14" t="str">
        <f aca="false">IF(A367="","",B367+C367+E367-F367-G367)</f>
        <v/>
      </c>
      <c r="J367" s="14" t="str">
        <f aca="false">IF(OR(A367="",H367=""),"",ROUND(H367-I367,2))</f>
        <v/>
      </c>
      <c r="K367" s="15" t="str">
        <f aca="false">IF(J367="","",IF(J367=0,"Tam",IF(J367&lt;0,"Açık","Fazla")))</f>
        <v/>
      </c>
      <c r="L367" s="14" t="str">
        <f aca="false">IF(A367="","",C367+D367)</f>
        <v/>
      </c>
    </row>
    <row r="368" customFormat="false" ht="15" hidden="false" customHeight="false" outlineLevel="0" collapsed="false">
      <c r="A368" s="12"/>
      <c r="B368" s="13"/>
      <c r="C368" s="13"/>
      <c r="D368" s="13"/>
      <c r="E368" s="13"/>
      <c r="F368" s="13"/>
      <c r="G368" s="13"/>
      <c r="H368" s="13"/>
      <c r="I368" s="14" t="str">
        <f aca="false">IF(A368="","",B368+C368+E368-F368-G368)</f>
        <v/>
      </c>
      <c r="J368" s="14" t="str">
        <f aca="false">IF(OR(A368="",H368=""),"",ROUND(H368-I368,2))</f>
        <v/>
      </c>
      <c r="K368" s="15" t="str">
        <f aca="false">IF(J368="","",IF(J368=0,"Tam",IF(J368&lt;0,"Açık","Fazla")))</f>
        <v/>
      </c>
      <c r="L368" s="14" t="str">
        <f aca="false">IF(A368="","",C368+D368)</f>
        <v/>
      </c>
    </row>
    <row r="369" customFormat="false" ht="15" hidden="false" customHeight="false" outlineLevel="0" collapsed="false">
      <c r="A369" s="12"/>
      <c r="B369" s="13"/>
      <c r="C369" s="13"/>
      <c r="D369" s="13"/>
      <c r="E369" s="13"/>
      <c r="F369" s="13"/>
      <c r="G369" s="13"/>
      <c r="H369" s="13"/>
      <c r="I369" s="14" t="str">
        <f aca="false">IF(A369="","",B369+C369+E369-F369-G369)</f>
        <v/>
      </c>
      <c r="J369" s="14" t="str">
        <f aca="false">IF(OR(A369="",H369=""),"",ROUND(H369-I369,2))</f>
        <v/>
      </c>
      <c r="K369" s="15" t="str">
        <f aca="false">IF(J369="","",IF(J369=0,"Tam",IF(J369&lt;0,"Açık","Fazla")))</f>
        <v/>
      </c>
      <c r="L369" s="14" t="str">
        <f aca="false">IF(A369="","",C369+D369)</f>
        <v/>
      </c>
    </row>
    <row r="370" customFormat="false" ht="15" hidden="false" customHeight="false" outlineLevel="0" collapsed="false">
      <c r="A370" s="12"/>
      <c r="B370" s="13"/>
      <c r="C370" s="13"/>
      <c r="D370" s="13"/>
      <c r="E370" s="13"/>
      <c r="F370" s="13"/>
      <c r="G370" s="13"/>
      <c r="H370" s="13"/>
      <c r="I370" s="14" t="str">
        <f aca="false">IF(A370="","",B370+C370+E370-F370-G370)</f>
        <v/>
      </c>
      <c r="J370" s="14" t="str">
        <f aca="false">IF(OR(A370="",H370=""),"",ROUND(H370-I370,2))</f>
        <v/>
      </c>
      <c r="K370" s="15" t="str">
        <f aca="false">IF(J370="","",IF(J370=0,"Tam",IF(J370&lt;0,"Açık","Fazla")))</f>
        <v/>
      </c>
      <c r="L370" s="14" t="str">
        <f aca="false">IF(A370="","",C370+D370)</f>
        <v/>
      </c>
    </row>
    <row r="371" customFormat="false" ht="15" hidden="false" customHeight="false" outlineLevel="0" collapsed="false">
      <c r="A371" s="12"/>
      <c r="B371" s="13"/>
      <c r="C371" s="13"/>
      <c r="D371" s="13"/>
      <c r="E371" s="13"/>
      <c r="F371" s="13"/>
      <c r="G371" s="13"/>
      <c r="H371" s="13"/>
      <c r="I371" s="14" t="str">
        <f aca="false">IF(A371="","",B371+C371+E371-F371-G371)</f>
        <v/>
      </c>
      <c r="J371" s="14" t="str">
        <f aca="false">IF(OR(A371="",H371=""),"",ROUND(H371-I371,2))</f>
        <v/>
      </c>
      <c r="K371" s="15" t="str">
        <f aca="false">IF(J371="","",IF(J371=0,"Tam",IF(J371&lt;0,"Açık","Fazla")))</f>
        <v/>
      </c>
      <c r="L371" s="14" t="str">
        <f aca="false">IF(A371="","",C371+D371)</f>
        <v/>
      </c>
    </row>
    <row r="372" customFormat="false" ht="15" hidden="false" customHeight="false" outlineLevel="0" collapsed="false">
      <c r="A372" s="12"/>
      <c r="B372" s="13"/>
      <c r="C372" s="13"/>
      <c r="D372" s="13"/>
      <c r="E372" s="13"/>
      <c r="F372" s="13"/>
      <c r="G372" s="13"/>
      <c r="H372" s="13"/>
      <c r="I372" s="14" t="str">
        <f aca="false">IF(A372="","",B372+C372+E372-F372-G372)</f>
        <v/>
      </c>
      <c r="J372" s="14" t="str">
        <f aca="false">IF(OR(A372="",H372=""),"",ROUND(H372-I372,2))</f>
        <v/>
      </c>
      <c r="K372" s="15" t="str">
        <f aca="false">IF(J372="","",IF(J372=0,"Tam",IF(J372&lt;0,"Açık","Fazla")))</f>
        <v/>
      </c>
      <c r="L372" s="14" t="str">
        <f aca="false">IF(A372="","",C372+D372)</f>
        <v/>
      </c>
    </row>
    <row r="373" customFormat="false" ht="15" hidden="false" customHeight="false" outlineLevel="0" collapsed="false">
      <c r="A373" s="12"/>
      <c r="B373" s="13"/>
      <c r="C373" s="13"/>
      <c r="D373" s="13"/>
      <c r="E373" s="13"/>
      <c r="F373" s="13"/>
      <c r="G373" s="13"/>
      <c r="H373" s="13"/>
      <c r="I373" s="14" t="str">
        <f aca="false">IF(A373="","",B373+C373+E373-F373-G373)</f>
        <v/>
      </c>
      <c r="J373" s="14" t="str">
        <f aca="false">IF(OR(A373="",H373=""),"",ROUND(H373-I373,2))</f>
        <v/>
      </c>
      <c r="K373" s="15" t="str">
        <f aca="false">IF(J373="","",IF(J373=0,"Tam",IF(J373&lt;0,"Açık","Fazla")))</f>
        <v/>
      </c>
      <c r="L373" s="14" t="str">
        <f aca="false">IF(A373="","",C373+D373)</f>
        <v/>
      </c>
    </row>
    <row r="374" customFormat="false" ht="15" hidden="false" customHeight="false" outlineLevel="0" collapsed="false">
      <c r="A374" s="12"/>
      <c r="B374" s="13"/>
      <c r="C374" s="13"/>
      <c r="D374" s="13"/>
      <c r="E374" s="13"/>
      <c r="F374" s="13"/>
      <c r="G374" s="13"/>
      <c r="H374" s="13"/>
      <c r="I374" s="14" t="str">
        <f aca="false">IF(A374="","",B374+C374+E374-F374-G374)</f>
        <v/>
      </c>
      <c r="J374" s="14" t="str">
        <f aca="false">IF(OR(A374="",H374=""),"",ROUND(H374-I374,2))</f>
        <v/>
      </c>
      <c r="K374" s="15" t="str">
        <f aca="false">IF(J374="","",IF(J374=0,"Tam",IF(J374&lt;0,"Açık","Fazla")))</f>
        <v/>
      </c>
      <c r="L374" s="14" t="str">
        <f aca="false">IF(A374="","",C374+D374)</f>
        <v/>
      </c>
    </row>
    <row r="375" customFormat="false" ht="15" hidden="false" customHeight="false" outlineLevel="0" collapsed="false">
      <c r="A375" s="12"/>
      <c r="B375" s="13"/>
      <c r="C375" s="13"/>
      <c r="D375" s="13"/>
      <c r="E375" s="13"/>
      <c r="F375" s="13"/>
      <c r="G375" s="13"/>
      <c r="H375" s="13"/>
      <c r="I375" s="14" t="str">
        <f aca="false">IF(A375="","",B375+C375+E375-F375-G375)</f>
        <v/>
      </c>
      <c r="J375" s="14" t="str">
        <f aca="false">IF(OR(A375="",H375=""),"",ROUND(H375-I375,2))</f>
        <v/>
      </c>
      <c r="K375" s="15" t="str">
        <f aca="false">IF(J375="","",IF(J375=0,"Tam",IF(J375&lt;0,"Açık","Fazla")))</f>
        <v/>
      </c>
      <c r="L375" s="14" t="str">
        <f aca="false">IF(A375="","",C375+D375)</f>
        <v/>
      </c>
    </row>
    <row r="376" customFormat="false" ht="15" hidden="false" customHeight="false" outlineLevel="0" collapsed="false">
      <c r="A376" s="12"/>
      <c r="B376" s="13"/>
      <c r="C376" s="13"/>
      <c r="D376" s="13"/>
      <c r="E376" s="13"/>
      <c r="F376" s="13"/>
      <c r="G376" s="13"/>
      <c r="H376" s="13"/>
      <c r="I376" s="14" t="str">
        <f aca="false">IF(A376="","",B376+C376+E376-F376-G376)</f>
        <v/>
      </c>
      <c r="J376" s="14" t="str">
        <f aca="false">IF(OR(A376="",H376=""),"",ROUND(H376-I376,2))</f>
        <v/>
      </c>
      <c r="K376" s="15" t="str">
        <f aca="false">IF(J376="","",IF(J376=0,"Tam",IF(J376&lt;0,"Açık","Fazla")))</f>
        <v/>
      </c>
      <c r="L376" s="14" t="str">
        <f aca="false">IF(A376="","",C376+D376)</f>
        <v/>
      </c>
    </row>
    <row r="377" customFormat="false" ht="15" hidden="false" customHeight="false" outlineLevel="0" collapsed="false">
      <c r="A377" s="12"/>
      <c r="B377" s="13"/>
      <c r="C377" s="13"/>
      <c r="D377" s="13"/>
      <c r="E377" s="13"/>
      <c r="F377" s="13"/>
      <c r="G377" s="13"/>
      <c r="H377" s="13"/>
      <c r="I377" s="14" t="str">
        <f aca="false">IF(A377="","",B377+C377+E377-F377-G377)</f>
        <v/>
      </c>
      <c r="J377" s="14" t="str">
        <f aca="false">IF(OR(A377="",H377=""),"",ROUND(H377-I377,2))</f>
        <v/>
      </c>
      <c r="K377" s="15" t="str">
        <f aca="false">IF(J377="","",IF(J377=0,"Tam",IF(J377&lt;0,"Açık","Fazla")))</f>
        <v/>
      </c>
      <c r="L377" s="14" t="str">
        <f aca="false">IF(A377="","",C377+D377)</f>
        <v/>
      </c>
    </row>
    <row r="378" customFormat="false" ht="15" hidden="false" customHeight="false" outlineLevel="0" collapsed="false">
      <c r="A378" s="12"/>
      <c r="B378" s="13"/>
      <c r="C378" s="13"/>
      <c r="D378" s="13"/>
      <c r="E378" s="13"/>
      <c r="F378" s="13"/>
      <c r="G378" s="13"/>
      <c r="H378" s="13"/>
      <c r="I378" s="14" t="str">
        <f aca="false">IF(A378="","",B378+C378+E378-F378-G378)</f>
        <v/>
      </c>
      <c r="J378" s="14" t="str">
        <f aca="false">IF(OR(A378="",H378=""),"",ROUND(H378-I378,2))</f>
        <v/>
      </c>
      <c r="K378" s="15" t="str">
        <f aca="false">IF(J378="","",IF(J378=0,"Tam",IF(J378&lt;0,"Açık","Fazla")))</f>
        <v/>
      </c>
      <c r="L378" s="14" t="str">
        <f aca="false">IF(A378="","",C378+D378)</f>
        <v/>
      </c>
    </row>
    <row r="379" customFormat="false" ht="15" hidden="false" customHeight="false" outlineLevel="0" collapsed="false">
      <c r="A379" s="12"/>
      <c r="B379" s="13"/>
      <c r="C379" s="13"/>
      <c r="D379" s="13"/>
      <c r="E379" s="13"/>
      <c r="F379" s="13"/>
      <c r="G379" s="13"/>
      <c r="H379" s="13"/>
      <c r="I379" s="14" t="str">
        <f aca="false">IF(A379="","",B379+C379+E379-F379-G379)</f>
        <v/>
      </c>
      <c r="J379" s="14" t="str">
        <f aca="false">IF(OR(A379="",H379=""),"",ROUND(H379-I379,2))</f>
        <v/>
      </c>
      <c r="K379" s="15" t="str">
        <f aca="false">IF(J379="","",IF(J379=0,"Tam",IF(J379&lt;0,"Açık","Fazla")))</f>
        <v/>
      </c>
      <c r="L379" s="14" t="str">
        <f aca="false">IF(A379="","",C379+D379)</f>
        <v/>
      </c>
    </row>
    <row r="380" customFormat="false" ht="15" hidden="false" customHeight="false" outlineLevel="0" collapsed="false">
      <c r="A380" s="12"/>
      <c r="B380" s="13"/>
      <c r="C380" s="13"/>
      <c r="D380" s="13"/>
      <c r="E380" s="13"/>
      <c r="F380" s="13"/>
      <c r="G380" s="13"/>
      <c r="H380" s="13"/>
      <c r="I380" s="14" t="str">
        <f aca="false">IF(A380="","",B380+C380+E380-F380-G380)</f>
        <v/>
      </c>
      <c r="J380" s="14" t="str">
        <f aca="false">IF(OR(A380="",H380=""),"",ROUND(H380-I380,2))</f>
        <v/>
      </c>
      <c r="K380" s="15" t="str">
        <f aca="false">IF(J380="","",IF(J380=0,"Tam",IF(J380&lt;0,"Açık","Fazla")))</f>
        <v/>
      </c>
      <c r="L380" s="14" t="str">
        <f aca="false">IF(A380="","",C380+D380)</f>
        <v/>
      </c>
    </row>
    <row r="381" customFormat="false" ht="15" hidden="false" customHeight="false" outlineLevel="0" collapsed="false">
      <c r="A381" s="12"/>
      <c r="B381" s="13"/>
      <c r="C381" s="13"/>
      <c r="D381" s="13"/>
      <c r="E381" s="13"/>
      <c r="F381" s="13"/>
      <c r="G381" s="13"/>
      <c r="H381" s="13"/>
      <c r="I381" s="14" t="str">
        <f aca="false">IF(A381="","",B381+C381+E381-F381-G381)</f>
        <v/>
      </c>
      <c r="J381" s="14" t="str">
        <f aca="false">IF(OR(A381="",H381=""),"",ROUND(H381-I381,2))</f>
        <v/>
      </c>
      <c r="K381" s="15" t="str">
        <f aca="false">IF(J381="","",IF(J381=0,"Tam",IF(J381&lt;0,"Açık","Fazla")))</f>
        <v/>
      </c>
      <c r="L381" s="14" t="str">
        <f aca="false">IF(A381="","",C381+D381)</f>
        <v/>
      </c>
    </row>
    <row r="382" customFormat="false" ht="15" hidden="false" customHeight="false" outlineLevel="0" collapsed="false">
      <c r="A382" s="12"/>
      <c r="B382" s="13"/>
      <c r="C382" s="13"/>
      <c r="D382" s="13"/>
      <c r="E382" s="13"/>
      <c r="F382" s="13"/>
      <c r="G382" s="13"/>
      <c r="H382" s="13"/>
      <c r="I382" s="14" t="str">
        <f aca="false">IF(A382="","",B382+C382+E382-F382-G382)</f>
        <v/>
      </c>
      <c r="J382" s="14" t="str">
        <f aca="false">IF(OR(A382="",H382=""),"",ROUND(H382-I382,2))</f>
        <v/>
      </c>
      <c r="K382" s="15" t="str">
        <f aca="false">IF(J382="","",IF(J382=0,"Tam",IF(J382&lt;0,"Açık","Fazla")))</f>
        <v/>
      </c>
      <c r="L382" s="14" t="str">
        <f aca="false">IF(A382="","",C382+D382)</f>
        <v/>
      </c>
    </row>
    <row r="383" customFormat="false" ht="15" hidden="false" customHeight="false" outlineLevel="0" collapsed="false">
      <c r="A383" s="12"/>
      <c r="B383" s="13"/>
      <c r="C383" s="13"/>
      <c r="D383" s="13"/>
      <c r="E383" s="13"/>
      <c r="F383" s="13"/>
      <c r="G383" s="13"/>
      <c r="H383" s="13"/>
      <c r="I383" s="14" t="str">
        <f aca="false">IF(A383="","",B383+C383+E383-F383-G383)</f>
        <v/>
      </c>
      <c r="J383" s="14" t="str">
        <f aca="false">IF(OR(A383="",H383=""),"",ROUND(H383-I383,2))</f>
        <v/>
      </c>
      <c r="K383" s="15" t="str">
        <f aca="false">IF(J383="","",IF(J383=0,"Tam",IF(J383&lt;0,"Açık","Fazla")))</f>
        <v/>
      </c>
      <c r="L383" s="14" t="str">
        <f aca="false">IF(A383="","",C383+D383)</f>
        <v/>
      </c>
    </row>
    <row r="384" customFormat="false" ht="15" hidden="false" customHeight="false" outlineLevel="0" collapsed="false">
      <c r="A384" s="12"/>
      <c r="B384" s="13"/>
      <c r="C384" s="13"/>
      <c r="D384" s="13"/>
      <c r="E384" s="13"/>
      <c r="F384" s="13"/>
      <c r="G384" s="13"/>
      <c r="H384" s="13"/>
      <c r="I384" s="14" t="str">
        <f aca="false">IF(A384="","",B384+C384+E384-F384-G384)</f>
        <v/>
      </c>
      <c r="J384" s="14" t="str">
        <f aca="false">IF(OR(A384="",H384=""),"",ROUND(H384-I384,2))</f>
        <v/>
      </c>
      <c r="K384" s="15" t="str">
        <f aca="false">IF(J384="","",IF(J384=0,"Tam",IF(J384&lt;0,"Açık","Fazla")))</f>
        <v/>
      </c>
      <c r="L384" s="14" t="str">
        <f aca="false">IF(A384="","",C384+D384)</f>
        <v/>
      </c>
    </row>
    <row r="385" customFormat="false" ht="15" hidden="false" customHeight="false" outlineLevel="0" collapsed="false">
      <c r="A385" s="12"/>
      <c r="B385" s="13"/>
      <c r="C385" s="13"/>
      <c r="D385" s="13"/>
      <c r="E385" s="13"/>
      <c r="F385" s="13"/>
      <c r="G385" s="13"/>
      <c r="H385" s="13"/>
      <c r="I385" s="14" t="str">
        <f aca="false">IF(A385="","",B385+C385+E385-F385-G385)</f>
        <v/>
      </c>
      <c r="J385" s="14" t="str">
        <f aca="false">IF(OR(A385="",H385=""),"",ROUND(H385-I385,2))</f>
        <v/>
      </c>
      <c r="K385" s="15" t="str">
        <f aca="false">IF(J385="","",IF(J385=0,"Tam",IF(J385&lt;0,"Açık","Fazla")))</f>
        <v/>
      </c>
      <c r="L385" s="14" t="str">
        <f aca="false">IF(A385="","",C385+D385)</f>
        <v/>
      </c>
    </row>
    <row r="386" customFormat="false" ht="15" hidden="false" customHeight="false" outlineLevel="0" collapsed="false">
      <c r="A386" s="12"/>
      <c r="B386" s="13"/>
      <c r="C386" s="13"/>
      <c r="D386" s="13"/>
      <c r="E386" s="13"/>
      <c r="F386" s="13"/>
      <c r="G386" s="13"/>
      <c r="H386" s="13"/>
      <c r="I386" s="14" t="str">
        <f aca="false">IF(A386="","",B386+C386+E386-F386-G386)</f>
        <v/>
      </c>
      <c r="J386" s="14" t="str">
        <f aca="false">IF(OR(A386="",H386=""),"",ROUND(H386-I386,2))</f>
        <v/>
      </c>
      <c r="K386" s="15" t="str">
        <f aca="false">IF(J386="","",IF(J386=0,"Tam",IF(J386&lt;0,"Açık","Fazla")))</f>
        <v/>
      </c>
      <c r="L386" s="14" t="str">
        <f aca="false">IF(A386="","",C386+D386)</f>
        <v/>
      </c>
    </row>
    <row r="387" customFormat="false" ht="15" hidden="false" customHeight="false" outlineLevel="0" collapsed="false">
      <c r="A387" s="12"/>
      <c r="B387" s="13"/>
      <c r="C387" s="13"/>
      <c r="D387" s="13"/>
      <c r="E387" s="13"/>
      <c r="F387" s="13"/>
      <c r="G387" s="13"/>
      <c r="H387" s="13"/>
      <c r="I387" s="14" t="str">
        <f aca="false">IF(A387="","",B387+C387+E387-F387-G387)</f>
        <v/>
      </c>
      <c r="J387" s="14" t="str">
        <f aca="false">IF(OR(A387="",H387=""),"",ROUND(H387-I387,2))</f>
        <v/>
      </c>
      <c r="K387" s="15" t="str">
        <f aca="false">IF(J387="","",IF(J387=0,"Tam",IF(J387&lt;0,"Açık","Fazla")))</f>
        <v/>
      </c>
      <c r="L387" s="14" t="str">
        <f aca="false">IF(A387="","",C387+D387)</f>
        <v/>
      </c>
    </row>
    <row r="388" customFormat="false" ht="15" hidden="false" customHeight="false" outlineLevel="0" collapsed="false">
      <c r="A388" s="12"/>
      <c r="B388" s="13"/>
      <c r="C388" s="13"/>
      <c r="D388" s="13"/>
      <c r="E388" s="13"/>
      <c r="F388" s="13"/>
      <c r="G388" s="13"/>
      <c r="H388" s="13"/>
      <c r="I388" s="14" t="str">
        <f aca="false">IF(A388="","",B388+C388+E388-F388-G388)</f>
        <v/>
      </c>
      <c r="J388" s="14" t="str">
        <f aca="false">IF(OR(A388="",H388=""),"",ROUND(H388-I388,2))</f>
        <v/>
      </c>
      <c r="K388" s="15" t="str">
        <f aca="false">IF(J388="","",IF(J388=0,"Tam",IF(J388&lt;0,"Açık","Fazla")))</f>
        <v/>
      </c>
      <c r="L388" s="14" t="str">
        <f aca="false">IF(A388="","",C388+D388)</f>
        <v/>
      </c>
    </row>
    <row r="389" customFormat="false" ht="15" hidden="false" customHeight="false" outlineLevel="0" collapsed="false">
      <c r="A389" s="12"/>
      <c r="B389" s="13"/>
      <c r="C389" s="13"/>
      <c r="D389" s="13"/>
      <c r="E389" s="13"/>
      <c r="F389" s="13"/>
      <c r="G389" s="13"/>
      <c r="H389" s="13"/>
      <c r="I389" s="14" t="str">
        <f aca="false">IF(A389="","",B389+C389+E389-F389-G389)</f>
        <v/>
      </c>
      <c r="J389" s="14" t="str">
        <f aca="false">IF(OR(A389="",H389=""),"",ROUND(H389-I389,2))</f>
        <v/>
      </c>
      <c r="K389" s="15" t="str">
        <f aca="false">IF(J389="","",IF(J389=0,"Tam",IF(J389&lt;0,"Açık","Fazla")))</f>
        <v/>
      </c>
      <c r="L389" s="14" t="str">
        <f aca="false">IF(A389="","",C389+D389)</f>
        <v/>
      </c>
    </row>
    <row r="390" customFormat="false" ht="15" hidden="false" customHeight="false" outlineLevel="0" collapsed="false">
      <c r="A390" s="12"/>
      <c r="B390" s="13"/>
      <c r="C390" s="13"/>
      <c r="D390" s="13"/>
      <c r="E390" s="13"/>
      <c r="F390" s="13"/>
      <c r="G390" s="13"/>
      <c r="H390" s="13"/>
      <c r="I390" s="14" t="str">
        <f aca="false">IF(A390="","",B390+C390+E390-F390-G390)</f>
        <v/>
      </c>
      <c r="J390" s="14" t="str">
        <f aca="false">IF(OR(A390="",H390=""),"",ROUND(H390-I390,2))</f>
        <v/>
      </c>
      <c r="K390" s="15" t="str">
        <f aca="false">IF(J390="","",IF(J390=0,"Tam",IF(J390&lt;0,"Açık","Fazla")))</f>
        <v/>
      </c>
      <c r="L390" s="14" t="str">
        <f aca="false">IF(A390="","",C390+D390)</f>
        <v/>
      </c>
    </row>
    <row r="391" customFormat="false" ht="15" hidden="false" customHeight="false" outlineLevel="0" collapsed="false">
      <c r="A391" s="12"/>
      <c r="B391" s="13"/>
      <c r="C391" s="13"/>
      <c r="D391" s="13"/>
      <c r="E391" s="13"/>
      <c r="F391" s="13"/>
      <c r="G391" s="13"/>
      <c r="H391" s="13"/>
      <c r="I391" s="14" t="str">
        <f aca="false">IF(A391="","",B391+C391+E391-F391-G391)</f>
        <v/>
      </c>
      <c r="J391" s="14" t="str">
        <f aca="false">IF(OR(A391="",H391=""),"",ROUND(H391-I391,2))</f>
        <v/>
      </c>
      <c r="K391" s="15" t="str">
        <f aca="false">IF(J391="","",IF(J391=0,"Tam",IF(J391&lt;0,"Açık","Fazla")))</f>
        <v/>
      </c>
      <c r="L391" s="14" t="str">
        <f aca="false">IF(A391="","",C391+D391)</f>
        <v/>
      </c>
    </row>
    <row r="392" customFormat="false" ht="15" hidden="false" customHeight="false" outlineLevel="0" collapsed="false">
      <c r="A392" s="12"/>
      <c r="B392" s="13"/>
      <c r="C392" s="13"/>
      <c r="D392" s="13"/>
      <c r="E392" s="13"/>
      <c r="F392" s="13"/>
      <c r="G392" s="13"/>
      <c r="H392" s="13"/>
      <c r="I392" s="14" t="str">
        <f aca="false">IF(A392="","",B392+C392+E392-F392-G392)</f>
        <v/>
      </c>
      <c r="J392" s="14" t="str">
        <f aca="false">IF(OR(A392="",H392=""),"",ROUND(H392-I392,2))</f>
        <v/>
      </c>
      <c r="K392" s="15" t="str">
        <f aca="false">IF(J392="","",IF(J392=0,"Tam",IF(J392&lt;0,"Açık","Fazla")))</f>
        <v/>
      </c>
      <c r="L392" s="14" t="str">
        <f aca="false">IF(A392="","",C392+D392)</f>
        <v/>
      </c>
    </row>
    <row r="393" customFormat="false" ht="15" hidden="false" customHeight="false" outlineLevel="0" collapsed="false">
      <c r="A393" s="12"/>
      <c r="B393" s="13"/>
      <c r="C393" s="13"/>
      <c r="D393" s="13"/>
      <c r="E393" s="13"/>
      <c r="F393" s="13"/>
      <c r="G393" s="13"/>
      <c r="H393" s="13"/>
      <c r="I393" s="14" t="str">
        <f aca="false">IF(A393="","",B393+C393+E393-F393-G393)</f>
        <v/>
      </c>
      <c r="J393" s="14" t="str">
        <f aca="false">IF(OR(A393="",H393=""),"",ROUND(H393-I393,2))</f>
        <v/>
      </c>
      <c r="K393" s="15" t="str">
        <f aca="false">IF(J393="","",IF(J393=0,"Tam",IF(J393&lt;0,"Açık","Fazla")))</f>
        <v/>
      </c>
      <c r="L393" s="14" t="str">
        <f aca="false">IF(A393="","",C393+D393)</f>
        <v/>
      </c>
    </row>
    <row r="394" customFormat="false" ht="15" hidden="false" customHeight="false" outlineLevel="0" collapsed="false">
      <c r="A394" s="12"/>
      <c r="B394" s="13"/>
      <c r="C394" s="13"/>
      <c r="D394" s="13"/>
      <c r="E394" s="13"/>
      <c r="F394" s="13"/>
      <c r="G394" s="13"/>
      <c r="H394" s="13"/>
      <c r="I394" s="14" t="str">
        <f aca="false">IF(A394="","",B394+C394+E394-F394-G394)</f>
        <v/>
      </c>
      <c r="J394" s="14" t="str">
        <f aca="false">IF(OR(A394="",H394=""),"",ROUND(H394-I394,2))</f>
        <v/>
      </c>
      <c r="K394" s="15" t="str">
        <f aca="false">IF(J394="","",IF(J394=0,"Tam",IF(J394&lt;0,"Açık","Fazla")))</f>
        <v/>
      </c>
      <c r="L394" s="14" t="str">
        <f aca="false">IF(A394="","",C394+D394)</f>
        <v/>
      </c>
    </row>
    <row r="395" customFormat="false" ht="15" hidden="false" customHeight="false" outlineLevel="0" collapsed="false">
      <c r="A395" s="12"/>
      <c r="B395" s="13"/>
      <c r="C395" s="13"/>
      <c r="D395" s="13"/>
      <c r="E395" s="13"/>
      <c r="F395" s="13"/>
      <c r="G395" s="13"/>
      <c r="H395" s="13"/>
      <c r="I395" s="14" t="str">
        <f aca="false">IF(A395="","",B395+C395+E395-F395-G395)</f>
        <v/>
      </c>
      <c r="J395" s="14" t="str">
        <f aca="false">IF(OR(A395="",H395=""),"",ROUND(H395-I395,2))</f>
        <v/>
      </c>
      <c r="K395" s="15" t="str">
        <f aca="false">IF(J395="","",IF(J395=0,"Tam",IF(J395&lt;0,"Açık","Fazla")))</f>
        <v/>
      </c>
      <c r="L395" s="14" t="str">
        <f aca="false">IF(A395="","",C395+D395)</f>
        <v/>
      </c>
    </row>
    <row r="396" customFormat="false" ht="15" hidden="false" customHeight="false" outlineLevel="0" collapsed="false">
      <c r="A396" s="12"/>
      <c r="B396" s="13"/>
      <c r="C396" s="13"/>
      <c r="D396" s="13"/>
      <c r="E396" s="13"/>
      <c r="F396" s="13"/>
      <c r="G396" s="13"/>
      <c r="H396" s="13"/>
      <c r="I396" s="14" t="str">
        <f aca="false">IF(A396="","",B396+C396+E396-F396-G396)</f>
        <v/>
      </c>
      <c r="J396" s="14" t="str">
        <f aca="false">IF(OR(A396="",H396=""),"",ROUND(H396-I396,2))</f>
        <v/>
      </c>
      <c r="K396" s="15" t="str">
        <f aca="false">IF(J396="","",IF(J396=0,"Tam",IF(J396&lt;0,"Açık","Fazla")))</f>
        <v/>
      </c>
      <c r="L396" s="14" t="str">
        <f aca="false">IF(A396="","",C396+D396)</f>
        <v/>
      </c>
    </row>
    <row r="397" customFormat="false" ht="15" hidden="false" customHeight="false" outlineLevel="0" collapsed="false">
      <c r="A397" s="12"/>
      <c r="B397" s="13"/>
      <c r="C397" s="13"/>
      <c r="D397" s="13"/>
      <c r="E397" s="13"/>
      <c r="F397" s="13"/>
      <c r="G397" s="13"/>
      <c r="H397" s="13"/>
      <c r="I397" s="14" t="str">
        <f aca="false">IF(A397="","",B397+C397+E397-F397-G397)</f>
        <v/>
      </c>
      <c r="J397" s="14" t="str">
        <f aca="false">IF(OR(A397="",H397=""),"",ROUND(H397-I397,2))</f>
        <v/>
      </c>
      <c r="K397" s="15" t="str">
        <f aca="false">IF(J397="","",IF(J397=0,"Tam",IF(J397&lt;0,"Açık","Fazla")))</f>
        <v/>
      </c>
      <c r="L397" s="14" t="str">
        <f aca="false">IF(A397="","",C397+D397)</f>
        <v/>
      </c>
    </row>
    <row r="398" customFormat="false" ht="15" hidden="false" customHeight="false" outlineLevel="0" collapsed="false">
      <c r="A398" s="12"/>
      <c r="B398" s="13"/>
      <c r="C398" s="13"/>
      <c r="D398" s="13"/>
      <c r="E398" s="13"/>
      <c r="F398" s="13"/>
      <c r="G398" s="13"/>
      <c r="H398" s="13"/>
      <c r="I398" s="14" t="str">
        <f aca="false">IF(A398="","",B398+C398+E398-F398-G398)</f>
        <v/>
      </c>
      <c r="J398" s="14" t="str">
        <f aca="false">IF(OR(A398="",H398=""),"",ROUND(H398-I398,2))</f>
        <v/>
      </c>
      <c r="K398" s="15" t="str">
        <f aca="false">IF(J398="","",IF(J398=0,"Tam",IF(J398&lt;0,"Açık","Fazla")))</f>
        <v/>
      </c>
      <c r="L398" s="14" t="str">
        <f aca="false">IF(A398="","",C398+D398)</f>
        <v/>
      </c>
    </row>
    <row r="399" customFormat="false" ht="15" hidden="false" customHeight="false" outlineLevel="0" collapsed="false">
      <c r="A399" s="12"/>
      <c r="B399" s="13"/>
      <c r="C399" s="13"/>
      <c r="D399" s="13"/>
      <c r="E399" s="13"/>
      <c r="F399" s="13"/>
      <c r="G399" s="13"/>
      <c r="H399" s="13"/>
      <c r="I399" s="14" t="str">
        <f aca="false">IF(A399="","",B399+C399+E399-F399-G399)</f>
        <v/>
      </c>
      <c r="J399" s="14" t="str">
        <f aca="false">IF(OR(A399="",H399=""),"",ROUND(H399-I399,2))</f>
        <v/>
      </c>
      <c r="K399" s="15" t="str">
        <f aca="false">IF(J399="","",IF(J399=0,"Tam",IF(J399&lt;0,"Açık","Fazla")))</f>
        <v/>
      </c>
      <c r="L399" s="14" t="str">
        <f aca="false">IF(A399="","",C399+D399)</f>
        <v/>
      </c>
    </row>
    <row r="400" customFormat="false" ht="15" hidden="false" customHeight="false" outlineLevel="0" collapsed="false">
      <c r="A400" s="12"/>
      <c r="B400" s="13"/>
      <c r="C400" s="13"/>
      <c r="D400" s="13"/>
      <c r="E400" s="13"/>
      <c r="F400" s="13"/>
      <c r="G400" s="13"/>
      <c r="H400" s="13"/>
      <c r="I400" s="14" t="str">
        <f aca="false">IF(A400="","",B400+C400+E400-F400-G400)</f>
        <v/>
      </c>
      <c r="J400" s="14" t="str">
        <f aca="false">IF(OR(A400="",H400=""),"",ROUND(H400-I400,2))</f>
        <v/>
      </c>
      <c r="K400" s="15" t="str">
        <f aca="false">IF(J400="","",IF(J400=0,"Tam",IF(J400&lt;0,"Açık","Fazla")))</f>
        <v/>
      </c>
      <c r="L400" s="14" t="str">
        <f aca="false">IF(A400="","",C400+D400)</f>
        <v/>
      </c>
    </row>
    <row r="401" customFormat="false" ht="15" hidden="false" customHeight="false" outlineLevel="0" collapsed="false">
      <c r="A401" s="12"/>
      <c r="B401" s="13"/>
      <c r="C401" s="13"/>
      <c r="D401" s="13"/>
      <c r="E401" s="13"/>
      <c r="F401" s="13"/>
      <c r="G401" s="13"/>
      <c r="H401" s="13"/>
      <c r="I401" s="14" t="str">
        <f aca="false">IF(A401="","",B401+C401+E401-F401-G401)</f>
        <v/>
      </c>
      <c r="J401" s="14" t="str">
        <f aca="false">IF(OR(A401="",H401=""),"",ROUND(H401-I401,2))</f>
        <v/>
      </c>
      <c r="K401" s="15" t="str">
        <f aca="false">IF(J401="","",IF(J401=0,"Tam",IF(J401&lt;0,"Açık","Fazla")))</f>
        <v/>
      </c>
      <c r="L401" s="14" t="str">
        <f aca="false">IF(A401="","",C401+D401)</f>
        <v/>
      </c>
    </row>
    <row r="402" customFormat="false" ht="15" hidden="false" customHeight="false" outlineLevel="0" collapsed="false">
      <c r="A402" s="12"/>
      <c r="B402" s="13"/>
      <c r="C402" s="13"/>
      <c r="D402" s="13"/>
      <c r="E402" s="13"/>
      <c r="F402" s="13"/>
      <c r="G402" s="13"/>
      <c r="H402" s="13"/>
      <c r="I402" s="14" t="str">
        <f aca="false">IF(A402="","",B402+C402+E402-F402-G402)</f>
        <v/>
      </c>
      <c r="J402" s="14" t="str">
        <f aca="false">IF(OR(A402="",H402=""),"",ROUND(H402-I402,2))</f>
        <v/>
      </c>
      <c r="K402" s="15" t="str">
        <f aca="false">IF(J402="","",IF(J402=0,"Tam",IF(J402&lt;0,"Açık","Fazla")))</f>
        <v/>
      </c>
      <c r="L402" s="14" t="str">
        <f aca="false">IF(A402="","",C402+D402)</f>
        <v/>
      </c>
    </row>
    <row r="403" customFormat="false" ht="15" hidden="false" customHeight="false" outlineLevel="0" collapsed="false">
      <c r="A403" s="12"/>
      <c r="B403" s="13"/>
      <c r="C403" s="13"/>
      <c r="D403" s="13"/>
      <c r="E403" s="13"/>
      <c r="F403" s="13"/>
      <c r="G403" s="13"/>
      <c r="H403" s="13"/>
      <c r="I403" s="14" t="str">
        <f aca="false">IF(A403="","",B403+C403+E403-F403-G403)</f>
        <v/>
      </c>
      <c r="J403" s="14" t="str">
        <f aca="false">IF(OR(A403="",H403=""),"",ROUND(H403-I403,2))</f>
        <v/>
      </c>
      <c r="K403" s="15" t="str">
        <f aca="false">IF(J403="","",IF(J403=0,"Tam",IF(J403&lt;0,"Açık","Fazla")))</f>
        <v/>
      </c>
      <c r="L403" s="14" t="str">
        <f aca="false">IF(A403="","",C403+D403)</f>
        <v/>
      </c>
    </row>
    <row r="404" customFormat="false" ht="15" hidden="false" customHeight="false" outlineLevel="0" collapsed="false">
      <c r="A404" s="12"/>
      <c r="B404" s="13"/>
      <c r="C404" s="13"/>
      <c r="D404" s="13"/>
      <c r="E404" s="13"/>
      <c r="F404" s="13"/>
      <c r="G404" s="13"/>
      <c r="H404" s="13"/>
      <c r="I404" s="14" t="str">
        <f aca="false">IF(A404="","",B404+C404+E404-F404-G404)</f>
        <v/>
      </c>
      <c r="J404" s="14" t="str">
        <f aca="false">IF(OR(A404="",H404=""),"",ROUND(H404-I404,2))</f>
        <v/>
      </c>
      <c r="K404" s="15" t="str">
        <f aca="false">IF(J404="","",IF(J404=0,"Tam",IF(J404&lt;0,"Açık","Fazla")))</f>
        <v/>
      </c>
      <c r="L404" s="14" t="str">
        <f aca="false">IF(A404="","",C404+D404)</f>
        <v/>
      </c>
    </row>
    <row r="405" customFormat="false" ht="15" hidden="false" customHeight="false" outlineLevel="0" collapsed="false">
      <c r="A405" s="12"/>
      <c r="B405" s="13"/>
      <c r="C405" s="13"/>
      <c r="D405" s="13"/>
      <c r="E405" s="13"/>
      <c r="F405" s="13"/>
      <c r="G405" s="13"/>
      <c r="H405" s="13"/>
      <c r="I405" s="14" t="str">
        <f aca="false">IF(A405="","",B405+C405+E405-F405-G405)</f>
        <v/>
      </c>
      <c r="J405" s="14" t="str">
        <f aca="false">IF(OR(A405="",H405=""),"",ROUND(H405-I405,2))</f>
        <v/>
      </c>
      <c r="K405" s="15" t="str">
        <f aca="false">IF(J405="","",IF(J405=0,"Tam",IF(J405&lt;0,"Açık","Fazla")))</f>
        <v/>
      </c>
      <c r="L405" s="14" t="str">
        <f aca="false">IF(A405="","",C405+D405)</f>
        <v/>
      </c>
    </row>
    <row r="406" customFormat="false" ht="15" hidden="false" customHeight="false" outlineLevel="0" collapsed="false">
      <c r="A406" s="12"/>
      <c r="B406" s="13"/>
      <c r="C406" s="13"/>
      <c r="D406" s="13"/>
      <c r="E406" s="13"/>
      <c r="F406" s="13"/>
      <c r="G406" s="13"/>
      <c r="H406" s="13"/>
      <c r="I406" s="14" t="str">
        <f aca="false">IF(A406="","",B406+C406+E406-F406-G406)</f>
        <v/>
      </c>
      <c r="J406" s="14" t="str">
        <f aca="false">IF(OR(A406="",H406=""),"",ROUND(H406-I406,2))</f>
        <v/>
      </c>
      <c r="K406" s="15" t="str">
        <f aca="false">IF(J406="","",IF(J406=0,"Tam",IF(J406&lt;0,"Açık","Fazla")))</f>
        <v/>
      </c>
      <c r="L406" s="14" t="str">
        <f aca="false">IF(A406="","",C406+D406)</f>
        <v/>
      </c>
    </row>
    <row r="407" customFormat="false" ht="15" hidden="false" customHeight="false" outlineLevel="0" collapsed="false">
      <c r="A407" s="12"/>
      <c r="B407" s="13"/>
      <c r="C407" s="13"/>
      <c r="D407" s="13"/>
      <c r="E407" s="13"/>
      <c r="F407" s="13"/>
      <c r="G407" s="13"/>
      <c r="H407" s="13"/>
      <c r="I407" s="14" t="str">
        <f aca="false">IF(A407="","",B407+C407+E407-F407-G407)</f>
        <v/>
      </c>
      <c r="J407" s="14" t="str">
        <f aca="false">IF(OR(A407="",H407=""),"",ROUND(H407-I407,2))</f>
        <v/>
      </c>
      <c r="K407" s="15" t="str">
        <f aca="false">IF(J407="","",IF(J407=0,"Tam",IF(J407&lt;0,"Açık","Fazla")))</f>
        <v/>
      </c>
      <c r="L407" s="14" t="str">
        <f aca="false">IF(A407="","",C407+D407)</f>
        <v/>
      </c>
    </row>
    <row r="408" customFormat="false" ht="15" hidden="false" customHeight="false" outlineLevel="0" collapsed="false">
      <c r="A408" s="12"/>
      <c r="B408" s="13"/>
      <c r="C408" s="13"/>
      <c r="D408" s="13"/>
      <c r="E408" s="13"/>
      <c r="F408" s="13"/>
      <c r="G408" s="13"/>
      <c r="H408" s="13"/>
      <c r="I408" s="14" t="str">
        <f aca="false">IF(A408="","",B408+C408+E408-F408-G408)</f>
        <v/>
      </c>
      <c r="J408" s="14" t="str">
        <f aca="false">IF(OR(A408="",H408=""),"",ROUND(H408-I408,2))</f>
        <v/>
      </c>
      <c r="K408" s="15" t="str">
        <f aca="false">IF(J408="","",IF(J408=0,"Tam",IF(J408&lt;0,"Açık","Fazla")))</f>
        <v/>
      </c>
      <c r="L408" s="14" t="str">
        <f aca="false">IF(A408="","",C408+D408)</f>
        <v/>
      </c>
    </row>
    <row r="409" customFormat="false" ht="15" hidden="false" customHeight="false" outlineLevel="0" collapsed="false">
      <c r="A409" s="12"/>
      <c r="B409" s="13"/>
      <c r="C409" s="13"/>
      <c r="D409" s="13"/>
      <c r="E409" s="13"/>
      <c r="F409" s="13"/>
      <c r="G409" s="13"/>
      <c r="H409" s="13"/>
      <c r="I409" s="14" t="str">
        <f aca="false">IF(A409="","",B409+C409+E409-F409-G409)</f>
        <v/>
      </c>
      <c r="J409" s="14" t="str">
        <f aca="false">IF(OR(A409="",H409=""),"",ROUND(H409-I409,2))</f>
        <v/>
      </c>
      <c r="K409" s="15" t="str">
        <f aca="false">IF(J409="","",IF(J409=0,"Tam",IF(J409&lt;0,"Açık","Fazla")))</f>
        <v/>
      </c>
      <c r="L409" s="14" t="str">
        <f aca="false">IF(A409="","",C409+D409)</f>
        <v/>
      </c>
    </row>
    <row r="410" customFormat="false" ht="15" hidden="false" customHeight="false" outlineLevel="0" collapsed="false">
      <c r="A410" s="12"/>
      <c r="B410" s="13"/>
      <c r="C410" s="13"/>
      <c r="D410" s="13"/>
      <c r="E410" s="13"/>
      <c r="F410" s="13"/>
      <c r="G410" s="13"/>
      <c r="H410" s="13"/>
      <c r="I410" s="14" t="str">
        <f aca="false">IF(A410="","",B410+C410+E410-F410-G410)</f>
        <v/>
      </c>
      <c r="J410" s="14" t="str">
        <f aca="false">IF(OR(A410="",H410=""),"",ROUND(H410-I410,2))</f>
        <v/>
      </c>
      <c r="K410" s="15" t="str">
        <f aca="false">IF(J410="","",IF(J410=0,"Tam",IF(J410&lt;0,"Açık","Fazla")))</f>
        <v/>
      </c>
      <c r="L410" s="14" t="str">
        <f aca="false">IF(A410="","",C410+D410)</f>
        <v/>
      </c>
    </row>
    <row r="411" customFormat="false" ht="15" hidden="false" customHeight="false" outlineLevel="0" collapsed="false">
      <c r="A411" s="12"/>
      <c r="B411" s="13"/>
      <c r="C411" s="13"/>
      <c r="D411" s="13"/>
      <c r="E411" s="13"/>
      <c r="F411" s="13"/>
      <c r="G411" s="13"/>
      <c r="H411" s="13"/>
      <c r="I411" s="14" t="str">
        <f aca="false">IF(A411="","",B411+C411+E411-F411-G411)</f>
        <v/>
      </c>
      <c r="J411" s="14" t="str">
        <f aca="false">IF(OR(A411="",H411=""),"",ROUND(H411-I411,2))</f>
        <v/>
      </c>
      <c r="K411" s="15" t="str">
        <f aca="false">IF(J411="","",IF(J411=0,"Tam",IF(J411&lt;0,"Açık","Fazla")))</f>
        <v/>
      </c>
      <c r="L411" s="14" t="str">
        <f aca="false">IF(A411="","",C411+D411)</f>
        <v/>
      </c>
    </row>
    <row r="412" customFormat="false" ht="15" hidden="false" customHeight="false" outlineLevel="0" collapsed="false">
      <c r="A412" s="12"/>
      <c r="B412" s="13"/>
      <c r="C412" s="13"/>
      <c r="D412" s="13"/>
      <c r="E412" s="13"/>
      <c r="F412" s="13"/>
      <c r="G412" s="13"/>
      <c r="H412" s="13"/>
      <c r="I412" s="14" t="str">
        <f aca="false">IF(A412="","",B412+C412+E412-F412-G412)</f>
        <v/>
      </c>
      <c r="J412" s="14" t="str">
        <f aca="false">IF(OR(A412="",H412=""),"",ROUND(H412-I412,2))</f>
        <v/>
      </c>
      <c r="K412" s="15" t="str">
        <f aca="false">IF(J412="","",IF(J412=0,"Tam",IF(J412&lt;0,"Açık","Fazla")))</f>
        <v/>
      </c>
      <c r="L412" s="14" t="str">
        <f aca="false">IF(A412="","",C412+D412)</f>
        <v/>
      </c>
    </row>
    <row r="413" customFormat="false" ht="15" hidden="false" customHeight="false" outlineLevel="0" collapsed="false">
      <c r="A413" s="12"/>
      <c r="B413" s="13"/>
      <c r="C413" s="13"/>
      <c r="D413" s="13"/>
      <c r="E413" s="13"/>
      <c r="F413" s="13"/>
      <c r="G413" s="13"/>
      <c r="H413" s="13"/>
      <c r="I413" s="14" t="str">
        <f aca="false">IF(A413="","",B413+C413+E413-F413-G413)</f>
        <v/>
      </c>
      <c r="J413" s="14" t="str">
        <f aca="false">IF(OR(A413="",H413=""),"",ROUND(H413-I413,2))</f>
        <v/>
      </c>
      <c r="K413" s="15" t="str">
        <f aca="false">IF(J413="","",IF(J413=0,"Tam",IF(J413&lt;0,"Açık","Fazla")))</f>
        <v/>
      </c>
      <c r="L413" s="14" t="str">
        <f aca="false">IF(A413="","",C413+D413)</f>
        <v/>
      </c>
    </row>
    <row r="414" customFormat="false" ht="15" hidden="false" customHeight="false" outlineLevel="0" collapsed="false">
      <c r="A414" s="12"/>
      <c r="B414" s="13"/>
      <c r="C414" s="13"/>
      <c r="D414" s="13"/>
      <c r="E414" s="13"/>
      <c r="F414" s="13"/>
      <c r="G414" s="13"/>
      <c r="H414" s="13"/>
      <c r="I414" s="14" t="str">
        <f aca="false">IF(A414="","",B414+C414+E414-F414-G414)</f>
        <v/>
      </c>
      <c r="J414" s="14" t="str">
        <f aca="false">IF(OR(A414="",H414=""),"",ROUND(H414-I414,2))</f>
        <v/>
      </c>
      <c r="K414" s="15" t="str">
        <f aca="false">IF(J414="","",IF(J414=0,"Tam",IF(J414&lt;0,"Açık","Fazla")))</f>
        <v/>
      </c>
      <c r="L414" s="14" t="str">
        <f aca="false">IF(A414="","",C414+D414)</f>
        <v/>
      </c>
    </row>
    <row r="415" customFormat="false" ht="15" hidden="false" customHeight="false" outlineLevel="0" collapsed="false">
      <c r="A415" s="12"/>
      <c r="B415" s="13"/>
      <c r="C415" s="13"/>
      <c r="D415" s="13"/>
      <c r="E415" s="13"/>
      <c r="F415" s="13"/>
      <c r="G415" s="13"/>
      <c r="H415" s="13"/>
      <c r="I415" s="14" t="str">
        <f aca="false">IF(A415="","",B415+C415+E415-F415-G415)</f>
        <v/>
      </c>
      <c r="J415" s="14" t="str">
        <f aca="false">IF(OR(A415="",H415=""),"",ROUND(H415-I415,2))</f>
        <v/>
      </c>
      <c r="K415" s="15" t="str">
        <f aca="false">IF(J415="","",IF(J415=0,"Tam",IF(J415&lt;0,"Açık","Fazla")))</f>
        <v/>
      </c>
      <c r="L415" s="14" t="str">
        <f aca="false">IF(A415="","",C415+D415)</f>
        <v/>
      </c>
    </row>
    <row r="416" customFormat="false" ht="15" hidden="false" customHeight="false" outlineLevel="0" collapsed="false">
      <c r="A416" s="12"/>
      <c r="B416" s="13"/>
      <c r="C416" s="13"/>
      <c r="D416" s="13"/>
      <c r="E416" s="13"/>
      <c r="F416" s="13"/>
      <c r="G416" s="13"/>
      <c r="H416" s="13"/>
      <c r="I416" s="14" t="str">
        <f aca="false">IF(A416="","",B416+C416+E416-F416-G416)</f>
        <v/>
      </c>
      <c r="J416" s="14" t="str">
        <f aca="false">IF(OR(A416="",H416=""),"",ROUND(H416-I416,2))</f>
        <v/>
      </c>
      <c r="K416" s="15" t="str">
        <f aca="false">IF(J416="","",IF(J416=0,"Tam",IF(J416&lt;0,"Açık","Fazla")))</f>
        <v/>
      </c>
      <c r="L416" s="14" t="str">
        <f aca="false">IF(A416="","",C416+D416)</f>
        <v/>
      </c>
    </row>
    <row r="417" customFormat="false" ht="15" hidden="false" customHeight="false" outlineLevel="0" collapsed="false">
      <c r="A417" s="12"/>
      <c r="B417" s="13"/>
      <c r="C417" s="13"/>
      <c r="D417" s="13"/>
      <c r="E417" s="13"/>
      <c r="F417" s="13"/>
      <c r="G417" s="13"/>
      <c r="H417" s="13"/>
      <c r="I417" s="14" t="str">
        <f aca="false">IF(A417="","",B417+C417+E417-F417-G417)</f>
        <v/>
      </c>
      <c r="J417" s="14" t="str">
        <f aca="false">IF(OR(A417="",H417=""),"",ROUND(H417-I417,2))</f>
        <v/>
      </c>
      <c r="K417" s="15" t="str">
        <f aca="false">IF(J417="","",IF(J417=0,"Tam",IF(J417&lt;0,"Açık","Fazla")))</f>
        <v/>
      </c>
      <c r="L417" s="14" t="str">
        <f aca="false">IF(A417="","",C417+D417)</f>
        <v/>
      </c>
    </row>
    <row r="418" customFormat="false" ht="15" hidden="false" customHeight="false" outlineLevel="0" collapsed="false">
      <c r="A418" s="12"/>
      <c r="B418" s="13"/>
      <c r="C418" s="13"/>
      <c r="D418" s="13"/>
      <c r="E418" s="13"/>
      <c r="F418" s="13"/>
      <c r="G418" s="13"/>
      <c r="H418" s="13"/>
      <c r="I418" s="14" t="str">
        <f aca="false">IF(A418="","",B418+C418+E418-F418-G418)</f>
        <v/>
      </c>
      <c r="J418" s="14" t="str">
        <f aca="false">IF(OR(A418="",H418=""),"",ROUND(H418-I418,2))</f>
        <v/>
      </c>
      <c r="K418" s="15" t="str">
        <f aca="false">IF(J418="","",IF(J418=0,"Tam",IF(J418&lt;0,"Açık","Fazla")))</f>
        <v/>
      </c>
      <c r="L418" s="14" t="str">
        <f aca="false">IF(A418="","",C418+D418)</f>
        <v/>
      </c>
    </row>
    <row r="419" customFormat="false" ht="15" hidden="false" customHeight="false" outlineLevel="0" collapsed="false">
      <c r="A419" s="12"/>
      <c r="B419" s="13"/>
      <c r="C419" s="13"/>
      <c r="D419" s="13"/>
      <c r="E419" s="13"/>
      <c r="F419" s="13"/>
      <c r="G419" s="13"/>
      <c r="H419" s="13"/>
      <c r="I419" s="14" t="str">
        <f aca="false">IF(A419="","",B419+C419+E419-F419-G419)</f>
        <v/>
      </c>
      <c r="J419" s="14" t="str">
        <f aca="false">IF(OR(A419="",H419=""),"",ROUND(H419-I419,2))</f>
        <v/>
      </c>
      <c r="K419" s="15" t="str">
        <f aca="false">IF(J419="","",IF(J419=0,"Tam",IF(J419&lt;0,"Açık","Fazla")))</f>
        <v/>
      </c>
      <c r="L419" s="14" t="str">
        <f aca="false">IF(A419="","",C419+D419)</f>
        <v/>
      </c>
    </row>
    <row r="420" customFormat="false" ht="15" hidden="false" customHeight="false" outlineLevel="0" collapsed="false">
      <c r="A420" s="12"/>
      <c r="B420" s="13"/>
      <c r="C420" s="13"/>
      <c r="D420" s="13"/>
      <c r="E420" s="13"/>
      <c r="F420" s="13"/>
      <c r="G420" s="13"/>
      <c r="H420" s="13"/>
      <c r="I420" s="14" t="str">
        <f aca="false">IF(A420="","",B420+C420+E420-F420-G420)</f>
        <v/>
      </c>
      <c r="J420" s="14" t="str">
        <f aca="false">IF(OR(A420="",H420=""),"",ROUND(H420-I420,2))</f>
        <v/>
      </c>
      <c r="K420" s="15" t="str">
        <f aca="false">IF(J420="","",IF(J420=0,"Tam",IF(J420&lt;0,"Açık","Fazla")))</f>
        <v/>
      </c>
      <c r="L420" s="14" t="str">
        <f aca="false">IF(A420="","",C420+D420)</f>
        <v/>
      </c>
    </row>
    <row r="421" customFormat="false" ht="15" hidden="false" customHeight="false" outlineLevel="0" collapsed="false">
      <c r="A421" s="12"/>
      <c r="B421" s="13"/>
      <c r="C421" s="13"/>
      <c r="D421" s="13"/>
      <c r="E421" s="13"/>
      <c r="F421" s="13"/>
      <c r="G421" s="13"/>
      <c r="H421" s="13"/>
      <c r="I421" s="14" t="str">
        <f aca="false">IF(A421="","",B421+C421+E421-F421-G421)</f>
        <v/>
      </c>
      <c r="J421" s="14" t="str">
        <f aca="false">IF(OR(A421="",H421=""),"",ROUND(H421-I421,2))</f>
        <v/>
      </c>
      <c r="K421" s="15" t="str">
        <f aca="false">IF(J421="","",IF(J421=0,"Tam",IF(J421&lt;0,"Açık","Fazla")))</f>
        <v/>
      </c>
      <c r="L421" s="14" t="str">
        <f aca="false">IF(A421="","",C421+D421)</f>
        <v/>
      </c>
    </row>
    <row r="422" customFormat="false" ht="15" hidden="false" customHeight="false" outlineLevel="0" collapsed="false">
      <c r="A422" s="12"/>
      <c r="B422" s="13"/>
      <c r="C422" s="13"/>
      <c r="D422" s="13"/>
      <c r="E422" s="13"/>
      <c r="F422" s="13"/>
      <c r="G422" s="13"/>
      <c r="H422" s="13"/>
      <c r="I422" s="14" t="str">
        <f aca="false">IF(A422="","",B422+C422+E422-F422-G422)</f>
        <v/>
      </c>
      <c r="J422" s="14" t="str">
        <f aca="false">IF(OR(A422="",H422=""),"",ROUND(H422-I422,2))</f>
        <v/>
      </c>
      <c r="K422" s="15" t="str">
        <f aca="false">IF(J422="","",IF(J422=0,"Tam",IF(J422&lt;0,"Açık","Fazla")))</f>
        <v/>
      </c>
      <c r="L422" s="14" t="str">
        <f aca="false">IF(A422="","",C422+D422)</f>
        <v/>
      </c>
    </row>
    <row r="423" customFormat="false" ht="15" hidden="false" customHeight="false" outlineLevel="0" collapsed="false">
      <c r="A423" s="12"/>
      <c r="B423" s="13"/>
      <c r="C423" s="13"/>
      <c r="D423" s="13"/>
      <c r="E423" s="13"/>
      <c r="F423" s="13"/>
      <c r="G423" s="13"/>
      <c r="H423" s="13"/>
      <c r="I423" s="14" t="str">
        <f aca="false">IF(A423="","",B423+C423+E423-F423-G423)</f>
        <v/>
      </c>
      <c r="J423" s="14" t="str">
        <f aca="false">IF(OR(A423="",H423=""),"",ROUND(H423-I423,2))</f>
        <v/>
      </c>
      <c r="K423" s="15" t="str">
        <f aca="false">IF(J423="","",IF(J423=0,"Tam",IF(J423&lt;0,"Açık","Fazla")))</f>
        <v/>
      </c>
      <c r="L423" s="14" t="str">
        <f aca="false">IF(A423="","",C423+D423)</f>
        <v/>
      </c>
    </row>
    <row r="424" customFormat="false" ht="15" hidden="false" customHeight="false" outlineLevel="0" collapsed="false">
      <c r="A424" s="12"/>
      <c r="B424" s="13"/>
      <c r="C424" s="13"/>
      <c r="D424" s="13"/>
      <c r="E424" s="13"/>
      <c r="F424" s="13"/>
      <c r="G424" s="13"/>
      <c r="H424" s="13"/>
      <c r="I424" s="14" t="str">
        <f aca="false">IF(A424="","",B424+C424+E424-F424-G424)</f>
        <v/>
      </c>
      <c r="J424" s="14" t="str">
        <f aca="false">IF(OR(A424="",H424=""),"",ROUND(H424-I424,2))</f>
        <v/>
      </c>
      <c r="K424" s="15" t="str">
        <f aca="false">IF(J424="","",IF(J424=0,"Tam",IF(J424&lt;0,"Açık","Fazla")))</f>
        <v/>
      </c>
      <c r="L424" s="14" t="str">
        <f aca="false">IF(A424="","",C424+D424)</f>
        <v/>
      </c>
    </row>
    <row r="425" customFormat="false" ht="15" hidden="false" customHeight="false" outlineLevel="0" collapsed="false">
      <c r="A425" s="12"/>
      <c r="B425" s="13"/>
      <c r="C425" s="13"/>
      <c r="D425" s="13"/>
      <c r="E425" s="13"/>
      <c r="F425" s="13"/>
      <c r="G425" s="13"/>
      <c r="H425" s="13"/>
      <c r="I425" s="14" t="str">
        <f aca="false">IF(A425="","",B425+C425+E425-F425-G425)</f>
        <v/>
      </c>
      <c r="J425" s="14" t="str">
        <f aca="false">IF(OR(A425="",H425=""),"",ROUND(H425-I425,2))</f>
        <v/>
      </c>
      <c r="K425" s="15" t="str">
        <f aca="false">IF(J425="","",IF(J425=0,"Tam",IF(J425&lt;0,"Açık","Fazla")))</f>
        <v/>
      </c>
      <c r="L425" s="14" t="str">
        <f aca="false">IF(A425="","",C425+D425)</f>
        <v/>
      </c>
    </row>
    <row r="426" customFormat="false" ht="15" hidden="false" customHeight="false" outlineLevel="0" collapsed="false">
      <c r="A426" s="12"/>
      <c r="B426" s="13"/>
      <c r="C426" s="13"/>
      <c r="D426" s="13"/>
      <c r="E426" s="13"/>
      <c r="F426" s="13"/>
      <c r="G426" s="13"/>
      <c r="H426" s="13"/>
      <c r="I426" s="14" t="str">
        <f aca="false">IF(A426="","",B426+C426+E426-F426-G426)</f>
        <v/>
      </c>
      <c r="J426" s="14" t="str">
        <f aca="false">IF(OR(A426="",H426=""),"",ROUND(H426-I426,2))</f>
        <v/>
      </c>
      <c r="K426" s="15" t="str">
        <f aca="false">IF(J426="","",IF(J426=0,"Tam",IF(J426&lt;0,"Açık","Fazla")))</f>
        <v/>
      </c>
      <c r="L426" s="14" t="str">
        <f aca="false">IF(A426="","",C426+D426)</f>
        <v/>
      </c>
    </row>
    <row r="427" customFormat="false" ht="15" hidden="false" customHeight="false" outlineLevel="0" collapsed="false">
      <c r="A427" s="12"/>
      <c r="B427" s="13"/>
      <c r="C427" s="13"/>
      <c r="D427" s="13"/>
      <c r="E427" s="13"/>
      <c r="F427" s="13"/>
      <c r="G427" s="13"/>
      <c r="H427" s="13"/>
      <c r="I427" s="14" t="str">
        <f aca="false">IF(A427="","",B427+C427+E427-F427-G427)</f>
        <v/>
      </c>
      <c r="J427" s="14" t="str">
        <f aca="false">IF(OR(A427="",H427=""),"",ROUND(H427-I427,2))</f>
        <v/>
      </c>
      <c r="K427" s="15" t="str">
        <f aca="false">IF(J427="","",IF(J427=0,"Tam",IF(J427&lt;0,"Açık","Fazla")))</f>
        <v/>
      </c>
      <c r="L427" s="14" t="str">
        <f aca="false">IF(A427="","",C427+D427)</f>
        <v/>
      </c>
    </row>
    <row r="428" customFormat="false" ht="15" hidden="false" customHeight="false" outlineLevel="0" collapsed="false">
      <c r="A428" s="12"/>
      <c r="B428" s="13"/>
      <c r="C428" s="13"/>
      <c r="D428" s="13"/>
      <c r="E428" s="13"/>
      <c r="F428" s="13"/>
      <c r="G428" s="13"/>
      <c r="H428" s="13"/>
      <c r="I428" s="14" t="str">
        <f aca="false">IF(A428="","",B428+C428+E428-F428-G428)</f>
        <v/>
      </c>
      <c r="J428" s="14" t="str">
        <f aca="false">IF(OR(A428="",H428=""),"",ROUND(H428-I428,2))</f>
        <v/>
      </c>
      <c r="K428" s="15" t="str">
        <f aca="false">IF(J428="","",IF(J428=0,"Tam",IF(J428&lt;0,"Açık","Fazla")))</f>
        <v/>
      </c>
      <c r="L428" s="14" t="str">
        <f aca="false">IF(A428="","",C428+D428)</f>
        <v/>
      </c>
    </row>
    <row r="429" customFormat="false" ht="15" hidden="false" customHeight="false" outlineLevel="0" collapsed="false">
      <c r="A429" s="12"/>
      <c r="B429" s="13"/>
      <c r="C429" s="13"/>
      <c r="D429" s="13"/>
      <c r="E429" s="13"/>
      <c r="F429" s="13"/>
      <c r="G429" s="13"/>
      <c r="H429" s="13"/>
      <c r="I429" s="14" t="str">
        <f aca="false">IF(A429="","",B429+C429+E429-F429-G429)</f>
        <v/>
      </c>
      <c r="J429" s="14" t="str">
        <f aca="false">IF(OR(A429="",H429=""),"",ROUND(H429-I429,2))</f>
        <v/>
      </c>
      <c r="K429" s="15" t="str">
        <f aca="false">IF(J429="","",IF(J429=0,"Tam",IF(J429&lt;0,"Açık","Fazla")))</f>
        <v/>
      </c>
      <c r="L429" s="14" t="str">
        <f aca="false">IF(A429="","",C429+D429)</f>
        <v/>
      </c>
    </row>
    <row r="430" customFormat="false" ht="15" hidden="false" customHeight="false" outlineLevel="0" collapsed="false">
      <c r="A430" s="12"/>
      <c r="B430" s="13"/>
      <c r="C430" s="13"/>
      <c r="D430" s="13"/>
      <c r="E430" s="13"/>
      <c r="F430" s="13"/>
      <c r="G430" s="13"/>
      <c r="H430" s="13"/>
      <c r="I430" s="14" t="str">
        <f aca="false">IF(A430="","",B430+C430+E430-F430-G430)</f>
        <v/>
      </c>
      <c r="J430" s="14" t="str">
        <f aca="false">IF(OR(A430="",H430=""),"",ROUND(H430-I430,2))</f>
        <v/>
      </c>
      <c r="K430" s="15" t="str">
        <f aca="false">IF(J430="","",IF(J430=0,"Tam",IF(J430&lt;0,"Açık","Fazla")))</f>
        <v/>
      </c>
      <c r="L430" s="14" t="str">
        <f aca="false">IF(A430="","",C430+D430)</f>
        <v/>
      </c>
    </row>
    <row r="431" customFormat="false" ht="15" hidden="false" customHeight="false" outlineLevel="0" collapsed="false">
      <c r="A431" s="12"/>
      <c r="B431" s="13"/>
      <c r="C431" s="13"/>
      <c r="D431" s="13"/>
      <c r="E431" s="13"/>
      <c r="F431" s="13"/>
      <c r="G431" s="13"/>
      <c r="H431" s="13"/>
      <c r="I431" s="14" t="str">
        <f aca="false">IF(A431="","",B431+C431+E431-F431-G431)</f>
        <v/>
      </c>
      <c r="J431" s="14" t="str">
        <f aca="false">IF(OR(A431="",H431=""),"",ROUND(H431-I431,2))</f>
        <v/>
      </c>
      <c r="K431" s="15" t="str">
        <f aca="false">IF(J431="","",IF(J431=0,"Tam",IF(J431&lt;0,"Açık","Fazla")))</f>
        <v/>
      </c>
      <c r="L431" s="14" t="str">
        <f aca="false">IF(A431="","",C431+D431)</f>
        <v/>
      </c>
    </row>
    <row r="432" customFormat="false" ht="15" hidden="false" customHeight="false" outlineLevel="0" collapsed="false">
      <c r="A432" s="12"/>
      <c r="B432" s="13"/>
      <c r="C432" s="13"/>
      <c r="D432" s="13"/>
      <c r="E432" s="13"/>
      <c r="F432" s="13"/>
      <c r="G432" s="13"/>
      <c r="H432" s="13"/>
      <c r="I432" s="14" t="str">
        <f aca="false">IF(A432="","",B432+C432+E432-F432-G432)</f>
        <v/>
      </c>
      <c r="J432" s="14" t="str">
        <f aca="false">IF(OR(A432="",H432=""),"",ROUND(H432-I432,2))</f>
        <v/>
      </c>
      <c r="K432" s="15" t="str">
        <f aca="false">IF(J432="","",IF(J432=0,"Tam",IF(J432&lt;0,"Açık","Fazla")))</f>
        <v/>
      </c>
      <c r="L432" s="14" t="str">
        <f aca="false">IF(A432="","",C432+D432)</f>
        <v/>
      </c>
    </row>
    <row r="433" customFormat="false" ht="15" hidden="false" customHeight="false" outlineLevel="0" collapsed="false">
      <c r="A433" s="12"/>
      <c r="B433" s="13"/>
      <c r="C433" s="13"/>
      <c r="D433" s="13"/>
      <c r="E433" s="13"/>
      <c r="F433" s="13"/>
      <c r="G433" s="13"/>
      <c r="H433" s="13"/>
      <c r="I433" s="14" t="str">
        <f aca="false">IF(A433="","",B433+C433+E433-F433-G433)</f>
        <v/>
      </c>
      <c r="J433" s="14" t="str">
        <f aca="false">IF(OR(A433="",H433=""),"",ROUND(H433-I433,2))</f>
        <v/>
      </c>
      <c r="K433" s="15" t="str">
        <f aca="false">IF(J433="","",IF(J433=0,"Tam",IF(J433&lt;0,"Açık","Fazla")))</f>
        <v/>
      </c>
      <c r="L433" s="14" t="str">
        <f aca="false">IF(A433="","",C433+D433)</f>
        <v/>
      </c>
    </row>
    <row r="434" customFormat="false" ht="15" hidden="false" customHeight="false" outlineLevel="0" collapsed="false">
      <c r="A434" s="12"/>
      <c r="B434" s="13"/>
      <c r="C434" s="13"/>
      <c r="D434" s="13"/>
      <c r="E434" s="13"/>
      <c r="F434" s="13"/>
      <c r="G434" s="13"/>
      <c r="H434" s="13"/>
      <c r="I434" s="14" t="str">
        <f aca="false">IF(A434="","",B434+C434+E434-F434-G434)</f>
        <v/>
      </c>
      <c r="J434" s="14" t="str">
        <f aca="false">IF(OR(A434="",H434=""),"",ROUND(H434-I434,2))</f>
        <v/>
      </c>
      <c r="K434" s="15" t="str">
        <f aca="false">IF(J434="","",IF(J434=0,"Tam",IF(J434&lt;0,"Açık","Fazla")))</f>
        <v/>
      </c>
      <c r="L434" s="14" t="str">
        <f aca="false">IF(A434="","",C434+D434)</f>
        <v/>
      </c>
    </row>
    <row r="435" customFormat="false" ht="15" hidden="false" customHeight="false" outlineLevel="0" collapsed="false">
      <c r="A435" s="12"/>
      <c r="B435" s="13"/>
      <c r="C435" s="13"/>
      <c r="D435" s="13"/>
      <c r="E435" s="13"/>
      <c r="F435" s="13"/>
      <c r="G435" s="13"/>
      <c r="H435" s="13"/>
      <c r="I435" s="14" t="str">
        <f aca="false">IF(A435="","",B435+C435+E435-F435-G435)</f>
        <v/>
      </c>
      <c r="J435" s="14" t="str">
        <f aca="false">IF(OR(A435="",H435=""),"",ROUND(H435-I435,2))</f>
        <v/>
      </c>
      <c r="K435" s="15" t="str">
        <f aca="false">IF(J435="","",IF(J435=0,"Tam",IF(J435&lt;0,"Açık","Fazla")))</f>
        <v/>
      </c>
      <c r="L435" s="14" t="str">
        <f aca="false">IF(A435="","",C435+D435)</f>
        <v/>
      </c>
    </row>
    <row r="436" customFormat="false" ht="15" hidden="false" customHeight="false" outlineLevel="0" collapsed="false">
      <c r="A436" s="12"/>
      <c r="B436" s="13"/>
      <c r="C436" s="13"/>
      <c r="D436" s="13"/>
      <c r="E436" s="13"/>
      <c r="F436" s="13"/>
      <c r="G436" s="13"/>
      <c r="H436" s="13"/>
      <c r="I436" s="14" t="str">
        <f aca="false">IF(A436="","",B436+C436+E436-F436-G436)</f>
        <v/>
      </c>
      <c r="J436" s="14" t="str">
        <f aca="false">IF(OR(A436="",H436=""),"",ROUND(H436-I436,2))</f>
        <v/>
      </c>
      <c r="K436" s="15" t="str">
        <f aca="false">IF(J436="","",IF(J436=0,"Tam",IF(J436&lt;0,"Açık","Fazla")))</f>
        <v/>
      </c>
      <c r="L436" s="14" t="str">
        <f aca="false">IF(A436="","",C436+D436)</f>
        <v/>
      </c>
    </row>
    <row r="437" customFormat="false" ht="15" hidden="false" customHeight="false" outlineLevel="0" collapsed="false">
      <c r="A437" s="12"/>
      <c r="B437" s="13"/>
      <c r="C437" s="13"/>
      <c r="D437" s="13"/>
      <c r="E437" s="13"/>
      <c r="F437" s="13"/>
      <c r="G437" s="13"/>
      <c r="H437" s="13"/>
      <c r="I437" s="14" t="str">
        <f aca="false">IF(A437="","",B437+C437+E437-F437-G437)</f>
        <v/>
      </c>
      <c r="J437" s="14" t="str">
        <f aca="false">IF(OR(A437="",H437=""),"",ROUND(H437-I437,2))</f>
        <v/>
      </c>
      <c r="K437" s="15" t="str">
        <f aca="false">IF(J437="","",IF(J437=0,"Tam",IF(J437&lt;0,"Açık","Fazla")))</f>
        <v/>
      </c>
      <c r="L437" s="14" t="str">
        <f aca="false">IF(A437="","",C437+D437)</f>
        <v/>
      </c>
    </row>
    <row r="438" customFormat="false" ht="15" hidden="false" customHeight="false" outlineLevel="0" collapsed="false">
      <c r="A438" s="12"/>
      <c r="B438" s="13"/>
      <c r="C438" s="13"/>
      <c r="D438" s="13"/>
      <c r="E438" s="13"/>
      <c r="F438" s="13"/>
      <c r="G438" s="13"/>
      <c r="H438" s="13"/>
      <c r="I438" s="14" t="str">
        <f aca="false">IF(A438="","",B438+C438+E438-F438-G438)</f>
        <v/>
      </c>
      <c r="J438" s="14" t="str">
        <f aca="false">IF(OR(A438="",H438=""),"",ROUND(H438-I438,2))</f>
        <v/>
      </c>
      <c r="K438" s="15" t="str">
        <f aca="false">IF(J438="","",IF(J438=0,"Tam",IF(J438&lt;0,"Açık","Fazla")))</f>
        <v/>
      </c>
      <c r="L438" s="14" t="str">
        <f aca="false">IF(A438="","",C438+D438)</f>
        <v/>
      </c>
    </row>
    <row r="439" customFormat="false" ht="15" hidden="false" customHeight="false" outlineLevel="0" collapsed="false">
      <c r="A439" s="12"/>
      <c r="B439" s="13"/>
      <c r="C439" s="13"/>
      <c r="D439" s="13"/>
      <c r="E439" s="13"/>
      <c r="F439" s="13"/>
      <c r="G439" s="13"/>
      <c r="H439" s="13"/>
      <c r="I439" s="14" t="str">
        <f aca="false">IF(A439="","",B439+C439+E439-F439-G439)</f>
        <v/>
      </c>
      <c r="J439" s="14" t="str">
        <f aca="false">IF(OR(A439="",H439=""),"",ROUND(H439-I439,2))</f>
        <v/>
      </c>
      <c r="K439" s="15" t="str">
        <f aca="false">IF(J439="","",IF(J439=0,"Tam",IF(J439&lt;0,"Açık","Fazla")))</f>
        <v/>
      </c>
      <c r="L439" s="14" t="str">
        <f aca="false">IF(A439="","",C439+D439)</f>
        <v/>
      </c>
    </row>
    <row r="440" customFormat="false" ht="15" hidden="false" customHeight="false" outlineLevel="0" collapsed="false">
      <c r="A440" s="12"/>
      <c r="B440" s="13"/>
      <c r="C440" s="13"/>
      <c r="D440" s="13"/>
      <c r="E440" s="13"/>
      <c r="F440" s="13"/>
      <c r="G440" s="13"/>
      <c r="H440" s="13"/>
      <c r="I440" s="14" t="str">
        <f aca="false">IF(A440="","",B440+C440+E440-F440-G440)</f>
        <v/>
      </c>
      <c r="J440" s="14" t="str">
        <f aca="false">IF(OR(A440="",H440=""),"",ROUND(H440-I440,2))</f>
        <v/>
      </c>
      <c r="K440" s="15" t="str">
        <f aca="false">IF(J440="","",IF(J440=0,"Tam",IF(J440&lt;0,"Açık","Fazla")))</f>
        <v/>
      </c>
      <c r="L440" s="14" t="str">
        <f aca="false">IF(A440="","",C440+D440)</f>
        <v/>
      </c>
    </row>
    <row r="441" customFormat="false" ht="15" hidden="false" customHeight="false" outlineLevel="0" collapsed="false">
      <c r="A441" s="12"/>
      <c r="B441" s="13"/>
      <c r="C441" s="13"/>
      <c r="D441" s="13"/>
      <c r="E441" s="13"/>
      <c r="F441" s="13"/>
      <c r="G441" s="13"/>
      <c r="H441" s="13"/>
      <c r="I441" s="14" t="str">
        <f aca="false">IF(A441="","",B441+C441+E441-F441-G441)</f>
        <v/>
      </c>
      <c r="J441" s="14" t="str">
        <f aca="false">IF(OR(A441="",H441=""),"",ROUND(H441-I441,2))</f>
        <v/>
      </c>
      <c r="K441" s="15" t="str">
        <f aca="false">IF(J441="","",IF(J441=0,"Tam",IF(J441&lt;0,"Açık","Fazla")))</f>
        <v/>
      </c>
      <c r="L441" s="14" t="str">
        <f aca="false">IF(A441="","",C441+D441)</f>
        <v/>
      </c>
    </row>
    <row r="442" customFormat="false" ht="15" hidden="false" customHeight="false" outlineLevel="0" collapsed="false">
      <c r="A442" s="12"/>
      <c r="B442" s="13"/>
      <c r="C442" s="13"/>
      <c r="D442" s="13"/>
      <c r="E442" s="13"/>
      <c r="F442" s="13"/>
      <c r="G442" s="13"/>
      <c r="H442" s="13"/>
      <c r="I442" s="14" t="str">
        <f aca="false">IF(A442="","",B442+C442+E442-F442-G442)</f>
        <v/>
      </c>
      <c r="J442" s="14" t="str">
        <f aca="false">IF(OR(A442="",H442=""),"",ROUND(H442-I442,2))</f>
        <v/>
      </c>
      <c r="K442" s="15" t="str">
        <f aca="false">IF(J442="","",IF(J442=0,"Tam",IF(J442&lt;0,"Açık","Fazla")))</f>
        <v/>
      </c>
      <c r="L442" s="14" t="str">
        <f aca="false">IF(A442="","",C442+D442)</f>
        <v/>
      </c>
    </row>
    <row r="443" customFormat="false" ht="15" hidden="false" customHeight="false" outlineLevel="0" collapsed="false">
      <c r="A443" s="12"/>
      <c r="B443" s="13"/>
      <c r="C443" s="13"/>
      <c r="D443" s="13"/>
      <c r="E443" s="13"/>
      <c r="F443" s="13"/>
      <c r="G443" s="13"/>
      <c r="H443" s="13"/>
      <c r="I443" s="14" t="str">
        <f aca="false">IF(A443="","",B443+C443+E443-F443-G443)</f>
        <v/>
      </c>
      <c r="J443" s="14" t="str">
        <f aca="false">IF(OR(A443="",H443=""),"",ROUND(H443-I443,2))</f>
        <v/>
      </c>
      <c r="K443" s="15" t="str">
        <f aca="false">IF(J443="","",IF(J443=0,"Tam",IF(J443&lt;0,"Açık","Fazla")))</f>
        <v/>
      </c>
      <c r="L443" s="14" t="str">
        <f aca="false">IF(A443="","",C443+D443)</f>
        <v/>
      </c>
    </row>
    <row r="444" customFormat="false" ht="15" hidden="false" customHeight="false" outlineLevel="0" collapsed="false">
      <c r="A444" s="12"/>
      <c r="B444" s="13"/>
      <c r="C444" s="13"/>
      <c r="D444" s="13"/>
      <c r="E444" s="13"/>
      <c r="F444" s="13"/>
      <c r="G444" s="13"/>
      <c r="H444" s="13"/>
      <c r="I444" s="14" t="str">
        <f aca="false">IF(A444="","",B444+C444+E444-F444-G444)</f>
        <v/>
      </c>
      <c r="J444" s="14" t="str">
        <f aca="false">IF(OR(A444="",H444=""),"",ROUND(H444-I444,2))</f>
        <v/>
      </c>
      <c r="K444" s="15" t="str">
        <f aca="false">IF(J444="","",IF(J444=0,"Tam",IF(J444&lt;0,"Açık","Fazla")))</f>
        <v/>
      </c>
      <c r="L444" s="14" t="str">
        <f aca="false">IF(A444="","",C444+D444)</f>
        <v/>
      </c>
    </row>
    <row r="445" customFormat="false" ht="15" hidden="false" customHeight="false" outlineLevel="0" collapsed="false">
      <c r="A445" s="12"/>
      <c r="B445" s="13"/>
      <c r="C445" s="13"/>
      <c r="D445" s="13"/>
      <c r="E445" s="13"/>
      <c r="F445" s="13"/>
      <c r="G445" s="13"/>
      <c r="H445" s="13"/>
      <c r="I445" s="14" t="str">
        <f aca="false">IF(A445="","",B445+C445+E445-F445-G445)</f>
        <v/>
      </c>
      <c r="J445" s="14" t="str">
        <f aca="false">IF(OR(A445="",H445=""),"",ROUND(H445-I445,2))</f>
        <v/>
      </c>
      <c r="K445" s="15" t="str">
        <f aca="false">IF(J445="","",IF(J445=0,"Tam",IF(J445&lt;0,"Açık","Fazla")))</f>
        <v/>
      </c>
      <c r="L445" s="14" t="str">
        <f aca="false">IF(A445="","",C445+D445)</f>
        <v/>
      </c>
    </row>
    <row r="446" customFormat="false" ht="15" hidden="false" customHeight="false" outlineLevel="0" collapsed="false">
      <c r="A446" s="12"/>
      <c r="B446" s="13"/>
      <c r="C446" s="13"/>
      <c r="D446" s="13"/>
      <c r="E446" s="13"/>
      <c r="F446" s="13"/>
      <c r="G446" s="13"/>
      <c r="H446" s="13"/>
      <c r="I446" s="14" t="str">
        <f aca="false">IF(A446="","",B446+C446+E446-F446-G446)</f>
        <v/>
      </c>
      <c r="J446" s="14" t="str">
        <f aca="false">IF(OR(A446="",H446=""),"",ROUND(H446-I446,2))</f>
        <v/>
      </c>
      <c r="K446" s="15" t="str">
        <f aca="false">IF(J446="","",IF(J446=0,"Tam",IF(J446&lt;0,"Açık","Fazla")))</f>
        <v/>
      </c>
      <c r="L446" s="14" t="str">
        <f aca="false">IF(A446="","",C446+D446)</f>
        <v/>
      </c>
    </row>
    <row r="447" customFormat="false" ht="15" hidden="false" customHeight="false" outlineLevel="0" collapsed="false">
      <c r="A447" s="12"/>
      <c r="B447" s="13"/>
      <c r="C447" s="13"/>
      <c r="D447" s="13"/>
      <c r="E447" s="13"/>
      <c r="F447" s="13"/>
      <c r="G447" s="13"/>
      <c r="H447" s="13"/>
      <c r="I447" s="14" t="str">
        <f aca="false">IF(A447="","",B447+C447+E447-F447-G447)</f>
        <v/>
      </c>
      <c r="J447" s="14" t="str">
        <f aca="false">IF(OR(A447="",H447=""),"",ROUND(H447-I447,2))</f>
        <v/>
      </c>
      <c r="K447" s="15" t="str">
        <f aca="false">IF(J447="","",IF(J447=0,"Tam",IF(J447&lt;0,"Açık","Fazla")))</f>
        <v/>
      </c>
      <c r="L447" s="14" t="str">
        <f aca="false">IF(A447="","",C447+D447)</f>
        <v/>
      </c>
    </row>
    <row r="448" customFormat="false" ht="15" hidden="false" customHeight="false" outlineLevel="0" collapsed="false">
      <c r="A448" s="12"/>
      <c r="B448" s="13"/>
      <c r="C448" s="13"/>
      <c r="D448" s="13"/>
      <c r="E448" s="13"/>
      <c r="F448" s="13"/>
      <c r="G448" s="13"/>
      <c r="H448" s="13"/>
      <c r="I448" s="14" t="str">
        <f aca="false">IF(A448="","",B448+C448+E448-F448-G448)</f>
        <v/>
      </c>
      <c r="J448" s="14" t="str">
        <f aca="false">IF(OR(A448="",H448=""),"",ROUND(H448-I448,2))</f>
        <v/>
      </c>
      <c r="K448" s="15" t="str">
        <f aca="false">IF(J448="","",IF(J448=0,"Tam",IF(J448&lt;0,"Açık","Fazla")))</f>
        <v/>
      </c>
      <c r="L448" s="14" t="str">
        <f aca="false">IF(A448="","",C448+D448)</f>
        <v/>
      </c>
    </row>
    <row r="449" customFormat="false" ht="15" hidden="false" customHeight="false" outlineLevel="0" collapsed="false">
      <c r="A449" s="12"/>
      <c r="B449" s="13"/>
      <c r="C449" s="13"/>
      <c r="D449" s="13"/>
      <c r="E449" s="13"/>
      <c r="F449" s="13"/>
      <c r="G449" s="13"/>
      <c r="H449" s="13"/>
      <c r="I449" s="14" t="str">
        <f aca="false">IF(A449="","",B449+C449+E449-F449-G449)</f>
        <v/>
      </c>
      <c r="J449" s="14" t="str">
        <f aca="false">IF(OR(A449="",H449=""),"",ROUND(H449-I449,2))</f>
        <v/>
      </c>
      <c r="K449" s="15" t="str">
        <f aca="false">IF(J449="","",IF(J449=0,"Tam",IF(J449&lt;0,"Açık","Fazla")))</f>
        <v/>
      </c>
      <c r="L449" s="14" t="str">
        <f aca="false">IF(A449="","",C449+D449)</f>
        <v/>
      </c>
    </row>
    <row r="450" customFormat="false" ht="15" hidden="false" customHeight="false" outlineLevel="0" collapsed="false">
      <c r="A450" s="12"/>
      <c r="B450" s="13"/>
      <c r="C450" s="13"/>
      <c r="D450" s="13"/>
      <c r="E450" s="13"/>
      <c r="F450" s="13"/>
      <c r="G450" s="13"/>
      <c r="H450" s="13"/>
      <c r="I450" s="14" t="str">
        <f aca="false">IF(A450="","",B450+C450+E450-F450-G450)</f>
        <v/>
      </c>
      <c r="J450" s="14" t="str">
        <f aca="false">IF(OR(A450="",H450=""),"",ROUND(H450-I450,2))</f>
        <v/>
      </c>
      <c r="K450" s="15" t="str">
        <f aca="false">IF(J450="","",IF(J450=0,"Tam",IF(J450&lt;0,"Açık","Fazla")))</f>
        <v/>
      </c>
      <c r="L450" s="14" t="str">
        <f aca="false">IF(A450="","",C450+D450)</f>
        <v/>
      </c>
    </row>
    <row r="451" customFormat="false" ht="15" hidden="false" customHeight="false" outlineLevel="0" collapsed="false">
      <c r="A451" s="12"/>
      <c r="B451" s="13"/>
      <c r="C451" s="13"/>
      <c r="D451" s="13"/>
      <c r="E451" s="13"/>
      <c r="F451" s="13"/>
      <c r="G451" s="13"/>
      <c r="H451" s="13"/>
      <c r="I451" s="14" t="str">
        <f aca="false">IF(A451="","",B451+C451+E451-F451-G451)</f>
        <v/>
      </c>
      <c r="J451" s="14" t="str">
        <f aca="false">IF(OR(A451="",H451=""),"",ROUND(H451-I451,2))</f>
        <v/>
      </c>
      <c r="K451" s="15" t="str">
        <f aca="false">IF(J451="","",IF(J451=0,"Tam",IF(J451&lt;0,"Açık","Fazla")))</f>
        <v/>
      </c>
      <c r="L451" s="14" t="str">
        <f aca="false">IF(A451="","",C451+D451)</f>
        <v/>
      </c>
    </row>
    <row r="452" customFormat="false" ht="15" hidden="false" customHeight="false" outlineLevel="0" collapsed="false">
      <c r="A452" s="12"/>
      <c r="B452" s="13"/>
      <c r="C452" s="13"/>
      <c r="D452" s="13"/>
      <c r="E452" s="13"/>
      <c r="F452" s="13"/>
      <c r="G452" s="13"/>
      <c r="H452" s="13"/>
      <c r="I452" s="14" t="str">
        <f aca="false">IF(A452="","",B452+C452+E452-F452-G452)</f>
        <v/>
      </c>
      <c r="J452" s="14" t="str">
        <f aca="false">IF(OR(A452="",H452=""),"",ROUND(H452-I452,2))</f>
        <v/>
      </c>
      <c r="K452" s="15" t="str">
        <f aca="false">IF(J452="","",IF(J452=0,"Tam",IF(J452&lt;0,"Açık","Fazla")))</f>
        <v/>
      </c>
      <c r="L452" s="14" t="str">
        <f aca="false">IF(A452="","",C452+D452)</f>
        <v/>
      </c>
    </row>
    <row r="453" customFormat="false" ht="15" hidden="false" customHeight="false" outlineLevel="0" collapsed="false">
      <c r="A453" s="12"/>
      <c r="B453" s="13"/>
      <c r="C453" s="13"/>
      <c r="D453" s="13"/>
      <c r="E453" s="13"/>
      <c r="F453" s="13"/>
      <c r="G453" s="13"/>
      <c r="H453" s="13"/>
      <c r="I453" s="14" t="str">
        <f aca="false">IF(A453="","",B453+C453+E453-F453-G453)</f>
        <v/>
      </c>
      <c r="J453" s="14" t="str">
        <f aca="false">IF(OR(A453="",H453=""),"",ROUND(H453-I453,2))</f>
        <v/>
      </c>
      <c r="K453" s="15" t="str">
        <f aca="false">IF(J453="","",IF(J453=0,"Tam",IF(J453&lt;0,"Açık","Fazla")))</f>
        <v/>
      </c>
      <c r="L453" s="14" t="str">
        <f aca="false">IF(A453="","",C453+D453)</f>
        <v/>
      </c>
    </row>
    <row r="454" customFormat="false" ht="15" hidden="false" customHeight="false" outlineLevel="0" collapsed="false">
      <c r="A454" s="12"/>
      <c r="B454" s="13"/>
      <c r="C454" s="13"/>
      <c r="D454" s="13"/>
      <c r="E454" s="13"/>
      <c r="F454" s="13"/>
      <c r="G454" s="13"/>
      <c r="H454" s="13"/>
      <c r="I454" s="14" t="str">
        <f aca="false">IF(A454="","",B454+C454+E454-F454-G454)</f>
        <v/>
      </c>
      <c r="J454" s="14" t="str">
        <f aca="false">IF(OR(A454="",H454=""),"",ROUND(H454-I454,2))</f>
        <v/>
      </c>
      <c r="K454" s="15" t="str">
        <f aca="false">IF(J454="","",IF(J454=0,"Tam",IF(J454&lt;0,"Açık","Fazla")))</f>
        <v/>
      </c>
      <c r="L454" s="14" t="str">
        <f aca="false">IF(A454="","",C454+D454)</f>
        <v/>
      </c>
    </row>
    <row r="455" customFormat="false" ht="15" hidden="false" customHeight="false" outlineLevel="0" collapsed="false">
      <c r="A455" s="12"/>
      <c r="B455" s="13"/>
      <c r="C455" s="13"/>
      <c r="D455" s="13"/>
      <c r="E455" s="13"/>
      <c r="F455" s="13"/>
      <c r="G455" s="13"/>
      <c r="H455" s="13"/>
      <c r="I455" s="14" t="str">
        <f aca="false">IF(A455="","",B455+C455+E455-F455-G455)</f>
        <v/>
      </c>
      <c r="J455" s="14" t="str">
        <f aca="false">IF(OR(A455="",H455=""),"",ROUND(H455-I455,2))</f>
        <v/>
      </c>
      <c r="K455" s="15" t="str">
        <f aca="false">IF(J455="","",IF(J455=0,"Tam",IF(J455&lt;0,"Açık","Fazla")))</f>
        <v/>
      </c>
      <c r="L455" s="14" t="str">
        <f aca="false">IF(A455="","",C455+D455)</f>
        <v/>
      </c>
    </row>
    <row r="456" customFormat="false" ht="15" hidden="false" customHeight="false" outlineLevel="0" collapsed="false">
      <c r="A456" s="12"/>
      <c r="B456" s="13"/>
      <c r="C456" s="13"/>
      <c r="D456" s="13"/>
      <c r="E456" s="13"/>
      <c r="F456" s="13"/>
      <c r="G456" s="13"/>
      <c r="H456" s="13"/>
      <c r="I456" s="14" t="str">
        <f aca="false">IF(A456="","",B456+C456+E456-F456-G456)</f>
        <v/>
      </c>
      <c r="J456" s="14" t="str">
        <f aca="false">IF(OR(A456="",H456=""),"",ROUND(H456-I456,2))</f>
        <v/>
      </c>
      <c r="K456" s="15" t="str">
        <f aca="false">IF(J456="","",IF(J456=0,"Tam",IF(J456&lt;0,"Açık","Fazla")))</f>
        <v/>
      </c>
      <c r="L456" s="14" t="str">
        <f aca="false">IF(A456="","",C456+D456)</f>
        <v/>
      </c>
    </row>
    <row r="457" customFormat="false" ht="15" hidden="false" customHeight="false" outlineLevel="0" collapsed="false">
      <c r="A457" s="12"/>
      <c r="B457" s="13"/>
      <c r="C457" s="13"/>
      <c r="D457" s="13"/>
      <c r="E457" s="13"/>
      <c r="F457" s="13"/>
      <c r="G457" s="13"/>
      <c r="H457" s="13"/>
      <c r="I457" s="14" t="str">
        <f aca="false">IF(A457="","",B457+C457+E457-F457-G457)</f>
        <v/>
      </c>
      <c r="J457" s="14" t="str">
        <f aca="false">IF(OR(A457="",H457=""),"",ROUND(H457-I457,2))</f>
        <v/>
      </c>
      <c r="K457" s="15" t="str">
        <f aca="false">IF(J457="","",IF(J457=0,"Tam",IF(J457&lt;0,"Açık","Fazla")))</f>
        <v/>
      </c>
      <c r="L457" s="14" t="str">
        <f aca="false">IF(A457="","",C457+D457)</f>
        <v/>
      </c>
    </row>
    <row r="458" customFormat="false" ht="15" hidden="false" customHeight="false" outlineLevel="0" collapsed="false">
      <c r="A458" s="12"/>
      <c r="B458" s="13"/>
      <c r="C458" s="13"/>
      <c r="D458" s="13"/>
      <c r="E458" s="13"/>
      <c r="F458" s="13"/>
      <c r="G458" s="13"/>
      <c r="H458" s="13"/>
      <c r="I458" s="14" t="str">
        <f aca="false">IF(A458="","",B458+C458+E458-F458-G458)</f>
        <v/>
      </c>
      <c r="J458" s="14" t="str">
        <f aca="false">IF(OR(A458="",H458=""),"",ROUND(H458-I458,2))</f>
        <v/>
      </c>
      <c r="K458" s="15" t="str">
        <f aca="false">IF(J458="","",IF(J458=0,"Tam",IF(J458&lt;0,"Açık","Fazla")))</f>
        <v/>
      </c>
      <c r="L458" s="14" t="str">
        <f aca="false">IF(A458="","",C458+D458)</f>
        <v/>
      </c>
    </row>
    <row r="459" customFormat="false" ht="15" hidden="false" customHeight="false" outlineLevel="0" collapsed="false">
      <c r="A459" s="12"/>
      <c r="B459" s="13"/>
      <c r="C459" s="13"/>
      <c r="D459" s="13"/>
      <c r="E459" s="13"/>
      <c r="F459" s="13"/>
      <c r="G459" s="13"/>
      <c r="H459" s="13"/>
      <c r="I459" s="14" t="str">
        <f aca="false">IF(A459="","",B459+C459+E459-F459-G459)</f>
        <v/>
      </c>
      <c r="J459" s="14" t="str">
        <f aca="false">IF(OR(A459="",H459=""),"",ROUND(H459-I459,2))</f>
        <v/>
      </c>
      <c r="K459" s="15" t="str">
        <f aca="false">IF(J459="","",IF(J459=0,"Tam",IF(J459&lt;0,"Açık","Fazla")))</f>
        <v/>
      </c>
      <c r="L459" s="14" t="str">
        <f aca="false">IF(A459="","",C459+D459)</f>
        <v/>
      </c>
    </row>
    <row r="460" customFormat="false" ht="15" hidden="false" customHeight="false" outlineLevel="0" collapsed="false">
      <c r="A460" s="12"/>
      <c r="B460" s="13"/>
      <c r="C460" s="13"/>
      <c r="D460" s="13"/>
      <c r="E460" s="13"/>
      <c r="F460" s="13"/>
      <c r="G460" s="13"/>
      <c r="H460" s="13"/>
      <c r="I460" s="14" t="str">
        <f aca="false">IF(A460="","",B460+C460+E460-F460-G460)</f>
        <v/>
      </c>
      <c r="J460" s="14" t="str">
        <f aca="false">IF(OR(A460="",H460=""),"",ROUND(H460-I460,2))</f>
        <v/>
      </c>
      <c r="K460" s="15" t="str">
        <f aca="false">IF(J460="","",IF(J460=0,"Tam",IF(J460&lt;0,"Açık","Fazla")))</f>
        <v/>
      </c>
      <c r="L460" s="14" t="str">
        <f aca="false">IF(A460="","",C460+D460)</f>
        <v/>
      </c>
    </row>
    <row r="461" customFormat="false" ht="15" hidden="false" customHeight="false" outlineLevel="0" collapsed="false">
      <c r="A461" s="12"/>
      <c r="B461" s="13"/>
      <c r="C461" s="13"/>
      <c r="D461" s="13"/>
      <c r="E461" s="13"/>
      <c r="F461" s="13"/>
      <c r="G461" s="13"/>
      <c r="H461" s="13"/>
      <c r="I461" s="14" t="str">
        <f aca="false">IF(A461="","",B461+C461+E461-F461-G461)</f>
        <v/>
      </c>
      <c r="J461" s="14" t="str">
        <f aca="false">IF(OR(A461="",H461=""),"",ROUND(H461-I461,2))</f>
        <v/>
      </c>
      <c r="K461" s="15" t="str">
        <f aca="false">IF(J461="","",IF(J461=0,"Tam",IF(J461&lt;0,"Açık","Fazla")))</f>
        <v/>
      </c>
      <c r="L461" s="14" t="str">
        <f aca="false">IF(A461="","",C461+D461)</f>
        <v/>
      </c>
    </row>
    <row r="462" customFormat="false" ht="15" hidden="false" customHeight="false" outlineLevel="0" collapsed="false">
      <c r="A462" s="12"/>
      <c r="B462" s="13"/>
      <c r="C462" s="13"/>
      <c r="D462" s="13"/>
      <c r="E462" s="13"/>
      <c r="F462" s="13"/>
      <c r="G462" s="13"/>
      <c r="H462" s="13"/>
      <c r="I462" s="14" t="str">
        <f aca="false">IF(A462="","",B462+C462+E462-F462-G462)</f>
        <v/>
      </c>
      <c r="J462" s="14" t="str">
        <f aca="false">IF(OR(A462="",H462=""),"",ROUND(H462-I462,2))</f>
        <v/>
      </c>
      <c r="K462" s="15" t="str">
        <f aca="false">IF(J462="","",IF(J462=0,"Tam",IF(J462&lt;0,"Açık","Fazla")))</f>
        <v/>
      </c>
      <c r="L462" s="14" t="str">
        <f aca="false">IF(A462="","",C462+D462)</f>
        <v/>
      </c>
    </row>
    <row r="463" customFormat="false" ht="15" hidden="false" customHeight="false" outlineLevel="0" collapsed="false">
      <c r="A463" s="12"/>
      <c r="B463" s="13"/>
      <c r="C463" s="13"/>
      <c r="D463" s="13"/>
      <c r="E463" s="13"/>
      <c r="F463" s="13"/>
      <c r="G463" s="13"/>
      <c r="H463" s="13"/>
      <c r="I463" s="14" t="str">
        <f aca="false">IF(A463="","",B463+C463+E463-F463-G463)</f>
        <v/>
      </c>
      <c r="J463" s="14" t="str">
        <f aca="false">IF(OR(A463="",H463=""),"",ROUND(H463-I463,2))</f>
        <v/>
      </c>
      <c r="K463" s="15" t="str">
        <f aca="false">IF(J463="","",IF(J463=0,"Tam",IF(J463&lt;0,"Açık","Fazla")))</f>
        <v/>
      </c>
      <c r="L463" s="14" t="str">
        <f aca="false">IF(A463="","",C463+D463)</f>
        <v/>
      </c>
    </row>
    <row r="464" customFormat="false" ht="15" hidden="false" customHeight="false" outlineLevel="0" collapsed="false">
      <c r="A464" s="12"/>
      <c r="B464" s="13"/>
      <c r="C464" s="13"/>
      <c r="D464" s="13"/>
      <c r="E464" s="13"/>
      <c r="F464" s="13"/>
      <c r="G464" s="13"/>
      <c r="H464" s="13"/>
      <c r="I464" s="14" t="str">
        <f aca="false">IF(A464="","",B464+C464+E464-F464-G464)</f>
        <v/>
      </c>
      <c r="J464" s="14" t="str">
        <f aca="false">IF(OR(A464="",H464=""),"",ROUND(H464-I464,2))</f>
        <v/>
      </c>
      <c r="K464" s="15" t="str">
        <f aca="false">IF(J464="","",IF(J464=0,"Tam",IF(J464&lt;0,"Açık","Fazla")))</f>
        <v/>
      </c>
      <c r="L464" s="14" t="str">
        <f aca="false">IF(A464="","",C464+D464)</f>
        <v/>
      </c>
    </row>
    <row r="465" customFormat="false" ht="15" hidden="false" customHeight="false" outlineLevel="0" collapsed="false">
      <c r="A465" s="12"/>
      <c r="B465" s="13"/>
      <c r="C465" s="13"/>
      <c r="D465" s="13"/>
      <c r="E465" s="13"/>
      <c r="F465" s="13"/>
      <c r="G465" s="13"/>
      <c r="H465" s="13"/>
      <c r="I465" s="14" t="str">
        <f aca="false">IF(A465="","",B465+C465+E465-F465-G465)</f>
        <v/>
      </c>
      <c r="J465" s="14" t="str">
        <f aca="false">IF(OR(A465="",H465=""),"",ROUND(H465-I465,2))</f>
        <v/>
      </c>
      <c r="K465" s="15" t="str">
        <f aca="false">IF(J465="","",IF(J465=0,"Tam",IF(J465&lt;0,"Açık","Fazla")))</f>
        <v/>
      </c>
      <c r="L465" s="14" t="str">
        <f aca="false">IF(A465="","",C465+D465)</f>
        <v/>
      </c>
    </row>
    <row r="466" customFormat="false" ht="15" hidden="false" customHeight="false" outlineLevel="0" collapsed="false">
      <c r="A466" s="12"/>
      <c r="B466" s="13"/>
      <c r="C466" s="13"/>
      <c r="D466" s="13"/>
      <c r="E466" s="13"/>
      <c r="F466" s="13"/>
      <c r="G466" s="13"/>
      <c r="H466" s="13"/>
      <c r="I466" s="14" t="str">
        <f aca="false">IF(A466="","",B466+C466+E466-F466-G466)</f>
        <v/>
      </c>
      <c r="J466" s="14" t="str">
        <f aca="false">IF(OR(A466="",H466=""),"",ROUND(H466-I466,2))</f>
        <v/>
      </c>
      <c r="K466" s="15" t="str">
        <f aca="false">IF(J466="","",IF(J466=0,"Tam",IF(J466&lt;0,"Açık","Fazla")))</f>
        <v/>
      </c>
      <c r="L466" s="14" t="str">
        <f aca="false">IF(A466="","",C466+D466)</f>
        <v/>
      </c>
    </row>
    <row r="467" customFormat="false" ht="15" hidden="false" customHeight="false" outlineLevel="0" collapsed="false">
      <c r="A467" s="12"/>
      <c r="B467" s="13"/>
      <c r="C467" s="13"/>
      <c r="D467" s="13"/>
      <c r="E467" s="13"/>
      <c r="F467" s="13"/>
      <c r="G467" s="13"/>
      <c r="H467" s="13"/>
      <c r="I467" s="14" t="str">
        <f aca="false">IF(A467="","",B467+C467+E467-F467-G467)</f>
        <v/>
      </c>
      <c r="J467" s="14" t="str">
        <f aca="false">IF(OR(A467="",H467=""),"",ROUND(H467-I467,2))</f>
        <v/>
      </c>
      <c r="K467" s="15" t="str">
        <f aca="false">IF(J467="","",IF(J467=0,"Tam",IF(J467&lt;0,"Açık","Fazla")))</f>
        <v/>
      </c>
      <c r="L467" s="14" t="str">
        <f aca="false">IF(A467="","",C467+D467)</f>
        <v/>
      </c>
    </row>
    <row r="468" customFormat="false" ht="15" hidden="false" customHeight="false" outlineLevel="0" collapsed="false">
      <c r="A468" s="12"/>
      <c r="B468" s="13"/>
      <c r="C468" s="13"/>
      <c r="D468" s="13"/>
      <c r="E468" s="13"/>
      <c r="F468" s="13"/>
      <c r="G468" s="13"/>
      <c r="H468" s="13"/>
      <c r="I468" s="14" t="str">
        <f aca="false">IF(A468="","",B468+C468+E468-F468-G468)</f>
        <v/>
      </c>
      <c r="J468" s="14" t="str">
        <f aca="false">IF(OR(A468="",H468=""),"",ROUND(H468-I468,2))</f>
        <v/>
      </c>
      <c r="K468" s="15" t="str">
        <f aca="false">IF(J468="","",IF(J468=0,"Tam",IF(J468&lt;0,"Açık","Fazla")))</f>
        <v/>
      </c>
      <c r="L468" s="14" t="str">
        <f aca="false">IF(A468="","",C468+D468)</f>
        <v/>
      </c>
    </row>
    <row r="469" customFormat="false" ht="15" hidden="false" customHeight="false" outlineLevel="0" collapsed="false">
      <c r="A469" s="12"/>
      <c r="B469" s="13"/>
      <c r="C469" s="13"/>
      <c r="D469" s="13"/>
      <c r="E469" s="13"/>
      <c r="F469" s="13"/>
      <c r="G469" s="13"/>
      <c r="H469" s="13"/>
      <c r="I469" s="14" t="str">
        <f aca="false">IF(A469="","",B469+C469+E469-F469-G469)</f>
        <v/>
      </c>
      <c r="J469" s="14" t="str">
        <f aca="false">IF(OR(A469="",H469=""),"",ROUND(H469-I469,2))</f>
        <v/>
      </c>
      <c r="K469" s="15" t="str">
        <f aca="false">IF(J469="","",IF(J469=0,"Tam",IF(J469&lt;0,"Açık","Fazla")))</f>
        <v/>
      </c>
      <c r="L469" s="14" t="str">
        <f aca="false">IF(A469="","",C469+D469)</f>
        <v/>
      </c>
    </row>
    <row r="470" customFormat="false" ht="15" hidden="false" customHeight="false" outlineLevel="0" collapsed="false">
      <c r="A470" s="12"/>
      <c r="B470" s="13"/>
      <c r="C470" s="13"/>
      <c r="D470" s="13"/>
      <c r="E470" s="13"/>
      <c r="F470" s="13"/>
      <c r="G470" s="13"/>
      <c r="H470" s="13"/>
      <c r="I470" s="14" t="str">
        <f aca="false">IF(A470="","",B470+C470+E470-F470-G470)</f>
        <v/>
      </c>
      <c r="J470" s="14" t="str">
        <f aca="false">IF(OR(A470="",H470=""),"",ROUND(H470-I470,2))</f>
        <v/>
      </c>
      <c r="K470" s="15" t="str">
        <f aca="false">IF(J470="","",IF(J470=0,"Tam",IF(J470&lt;0,"Açık","Fazla")))</f>
        <v/>
      </c>
      <c r="L470" s="14" t="str">
        <f aca="false">IF(A470="","",C470+D470)</f>
        <v/>
      </c>
    </row>
    <row r="471" customFormat="false" ht="15" hidden="false" customHeight="false" outlineLevel="0" collapsed="false">
      <c r="A471" s="12"/>
      <c r="B471" s="13"/>
      <c r="C471" s="13"/>
      <c r="D471" s="13"/>
      <c r="E471" s="13"/>
      <c r="F471" s="13"/>
      <c r="G471" s="13"/>
      <c r="H471" s="13"/>
      <c r="I471" s="14" t="str">
        <f aca="false">IF(A471="","",B471+C471+E471-F471-G471)</f>
        <v/>
      </c>
      <c r="J471" s="14" t="str">
        <f aca="false">IF(OR(A471="",H471=""),"",ROUND(H471-I471,2))</f>
        <v/>
      </c>
      <c r="K471" s="15" t="str">
        <f aca="false">IF(J471="","",IF(J471=0,"Tam",IF(J471&lt;0,"Açık","Fazla")))</f>
        <v/>
      </c>
      <c r="L471" s="14" t="str">
        <f aca="false">IF(A471="","",C471+D471)</f>
        <v/>
      </c>
    </row>
    <row r="472" customFormat="false" ht="15" hidden="false" customHeight="false" outlineLevel="0" collapsed="false">
      <c r="A472" s="12"/>
      <c r="B472" s="13"/>
      <c r="C472" s="13"/>
      <c r="D472" s="13"/>
      <c r="E472" s="13"/>
      <c r="F472" s="13"/>
      <c r="G472" s="13"/>
      <c r="H472" s="13"/>
      <c r="I472" s="14" t="str">
        <f aca="false">IF(A472="","",B472+C472+E472-F472-G472)</f>
        <v/>
      </c>
      <c r="J472" s="14" t="str">
        <f aca="false">IF(OR(A472="",H472=""),"",ROUND(H472-I472,2))</f>
        <v/>
      </c>
      <c r="K472" s="15" t="str">
        <f aca="false">IF(J472="","",IF(J472=0,"Tam",IF(J472&lt;0,"Açık","Fazla")))</f>
        <v/>
      </c>
      <c r="L472" s="14" t="str">
        <f aca="false">IF(A472="","",C472+D472)</f>
        <v/>
      </c>
    </row>
    <row r="473" customFormat="false" ht="15" hidden="false" customHeight="false" outlineLevel="0" collapsed="false">
      <c r="A473" s="12"/>
      <c r="B473" s="13"/>
      <c r="C473" s="13"/>
      <c r="D473" s="13"/>
      <c r="E473" s="13"/>
      <c r="F473" s="13"/>
      <c r="G473" s="13"/>
      <c r="H473" s="13"/>
      <c r="I473" s="14" t="str">
        <f aca="false">IF(A473="","",B473+C473+E473-F473-G473)</f>
        <v/>
      </c>
      <c r="J473" s="14" t="str">
        <f aca="false">IF(OR(A473="",H473=""),"",ROUND(H473-I473,2))</f>
        <v/>
      </c>
      <c r="K473" s="15" t="str">
        <f aca="false">IF(J473="","",IF(J473=0,"Tam",IF(J473&lt;0,"Açık","Fazla")))</f>
        <v/>
      </c>
      <c r="L473" s="14" t="str">
        <f aca="false">IF(A473="","",C473+D473)</f>
        <v/>
      </c>
    </row>
    <row r="474" customFormat="false" ht="15" hidden="false" customHeight="false" outlineLevel="0" collapsed="false">
      <c r="A474" s="12"/>
      <c r="B474" s="13"/>
      <c r="C474" s="13"/>
      <c r="D474" s="13"/>
      <c r="E474" s="13"/>
      <c r="F474" s="13"/>
      <c r="G474" s="13"/>
      <c r="H474" s="13"/>
      <c r="I474" s="14" t="str">
        <f aca="false">IF(A474="","",B474+C474+E474-F474-G474)</f>
        <v/>
      </c>
      <c r="J474" s="14" t="str">
        <f aca="false">IF(OR(A474="",H474=""),"",ROUND(H474-I474,2))</f>
        <v/>
      </c>
      <c r="K474" s="15" t="str">
        <f aca="false">IF(J474="","",IF(J474=0,"Tam",IF(J474&lt;0,"Açık","Fazla")))</f>
        <v/>
      </c>
      <c r="L474" s="14" t="str">
        <f aca="false">IF(A474="","",C474+D474)</f>
        <v/>
      </c>
    </row>
    <row r="475" customFormat="false" ht="15" hidden="false" customHeight="false" outlineLevel="0" collapsed="false">
      <c r="A475" s="12"/>
      <c r="B475" s="13"/>
      <c r="C475" s="13"/>
      <c r="D475" s="13"/>
      <c r="E475" s="13"/>
      <c r="F475" s="13"/>
      <c r="G475" s="13"/>
      <c r="H475" s="13"/>
      <c r="I475" s="14" t="str">
        <f aca="false">IF(A475="","",B475+C475+E475-F475-G475)</f>
        <v/>
      </c>
      <c r="J475" s="14" t="str">
        <f aca="false">IF(OR(A475="",H475=""),"",ROUND(H475-I475,2))</f>
        <v/>
      </c>
      <c r="K475" s="15" t="str">
        <f aca="false">IF(J475="","",IF(J475=0,"Tam",IF(J475&lt;0,"Açık","Fazla")))</f>
        <v/>
      </c>
      <c r="L475" s="14" t="str">
        <f aca="false">IF(A475="","",C475+D475)</f>
        <v/>
      </c>
    </row>
    <row r="476" customFormat="false" ht="15" hidden="false" customHeight="false" outlineLevel="0" collapsed="false">
      <c r="A476" s="12"/>
      <c r="B476" s="13"/>
      <c r="C476" s="13"/>
      <c r="D476" s="13"/>
      <c r="E476" s="13"/>
      <c r="F476" s="13"/>
      <c r="G476" s="13"/>
      <c r="H476" s="13"/>
      <c r="I476" s="14" t="str">
        <f aca="false">IF(A476="","",B476+C476+E476-F476-G476)</f>
        <v/>
      </c>
      <c r="J476" s="14" t="str">
        <f aca="false">IF(OR(A476="",H476=""),"",ROUND(H476-I476,2))</f>
        <v/>
      </c>
      <c r="K476" s="15" t="str">
        <f aca="false">IF(J476="","",IF(J476=0,"Tam",IF(J476&lt;0,"Açık","Fazla")))</f>
        <v/>
      </c>
      <c r="L476" s="14" t="str">
        <f aca="false">IF(A476="","",C476+D476)</f>
        <v/>
      </c>
    </row>
    <row r="477" customFormat="false" ht="15" hidden="false" customHeight="false" outlineLevel="0" collapsed="false">
      <c r="A477" s="12"/>
      <c r="B477" s="13"/>
      <c r="C477" s="13"/>
      <c r="D477" s="13"/>
      <c r="E477" s="13"/>
      <c r="F477" s="13"/>
      <c r="G477" s="13"/>
      <c r="H477" s="13"/>
      <c r="I477" s="14" t="str">
        <f aca="false">IF(A477="","",B477+C477+E477-F477-G477)</f>
        <v/>
      </c>
      <c r="J477" s="14" t="str">
        <f aca="false">IF(OR(A477="",H477=""),"",ROUND(H477-I477,2))</f>
        <v/>
      </c>
      <c r="K477" s="15" t="str">
        <f aca="false">IF(J477="","",IF(J477=0,"Tam",IF(J477&lt;0,"Açık","Fazla")))</f>
        <v/>
      </c>
      <c r="L477" s="14" t="str">
        <f aca="false">IF(A477="","",C477+D477)</f>
        <v/>
      </c>
    </row>
    <row r="478" customFormat="false" ht="15" hidden="false" customHeight="false" outlineLevel="0" collapsed="false">
      <c r="A478" s="12"/>
      <c r="B478" s="13"/>
      <c r="C478" s="13"/>
      <c r="D478" s="13"/>
      <c r="E478" s="13"/>
      <c r="F478" s="13"/>
      <c r="G478" s="13"/>
      <c r="H478" s="13"/>
      <c r="I478" s="14" t="str">
        <f aca="false">IF(A478="","",B478+C478+E478-F478-G478)</f>
        <v/>
      </c>
      <c r="J478" s="14" t="str">
        <f aca="false">IF(OR(A478="",H478=""),"",ROUND(H478-I478,2))</f>
        <v/>
      </c>
      <c r="K478" s="15" t="str">
        <f aca="false">IF(J478="","",IF(J478=0,"Tam",IF(J478&lt;0,"Açık","Fazla")))</f>
        <v/>
      </c>
      <c r="L478" s="14" t="str">
        <f aca="false">IF(A478="","",C478+D478)</f>
        <v/>
      </c>
    </row>
    <row r="479" customFormat="false" ht="15" hidden="false" customHeight="false" outlineLevel="0" collapsed="false">
      <c r="A479" s="12"/>
      <c r="B479" s="13"/>
      <c r="C479" s="13"/>
      <c r="D479" s="13"/>
      <c r="E479" s="13"/>
      <c r="F479" s="13"/>
      <c r="G479" s="13"/>
      <c r="H479" s="13"/>
      <c r="I479" s="14" t="str">
        <f aca="false">IF(A479="","",B479+C479+E479-F479-G479)</f>
        <v/>
      </c>
      <c r="J479" s="14" t="str">
        <f aca="false">IF(OR(A479="",H479=""),"",ROUND(H479-I479,2))</f>
        <v/>
      </c>
      <c r="K479" s="15" t="str">
        <f aca="false">IF(J479="","",IF(J479=0,"Tam",IF(J479&lt;0,"Açık","Fazla")))</f>
        <v/>
      </c>
      <c r="L479" s="14" t="str">
        <f aca="false">IF(A479="","",C479+D479)</f>
        <v/>
      </c>
    </row>
    <row r="480" customFormat="false" ht="15" hidden="false" customHeight="false" outlineLevel="0" collapsed="false">
      <c r="A480" s="12"/>
      <c r="B480" s="13"/>
      <c r="C480" s="13"/>
      <c r="D480" s="13"/>
      <c r="E480" s="13"/>
      <c r="F480" s="13"/>
      <c r="G480" s="13"/>
      <c r="H480" s="13"/>
      <c r="I480" s="14" t="str">
        <f aca="false">IF(A480="","",B480+C480+E480-F480-G480)</f>
        <v/>
      </c>
      <c r="J480" s="14" t="str">
        <f aca="false">IF(OR(A480="",H480=""),"",ROUND(H480-I480,2))</f>
        <v/>
      </c>
      <c r="K480" s="15" t="str">
        <f aca="false">IF(J480="","",IF(J480=0,"Tam",IF(J480&lt;0,"Açık","Fazla")))</f>
        <v/>
      </c>
      <c r="L480" s="14" t="str">
        <f aca="false">IF(A480="","",C480+D480)</f>
        <v/>
      </c>
    </row>
    <row r="481" customFormat="false" ht="15" hidden="false" customHeight="false" outlineLevel="0" collapsed="false">
      <c r="A481" s="12"/>
      <c r="B481" s="13"/>
      <c r="C481" s="13"/>
      <c r="D481" s="13"/>
      <c r="E481" s="13"/>
      <c r="F481" s="13"/>
      <c r="G481" s="13"/>
      <c r="H481" s="13"/>
      <c r="I481" s="14" t="str">
        <f aca="false">IF(A481="","",B481+C481+E481-F481-G481)</f>
        <v/>
      </c>
      <c r="J481" s="14" t="str">
        <f aca="false">IF(OR(A481="",H481=""),"",ROUND(H481-I481,2))</f>
        <v/>
      </c>
      <c r="K481" s="15" t="str">
        <f aca="false">IF(J481="","",IF(J481=0,"Tam",IF(J481&lt;0,"Açık","Fazla")))</f>
        <v/>
      </c>
      <c r="L481" s="14" t="str">
        <f aca="false">IF(A481="","",C481+D481)</f>
        <v/>
      </c>
    </row>
    <row r="482" customFormat="false" ht="15" hidden="false" customHeight="false" outlineLevel="0" collapsed="false">
      <c r="A482" s="12"/>
      <c r="B482" s="13"/>
      <c r="C482" s="13"/>
      <c r="D482" s="13"/>
      <c r="E482" s="13"/>
      <c r="F482" s="13"/>
      <c r="G482" s="13"/>
      <c r="H482" s="13"/>
      <c r="I482" s="14" t="str">
        <f aca="false">IF(A482="","",B482+C482+E482-F482-G482)</f>
        <v/>
      </c>
      <c r="J482" s="14" t="str">
        <f aca="false">IF(OR(A482="",H482=""),"",ROUND(H482-I482,2))</f>
        <v/>
      </c>
      <c r="K482" s="15" t="str">
        <f aca="false">IF(J482="","",IF(J482=0,"Tam",IF(J482&lt;0,"Açık","Fazla")))</f>
        <v/>
      </c>
      <c r="L482" s="14" t="str">
        <f aca="false">IF(A482="","",C482+D482)</f>
        <v/>
      </c>
    </row>
    <row r="483" customFormat="false" ht="15" hidden="false" customHeight="false" outlineLevel="0" collapsed="false">
      <c r="A483" s="12"/>
      <c r="B483" s="13"/>
      <c r="C483" s="13"/>
      <c r="D483" s="13"/>
      <c r="E483" s="13"/>
      <c r="F483" s="13"/>
      <c r="G483" s="13"/>
      <c r="H483" s="13"/>
      <c r="I483" s="14" t="str">
        <f aca="false">IF(A483="","",B483+C483+E483-F483-G483)</f>
        <v/>
      </c>
      <c r="J483" s="14" t="str">
        <f aca="false">IF(OR(A483="",H483=""),"",ROUND(H483-I483,2))</f>
        <v/>
      </c>
      <c r="K483" s="15" t="str">
        <f aca="false">IF(J483="","",IF(J483=0,"Tam",IF(J483&lt;0,"Açık","Fazla")))</f>
        <v/>
      </c>
      <c r="L483" s="14" t="str">
        <f aca="false">IF(A483="","",C483+D483)</f>
        <v/>
      </c>
    </row>
    <row r="484" customFormat="false" ht="15" hidden="false" customHeight="false" outlineLevel="0" collapsed="false">
      <c r="A484" s="12"/>
      <c r="B484" s="13"/>
      <c r="C484" s="13"/>
      <c r="D484" s="13"/>
      <c r="E484" s="13"/>
      <c r="F484" s="13"/>
      <c r="G484" s="13"/>
      <c r="H484" s="13"/>
      <c r="I484" s="14" t="str">
        <f aca="false">IF(A484="","",B484+C484+E484-F484-G484)</f>
        <v/>
      </c>
      <c r="J484" s="14" t="str">
        <f aca="false">IF(OR(A484="",H484=""),"",ROUND(H484-I484,2))</f>
        <v/>
      </c>
      <c r="K484" s="15" t="str">
        <f aca="false">IF(J484="","",IF(J484=0,"Tam",IF(J484&lt;0,"Açık","Fazla")))</f>
        <v/>
      </c>
      <c r="L484" s="14" t="str">
        <f aca="false">IF(A484="","",C484+D484)</f>
        <v/>
      </c>
    </row>
    <row r="485" customFormat="false" ht="15" hidden="false" customHeight="false" outlineLevel="0" collapsed="false">
      <c r="A485" s="12"/>
      <c r="B485" s="13"/>
      <c r="C485" s="13"/>
      <c r="D485" s="13"/>
      <c r="E485" s="13"/>
      <c r="F485" s="13"/>
      <c r="G485" s="13"/>
      <c r="H485" s="13"/>
      <c r="I485" s="14" t="str">
        <f aca="false">IF(A485="","",B485+C485+E485-F485-G485)</f>
        <v/>
      </c>
      <c r="J485" s="14" t="str">
        <f aca="false">IF(OR(A485="",H485=""),"",ROUND(H485-I485,2))</f>
        <v/>
      </c>
      <c r="K485" s="15" t="str">
        <f aca="false">IF(J485="","",IF(J485=0,"Tam",IF(J485&lt;0,"Açık","Fazla")))</f>
        <v/>
      </c>
      <c r="L485" s="14" t="str">
        <f aca="false">IF(A485="","",C485+D485)</f>
        <v/>
      </c>
    </row>
    <row r="486" customFormat="false" ht="15" hidden="false" customHeight="false" outlineLevel="0" collapsed="false">
      <c r="A486" s="12"/>
      <c r="B486" s="13"/>
      <c r="C486" s="13"/>
      <c r="D486" s="13"/>
      <c r="E486" s="13"/>
      <c r="F486" s="13"/>
      <c r="G486" s="13"/>
      <c r="H486" s="13"/>
      <c r="I486" s="14" t="str">
        <f aca="false">IF(A486="","",B486+C486+E486-F486-G486)</f>
        <v/>
      </c>
      <c r="J486" s="14" t="str">
        <f aca="false">IF(OR(A486="",H486=""),"",ROUND(H486-I486,2))</f>
        <v/>
      </c>
      <c r="K486" s="15" t="str">
        <f aca="false">IF(J486="","",IF(J486=0,"Tam",IF(J486&lt;0,"Açık","Fazla")))</f>
        <v/>
      </c>
      <c r="L486" s="14" t="str">
        <f aca="false">IF(A486="","",C486+D486)</f>
        <v/>
      </c>
    </row>
    <row r="487" customFormat="false" ht="15" hidden="false" customHeight="false" outlineLevel="0" collapsed="false">
      <c r="A487" s="12"/>
      <c r="B487" s="13"/>
      <c r="C487" s="13"/>
      <c r="D487" s="13"/>
      <c r="E487" s="13"/>
      <c r="F487" s="13"/>
      <c r="G487" s="13"/>
      <c r="H487" s="13"/>
      <c r="I487" s="14" t="str">
        <f aca="false">IF(A487="","",B487+C487+E487-F487-G487)</f>
        <v/>
      </c>
      <c r="J487" s="14" t="str">
        <f aca="false">IF(OR(A487="",H487=""),"",ROUND(H487-I487,2))</f>
        <v/>
      </c>
      <c r="K487" s="15" t="str">
        <f aca="false">IF(J487="","",IF(J487=0,"Tam",IF(J487&lt;0,"Açık","Fazla")))</f>
        <v/>
      </c>
      <c r="L487" s="14" t="str">
        <f aca="false">IF(A487="","",C487+D487)</f>
        <v/>
      </c>
    </row>
    <row r="488" customFormat="false" ht="15" hidden="false" customHeight="false" outlineLevel="0" collapsed="false">
      <c r="A488" s="12"/>
      <c r="B488" s="13"/>
      <c r="C488" s="13"/>
      <c r="D488" s="13"/>
      <c r="E488" s="13"/>
      <c r="F488" s="13"/>
      <c r="G488" s="13"/>
      <c r="H488" s="13"/>
      <c r="I488" s="14" t="str">
        <f aca="false">IF(A488="","",B488+C488+E488-F488-G488)</f>
        <v/>
      </c>
      <c r="J488" s="14" t="str">
        <f aca="false">IF(OR(A488="",H488=""),"",ROUND(H488-I488,2))</f>
        <v/>
      </c>
      <c r="K488" s="15" t="str">
        <f aca="false">IF(J488="","",IF(J488=0,"Tam",IF(J488&lt;0,"Açık","Fazla")))</f>
        <v/>
      </c>
      <c r="L488" s="14" t="str">
        <f aca="false">IF(A488="","",C488+D488)</f>
        <v/>
      </c>
    </row>
    <row r="489" customFormat="false" ht="15" hidden="false" customHeight="false" outlineLevel="0" collapsed="false">
      <c r="A489" s="12"/>
      <c r="B489" s="13"/>
      <c r="C489" s="13"/>
      <c r="D489" s="13"/>
      <c r="E489" s="13"/>
      <c r="F489" s="13"/>
      <c r="G489" s="13"/>
      <c r="H489" s="13"/>
      <c r="I489" s="14" t="str">
        <f aca="false">IF(A489="","",B489+C489+E489-F489-G489)</f>
        <v/>
      </c>
      <c r="J489" s="14" t="str">
        <f aca="false">IF(OR(A489="",H489=""),"",ROUND(H489-I489,2))</f>
        <v/>
      </c>
      <c r="K489" s="15" t="str">
        <f aca="false">IF(J489="","",IF(J489=0,"Tam",IF(J489&lt;0,"Açık","Fazla")))</f>
        <v/>
      </c>
      <c r="L489" s="14" t="str">
        <f aca="false">IF(A489="","",C489+D489)</f>
        <v/>
      </c>
    </row>
    <row r="490" customFormat="false" ht="15" hidden="false" customHeight="false" outlineLevel="0" collapsed="false">
      <c r="A490" s="12"/>
      <c r="B490" s="13"/>
      <c r="C490" s="13"/>
      <c r="D490" s="13"/>
      <c r="E490" s="13"/>
      <c r="F490" s="13"/>
      <c r="G490" s="13"/>
      <c r="H490" s="13"/>
      <c r="I490" s="14" t="str">
        <f aca="false">IF(A490="","",B490+C490+E490-F490-G490)</f>
        <v/>
      </c>
      <c r="J490" s="14" t="str">
        <f aca="false">IF(OR(A490="",H490=""),"",ROUND(H490-I490,2))</f>
        <v/>
      </c>
      <c r="K490" s="15" t="str">
        <f aca="false">IF(J490="","",IF(J490=0,"Tam",IF(J490&lt;0,"Açık","Fazla")))</f>
        <v/>
      </c>
      <c r="L490" s="14" t="str">
        <f aca="false">IF(A490="","",C490+D490)</f>
        <v/>
      </c>
    </row>
    <row r="491" customFormat="false" ht="15" hidden="false" customHeight="false" outlineLevel="0" collapsed="false">
      <c r="A491" s="12"/>
      <c r="B491" s="13"/>
      <c r="C491" s="13"/>
      <c r="D491" s="13"/>
      <c r="E491" s="13"/>
      <c r="F491" s="13"/>
      <c r="G491" s="13"/>
      <c r="H491" s="13"/>
      <c r="I491" s="14" t="str">
        <f aca="false">IF(A491="","",B491+C491+E491-F491-G491)</f>
        <v/>
      </c>
      <c r="J491" s="14" t="str">
        <f aca="false">IF(OR(A491="",H491=""),"",ROUND(H491-I491,2))</f>
        <v/>
      </c>
      <c r="K491" s="15" t="str">
        <f aca="false">IF(J491="","",IF(J491=0,"Tam",IF(J491&lt;0,"Açık","Fazla")))</f>
        <v/>
      </c>
      <c r="L491" s="14" t="str">
        <f aca="false">IF(A491="","",C491+D491)</f>
        <v/>
      </c>
    </row>
    <row r="492" customFormat="false" ht="15" hidden="false" customHeight="false" outlineLevel="0" collapsed="false">
      <c r="A492" s="12"/>
      <c r="B492" s="13"/>
      <c r="C492" s="13"/>
      <c r="D492" s="13"/>
      <c r="E492" s="13"/>
      <c r="F492" s="13"/>
      <c r="G492" s="13"/>
      <c r="H492" s="13"/>
      <c r="I492" s="14" t="str">
        <f aca="false">IF(A492="","",B492+C492+E492-F492-G492)</f>
        <v/>
      </c>
      <c r="J492" s="14" t="str">
        <f aca="false">IF(OR(A492="",H492=""),"",ROUND(H492-I492,2))</f>
        <v/>
      </c>
      <c r="K492" s="15" t="str">
        <f aca="false">IF(J492="","",IF(J492=0,"Tam",IF(J492&lt;0,"Açık","Fazla")))</f>
        <v/>
      </c>
      <c r="L492" s="14" t="str">
        <f aca="false">IF(A492="","",C492+D492)</f>
        <v/>
      </c>
    </row>
    <row r="493" customFormat="false" ht="15" hidden="false" customHeight="false" outlineLevel="0" collapsed="false">
      <c r="A493" s="12"/>
      <c r="B493" s="13"/>
      <c r="C493" s="13"/>
      <c r="D493" s="13"/>
      <c r="E493" s="13"/>
      <c r="F493" s="13"/>
      <c r="G493" s="13"/>
      <c r="H493" s="13"/>
      <c r="I493" s="14" t="str">
        <f aca="false">IF(A493="","",B493+C493+E493-F493-G493)</f>
        <v/>
      </c>
      <c r="J493" s="14" t="str">
        <f aca="false">IF(OR(A493="",H493=""),"",ROUND(H493-I493,2))</f>
        <v/>
      </c>
      <c r="K493" s="15" t="str">
        <f aca="false">IF(J493="","",IF(J493=0,"Tam",IF(J493&lt;0,"Açık","Fazla")))</f>
        <v/>
      </c>
      <c r="L493" s="14" t="str">
        <f aca="false">IF(A493="","",C493+D493)</f>
        <v/>
      </c>
    </row>
    <row r="494" customFormat="false" ht="15" hidden="false" customHeight="false" outlineLevel="0" collapsed="false">
      <c r="A494" s="12"/>
      <c r="B494" s="13"/>
      <c r="C494" s="13"/>
      <c r="D494" s="13"/>
      <c r="E494" s="13"/>
      <c r="F494" s="13"/>
      <c r="G494" s="13"/>
      <c r="H494" s="13"/>
      <c r="I494" s="14" t="str">
        <f aca="false">IF(A494="","",B494+C494+E494-F494-G494)</f>
        <v/>
      </c>
      <c r="J494" s="14" t="str">
        <f aca="false">IF(OR(A494="",H494=""),"",ROUND(H494-I494,2))</f>
        <v/>
      </c>
      <c r="K494" s="15" t="str">
        <f aca="false">IF(J494="","",IF(J494=0,"Tam",IF(J494&lt;0,"Açık","Fazla")))</f>
        <v/>
      </c>
      <c r="L494" s="14" t="str">
        <f aca="false">IF(A494="","",C494+D494)</f>
        <v/>
      </c>
    </row>
    <row r="495" customFormat="false" ht="15" hidden="false" customHeight="false" outlineLevel="0" collapsed="false">
      <c r="A495" s="12"/>
      <c r="B495" s="13"/>
      <c r="C495" s="13"/>
      <c r="D495" s="13"/>
      <c r="E495" s="13"/>
      <c r="F495" s="13"/>
      <c r="G495" s="13"/>
      <c r="H495" s="13"/>
      <c r="I495" s="14" t="str">
        <f aca="false">IF(A495="","",B495+C495+E495-F495-G495)</f>
        <v/>
      </c>
      <c r="J495" s="14" t="str">
        <f aca="false">IF(OR(A495="",H495=""),"",ROUND(H495-I495,2))</f>
        <v/>
      </c>
      <c r="K495" s="15" t="str">
        <f aca="false">IF(J495="","",IF(J495=0,"Tam",IF(J495&lt;0,"Açık","Fazla")))</f>
        <v/>
      </c>
      <c r="L495" s="14" t="str">
        <f aca="false">IF(A495="","",C495+D495)</f>
        <v/>
      </c>
    </row>
    <row r="496" customFormat="false" ht="15" hidden="false" customHeight="false" outlineLevel="0" collapsed="false">
      <c r="A496" s="12"/>
      <c r="B496" s="13"/>
      <c r="C496" s="13"/>
      <c r="D496" s="13"/>
      <c r="E496" s="13"/>
      <c r="F496" s="13"/>
      <c r="G496" s="13"/>
      <c r="H496" s="13"/>
      <c r="I496" s="14" t="str">
        <f aca="false">IF(A496="","",B496+C496+E496-F496-G496)</f>
        <v/>
      </c>
      <c r="J496" s="14" t="str">
        <f aca="false">IF(OR(A496="",H496=""),"",ROUND(H496-I496,2))</f>
        <v/>
      </c>
      <c r="K496" s="15" t="str">
        <f aca="false">IF(J496="","",IF(J496=0,"Tam",IF(J496&lt;0,"Açık","Fazla")))</f>
        <v/>
      </c>
      <c r="L496" s="14" t="str">
        <f aca="false">IF(A496="","",C496+D496)</f>
        <v/>
      </c>
    </row>
    <row r="497" customFormat="false" ht="15" hidden="false" customHeight="false" outlineLevel="0" collapsed="false">
      <c r="A497" s="12"/>
      <c r="B497" s="13"/>
      <c r="C497" s="13"/>
      <c r="D497" s="13"/>
      <c r="E497" s="13"/>
      <c r="F497" s="13"/>
      <c r="G497" s="13"/>
      <c r="H497" s="13"/>
      <c r="I497" s="14" t="str">
        <f aca="false">IF(A497="","",B497+C497+E497-F497-G497)</f>
        <v/>
      </c>
      <c r="J497" s="14" t="str">
        <f aca="false">IF(OR(A497="",H497=""),"",ROUND(H497-I497,2))</f>
        <v/>
      </c>
      <c r="K497" s="15" t="str">
        <f aca="false">IF(J497="","",IF(J497=0,"Tam",IF(J497&lt;0,"Açık","Fazla")))</f>
        <v/>
      </c>
      <c r="L497" s="14" t="str">
        <f aca="false">IF(A497="","",C497+D497)</f>
        <v/>
      </c>
    </row>
    <row r="498" customFormat="false" ht="15" hidden="false" customHeight="false" outlineLevel="0" collapsed="false">
      <c r="A498" s="12"/>
      <c r="B498" s="13"/>
      <c r="C498" s="13"/>
      <c r="D498" s="13"/>
      <c r="E498" s="13"/>
      <c r="F498" s="13"/>
      <c r="G498" s="13"/>
      <c r="H498" s="13"/>
      <c r="I498" s="14" t="str">
        <f aca="false">IF(A498="","",B498+C498+E498-F498-G498)</f>
        <v/>
      </c>
      <c r="J498" s="14" t="str">
        <f aca="false">IF(OR(A498="",H498=""),"",ROUND(H498-I498,2))</f>
        <v/>
      </c>
      <c r="K498" s="15" t="str">
        <f aca="false">IF(J498="","",IF(J498=0,"Tam",IF(J498&lt;0,"Açık","Fazla")))</f>
        <v/>
      </c>
      <c r="L498" s="14" t="str">
        <f aca="false">IF(A498="","",C498+D498)</f>
        <v/>
      </c>
    </row>
    <row r="499" customFormat="false" ht="15" hidden="false" customHeight="false" outlineLevel="0" collapsed="false">
      <c r="A499" s="12"/>
      <c r="B499" s="13"/>
      <c r="C499" s="13"/>
      <c r="D499" s="13"/>
      <c r="E499" s="13"/>
      <c r="F499" s="13"/>
      <c r="G499" s="13"/>
      <c r="H499" s="13"/>
      <c r="I499" s="14" t="str">
        <f aca="false">IF(A499="","",B499+C499+E499-F499-G499)</f>
        <v/>
      </c>
      <c r="J499" s="14" t="str">
        <f aca="false">IF(OR(A499="",H499=""),"",ROUND(H499-I499,2))</f>
        <v/>
      </c>
      <c r="K499" s="15" t="str">
        <f aca="false">IF(J499="","",IF(J499=0,"Tam",IF(J499&lt;0,"Açık","Fazla")))</f>
        <v/>
      </c>
      <c r="L499" s="14" t="str">
        <f aca="false">IF(A499="","",C499+D499)</f>
        <v/>
      </c>
    </row>
    <row r="500" customFormat="false" ht="15" hidden="false" customHeight="false" outlineLevel="0" collapsed="false">
      <c r="A500" s="12"/>
      <c r="B500" s="13"/>
      <c r="C500" s="13"/>
      <c r="D500" s="13"/>
      <c r="E500" s="13"/>
      <c r="F500" s="13"/>
      <c r="G500" s="13"/>
      <c r="H500" s="13"/>
      <c r="I500" s="14" t="str">
        <f aca="false">IF(A500="","",B500+C500+E500-F500-G500)</f>
        <v/>
      </c>
      <c r="J500" s="14" t="str">
        <f aca="false">IF(OR(A500="",H500=""),"",ROUND(H500-I500,2))</f>
        <v/>
      </c>
      <c r="K500" s="15" t="str">
        <f aca="false">IF(J500="","",IF(J500=0,"Tam",IF(J500&lt;0,"Açık","Fazla")))</f>
        <v/>
      </c>
      <c r="L500" s="14" t="str">
        <f aca="false">IF(A500="","",C500+D500)</f>
        <v/>
      </c>
    </row>
    <row r="501" customFormat="false" ht="15" hidden="false" customHeight="false" outlineLevel="0" collapsed="false">
      <c r="A501" s="12"/>
      <c r="B501" s="13"/>
      <c r="C501" s="13"/>
      <c r="D501" s="13"/>
      <c r="E501" s="13"/>
      <c r="F501" s="13"/>
      <c r="G501" s="13"/>
      <c r="H501" s="13"/>
      <c r="I501" s="14" t="str">
        <f aca="false">IF(A501="","",B501+C501+E501-F501-G501)</f>
        <v/>
      </c>
      <c r="J501" s="14" t="str">
        <f aca="false">IF(OR(A501="",H501=""),"",ROUND(H501-I501,2))</f>
        <v/>
      </c>
      <c r="K501" s="15" t="str">
        <f aca="false">IF(J501="","",IF(J501=0,"Tam",IF(J501&lt;0,"Açık","Fazla")))</f>
        <v/>
      </c>
      <c r="L501" s="14" t="str">
        <f aca="false">IF(A501="","",C501+D501)</f>
        <v/>
      </c>
    </row>
    <row r="502" customFormat="false" ht="15" hidden="false" customHeight="false" outlineLevel="0" collapsed="false">
      <c r="A502" s="12"/>
      <c r="B502" s="13"/>
      <c r="C502" s="13"/>
      <c r="D502" s="13"/>
      <c r="E502" s="13"/>
      <c r="F502" s="13"/>
      <c r="G502" s="13"/>
      <c r="H502" s="13"/>
      <c r="I502" s="14" t="str">
        <f aca="false">IF(A502="","",B502+C502+E502-F502-G502)</f>
        <v/>
      </c>
      <c r="J502" s="14" t="str">
        <f aca="false">IF(OR(A502="",H502=""),"",ROUND(H502-I502,2))</f>
        <v/>
      </c>
      <c r="K502" s="15" t="str">
        <f aca="false">IF(J502="","",IF(J502=0,"Tam",IF(J502&lt;0,"Açık","Fazla")))</f>
        <v/>
      </c>
      <c r="L502" s="14" t="str">
        <f aca="false">IF(A502="","",C502+D502)</f>
        <v/>
      </c>
    </row>
    <row r="503" customFormat="false" ht="15" hidden="false" customHeight="false" outlineLevel="0" collapsed="false">
      <c r="A503" s="12"/>
      <c r="B503" s="13"/>
      <c r="C503" s="13"/>
      <c r="D503" s="13"/>
      <c r="E503" s="13"/>
      <c r="F503" s="13"/>
      <c r="G503" s="13"/>
      <c r="H503" s="13"/>
      <c r="I503" s="14" t="str">
        <f aca="false">IF(A503="","",B503+C503+E503-F503-G503)</f>
        <v/>
      </c>
      <c r="J503" s="14" t="str">
        <f aca="false">IF(OR(A503="",H503=""),"",ROUND(H503-I503,2))</f>
        <v/>
      </c>
      <c r="K503" s="15" t="str">
        <f aca="false">IF(J503="","",IF(J503=0,"Tam",IF(J503&lt;0,"Açık","Fazla")))</f>
        <v/>
      </c>
      <c r="L503" s="14" t="str">
        <f aca="false">IF(A503="","",C503+D503)</f>
        <v/>
      </c>
    </row>
    <row r="504" customFormat="false" ht="15" hidden="false" customHeight="false" outlineLevel="0" collapsed="false">
      <c r="A504" s="12"/>
      <c r="B504" s="13"/>
      <c r="C504" s="13"/>
      <c r="D504" s="13"/>
      <c r="E504" s="13"/>
      <c r="F504" s="13"/>
      <c r="G504" s="13"/>
      <c r="H504" s="13"/>
      <c r="I504" s="14" t="str">
        <f aca="false">IF(A504="","",B504+C504+E504-F504-G504)</f>
        <v/>
      </c>
      <c r="J504" s="14" t="str">
        <f aca="false">IF(OR(A504="",H504=""),"",ROUND(H504-I504,2))</f>
        <v/>
      </c>
      <c r="K504" s="15" t="str">
        <f aca="false">IF(J504="","",IF(J504=0,"Tam",IF(J504&lt;0,"Açık","Fazla")))</f>
        <v/>
      </c>
      <c r="L504" s="14" t="str">
        <f aca="false">IF(A504="","",C504+D504)</f>
        <v/>
      </c>
    </row>
    <row r="505" customFormat="false" ht="15" hidden="false" customHeight="false" outlineLevel="0" collapsed="false">
      <c r="A505" s="12"/>
      <c r="B505" s="13"/>
      <c r="C505" s="13"/>
      <c r="D505" s="13"/>
      <c r="E505" s="13"/>
      <c r="F505" s="13"/>
      <c r="G505" s="13"/>
      <c r="H505" s="13"/>
      <c r="I505" s="14" t="str">
        <f aca="false">IF(A505="","",B505+C505+E505-F505-G505)</f>
        <v/>
      </c>
      <c r="J505" s="14" t="str">
        <f aca="false">IF(OR(A505="",H505=""),"",ROUND(H505-I505,2))</f>
        <v/>
      </c>
      <c r="K505" s="15" t="str">
        <f aca="false">IF(J505="","",IF(J505=0,"Tam",IF(J505&lt;0,"Açık","Fazla")))</f>
        <v/>
      </c>
      <c r="L505" s="14" t="str">
        <f aca="false">IF(A505="","",C505+D505)</f>
        <v/>
      </c>
    </row>
    <row r="506" customFormat="false" ht="15" hidden="false" customHeight="false" outlineLevel="0" collapsed="false">
      <c r="A506" s="12"/>
      <c r="B506" s="13"/>
      <c r="C506" s="13"/>
      <c r="D506" s="13"/>
      <c r="E506" s="13"/>
      <c r="F506" s="13"/>
      <c r="G506" s="13"/>
      <c r="H506" s="13"/>
      <c r="I506" s="14" t="str">
        <f aca="false">IF(A506="","",B506+C506+E506-F506-G506)</f>
        <v/>
      </c>
      <c r="J506" s="14" t="str">
        <f aca="false">IF(OR(A506="",H506=""),"",ROUND(H506-I506,2))</f>
        <v/>
      </c>
      <c r="K506" s="15" t="str">
        <f aca="false">IF(J506="","",IF(J506=0,"Tam",IF(J506&lt;0,"Açık","Fazla")))</f>
        <v/>
      </c>
      <c r="L506" s="14" t="str">
        <f aca="false">IF(A506="","",C506+D506)</f>
        <v/>
      </c>
    </row>
    <row r="507" customFormat="false" ht="15" hidden="false" customHeight="false" outlineLevel="0" collapsed="false">
      <c r="A507" s="12"/>
      <c r="B507" s="13"/>
      <c r="C507" s="13"/>
      <c r="D507" s="13"/>
      <c r="E507" s="13"/>
      <c r="F507" s="13"/>
      <c r="G507" s="13"/>
      <c r="H507" s="13"/>
      <c r="I507" s="14" t="str">
        <f aca="false">IF(A507="","",B507+C507+E507-F507-G507)</f>
        <v/>
      </c>
      <c r="J507" s="14" t="str">
        <f aca="false">IF(OR(A507="",H507=""),"",ROUND(H507-I507,2))</f>
        <v/>
      </c>
      <c r="K507" s="15" t="str">
        <f aca="false">IF(J507="","",IF(J507=0,"Tam",IF(J507&lt;0,"Açık","Fazla")))</f>
        <v/>
      </c>
      <c r="L507" s="14" t="str">
        <f aca="false">IF(A507="","",C507+D507)</f>
        <v/>
      </c>
    </row>
    <row r="508" customFormat="false" ht="15" hidden="false" customHeight="false" outlineLevel="0" collapsed="false">
      <c r="A508" s="12"/>
      <c r="B508" s="13"/>
      <c r="C508" s="13"/>
      <c r="D508" s="13"/>
      <c r="E508" s="13"/>
      <c r="F508" s="13"/>
      <c r="G508" s="13"/>
      <c r="H508" s="13"/>
      <c r="I508" s="14" t="str">
        <f aca="false">IF(A508="","",B508+C508+E508-F508-G508)</f>
        <v/>
      </c>
      <c r="J508" s="14" t="str">
        <f aca="false">IF(OR(A508="",H508=""),"",ROUND(H508-I508,2))</f>
        <v/>
      </c>
      <c r="K508" s="15" t="str">
        <f aca="false">IF(J508="","",IF(J508=0,"Tam",IF(J508&lt;0,"Açık","Fazla")))</f>
        <v/>
      </c>
      <c r="L508" s="14" t="str">
        <f aca="false">IF(A508="","",C508+D508)</f>
        <v/>
      </c>
    </row>
    <row r="509" customFormat="false" ht="15" hidden="false" customHeight="false" outlineLevel="0" collapsed="false">
      <c r="A509" s="12"/>
      <c r="B509" s="13"/>
      <c r="C509" s="13"/>
      <c r="D509" s="13"/>
      <c r="E509" s="13"/>
      <c r="F509" s="13"/>
      <c r="G509" s="13"/>
      <c r="H509" s="13"/>
      <c r="I509" s="14" t="str">
        <f aca="false">IF(A509="","",B509+C509+E509-F509-G509)</f>
        <v/>
      </c>
      <c r="J509" s="14" t="str">
        <f aca="false">IF(OR(A509="",H509=""),"",ROUND(H509-I509,2))</f>
        <v/>
      </c>
      <c r="K509" s="15" t="str">
        <f aca="false">IF(J509="","",IF(J509=0,"Tam",IF(J509&lt;0,"Açık","Fazla")))</f>
        <v/>
      </c>
      <c r="L509" s="14" t="str">
        <f aca="false">IF(A509="","",C509+D509)</f>
        <v/>
      </c>
    </row>
    <row r="510" customFormat="false" ht="15" hidden="false" customHeight="false" outlineLevel="0" collapsed="false">
      <c r="A510" s="12"/>
      <c r="B510" s="13"/>
      <c r="C510" s="13"/>
      <c r="D510" s="13"/>
      <c r="E510" s="13"/>
      <c r="F510" s="13"/>
      <c r="G510" s="13"/>
      <c r="H510" s="13"/>
      <c r="I510" s="14" t="str">
        <f aca="false">IF(A510="","",B510+C510+E510-F510-G510)</f>
        <v/>
      </c>
      <c r="J510" s="14" t="str">
        <f aca="false">IF(OR(A510="",H510=""),"",ROUND(H510-I510,2))</f>
        <v/>
      </c>
      <c r="K510" s="15" t="str">
        <f aca="false">IF(J510="","",IF(J510=0,"Tam",IF(J510&lt;0,"Açık","Fazla")))</f>
        <v/>
      </c>
      <c r="L510" s="14" t="str">
        <f aca="false">IF(A510="","",C510+D510)</f>
        <v/>
      </c>
    </row>
    <row r="511" customFormat="false" ht="15" hidden="false" customHeight="false" outlineLevel="0" collapsed="false">
      <c r="A511" s="12"/>
      <c r="B511" s="13"/>
      <c r="C511" s="13"/>
      <c r="D511" s="13"/>
      <c r="E511" s="13"/>
      <c r="F511" s="13"/>
      <c r="G511" s="13"/>
      <c r="H511" s="13"/>
      <c r="I511" s="14" t="str">
        <f aca="false">IF(A511="","",B511+C511+E511-F511-G511)</f>
        <v/>
      </c>
      <c r="J511" s="14" t="str">
        <f aca="false">IF(OR(A511="",H511=""),"",ROUND(H511-I511,2))</f>
        <v/>
      </c>
      <c r="K511" s="15" t="str">
        <f aca="false">IF(J511="","",IF(J511=0,"Tam",IF(J511&lt;0,"Açık","Fazla")))</f>
        <v/>
      </c>
      <c r="L511" s="14" t="str">
        <f aca="false">IF(A511="","",C511+D511)</f>
        <v/>
      </c>
    </row>
    <row r="512" customFormat="false" ht="15" hidden="false" customHeight="false" outlineLevel="0" collapsed="false">
      <c r="A512" s="12"/>
      <c r="B512" s="13"/>
      <c r="C512" s="13"/>
      <c r="D512" s="13"/>
      <c r="E512" s="13"/>
      <c r="F512" s="13"/>
      <c r="G512" s="13"/>
      <c r="H512" s="13"/>
      <c r="I512" s="14" t="str">
        <f aca="false">IF(A512="","",B512+C512+E512-F512-G512)</f>
        <v/>
      </c>
      <c r="J512" s="14" t="str">
        <f aca="false">IF(OR(A512="",H512=""),"",ROUND(H512-I512,2))</f>
        <v/>
      </c>
      <c r="K512" s="15" t="str">
        <f aca="false">IF(J512="","",IF(J512=0,"Tam",IF(J512&lt;0,"Açık","Fazla")))</f>
        <v/>
      </c>
      <c r="L512" s="14" t="str">
        <f aca="false">IF(A512="","",C512+D512)</f>
        <v/>
      </c>
    </row>
    <row r="513" customFormat="false" ht="15" hidden="false" customHeight="false" outlineLevel="0" collapsed="false">
      <c r="A513" s="12"/>
      <c r="B513" s="13"/>
      <c r="C513" s="13"/>
      <c r="D513" s="13"/>
      <c r="E513" s="13"/>
      <c r="F513" s="13"/>
      <c r="G513" s="13"/>
      <c r="H513" s="13"/>
      <c r="I513" s="14" t="str">
        <f aca="false">IF(A513="","",B513+C513+E513-F513-G513)</f>
        <v/>
      </c>
      <c r="J513" s="14" t="str">
        <f aca="false">IF(OR(A513="",H513=""),"",ROUND(H513-I513,2))</f>
        <v/>
      </c>
      <c r="K513" s="15" t="str">
        <f aca="false">IF(J513="","",IF(J513=0,"Tam",IF(J513&lt;0,"Açık","Fazla")))</f>
        <v/>
      </c>
      <c r="L513" s="14" t="str">
        <f aca="false">IF(A513="","",C513+D513)</f>
        <v/>
      </c>
    </row>
    <row r="514" customFormat="false" ht="15" hidden="false" customHeight="false" outlineLevel="0" collapsed="false">
      <c r="A514" s="12"/>
      <c r="B514" s="13"/>
      <c r="C514" s="13"/>
      <c r="D514" s="13"/>
      <c r="E514" s="13"/>
      <c r="F514" s="13"/>
      <c r="G514" s="13"/>
      <c r="H514" s="13"/>
      <c r="I514" s="14" t="str">
        <f aca="false">IF(A514="","",B514+C514+E514-F514-G514)</f>
        <v/>
      </c>
      <c r="J514" s="14" t="str">
        <f aca="false">IF(OR(A514="",H514=""),"",ROUND(H514-I514,2))</f>
        <v/>
      </c>
      <c r="K514" s="15" t="str">
        <f aca="false">IF(J514="","",IF(J514=0,"Tam",IF(J514&lt;0,"Açık","Fazla")))</f>
        <v/>
      </c>
      <c r="L514" s="14" t="str">
        <f aca="false">IF(A514="","",C514+D514)</f>
        <v/>
      </c>
    </row>
    <row r="515" customFormat="false" ht="15" hidden="false" customHeight="false" outlineLevel="0" collapsed="false">
      <c r="A515" s="12"/>
      <c r="B515" s="13"/>
      <c r="C515" s="13"/>
      <c r="D515" s="13"/>
      <c r="E515" s="13"/>
      <c r="F515" s="13"/>
      <c r="G515" s="13"/>
      <c r="H515" s="13"/>
      <c r="I515" s="14" t="str">
        <f aca="false">IF(A515="","",B515+C515+E515-F515-G515)</f>
        <v/>
      </c>
      <c r="J515" s="14" t="str">
        <f aca="false">IF(OR(A515="",H515=""),"",ROUND(H515-I515,2))</f>
        <v/>
      </c>
      <c r="K515" s="15" t="str">
        <f aca="false">IF(J515="","",IF(J515=0,"Tam",IF(J515&lt;0,"Açık","Fazla")))</f>
        <v/>
      </c>
      <c r="L515" s="14" t="str">
        <f aca="false">IF(A515="","",C515+D515)</f>
        <v/>
      </c>
    </row>
    <row r="516" customFormat="false" ht="15" hidden="false" customHeight="false" outlineLevel="0" collapsed="false">
      <c r="A516" s="12"/>
      <c r="B516" s="13"/>
      <c r="C516" s="13"/>
      <c r="D516" s="13"/>
      <c r="E516" s="13"/>
      <c r="F516" s="13"/>
      <c r="G516" s="13"/>
      <c r="H516" s="13"/>
      <c r="I516" s="14" t="str">
        <f aca="false">IF(A516="","",B516+C516+E516-F516-G516)</f>
        <v/>
      </c>
      <c r="J516" s="14" t="str">
        <f aca="false">IF(OR(A516="",H516=""),"",ROUND(H516-I516,2))</f>
        <v/>
      </c>
      <c r="K516" s="15" t="str">
        <f aca="false">IF(J516="","",IF(J516=0,"Tam",IF(J516&lt;0,"Açık","Fazla")))</f>
        <v/>
      </c>
      <c r="L516" s="14" t="str">
        <f aca="false">IF(A516="","",C516+D516)</f>
        <v/>
      </c>
    </row>
    <row r="517" customFormat="false" ht="15" hidden="false" customHeight="false" outlineLevel="0" collapsed="false">
      <c r="A517" s="12"/>
      <c r="B517" s="13"/>
      <c r="C517" s="13"/>
      <c r="D517" s="13"/>
      <c r="E517" s="13"/>
      <c r="F517" s="13"/>
      <c r="G517" s="13"/>
      <c r="H517" s="13"/>
      <c r="I517" s="14" t="str">
        <f aca="false">IF(A517="","",B517+C517+E517-F517-G517)</f>
        <v/>
      </c>
      <c r="J517" s="14" t="str">
        <f aca="false">IF(OR(A517="",H517=""),"",ROUND(H517-I517,2))</f>
        <v/>
      </c>
      <c r="K517" s="15" t="str">
        <f aca="false">IF(J517="","",IF(J517=0,"Tam",IF(J517&lt;0,"Açık","Fazla")))</f>
        <v/>
      </c>
      <c r="L517" s="14" t="str">
        <f aca="false">IF(A517="","",C517+D517)</f>
        <v/>
      </c>
    </row>
    <row r="518" customFormat="false" ht="15" hidden="false" customHeight="false" outlineLevel="0" collapsed="false">
      <c r="A518" s="12"/>
      <c r="B518" s="13"/>
      <c r="C518" s="13"/>
      <c r="D518" s="13"/>
      <c r="E518" s="13"/>
      <c r="F518" s="13"/>
      <c r="G518" s="13"/>
      <c r="H518" s="13"/>
      <c r="I518" s="14" t="str">
        <f aca="false">IF(A518="","",B518+C518+E518-F518-G518)</f>
        <v/>
      </c>
      <c r="J518" s="14" t="str">
        <f aca="false">IF(OR(A518="",H518=""),"",ROUND(H518-I518,2))</f>
        <v/>
      </c>
      <c r="K518" s="15" t="str">
        <f aca="false">IF(J518="","",IF(J518=0,"Tam",IF(J518&lt;0,"Açık","Fazla")))</f>
        <v/>
      </c>
      <c r="L518" s="14" t="str">
        <f aca="false">IF(A518="","",C518+D518)</f>
        <v/>
      </c>
    </row>
    <row r="519" customFormat="false" ht="15" hidden="false" customHeight="false" outlineLevel="0" collapsed="false">
      <c r="A519" s="12"/>
      <c r="B519" s="13"/>
      <c r="C519" s="13"/>
      <c r="D519" s="13"/>
      <c r="E519" s="13"/>
      <c r="F519" s="13"/>
      <c r="G519" s="13"/>
      <c r="H519" s="13"/>
      <c r="I519" s="14" t="str">
        <f aca="false">IF(A519="","",B519+C519+E519-F519-G519)</f>
        <v/>
      </c>
      <c r="J519" s="14" t="str">
        <f aca="false">IF(OR(A519="",H519=""),"",ROUND(H519-I519,2))</f>
        <v/>
      </c>
      <c r="K519" s="15" t="str">
        <f aca="false">IF(J519="","",IF(J519=0,"Tam",IF(J519&lt;0,"Açık","Fazla")))</f>
        <v/>
      </c>
      <c r="L519" s="14" t="str">
        <f aca="false">IF(A519="","",C519+D519)</f>
        <v/>
      </c>
    </row>
    <row r="520" customFormat="false" ht="15" hidden="false" customHeight="false" outlineLevel="0" collapsed="false">
      <c r="A520" s="12"/>
      <c r="B520" s="13"/>
      <c r="C520" s="13"/>
      <c r="D520" s="13"/>
      <c r="E520" s="13"/>
      <c r="F520" s="13"/>
      <c r="G520" s="13"/>
      <c r="H520" s="13"/>
      <c r="I520" s="14" t="str">
        <f aca="false">IF(A520="","",B520+C520+E520-F520-G520)</f>
        <v/>
      </c>
      <c r="J520" s="14" t="str">
        <f aca="false">IF(OR(A520="",H520=""),"",ROUND(H520-I520,2))</f>
        <v/>
      </c>
      <c r="K520" s="15" t="str">
        <f aca="false">IF(J520="","",IF(J520=0,"Tam",IF(J520&lt;0,"Açık","Fazla")))</f>
        <v/>
      </c>
      <c r="L520" s="14" t="str">
        <f aca="false">IF(A520="","",C520+D520)</f>
        <v/>
      </c>
    </row>
    <row r="521" customFormat="false" ht="15" hidden="false" customHeight="false" outlineLevel="0" collapsed="false">
      <c r="A521" s="12"/>
      <c r="B521" s="13"/>
      <c r="C521" s="13"/>
      <c r="D521" s="13"/>
      <c r="E521" s="13"/>
      <c r="F521" s="13"/>
      <c r="G521" s="13"/>
      <c r="H521" s="13"/>
      <c r="I521" s="14" t="str">
        <f aca="false">IF(A521="","",B521+C521+E521-F521-G521)</f>
        <v/>
      </c>
      <c r="J521" s="14" t="str">
        <f aca="false">IF(OR(A521="",H521=""),"",ROUND(H521-I521,2))</f>
        <v/>
      </c>
      <c r="K521" s="15" t="str">
        <f aca="false">IF(J521="","",IF(J521=0,"Tam",IF(J521&lt;0,"Açık","Fazla")))</f>
        <v/>
      </c>
      <c r="L521" s="14" t="str">
        <f aca="false">IF(A521="","",C521+D521)</f>
        <v/>
      </c>
    </row>
    <row r="522" customFormat="false" ht="15" hidden="false" customHeight="false" outlineLevel="0" collapsed="false">
      <c r="A522" s="12"/>
      <c r="B522" s="13"/>
      <c r="C522" s="13"/>
      <c r="D522" s="13"/>
      <c r="E522" s="13"/>
      <c r="F522" s="13"/>
      <c r="G522" s="13"/>
      <c r="H522" s="13"/>
      <c r="I522" s="14" t="str">
        <f aca="false">IF(A522="","",B522+C522+E522-F522-G522)</f>
        <v/>
      </c>
      <c r="J522" s="14" t="str">
        <f aca="false">IF(OR(A522="",H522=""),"",ROUND(H522-I522,2))</f>
        <v/>
      </c>
      <c r="K522" s="15" t="str">
        <f aca="false">IF(J522="","",IF(J522=0,"Tam",IF(J522&lt;0,"Açık","Fazla")))</f>
        <v/>
      </c>
      <c r="L522" s="14" t="str">
        <f aca="false">IF(A522="","",C522+D522)</f>
        <v/>
      </c>
    </row>
    <row r="523" customFormat="false" ht="15" hidden="false" customHeight="false" outlineLevel="0" collapsed="false">
      <c r="A523" s="12"/>
      <c r="B523" s="13"/>
      <c r="C523" s="13"/>
      <c r="D523" s="13"/>
      <c r="E523" s="13"/>
      <c r="F523" s="13"/>
      <c r="G523" s="13"/>
      <c r="H523" s="13"/>
      <c r="I523" s="14" t="str">
        <f aca="false">IF(A523="","",B523+C523+E523-F523-G523)</f>
        <v/>
      </c>
      <c r="J523" s="14" t="str">
        <f aca="false">IF(OR(A523="",H523=""),"",ROUND(H523-I523,2))</f>
        <v/>
      </c>
      <c r="K523" s="15" t="str">
        <f aca="false">IF(J523="","",IF(J523=0,"Tam",IF(J523&lt;0,"Açık","Fazla")))</f>
        <v/>
      </c>
      <c r="L523" s="14" t="str">
        <f aca="false">IF(A523="","",C523+D523)</f>
        <v/>
      </c>
    </row>
    <row r="524" customFormat="false" ht="15" hidden="false" customHeight="false" outlineLevel="0" collapsed="false">
      <c r="A524" s="12"/>
      <c r="B524" s="13"/>
      <c r="C524" s="13"/>
      <c r="D524" s="13"/>
      <c r="E524" s="13"/>
      <c r="F524" s="13"/>
      <c r="G524" s="13"/>
      <c r="H524" s="13"/>
      <c r="I524" s="14" t="str">
        <f aca="false">IF(A524="","",B524+C524+E524-F524-G524)</f>
        <v/>
      </c>
      <c r="J524" s="14" t="str">
        <f aca="false">IF(OR(A524="",H524=""),"",ROUND(H524-I524,2))</f>
        <v/>
      </c>
      <c r="K524" s="15" t="str">
        <f aca="false">IF(J524="","",IF(J524=0,"Tam",IF(J524&lt;0,"Açık","Fazla")))</f>
        <v/>
      </c>
      <c r="L524" s="14" t="str">
        <f aca="false">IF(A524="","",C524+D524)</f>
        <v/>
      </c>
    </row>
    <row r="525" customFormat="false" ht="15" hidden="false" customHeight="false" outlineLevel="0" collapsed="false">
      <c r="A525" s="12"/>
      <c r="B525" s="13"/>
      <c r="C525" s="13"/>
      <c r="D525" s="13"/>
      <c r="E525" s="13"/>
      <c r="F525" s="13"/>
      <c r="G525" s="13"/>
      <c r="H525" s="13"/>
      <c r="I525" s="14" t="str">
        <f aca="false">IF(A525="","",B525+C525+E525-F525-G525)</f>
        <v/>
      </c>
      <c r="J525" s="14" t="str">
        <f aca="false">IF(OR(A525="",H525=""),"",ROUND(H525-I525,2))</f>
        <v/>
      </c>
      <c r="K525" s="15" t="str">
        <f aca="false">IF(J525="","",IF(J525=0,"Tam",IF(J525&lt;0,"Açık","Fazla")))</f>
        <v/>
      </c>
      <c r="L525" s="14" t="str">
        <f aca="false">IF(A525="","",C525+D525)</f>
        <v/>
      </c>
    </row>
    <row r="526" customFormat="false" ht="15" hidden="false" customHeight="false" outlineLevel="0" collapsed="false">
      <c r="A526" s="12"/>
      <c r="B526" s="13"/>
      <c r="C526" s="13"/>
      <c r="D526" s="13"/>
      <c r="E526" s="13"/>
      <c r="F526" s="13"/>
      <c r="G526" s="13"/>
      <c r="H526" s="13"/>
      <c r="I526" s="14" t="str">
        <f aca="false">IF(A526="","",B526+C526+E526-F526-G526)</f>
        <v/>
      </c>
      <c r="J526" s="14" t="str">
        <f aca="false">IF(OR(A526="",H526=""),"",ROUND(H526-I526,2))</f>
        <v/>
      </c>
      <c r="K526" s="15" t="str">
        <f aca="false">IF(J526="","",IF(J526=0,"Tam",IF(J526&lt;0,"Açık","Fazla")))</f>
        <v/>
      </c>
      <c r="L526" s="14" t="str">
        <f aca="false">IF(A526="","",C526+D526)</f>
        <v/>
      </c>
    </row>
    <row r="527" customFormat="false" ht="15" hidden="false" customHeight="false" outlineLevel="0" collapsed="false">
      <c r="A527" s="12"/>
      <c r="B527" s="13"/>
      <c r="C527" s="13"/>
      <c r="D527" s="13"/>
      <c r="E527" s="13"/>
      <c r="F527" s="13"/>
      <c r="G527" s="13"/>
      <c r="H527" s="13"/>
      <c r="I527" s="14" t="str">
        <f aca="false">IF(A527="","",B527+C527+E527-F527-G527)</f>
        <v/>
      </c>
      <c r="J527" s="14" t="str">
        <f aca="false">IF(OR(A527="",H527=""),"",ROUND(H527-I527,2))</f>
        <v/>
      </c>
      <c r="K527" s="15" t="str">
        <f aca="false">IF(J527="","",IF(J527=0,"Tam",IF(J527&lt;0,"Açık","Fazla")))</f>
        <v/>
      </c>
      <c r="L527" s="14" t="str">
        <f aca="false">IF(A527="","",C527+D527)</f>
        <v/>
      </c>
    </row>
    <row r="528" customFormat="false" ht="15" hidden="false" customHeight="false" outlineLevel="0" collapsed="false">
      <c r="A528" s="12"/>
      <c r="B528" s="13"/>
      <c r="C528" s="13"/>
      <c r="D528" s="13"/>
      <c r="E528" s="13"/>
      <c r="F528" s="13"/>
      <c r="G528" s="13"/>
      <c r="H528" s="13"/>
      <c r="I528" s="14" t="str">
        <f aca="false">IF(A528="","",B528+C528+E528-F528-G528)</f>
        <v/>
      </c>
      <c r="J528" s="14" t="str">
        <f aca="false">IF(OR(A528="",H528=""),"",ROUND(H528-I528,2))</f>
        <v/>
      </c>
      <c r="K528" s="15" t="str">
        <f aca="false">IF(J528="","",IF(J528=0,"Tam",IF(J528&lt;0,"Açık","Fazla")))</f>
        <v/>
      </c>
      <c r="L528" s="14" t="str">
        <f aca="false">IF(A528="","",C528+D528)</f>
        <v/>
      </c>
    </row>
    <row r="529" customFormat="false" ht="15" hidden="false" customHeight="false" outlineLevel="0" collapsed="false">
      <c r="A529" s="12"/>
      <c r="B529" s="13"/>
      <c r="C529" s="13"/>
      <c r="D529" s="13"/>
      <c r="E529" s="13"/>
      <c r="F529" s="13"/>
      <c r="G529" s="13"/>
      <c r="H529" s="13"/>
      <c r="I529" s="14" t="str">
        <f aca="false">IF(A529="","",B529+C529+E529-F529-G529)</f>
        <v/>
      </c>
      <c r="J529" s="14" t="str">
        <f aca="false">IF(OR(A529="",H529=""),"",ROUND(H529-I529,2))</f>
        <v/>
      </c>
      <c r="K529" s="15" t="str">
        <f aca="false">IF(J529="","",IF(J529=0,"Tam",IF(J529&lt;0,"Açık","Fazla")))</f>
        <v/>
      </c>
      <c r="L529" s="14" t="str">
        <f aca="false">IF(A529="","",C529+D529)</f>
        <v/>
      </c>
    </row>
    <row r="530" customFormat="false" ht="15" hidden="false" customHeight="false" outlineLevel="0" collapsed="false">
      <c r="A530" s="12"/>
      <c r="B530" s="13"/>
      <c r="C530" s="13"/>
      <c r="D530" s="13"/>
      <c r="E530" s="13"/>
      <c r="F530" s="13"/>
      <c r="G530" s="13"/>
      <c r="H530" s="13"/>
      <c r="I530" s="14" t="str">
        <f aca="false">IF(A530="","",B530+C530+E530-F530-G530)</f>
        <v/>
      </c>
      <c r="J530" s="14" t="str">
        <f aca="false">IF(OR(A530="",H530=""),"",ROUND(H530-I530,2))</f>
        <v/>
      </c>
      <c r="K530" s="15" t="str">
        <f aca="false">IF(J530="","",IF(J530=0,"Tam",IF(J530&lt;0,"Açık","Fazla")))</f>
        <v/>
      </c>
      <c r="L530" s="14" t="str">
        <f aca="false">IF(A530="","",C530+D530)</f>
        <v/>
      </c>
    </row>
    <row r="531" customFormat="false" ht="15" hidden="false" customHeight="false" outlineLevel="0" collapsed="false">
      <c r="A531" s="12"/>
      <c r="B531" s="13"/>
      <c r="C531" s="13"/>
      <c r="D531" s="13"/>
      <c r="E531" s="13"/>
      <c r="F531" s="13"/>
      <c r="G531" s="13"/>
      <c r="H531" s="13"/>
      <c r="I531" s="14" t="str">
        <f aca="false">IF(A531="","",B531+C531+E531-F531-G531)</f>
        <v/>
      </c>
      <c r="J531" s="14" t="str">
        <f aca="false">IF(OR(A531="",H531=""),"",ROUND(H531-I531,2))</f>
        <v/>
      </c>
      <c r="K531" s="15" t="str">
        <f aca="false">IF(J531="","",IF(J531=0,"Tam",IF(J531&lt;0,"Açık","Fazla")))</f>
        <v/>
      </c>
      <c r="L531" s="14" t="str">
        <f aca="false">IF(A531="","",C531+D531)</f>
        <v/>
      </c>
    </row>
    <row r="532" customFormat="false" ht="15" hidden="false" customHeight="false" outlineLevel="0" collapsed="false">
      <c r="A532" s="12"/>
      <c r="B532" s="13"/>
      <c r="C532" s="13"/>
      <c r="D532" s="13"/>
      <c r="E532" s="13"/>
      <c r="F532" s="13"/>
      <c r="G532" s="13"/>
      <c r="H532" s="13"/>
      <c r="I532" s="14" t="str">
        <f aca="false">IF(A532="","",B532+C532+E532-F532-G532)</f>
        <v/>
      </c>
      <c r="J532" s="14" t="str">
        <f aca="false">IF(OR(A532="",H532=""),"",ROUND(H532-I532,2))</f>
        <v/>
      </c>
      <c r="K532" s="15" t="str">
        <f aca="false">IF(J532="","",IF(J532=0,"Tam",IF(J532&lt;0,"Açık","Fazla")))</f>
        <v/>
      </c>
      <c r="L532" s="14" t="str">
        <f aca="false">IF(A532="","",C532+D532)</f>
        <v/>
      </c>
    </row>
    <row r="533" customFormat="false" ht="15" hidden="false" customHeight="false" outlineLevel="0" collapsed="false">
      <c r="A533" s="12"/>
      <c r="B533" s="13"/>
      <c r="C533" s="13"/>
      <c r="D533" s="13"/>
      <c r="E533" s="13"/>
      <c r="F533" s="13"/>
      <c r="G533" s="13"/>
      <c r="H533" s="13"/>
      <c r="I533" s="14" t="str">
        <f aca="false">IF(A533="","",B533+C533+E533-F533-G533)</f>
        <v/>
      </c>
      <c r="J533" s="14" t="str">
        <f aca="false">IF(OR(A533="",H533=""),"",ROUND(H533-I533,2))</f>
        <v/>
      </c>
      <c r="K533" s="15" t="str">
        <f aca="false">IF(J533="","",IF(J533=0,"Tam",IF(J533&lt;0,"Açık","Fazla")))</f>
        <v/>
      </c>
      <c r="L533" s="14" t="str">
        <f aca="false">IF(A533="","",C533+D533)</f>
        <v/>
      </c>
    </row>
    <row r="534" customFormat="false" ht="15" hidden="false" customHeight="false" outlineLevel="0" collapsed="false">
      <c r="A534" s="12"/>
      <c r="B534" s="13"/>
      <c r="C534" s="13"/>
      <c r="D534" s="13"/>
      <c r="E534" s="13"/>
      <c r="F534" s="13"/>
      <c r="G534" s="13"/>
      <c r="H534" s="13"/>
      <c r="I534" s="14" t="str">
        <f aca="false">IF(A534="","",B534+C534+E534-F534-G534)</f>
        <v/>
      </c>
      <c r="J534" s="14" t="str">
        <f aca="false">IF(OR(A534="",H534=""),"",ROUND(H534-I534,2))</f>
        <v/>
      </c>
      <c r="K534" s="15" t="str">
        <f aca="false">IF(J534="","",IF(J534=0,"Tam",IF(J534&lt;0,"Açık","Fazla")))</f>
        <v/>
      </c>
      <c r="L534" s="14" t="str">
        <f aca="false">IF(A534="","",C534+D534)</f>
        <v/>
      </c>
    </row>
    <row r="535" customFormat="false" ht="15" hidden="false" customHeight="false" outlineLevel="0" collapsed="false">
      <c r="A535" s="12"/>
      <c r="B535" s="13"/>
      <c r="C535" s="13"/>
      <c r="D535" s="13"/>
      <c r="E535" s="13"/>
      <c r="F535" s="13"/>
      <c r="G535" s="13"/>
      <c r="H535" s="13"/>
      <c r="I535" s="14" t="str">
        <f aca="false">IF(A535="","",B535+C535+E535-F535-G535)</f>
        <v/>
      </c>
      <c r="J535" s="14" t="str">
        <f aca="false">IF(OR(A535="",H535=""),"",ROUND(H535-I535,2))</f>
        <v/>
      </c>
      <c r="K535" s="15" t="str">
        <f aca="false">IF(J535="","",IF(J535=0,"Tam",IF(J535&lt;0,"Açık","Fazla")))</f>
        <v/>
      </c>
      <c r="L535" s="14" t="str">
        <f aca="false">IF(A535="","",C535+D535)</f>
        <v/>
      </c>
    </row>
    <row r="536" customFormat="false" ht="15" hidden="false" customHeight="false" outlineLevel="0" collapsed="false">
      <c r="A536" s="12"/>
      <c r="B536" s="13"/>
      <c r="C536" s="13"/>
      <c r="D536" s="13"/>
      <c r="E536" s="13"/>
      <c r="F536" s="13"/>
      <c r="G536" s="13"/>
      <c r="H536" s="13"/>
      <c r="I536" s="14" t="str">
        <f aca="false">IF(A536="","",B536+C536+E536-F536-G536)</f>
        <v/>
      </c>
      <c r="J536" s="14" t="str">
        <f aca="false">IF(OR(A536="",H536=""),"",ROUND(H536-I536,2))</f>
        <v/>
      </c>
      <c r="K536" s="15" t="str">
        <f aca="false">IF(J536="","",IF(J536=0,"Tam",IF(J536&lt;0,"Açık","Fazla")))</f>
        <v/>
      </c>
      <c r="L536" s="14" t="str">
        <f aca="false">IF(A536="","",C536+D536)</f>
        <v/>
      </c>
    </row>
    <row r="537" customFormat="false" ht="15" hidden="false" customHeight="false" outlineLevel="0" collapsed="false">
      <c r="A537" s="12"/>
      <c r="B537" s="13"/>
      <c r="C537" s="13"/>
      <c r="D537" s="13"/>
      <c r="E537" s="13"/>
      <c r="F537" s="13"/>
      <c r="G537" s="13"/>
      <c r="H537" s="13"/>
      <c r="I537" s="14" t="str">
        <f aca="false">IF(A537="","",B537+C537+E537-F537-G537)</f>
        <v/>
      </c>
      <c r="J537" s="14" t="str">
        <f aca="false">IF(OR(A537="",H537=""),"",ROUND(H537-I537,2))</f>
        <v/>
      </c>
      <c r="K537" s="15" t="str">
        <f aca="false">IF(J537="","",IF(J537=0,"Tam",IF(J537&lt;0,"Açık","Fazla")))</f>
        <v/>
      </c>
      <c r="L537" s="14" t="str">
        <f aca="false">IF(A537="","",C537+D537)</f>
        <v/>
      </c>
    </row>
    <row r="538" customFormat="false" ht="15" hidden="false" customHeight="false" outlineLevel="0" collapsed="false">
      <c r="A538" s="12"/>
      <c r="B538" s="13"/>
      <c r="C538" s="13"/>
      <c r="D538" s="13"/>
      <c r="E538" s="13"/>
      <c r="F538" s="13"/>
      <c r="G538" s="13"/>
      <c r="H538" s="13"/>
      <c r="I538" s="14" t="str">
        <f aca="false">IF(A538="","",B538+C538+E538-F538-G538)</f>
        <v/>
      </c>
      <c r="J538" s="14" t="str">
        <f aca="false">IF(OR(A538="",H538=""),"",ROUND(H538-I538,2))</f>
        <v/>
      </c>
      <c r="K538" s="15" t="str">
        <f aca="false">IF(J538="","",IF(J538=0,"Tam",IF(J538&lt;0,"Açık","Fazla")))</f>
        <v/>
      </c>
      <c r="L538" s="14" t="str">
        <f aca="false">IF(A538="","",C538+D538)</f>
        <v/>
      </c>
    </row>
    <row r="539" customFormat="false" ht="15" hidden="false" customHeight="false" outlineLevel="0" collapsed="false">
      <c r="A539" s="12"/>
      <c r="B539" s="13"/>
      <c r="C539" s="13"/>
      <c r="D539" s="13"/>
      <c r="E539" s="13"/>
      <c r="F539" s="13"/>
      <c r="G539" s="13"/>
      <c r="H539" s="13"/>
      <c r="I539" s="14" t="str">
        <f aca="false">IF(A539="","",B539+C539+E539-F539-G539)</f>
        <v/>
      </c>
      <c r="J539" s="14" t="str">
        <f aca="false">IF(OR(A539="",H539=""),"",ROUND(H539-I539,2))</f>
        <v/>
      </c>
      <c r="K539" s="15" t="str">
        <f aca="false">IF(J539="","",IF(J539=0,"Tam",IF(J539&lt;0,"Açık","Fazla")))</f>
        <v/>
      </c>
      <c r="L539" s="14" t="str">
        <f aca="false">IF(A539="","",C539+D539)</f>
        <v/>
      </c>
    </row>
    <row r="540" customFormat="false" ht="15" hidden="false" customHeight="false" outlineLevel="0" collapsed="false">
      <c r="A540" s="12"/>
      <c r="B540" s="13"/>
      <c r="C540" s="13"/>
      <c r="D540" s="13"/>
      <c r="E540" s="13"/>
      <c r="F540" s="13"/>
      <c r="G540" s="13"/>
      <c r="H540" s="13"/>
      <c r="I540" s="14" t="str">
        <f aca="false">IF(A540="","",B540+C540+E540-F540-G540)</f>
        <v/>
      </c>
      <c r="J540" s="14" t="str">
        <f aca="false">IF(OR(A540="",H540=""),"",ROUND(H540-I540,2))</f>
        <v/>
      </c>
      <c r="K540" s="15" t="str">
        <f aca="false">IF(J540="","",IF(J540=0,"Tam",IF(J540&lt;0,"Açık","Fazla")))</f>
        <v/>
      </c>
      <c r="L540" s="14" t="str">
        <f aca="false">IF(A540="","",C540+D540)</f>
        <v/>
      </c>
    </row>
    <row r="541" customFormat="false" ht="15" hidden="false" customHeight="false" outlineLevel="0" collapsed="false">
      <c r="A541" s="12"/>
      <c r="B541" s="13"/>
      <c r="C541" s="13"/>
      <c r="D541" s="13"/>
      <c r="E541" s="13"/>
      <c r="F541" s="13"/>
      <c r="G541" s="13"/>
      <c r="H541" s="13"/>
      <c r="I541" s="14" t="str">
        <f aca="false">IF(A541="","",B541+C541+E541-F541-G541)</f>
        <v/>
      </c>
      <c r="J541" s="14" t="str">
        <f aca="false">IF(OR(A541="",H541=""),"",ROUND(H541-I541,2))</f>
        <v/>
      </c>
      <c r="K541" s="15" t="str">
        <f aca="false">IF(J541="","",IF(J541=0,"Tam",IF(J541&lt;0,"Açık","Fazla")))</f>
        <v/>
      </c>
      <c r="L541" s="14" t="str">
        <f aca="false">IF(A541="","",C541+D541)</f>
        <v/>
      </c>
    </row>
    <row r="542" customFormat="false" ht="15" hidden="false" customHeight="false" outlineLevel="0" collapsed="false">
      <c r="A542" s="12"/>
      <c r="B542" s="13"/>
      <c r="C542" s="13"/>
      <c r="D542" s="13"/>
      <c r="E542" s="13"/>
      <c r="F542" s="13"/>
      <c r="G542" s="13"/>
      <c r="H542" s="13"/>
      <c r="I542" s="14" t="str">
        <f aca="false">IF(A542="","",B542+C542+E542-F542-G542)</f>
        <v/>
      </c>
      <c r="J542" s="14" t="str">
        <f aca="false">IF(OR(A542="",H542=""),"",ROUND(H542-I542,2))</f>
        <v/>
      </c>
      <c r="K542" s="15" t="str">
        <f aca="false">IF(J542="","",IF(J542=0,"Tam",IF(J542&lt;0,"Açık","Fazla")))</f>
        <v/>
      </c>
      <c r="L542" s="14" t="str">
        <f aca="false">IF(A542="","",C542+D542)</f>
        <v/>
      </c>
    </row>
    <row r="543" customFormat="false" ht="15" hidden="false" customHeight="false" outlineLevel="0" collapsed="false">
      <c r="A543" s="12"/>
      <c r="B543" s="13"/>
      <c r="C543" s="13"/>
      <c r="D543" s="13"/>
      <c r="E543" s="13"/>
      <c r="F543" s="13"/>
      <c r="G543" s="13"/>
      <c r="H543" s="13"/>
      <c r="I543" s="14" t="str">
        <f aca="false">IF(A543="","",B543+C543+E543-F543-G543)</f>
        <v/>
      </c>
      <c r="J543" s="14" t="str">
        <f aca="false">IF(OR(A543="",H543=""),"",ROUND(H543-I543,2))</f>
        <v/>
      </c>
      <c r="K543" s="15" t="str">
        <f aca="false">IF(J543="","",IF(J543=0,"Tam",IF(J543&lt;0,"Açık","Fazla")))</f>
        <v/>
      </c>
      <c r="L543" s="14" t="str">
        <f aca="false">IF(A543="","",C543+D543)</f>
        <v/>
      </c>
    </row>
    <row r="544" customFormat="false" ht="15" hidden="false" customHeight="false" outlineLevel="0" collapsed="false">
      <c r="A544" s="12"/>
      <c r="B544" s="13"/>
      <c r="C544" s="13"/>
      <c r="D544" s="13"/>
      <c r="E544" s="13"/>
      <c r="F544" s="13"/>
      <c r="G544" s="13"/>
      <c r="H544" s="13"/>
      <c r="I544" s="14" t="str">
        <f aca="false">IF(A544="","",B544+C544+E544-F544-G544)</f>
        <v/>
      </c>
      <c r="J544" s="14" t="str">
        <f aca="false">IF(OR(A544="",H544=""),"",ROUND(H544-I544,2))</f>
        <v/>
      </c>
      <c r="K544" s="15" t="str">
        <f aca="false">IF(J544="","",IF(J544=0,"Tam",IF(J544&lt;0,"Açık","Fazla")))</f>
        <v/>
      </c>
      <c r="L544" s="14" t="str">
        <f aca="false">IF(A544="","",C544+D544)</f>
        <v/>
      </c>
    </row>
    <row r="545" customFormat="false" ht="15" hidden="false" customHeight="false" outlineLevel="0" collapsed="false">
      <c r="A545" s="12"/>
      <c r="B545" s="13"/>
      <c r="C545" s="13"/>
      <c r="D545" s="13"/>
      <c r="E545" s="13"/>
      <c r="F545" s="13"/>
      <c r="G545" s="13"/>
      <c r="H545" s="13"/>
      <c r="I545" s="14" t="str">
        <f aca="false">IF(A545="","",B545+C545+E545-F545-G545)</f>
        <v/>
      </c>
      <c r="J545" s="14" t="str">
        <f aca="false">IF(OR(A545="",H545=""),"",ROUND(H545-I545,2))</f>
        <v/>
      </c>
      <c r="K545" s="15" t="str">
        <f aca="false">IF(J545="","",IF(J545=0,"Tam",IF(J545&lt;0,"Açık","Fazla")))</f>
        <v/>
      </c>
      <c r="L545" s="14" t="str">
        <f aca="false">IF(A545="","",C545+D545)</f>
        <v/>
      </c>
    </row>
    <row r="546" customFormat="false" ht="15" hidden="false" customHeight="false" outlineLevel="0" collapsed="false">
      <c r="A546" s="12"/>
      <c r="B546" s="13"/>
      <c r="C546" s="13"/>
      <c r="D546" s="13"/>
      <c r="E546" s="13"/>
      <c r="F546" s="13"/>
      <c r="G546" s="13"/>
      <c r="H546" s="13"/>
      <c r="I546" s="14" t="str">
        <f aca="false">IF(A546="","",B546+C546+E546-F546-G546)</f>
        <v/>
      </c>
      <c r="J546" s="14" t="str">
        <f aca="false">IF(OR(A546="",H546=""),"",ROUND(H546-I546,2))</f>
        <v/>
      </c>
      <c r="K546" s="15" t="str">
        <f aca="false">IF(J546="","",IF(J546=0,"Tam",IF(J546&lt;0,"Açık","Fazla")))</f>
        <v/>
      </c>
      <c r="L546" s="14" t="str">
        <f aca="false">IF(A546="","",C546+D546)</f>
        <v/>
      </c>
    </row>
    <row r="547" customFormat="false" ht="15" hidden="false" customHeight="false" outlineLevel="0" collapsed="false">
      <c r="A547" s="12"/>
      <c r="B547" s="13"/>
      <c r="C547" s="13"/>
      <c r="D547" s="13"/>
      <c r="E547" s="13"/>
      <c r="F547" s="13"/>
      <c r="G547" s="13"/>
      <c r="H547" s="13"/>
      <c r="I547" s="14" t="str">
        <f aca="false">IF(A547="","",B547+C547+E547-F547-G547)</f>
        <v/>
      </c>
      <c r="J547" s="14" t="str">
        <f aca="false">IF(OR(A547="",H547=""),"",ROUND(H547-I547,2))</f>
        <v/>
      </c>
      <c r="K547" s="15" t="str">
        <f aca="false">IF(J547="","",IF(J547=0,"Tam",IF(J547&lt;0,"Açık","Fazla")))</f>
        <v/>
      </c>
      <c r="L547" s="14" t="str">
        <f aca="false">IF(A547="","",C547+D547)</f>
        <v/>
      </c>
    </row>
    <row r="548" customFormat="false" ht="15" hidden="false" customHeight="false" outlineLevel="0" collapsed="false">
      <c r="A548" s="12"/>
      <c r="B548" s="13"/>
      <c r="C548" s="13"/>
      <c r="D548" s="13"/>
      <c r="E548" s="13"/>
      <c r="F548" s="13"/>
      <c r="G548" s="13"/>
      <c r="H548" s="13"/>
      <c r="I548" s="14" t="str">
        <f aca="false">IF(A548="","",B548+C548+E548-F548-G548)</f>
        <v/>
      </c>
      <c r="J548" s="14" t="str">
        <f aca="false">IF(OR(A548="",H548=""),"",ROUND(H548-I548,2))</f>
        <v/>
      </c>
      <c r="K548" s="15" t="str">
        <f aca="false">IF(J548="","",IF(J548=0,"Tam",IF(J548&lt;0,"Açık","Fazla")))</f>
        <v/>
      </c>
      <c r="L548" s="14" t="str">
        <f aca="false">IF(A548="","",C548+D548)</f>
        <v/>
      </c>
    </row>
    <row r="549" customFormat="false" ht="15" hidden="false" customHeight="false" outlineLevel="0" collapsed="false">
      <c r="A549" s="12"/>
      <c r="B549" s="13"/>
      <c r="C549" s="13"/>
      <c r="D549" s="13"/>
      <c r="E549" s="13"/>
      <c r="F549" s="13"/>
      <c r="G549" s="13"/>
      <c r="H549" s="13"/>
      <c r="I549" s="14" t="str">
        <f aca="false">IF(A549="","",B549+C549+E549-F549-G549)</f>
        <v/>
      </c>
      <c r="J549" s="14" t="str">
        <f aca="false">IF(OR(A549="",H549=""),"",ROUND(H549-I549,2))</f>
        <v/>
      </c>
      <c r="K549" s="15" t="str">
        <f aca="false">IF(J549="","",IF(J549=0,"Tam",IF(J549&lt;0,"Açık","Fazla")))</f>
        <v/>
      </c>
      <c r="L549" s="14" t="str">
        <f aca="false">IF(A549="","",C549+D549)</f>
        <v/>
      </c>
    </row>
    <row r="550" customFormat="false" ht="15" hidden="false" customHeight="false" outlineLevel="0" collapsed="false">
      <c r="A550" s="12"/>
      <c r="B550" s="13"/>
      <c r="C550" s="13"/>
      <c r="D550" s="13"/>
      <c r="E550" s="13"/>
      <c r="F550" s="13"/>
      <c r="G550" s="13"/>
      <c r="H550" s="13"/>
      <c r="I550" s="14" t="str">
        <f aca="false">IF(A550="","",B550+C550+E550-F550-G550)</f>
        <v/>
      </c>
      <c r="J550" s="14" t="str">
        <f aca="false">IF(OR(A550="",H550=""),"",ROUND(H550-I550,2))</f>
        <v/>
      </c>
      <c r="K550" s="15" t="str">
        <f aca="false">IF(J550="","",IF(J550=0,"Tam",IF(J550&lt;0,"Açık","Fazla")))</f>
        <v/>
      </c>
      <c r="L550" s="14" t="str">
        <f aca="false">IF(A550="","",C550+D550)</f>
        <v/>
      </c>
    </row>
    <row r="551" customFormat="false" ht="15" hidden="false" customHeight="false" outlineLevel="0" collapsed="false">
      <c r="A551" s="12"/>
      <c r="B551" s="13"/>
      <c r="C551" s="13"/>
      <c r="D551" s="13"/>
      <c r="E551" s="13"/>
      <c r="F551" s="13"/>
      <c r="G551" s="13"/>
      <c r="H551" s="13"/>
      <c r="I551" s="14" t="str">
        <f aca="false">IF(A551="","",B551+C551+E551-F551-G551)</f>
        <v/>
      </c>
      <c r="J551" s="14" t="str">
        <f aca="false">IF(OR(A551="",H551=""),"",ROUND(H551-I551,2))</f>
        <v/>
      </c>
      <c r="K551" s="15" t="str">
        <f aca="false">IF(J551="","",IF(J551=0,"Tam",IF(J551&lt;0,"Açık","Fazla")))</f>
        <v/>
      </c>
      <c r="L551" s="14" t="str">
        <f aca="false">IF(A551="","",C551+D551)</f>
        <v/>
      </c>
    </row>
    <row r="552" customFormat="false" ht="15" hidden="false" customHeight="false" outlineLevel="0" collapsed="false">
      <c r="A552" s="12"/>
      <c r="B552" s="13"/>
      <c r="C552" s="13"/>
      <c r="D552" s="13"/>
      <c r="E552" s="13"/>
      <c r="F552" s="13"/>
      <c r="G552" s="13"/>
      <c r="H552" s="13"/>
      <c r="I552" s="14" t="str">
        <f aca="false">IF(A552="","",B552+C552+E552-F552-G552)</f>
        <v/>
      </c>
      <c r="J552" s="14" t="str">
        <f aca="false">IF(OR(A552="",H552=""),"",ROUND(H552-I552,2))</f>
        <v/>
      </c>
      <c r="K552" s="15" t="str">
        <f aca="false">IF(J552="","",IF(J552=0,"Tam",IF(J552&lt;0,"Açık","Fazla")))</f>
        <v/>
      </c>
      <c r="L552" s="14" t="str">
        <f aca="false">IF(A552="","",C552+D552)</f>
        <v/>
      </c>
    </row>
    <row r="553" customFormat="false" ht="15" hidden="false" customHeight="false" outlineLevel="0" collapsed="false">
      <c r="A553" s="12"/>
      <c r="B553" s="13"/>
      <c r="C553" s="13"/>
      <c r="D553" s="13"/>
      <c r="E553" s="13"/>
      <c r="F553" s="13"/>
      <c r="G553" s="13"/>
      <c r="H553" s="13"/>
      <c r="I553" s="14" t="str">
        <f aca="false">IF(A553="","",B553+C553+E553-F553-G553)</f>
        <v/>
      </c>
      <c r="J553" s="14" t="str">
        <f aca="false">IF(OR(A553="",H553=""),"",ROUND(H553-I553,2))</f>
        <v/>
      </c>
      <c r="K553" s="15" t="str">
        <f aca="false">IF(J553="","",IF(J553=0,"Tam",IF(J553&lt;0,"Açık","Fazla")))</f>
        <v/>
      </c>
      <c r="L553" s="14" t="str">
        <f aca="false">IF(A553="","",C553+D553)</f>
        <v/>
      </c>
    </row>
    <row r="554" customFormat="false" ht="15" hidden="false" customHeight="false" outlineLevel="0" collapsed="false">
      <c r="A554" s="12"/>
      <c r="B554" s="13"/>
      <c r="C554" s="13"/>
      <c r="D554" s="13"/>
      <c r="E554" s="13"/>
      <c r="F554" s="13"/>
      <c r="G554" s="13"/>
      <c r="H554" s="13"/>
      <c r="I554" s="14" t="str">
        <f aca="false">IF(A554="","",B554+C554+E554-F554-G554)</f>
        <v/>
      </c>
      <c r="J554" s="14" t="str">
        <f aca="false">IF(OR(A554="",H554=""),"",ROUND(H554-I554,2))</f>
        <v/>
      </c>
      <c r="K554" s="15" t="str">
        <f aca="false">IF(J554="","",IF(J554=0,"Tam",IF(J554&lt;0,"Açık","Fazla")))</f>
        <v/>
      </c>
      <c r="L554" s="14" t="str">
        <f aca="false">IF(A554="","",C554+D554)</f>
        <v/>
      </c>
    </row>
    <row r="555" customFormat="false" ht="15" hidden="false" customHeight="false" outlineLevel="0" collapsed="false">
      <c r="A555" s="12"/>
      <c r="B555" s="13"/>
      <c r="C555" s="13"/>
      <c r="D555" s="13"/>
      <c r="E555" s="13"/>
      <c r="F555" s="13"/>
      <c r="G555" s="13"/>
      <c r="H555" s="13"/>
      <c r="I555" s="14" t="str">
        <f aca="false">IF(A555="","",B555+C555+E555-F555-G555)</f>
        <v/>
      </c>
      <c r="J555" s="14" t="str">
        <f aca="false">IF(OR(A555="",H555=""),"",ROUND(H555-I555,2))</f>
        <v/>
      </c>
      <c r="K555" s="15" t="str">
        <f aca="false">IF(J555="","",IF(J555=0,"Tam",IF(J555&lt;0,"Açık","Fazla")))</f>
        <v/>
      </c>
      <c r="L555" s="14" t="str">
        <f aca="false">IF(A555="","",C555+D555)</f>
        <v/>
      </c>
    </row>
    <row r="556" customFormat="false" ht="15" hidden="false" customHeight="false" outlineLevel="0" collapsed="false">
      <c r="A556" s="12"/>
      <c r="B556" s="13"/>
      <c r="C556" s="13"/>
      <c r="D556" s="13"/>
      <c r="E556" s="13"/>
      <c r="F556" s="13"/>
      <c r="G556" s="13"/>
      <c r="H556" s="13"/>
      <c r="I556" s="14" t="str">
        <f aca="false">IF(A556="","",B556+C556+E556-F556-G556)</f>
        <v/>
      </c>
      <c r="J556" s="14" t="str">
        <f aca="false">IF(OR(A556="",H556=""),"",ROUND(H556-I556,2))</f>
        <v/>
      </c>
      <c r="K556" s="15" t="str">
        <f aca="false">IF(J556="","",IF(J556=0,"Tam",IF(J556&lt;0,"Açık","Fazla")))</f>
        <v/>
      </c>
      <c r="L556" s="14" t="str">
        <f aca="false">IF(A556="","",C556+D556)</f>
        <v/>
      </c>
    </row>
    <row r="557" customFormat="false" ht="15" hidden="false" customHeight="false" outlineLevel="0" collapsed="false">
      <c r="A557" s="12"/>
      <c r="B557" s="13"/>
      <c r="C557" s="13"/>
      <c r="D557" s="13"/>
      <c r="E557" s="13"/>
      <c r="F557" s="13"/>
      <c r="G557" s="13"/>
      <c r="H557" s="13"/>
      <c r="I557" s="14" t="str">
        <f aca="false">IF(A557="","",B557+C557+E557-F557-G557)</f>
        <v/>
      </c>
      <c r="J557" s="14" t="str">
        <f aca="false">IF(OR(A557="",H557=""),"",ROUND(H557-I557,2))</f>
        <v/>
      </c>
      <c r="K557" s="15" t="str">
        <f aca="false">IF(J557="","",IF(J557=0,"Tam",IF(J557&lt;0,"Açık","Fazla")))</f>
        <v/>
      </c>
      <c r="L557" s="14" t="str">
        <f aca="false">IF(A557="","",C557+D557)</f>
        <v/>
      </c>
    </row>
    <row r="558" customFormat="false" ht="15" hidden="false" customHeight="false" outlineLevel="0" collapsed="false">
      <c r="A558" s="12"/>
      <c r="B558" s="13"/>
      <c r="C558" s="13"/>
      <c r="D558" s="13"/>
      <c r="E558" s="13"/>
      <c r="F558" s="13"/>
      <c r="G558" s="13"/>
      <c r="H558" s="13"/>
      <c r="I558" s="14" t="str">
        <f aca="false">IF(A558="","",B558+C558+E558-F558-G558)</f>
        <v/>
      </c>
      <c r="J558" s="14" t="str">
        <f aca="false">IF(OR(A558="",H558=""),"",ROUND(H558-I558,2))</f>
        <v/>
      </c>
      <c r="K558" s="15" t="str">
        <f aca="false">IF(J558="","",IF(J558=0,"Tam",IF(J558&lt;0,"Açık","Fazla")))</f>
        <v/>
      </c>
      <c r="L558" s="14" t="str">
        <f aca="false">IF(A558="","",C558+D558)</f>
        <v/>
      </c>
    </row>
    <row r="559" customFormat="false" ht="15" hidden="false" customHeight="false" outlineLevel="0" collapsed="false">
      <c r="A559" s="12"/>
      <c r="B559" s="13"/>
      <c r="C559" s="13"/>
      <c r="D559" s="13"/>
      <c r="E559" s="13"/>
      <c r="F559" s="13"/>
      <c r="G559" s="13"/>
      <c r="H559" s="13"/>
      <c r="I559" s="14" t="str">
        <f aca="false">IF(A559="","",B559+C559+E559-F559-G559)</f>
        <v/>
      </c>
      <c r="J559" s="14" t="str">
        <f aca="false">IF(OR(A559="",H559=""),"",ROUND(H559-I559,2))</f>
        <v/>
      </c>
      <c r="K559" s="15" t="str">
        <f aca="false">IF(J559="","",IF(J559=0,"Tam",IF(J559&lt;0,"Açık","Fazla")))</f>
        <v/>
      </c>
      <c r="L559" s="14" t="str">
        <f aca="false">IF(A559="","",C559+D559)</f>
        <v/>
      </c>
    </row>
    <row r="560" customFormat="false" ht="15" hidden="false" customHeight="false" outlineLevel="0" collapsed="false">
      <c r="A560" s="12"/>
      <c r="B560" s="13"/>
      <c r="C560" s="13"/>
      <c r="D560" s="13"/>
      <c r="E560" s="13"/>
      <c r="F560" s="13"/>
      <c r="G560" s="13"/>
      <c r="H560" s="13"/>
      <c r="I560" s="14" t="str">
        <f aca="false">IF(A560="","",B560+C560+E560-F560-G560)</f>
        <v/>
      </c>
      <c r="J560" s="14" t="str">
        <f aca="false">IF(OR(A560="",H560=""),"",ROUND(H560-I560,2))</f>
        <v/>
      </c>
      <c r="K560" s="15" t="str">
        <f aca="false">IF(J560="","",IF(J560=0,"Tam",IF(J560&lt;0,"Açık","Fazla")))</f>
        <v/>
      </c>
      <c r="L560" s="14" t="str">
        <f aca="false">IF(A560="","",C560+D560)</f>
        <v/>
      </c>
    </row>
    <row r="561" customFormat="false" ht="15" hidden="false" customHeight="false" outlineLevel="0" collapsed="false">
      <c r="A561" s="12"/>
      <c r="B561" s="13"/>
      <c r="C561" s="13"/>
      <c r="D561" s="13"/>
      <c r="E561" s="13"/>
      <c r="F561" s="13"/>
      <c r="G561" s="13"/>
      <c r="H561" s="13"/>
      <c r="I561" s="14" t="str">
        <f aca="false">IF(A561="","",B561+C561+E561-F561-G561)</f>
        <v/>
      </c>
      <c r="J561" s="14" t="str">
        <f aca="false">IF(OR(A561="",H561=""),"",ROUND(H561-I561,2))</f>
        <v/>
      </c>
      <c r="K561" s="15" t="str">
        <f aca="false">IF(J561="","",IF(J561=0,"Tam",IF(J561&lt;0,"Açık","Fazla")))</f>
        <v/>
      </c>
      <c r="L561" s="14" t="str">
        <f aca="false">IF(A561="","",C561+D561)</f>
        <v/>
      </c>
    </row>
    <row r="562" customFormat="false" ht="15" hidden="false" customHeight="false" outlineLevel="0" collapsed="false">
      <c r="A562" s="12"/>
      <c r="B562" s="13"/>
      <c r="C562" s="13"/>
      <c r="D562" s="13"/>
      <c r="E562" s="13"/>
      <c r="F562" s="13"/>
      <c r="G562" s="13"/>
      <c r="H562" s="13"/>
      <c r="I562" s="14" t="str">
        <f aca="false">IF(A562="","",B562+C562+E562-F562-G562)</f>
        <v/>
      </c>
      <c r="J562" s="14" t="str">
        <f aca="false">IF(OR(A562="",H562=""),"",ROUND(H562-I562,2))</f>
        <v/>
      </c>
      <c r="K562" s="15" t="str">
        <f aca="false">IF(J562="","",IF(J562=0,"Tam",IF(J562&lt;0,"Açık","Fazla")))</f>
        <v/>
      </c>
      <c r="L562" s="14" t="str">
        <f aca="false">IF(A562="","",C562+D562)</f>
        <v/>
      </c>
    </row>
    <row r="563" customFormat="false" ht="15" hidden="false" customHeight="false" outlineLevel="0" collapsed="false">
      <c r="A563" s="12"/>
      <c r="B563" s="13"/>
      <c r="C563" s="13"/>
      <c r="D563" s="13"/>
      <c r="E563" s="13"/>
      <c r="F563" s="13"/>
      <c r="G563" s="13"/>
      <c r="H563" s="13"/>
      <c r="I563" s="14" t="str">
        <f aca="false">IF(A563="","",B563+C563+E563-F563-G563)</f>
        <v/>
      </c>
      <c r="J563" s="14" t="str">
        <f aca="false">IF(OR(A563="",H563=""),"",ROUND(H563-I563,2))</f>
        <v/>
      </c>
      <c r="K563" s="15" t="str">
        <f aca="false">IF(J563="","",IF(J563=0,"Tam",IF(J563&lt;0,"Açık","Fazla")))</f>
        <v/>
      </c>
      <c r="L563" s="14" t="str">
        <f aca="false">IF(A563="","",C563+D563)</f>
        <v/>
      </c>
    </row>
    <row r="564" customFormat="false" ht="15" hidden="false" customHeight="false" outlineLevel="0" collapsed="false">
      <c r="A564" s="12"/>
      <c r="B564" s="13"/>
      <c r="C564" s="13"/>
      <c r="D564" s="13"/>
      <c r="E564" s="13"/>
      <c r="F564" s="13"/>
      <c r="G564" s="13"/>
      <c r="H564" s="13"/>
      <c r="I564" s="14" t="str">
        <f aca="false">IF(A564="","",B564+C564+E564-F564-G564)</f>
        <v/>
      </c>
      <c r="J564" s="14" t="str">
        <f aca="false">IF(OR(A564="",H564=""),"",ROUND(H564-I564,2))</f>
        <v/>
      </c>
      <c r="K564" s="15" t="str">
        <f aca="false">IF(J564="","",IF(J564=0,"Tam",IF(J564&lt;0,"Açık","Fazla")))</f>
        <v/>
      </c>
      <c r="L564" s="14" t="str">
        <f aca="false">IF(A564="","",C564+D564)</f>
        <v/>
      </c>
    </row>
    <row r="565" customFormat="false" ht="15" hidden="false" customHeight="false" outlineLevel="0" collapsed="false">
      <c r="A565" s="12"/>
      <c r="B565" s="13"/>
      <c r="C565" s="13"/>
      <c r="D565" s="13"/>
      <c r="E565" s="13"/>
      <c r="F565" s="13"/>
      <c r="G565" s="13"/>
      <c r="H565" s="13"/>
      <c r="I565" s="14" t="str">
        <f aca="false">IF(A565="","",B565+C565+E565-F565-G565)</f>
        <v/>
      </c>
      <c r="J565" s="14" t="str">
        <f aca="false">IF(OR(A565="",H565=""),"",ROUND(H565-I565,2))</f>
        <v/>
      </c>
      <c r="K565" s="15" t="str">
        <f aca="false">IF(J565="","",IF(J565=0,"Tam",IF(J565&lt;0,"Açık","Fazla")))</f>
        <v/>
      </c>
      <c r="L565" s="14" t="str">
        <f aca="false">IF(A565="","",C565+D565)</f>
        <v/>
      </c>
    </row>
    <row r="566" customFormat="false" ht="15" hidden="false" customHeight="false" outlineLevel="0" collapsed="false">
      <c r="A566" s="12"/>
      <c r="B566" s="13"/>
      <c r="C566" s="13"/>
      <c r="D566" s="13"/>
      <c r="E566" s="13"/>
      <c r="F566" s="13"/>
      <c r="G566" s="13"/>
      <c r="H566" s="13"/>
      <c r="I566" s="14" t="str">
        <f aca="false">IF(A566="","",B566+C566+E566-F566-G566)</f>
        <v/>
      </c>
      <c r="J566" s="14" t="str">
        <f aca="false">IF(OR(A566="",H566=""),"",ROUND(H566-I566,2))</f>
        <v/>
      </c>
      <c r="K566" s="15" t="str">
        <f aca="false">IF(J566="","",IF(J566=0,"Tam",IF(J566&lt;0,"Açık","Fazla")))</f>
        <v/>
      </c>
      <c r="L566" s="14" t="str">
        <f aca="false">IF(A566="","",C566+D566)</f>
        <v/>
      </c>
    </row>
    <row r="567" customFormat="false" ht="15" hidden="false" customHeight="false" outlineLevel="0" collapsed="false">
      <c r="A567" s="12"/>
      <c r="B567" s="13"/>
      <c r="C567" s="13"/>
      <c r="D567" s="13"/>
      <c r="E567" s="13"/>
      <c r="F567" s="13"/>
      <c r="G567" s="13"/>
      <c r="H567" s="13"/>
      <c r="I567" s="14" t="str">
        <f aca="false">IF(A567="","",B567+C567+E567-F567-G567)</f>
        <v/>
      </c>
      <c r="J567" s="14" t="str">
        <f aca="false">IF(OR(A567="",H567=""),"",ROUND(H567-I567,2))</f>
        <v/>
      </c>
      <c r="K567" s="15" t="str">
        <f aca="false">IF(J567="","",IF(J567=0,"Tam",IF(J567&lt;0,"Açık","Fazla")))</f>
        <v/>
      </c>
      <c r="L567" s="14" t="str">
        <f aca="false">IF(A567="","",C567+D567)</f>
        <v/>
      </c>
    </row>
    <row r="568" customFormat="false" ht="15" hidden="false" customHeight="false" outlineLevel="0" collapsed="false">
      <c r="A568" s="12"/>
      <c r="B568" s="13"/>
      <c r="C568" s="13"/>
      <c r="D568" s="13"/>
      <c r="E568" s="13"/>
      <c r="F568" s="13"/>
      <c r="G568" s="13"/>
      <c r="H568" s="13"/>
      <c r="I568" s="14" t="str">
        <f aca="false">IF(A568="","",B568+C568+E568-F568-G568)</f>
        <v/>
      </c>
      <c r="J568" s="14" t="str">
        <f aca="false">IF(OR(A568="",H568=""),"",ROUND(H568-I568,2))</f>
        <v/>
      </c>
      <c r="K568" s="15" t="str">
        <f aca="false">IF(J568="","",IF(J568=0,"Tam",IF(J568&lt;0,"Açık","Fazla")))</f>
        <v/>
      </c>
      <c r="L568" s="14" t="str">
        <f aca="false">IF(A568="","",C568+D568)</f>
        <v/>
      </c>
    </row>
    <row r="569" customFormat="false" ht="15" hidden="false" customHeight="false" outlineLevel="0" collapsed="false">
      <c r="A569" s="12"/>
      <c r="B569" s="13"/>
      <c r="C569" s="13"/>
      <c r="D569" s="13"/>
      <c r="E569" s="13"/>
      <c r="F569" s="13"/>
      <c r="G569" s="13"/>
      <c r="H569" s="13"/>
      <c r="I569" s="14" t="str">
        <f aca="false">IF(A569="","",B569+C569+E569-F569-G569)</f>
        <v/>
      </c>
      <c r="J569" s="14" t="str">
        <f aca="false">IF(OR(A569="",H569=""),"",ROUND(H569-I569,2))</f>
        <v/>
      </c>
      <c r="K569" s="15" t="str">
        <f aca="false">IF(J569="","",IF(J569=0,"Tam",IF(J569&lt;0,"Açık","Fazla")))</f>
        <v/>
      </c>
      <c r="L569" s="14" t="str">
        <f aca="false">IF(A569="","",C569+D569)</f>
        <v/>
      </c>
    </row>
    <row r="570" customFormat="false" ht="15" hidden="false" customHeight="false" outlineLevel="0" collapsed="false">
      <c r="A570" s="12"/>
      <c r="B570" s="13"/>
      <c r="C570" s="13"/>
      <c r="D570" s="13"/>
      <c r="E570" s="13"/>
      <c r="F570" s="13"/>
      <c r="G570" s="13"/>
      <c r="H570" s="13"/>
      <c r="I570" s="14" t="str">
        <f aca="false">IF(A570="","",B570+C570+E570-F570-G570)</f>
        <v/>
      </c>
      <c r="J570" s="14" t="str">
        <f aca="false">IF(OR(A570="",H570=""),"",ROUND(H570-I570,2))</f>
        <v/>
      </c>
      <c r="K570" s="15" t="str">
        <f aca="false">IF(J570="","",IF(J570=0,"Tam",IF(J570&lt;0,"Açık","Fazla")))</f>
        <v/>
      </c>
      <c r="L570" s="14" t="str">
        <f aca="false">IF(A570="","",C570+D570)</f>
        <v/>
      </c>
    </row>
    <row r="571" customFormat="false" ht="15" hidden="false" customHeight="false" outlineLevel="0" collapsed="false">
      <c r="A571" s="12"/>
      <c r="B571" s="13"/>
      <c r="C571" s="13"/>
      <c r="D571" s="13"/>
      <c r="E571" s="13"/>
      <c r="F571" s="13"/>
      <c r="G571" s="13"/>
      <c r="H571" s="13"/>
      <c r="I571" s="14" t="str">
        <f aca="false">IF(A571="","",B571+C571+E571-F571-G571)</f>
        <v/>
      </c>
      <c r="J571" s="14" t="str">
        <f aca="false">IF(OR(A571="",H571=""),"",ROUND(H571-I571,2))</f>
        <v/>
      </c>
      <c r="K571" s="15" t="str">
        <f aca="false">IF(J571="","",IF(J571=0,"Tam",IF(J571&lt;0,"Açık","Fazla")))</f>
        <v/>
      </c>
      <c r="L571" s="14" t="str">
        <f aca="false">IF(A571="","",C571+D571)</f>
        <v/>
      </c>
    </row>
    <row r="572" customFormat="false" ht="15" hidden="false" customHeight="false" outlineLevel="0" collapsed="false">
      <c r="A572" s="12"/>
      <c r="B572" s="13"/>
      <c r="C572" s="13"/>
      <c r="D572" s="13"/>
      <c r="E572" s="13"/>
      <c r="F572" s="13"/>
      <c r="G572" s="13"/>
      <c r="H572" s="13"/>
      <c r="I572" s="14" t="str">
        <f aca="false">IF(A572="","",B572+C572+E572-F572-G572)</f>
        <v/>
      </c>
      <c r="J572" s="14" t="str">
        <f aca="false">IF(OR(A572="",H572=""),"",ROUND(H572-I572,2))</f>
        <v/>
      </c>
      <c r="K572" s="15" t="str">
        <f aca="false">IF(J572="","",IF(J572=0,"Tam",IF(J572&lt;0,"Açık","Fazla")))</f>
        <v/>
      </c>
      <c r="L572" s="14" t="str">
        <f aca="false">IF(A572="","",C572+D572)</f>
        <v/>
      </c>
    </row>
    <row r="573" customFormat="false" ht="15" hidden="false" customHeight="false" outlineLevel="0" collapsed="false">
      <c r="A573" s="12"/>
      <c r="B573" s="13"/>
      <c r="C573" s="13"/>
      <c r="D573" s="13"/>
      <c r="E573" s="13"/>
      <c r="F573" s="13"/>
      <c r="G573" s="13"/>
      <c r="H573" s="13"/>
      <c r="I573" s="14" t="str">
        <f aca="false">IF(A573="","",B573+C573+E573-F573-G573)</f>
        <v/>
      </c>
      <c r="J573" s="14" t="str">
        <f aca="false">IF(OR(A573="",H573=""),"",ROUND(H573-I573,2))</f>
        <v/>
      </c>
      <c r="K573" s="15" t="str">
        <f aca="false">IF(J573="","",IF(J573=0,"Tam",IF(J573&lt;0,"Açık","Fazla")))</f>
        <v/>
      </c>
      <c r="L573" s="14" t="str">
        <f aca="false">IF(A573="","",C573+D573)</f>
        <v/>
      </c>
    </row>
    <row r="574" customFormat="false" ht="15" hidden="false" customHeight="false" outlineLevel="0" collapsed="false">
      <c r="A574" s="12"/>
      <c r="B574" s="13"/>
      <c r="C574" s="13"/>
      <c r="D574" s="13"/>
      <c r="E574" s="13"/>
      <c r="F574" s="13"/>
      <c r="G574" s="13"/>
      <c r="H574" s="13"/>
      <c r="I574" s="14" t="str">
        <f aca="false">IF(A574="","",B574+C574+E574-F574-G574)</f>
        <v/>
      </c>
      <c r="J574" s="14" t="str">
        <f aca="false">IF(OR(A574="",H574=""),"",ROUND(H574-I574,2))</f>
        <v/>
      </c>
      <c r="K574" s="15" t="str">
        <f aca="false">IF(J574="","",IF(J574=0,"Tam",IF(J574&lt;0,"Açık","Fazla")))</f>
        <v/>
      </c>
      <c r="L574" s="14" t="str">
        <f aca="false">IF(A574="","",C574+D574)</f>
        <v/>
      </c>
    </row>
    <row r="575" customFormat="false" ht="15" hidden="false" customHeight="false" outlineLevel="0" collapsed="false">
      <c r="A575" s="12"/>
      <c r="B575" s="13"/>
      <c r="C575" s="13"/>
      <c r="D575" s="13"/>
      <c r="E575" s="13"/>
      <c r="F575" s="13"/>
      <c r="G575" s="13"/>
      <c r="H575" s="13"/>
      <c r="I575" s="14" t="str">
        <f aca="false">IF(A575="","",B575+C575+E575-F575-G575)</f>
        <v/>
      </c>
      <c r="J575" s="14" t="str">
        <f aca="false">IF(OR(A575="",H575=""),"",ROUND(H575-I575,2))</f>
        <v/>
      </c>
      <c r="K575" s="15" t="str">
        <f aca="false">IF(J575="","",IF(J575=0,"Tam",IF(J575&lt;0,"Açık","Fazla")))</f>
        <v/>
      </c>
      <c r="L575" s="14" t="str">
        <f aca="false">IF(A575="","",C575+D575)</f>
        <v/>
      </c>
    </row>
    <row r="576" customFormat="false" ht="15" hidden="false" customHeight="false" outlineLevel="0" collapsed="false">
      <c r="A576" s="12"/>
      <c r="B576" s="13"/>
      <c r="C576" s="13"/>
      <c r="D576" s="13"/>
      <c r="E576" s="13"/>
      <c r="F576" s="13"/>
      <c r="G576" s="13"/>
      <c r="H576" s="13"/>
      <c r="I576" s="14" t="str">
        <f aca="false">IF(A576="","",B576+C576+E576-F576-G576)</f>
        <v/>
      </c>
      <c r="J576" s="14" t="str">
        <f aca="false">IF(OR(A576="",H576=""),"",ROUND(H576-I576,2))</f>
        <v/>
      </c>
      <c r="K576" s="15" t="str">
        <f aca="false">IF(J576="","",IF(J576=0,"Tam",IF(J576&lt;0,"Açık","Fazla")))</f>
        <v/>
      </c>
      <c r="L576" s="14" t="str">
        <f aca="false">IF(A576="","",C576+D576)</f>
        <v/>
      </c>
    </row>
    <row r="577" customFormat="false" ht="15" hidden="false" customHeight="false" outlineLevel="0" collapsed="false">
      <c r="A577" s="12"/>
      <c r="B577" s="13"/>
      <c r="C577" s="13"/>
      <c r="D577" s="13"/>
      <c r="E577" s="13"/>
      <c r="F577" s="13"/>
      <c r="G577" s="13"/>
      <c r="H577" s="13"/>
      <c r="I577" s="14" t="str">
        <f aca="false">IF(A577="","",B577+C577+E577-F577-G577)</f>
        <v/>
      </c>
      <c r="J577" s="14" t="str">
        <f aca="false">IF(OR(A577="",H577=""),"",ROUND(H577-I577,2))</f>
        <v/>
      </c>
      <c r="K577" s="15" t="str">
        <f aca="false">IF(J577="","",IF(J577=0,"Tam",IF(J577&lt;0,"Açık","Fazla")))</f>
        <v/>
      </c>
      <c r="L577" s="14" t="str">
        <f aca="false">IF(A577="","",C577+D577)</f>
        <v/>
      </c>
    </row>
    <row r="578" customFormat="false" ht="15" hidden="false" customHeight="false" outlineLevel="0" collapsed="false">
      <c r="A578" s="12"/>
      <c r="B578" s="13"/>
      <c r="C578" s="13"/>
      <c r="D578" s="13"/>
      <c r="E578" s="13"/>
      <c r="F578" s="13"/>
      <c r="G578" s="13"/>
      <c r="H578" s="13"/>
      <c r="I578" s="14" t="str">
        <f aca="false">IF(A578="","",B578+C578+E578-F578-G578)</f>
        <v/>
      </c>
      <c r="J578" s="14" t="str">
        <f aca="false">IF(OR(A578="",H578=""),"",ROUND(H578-I578,2))</f>
        <v/>
      </c>
      <c r="K578" s="15" t="str">
        <f aca="false">IF(J578="","",IF(J578=0,"Tam",IF(J578&lt;0,"Açık","Fazla")))</f>
        <v/>
      </c>
      <c r="L578" s="14" t="str">
        <f aca="false">IF(A578="","",C578+D578)</f>
        <v/>
      </c>
    </row>
    <row r="579" customFormat="false" ht="15" hidden="false" customHeight="false" outlineLevel="0" collapsed="false">
      <c r="A579" s="12"/>
      <c r="B579" s="13"/>
      <c r="C579" s="13"/>
      <c r="D579" s="13"/>
      <c r="E579" s="13"/>
      <c r="F579" s="13"/>
      <c r="G579" s="13"/>
      <c r="H579" s="13"/>
      <c r="I579" s="14" t="str">
        <f aca="false">IF(A579="","",B579+C579+E579-F579-G579)</f>
        <v/>
      </c>
      <c r="J579" s="14" t="str">
        <f aca="false">IF(OR(A579="",H579=""),"",ROUND(H579-I579,2))</f>
        <v/>
      </c>
      <c r="K579" s="15" t="str">
        <f aca="false">IF(J579="","",IF(J579=0,"Tam",IF(J579&lt;0,"Açık","Fazla")))</f>
        <v/>
      </c>
      <c r="L579" s="14" t="str">
        <f aca="false">IF(A579="","",C579+D579)</f>
        <v/>
      </c>
    </row>
    <row r="580" customFormat="false" ht="15" hidden="false" customHeight="false" outlineLevel="0" collapsed="false">
      <c r="A580" s="12"/>
      <c r="B580" s="13"/>
      <c r="C580" s="13"/>
      <c r="D580" s="13"/>
      <c r="E580" s="13"/>
      <c r="F580" s="13"/>
      <c r="G580" s="13"/>
      <c r="H580" s="13"/>
      <c r="I580" s="14" t="str">
        <f aca="false">IF(A580="","",B580+C580+E580-F580-G580)</f>
        <v/>
      </c>
      <c r="J580" s="14" t="str">
        <f aca="false">IF(OR(A580="",H580=""),"",ROUND(H580-I580,2))</f>
        <v/>
      </c>
      <c r="K580" s="15" t="str">
        <f aca="false">IF(J580="","",IF(J580=0,"Tam",IF(J580&lt;0,"Açık","Fazla")))</f>
        <v/>
      </c>
      <c r="L580" s="14" t="str">
        <f aca="false">IF(A580="","",C580+D580)</f>
        <v/>
      </c>
    </row>
    <row r="581" customFormat="false" ht="15" hidden="false" customHeight="false" outlineLevel="0" collapsed="false">
      <c r="A581" s="12"/>
      <c r="B581" s="13"/>
      <c r="C581" s="13"/>
      <c r="D581" s="13"/>
      <c r="E581" s="13"/>
      <c r="F581" s="13"/>
      <c r="G581" s="13"/>
      <c r="H581" s="13"/>
      <c r="I581" s="14" t="str">
        <f aca="false">IF(A581="","",B581+C581+E581-F581-G581)</f>
        <v/>
      </c>
      <c r="J581" s="14" t="str">
        <f aca="false">IF(OR(A581="",H581=""),"",ROUND(H581-I581,2))</f>
        <v/>
      </c>
      <c r="K581" s="15" t="str">
        <f aca="false">IF(J581="","",IF(J581=0,"Tam",IF(J581&lt;0,"Açık","Fazla")))</f>
        <v/>
      </c>
      <c r="L581" s="14" t="str">
        <f aca="false">IF(A581="","",C581+D581)</f>
        <v/>
      </c>
    </row>
    <row r="582" customFormat="false" ht="15" hidden="false" customHeight="false" outlineLevel="0" collapsed="false">
      <c r="A582" s="12"/>
      <c r="B582" s="13"/>
      <c r="C582" s="13"/>
      <c r="D582" s="13"/>
      <c r="E582" s="13"/>
      <c r="F582" s="13"/>
      <c r="G582" s="13"/>
      <c r="H582" s="13"/>
      <c r="I582" s="14" t="str">
        <f aca="false">IF(A582="","",B582+C582+E582-F582-G582)</f>
        <v/>
      </c>
      <c r="J582" s="14" t="str">
        <f aca="false">IF(OR(A582="",H582=""),"",ROUND(H582-I582,2))</f>
        <v/>
      </c>
      <c r="K582" s="15" t="str">
        <f aca="false">IF(J582="","",IF(J582=0,"Tam",IF(J582&lt;0,"Açık","Fazla")))</f>
        <v/>
      </c>
      <c r="L582" s="14" t="str">
        <f aca="false">IF(A582="","",C582+D582)</f>
        <v/>
      </c>
    </row>
    <row r="583" customFormat="false" ht="15" hidden="false" customHeight="false" outlineLevel="0" collapsed="false">
      <c r="A583" s="12"/>
      <c r="B583" s="13"/>
      <c r="C583" s="13"/>
      <c r="D583" s="13"/>
      <c r="E583" s="13"/>
      <c r="F583" s="13"/>
      <c r="G583" s="13"/>
      <c r="H583" s="13"/>
      <c r="I583" s="14" t="str">
        <f aca="false">IF(A583="","",B583+C583+E583-F583-G583)</f>
        <v/>
      </c>
      <c r="J583" s="14" t="str">
        <f aca="false">IF(OR(A583="",H583=""),"",ROUND(H583-I583,2))</f>
        <v/>
      </c>
      <c r="K583" s="15" t="str">
        <f aca="false">IF(J583="","",IF(J583=0,"Tam",IF(J583&lt;0,"Açık","Fazla")))</f>
        <v/>
      </c>
      <c r="L583" s="14" t="str">
        <f aca="false">IF(A583="","",C583+D583)</f>
        <v/>
      </c>
    </row>
    <row r="584" customFormat="false" ht="15" hidden="false" customHeight="false" outlineLevel="0" collapsed="false">
      <c r="A584" s="12"/>
      <c r="B584" s="13"/>
      <c r="C584" s="13"/>
      <c r="D584" s="13"/>
      <c r="E584" s="13"/>
      <c r="F584" s="13"/>
      <c r="G584" s="13"/>
      <c r="H584" s="13"/>
      <c r="I584" s="14" t="str">
        <f aca="false">IF(A584="","",B584+C584+E584-F584-G584)</f>
        <v/>
      </c>
      <c r="J584" s="14" t="str">
        <f aca="false">IF(OR(A584="",H584=""),"",ROUND(H584-I584,2))</f>
        <v/>
      </c>
      <c r="K584" s="15" t="str">
        <f aca="false">IF(J584="","",IF(J584=0,"Tam",IF(J584&lt;0,"Açık","Fazla")))</f>
        <v/>
      </c>
      <c r="L584" s="14" t="str">
        <f aca="false">IF(A584="","",C584+D584)</f>
        <v/>
      </c>
    </row>
    <row r="585" customFormat="false" ht="15" hidden="false" customHeight="false" outlineLevel="0" collapsed="false">
      <c r="A585" s="12"/>
      <c r="B585" s="13"/>
      <c r="C585" s="13"/>
      <c r="D585" s="13"/>
      <c r="E585" s="13"/>
      <c r="F585" s="13"/>
      <c r="G585" s="13"/>
      <c r="H585" s="13"/>
      <c r="I585" s="14" t="str">
        <f aca="false">IF(A585="","",B585+C585+E585-F585-G585)</f>
        <v/>
      </c>
      <c r="J585" s="14" t="str">
        <f aca="false">IF(OR(A585="",H585=""),"",ROUND(H585-I585,2))</f>
        <v/>
      </c>
      <c r="K585" s="15" t="str">
        <f aca="false">IF(J585="","",IF(J585=0,"Tam",IF(J585&lt;0,"Açık","Fazla")))</f>
        <v/>
      </c>
      <c r="L585" s="14" t="str">
        <f aca="false">IF(A585="","",C585+D585)</f>
        <v/>
      </c>
    </row>
    <row r="586" customFormat="false" ht="15" hidden="false" customHeight="false" outlineLevel="0" collapsed="false">
      <c r="A586" s="12"/>
      <c r="B586" s="13"/>
      <c r="C586" s="13"/>
      <c r="D586" s="13"/>
      <c r="E586" s="13"/>
      <c r="F586" s="13"/>
      <c r="G586" s="13"/>
      <c r="H586" s="13"/>
      <c r="I586" s="14" t="str">
        <f aca="false">IF(A586="","",B586+C586+E586-F586-G586)</f>
        <v/>
      </c>
      <c r="J586" s="14" t="str">
        <f aca="false">IF(OR(A586="",H586=""),"",ROUND(H586-I586,2))</f>
        <v/>
      </c>
      <c r="K586" s="15" t="str">
        <f aca="false">IF(J586="","",IF(J586=0,"Tam",IF(J586&lt;0,"Açık","Fazla")))</f>
        <v/>
      </c>
      <c r="L586" s="14" t="str">
        <f aca="false">IF(A586="","",C586+D586)</f>
        <v/>
      </c>
    </row>
    <row r="587" customFormat="false" ht="15" hidden="false" customHeight="false" outlineLevel="0" collapsed="false">
      <c r="A587" s="12"/>
      <c r="B587" s="13"/>
      <c r="C587" s="13"/>
      <c r="D587" s="13"/>
      <c r="E587" s="13"/>
      <c r="F587" s="13"/>
      <c r="G587" s="13"/>
      <c r="H587" s="13"/>
      <c r="I587" s="14" t="str">
        <f aca="false">IF(A587="","",B587+C587+E587-F587-G587)</f>
        <v/>
      </c>
      <c r="J587" s="14" t="str">
        <f aca="false">IF(OR(A587="",H587=""),"",ROUND(H587-I587,2))</f>
        <v/>
      </c>
      <c r="K587" s="15" t="str">
        <f aca="false">IF(J587="","",IF(J587=0,"Tam",IF(J587&lt;0,"Açık","Fazla")))</f>
        <v/>
      </c>
      <c r="L587" s="14" t="str">
        <f aca="false">IF(A587="","",C587+D587)</f>
        <v/>
      </c>
    </row>
    <row r="588" customFormat="false" ht="15" hidden="false" customHeight="false" outlineLevel="0" collapsed="false">
      <c r="A588" s="12"/>
      <c r="B588" s="13"/>
      <c r="C588" s="13"/>
      <c r="D588" s="13"/>
      <c r="E588" s="13"/>
      <c r="F588" s="13"/>
      <c r="G588" s="13"/>
      <c r="H588" s="13"/>
      <c r="I588" s="14" t="str">
        <f aca="false">IF(A588="","",B588+C588+E588-F588-G588)</f>
        <v/>
      </c>
      <c r="J588" s="14" t="str">
        <f aca="false">IF(OR(A588="",H588=""),"",ROUND(H588-I588,2))</f>
        <v/>
      </c>
      <c r="K588" s="15" t="str">
        <f aca="false">IF(J588="","",IF(J588=0,"Tam",IF(J588&lt;0,"Açık","Fazla")))</f>
        <v/>
      </c>
      <c r="L588" s="14" t="str">
        <f aca="false">IF(A588="","",C588+D588)</f>
        <v/>
      </c>
    </row>
    <row r="589" customFormat="false" ht="15" hidden="false" customHeight="false" outlineLevel="0" collapsed="false">
      <c r="A589" s="12"/>
      <c r="B589" s="13"/>
      <c r="C589" s="13"/>
      <c r="D589" s="13"/>
      <c r="E589" s="13"/>
      <c r="F589" s="13"/>
      <c r="G589" s="13"/>
      <c r="H589" s="13"/>
      <c r="I589" s="14" t="str">
        <f aca="false">IF(A589="","",B589+C589+E589-F589-G589)</f>
        <v/>
      </c>
      <c r="J589" s="14" t="str">
        <f aca="false">IF(OR(A589="",H589=""),"",ROUND(H589-I589,2))</f>
        <v/>
      </c>
      <c r="K589" s="15" t="str">
        <f aca="false">IF(J589="","",IF(J589=0,"Tam",IF(J589&lt;0,"Açık","Fazla")))</f>
        <v/>
      </c>
      <c r="L589" s="14" t="str">
        <f aca="false">IF(A589="","",C589+D589)</f>
        <v/>
      </c>
    </row>
    <row r="590" customFormat="false" ht="15" hidden="false" customHeight="false" outlineLevel="0" collapsed="false">
      <c r="A590" s="12"/>
      <c r="B590" s="13"/>
      <c r="C590" s="13"/>
      <c r="D590" s="13"/>
      <c r="E590" s="13"/>
      <c r="F590" s="13"/>
      <c r="G590" s="13"/>
      <c r="H590" s="13"/>
      <c r="I590" s="14" t="str">
        <f aca="false">IF(A590="","",B590+C590+E590-F590-G590)</f>
        <v/>
      </c>
      <c r="J590" s="14" t="str">
        <f aca="false">IF(OR(A590="",H590=""),"",ROUND(H590-I590,2))</f>
        <v/>
      </c>
      <c r="K590" s="15" t="str">
        <f aca="false">IF(J590="","",IF(J590=0,"Tam",IF(J590&lt;0,"Açık","Fazla")))</f>
        <v/>
      </c>
      <c r="L590" s="14" t="str">
        <f aca="false">IF(A590="","",C590+D590)</f>
        <v/>
      </c>
    </row>
    <row r="591" customFormat="false" ht="15" hidden="false" customHeight="false" outlineLevel="0" collapsed="false">
      <c r="A591" s="12"/>
      <c r="B591" s="13"/>
      <c r="C591" s="13"/>
      <c r="D591" s="13"/>
      <c r="E591" s="13"/>
      <c r="F591" s="13"/>
      <c r="G591" s="13"/>
      <c r="H591" s="13"/>
      <c r="I591" s="14" t="str">
        <f aca="false">IF(A591="","",B591+C591+E591-F591-G591)</f>
        <v/>
      </c>
      <c r="J591" s="14" t="str">
        <f aca="false">IF(OR(A591="",H591=""),"",ROUND(H591-I591,2))</f>
        <v/>
      </c>
      <c r="K591" s="15" t="str">
        <f aca="false">IF(J591="","",IF(J591=0,"Tam",IF(J591&lt;0,"Açık","Fazla")))</f>
        <v/>
      </c>
      <c r="L591" s="14" t="str">
        <f aca="false">IF(A591="","",C591+D591)</f>
        <v/>
      </c>
    </row>
    <row r="592" customFormat="false" ht="15" hidden="false" customHeight="false" outlineLevel="0" collapsed="false">
      <c r="A592" s="12"/>
      <c r="B592" s="13"/>
      <c r="C592" s="13"/>
      <c r="D592" s="13"/>
      <c r="E592" s="13"/>
      <c r="F592" s="13"/>
      <c r="G592" s="13"/>
      <c r="H592" s="13"/>
      <c r="I592" s="14" t="str">
        <f aca="false">IF(A592="","",B592+C592+E592-F592-G592)</f>
        <v/>
      </c>
      <c r="J592" s="14" t="str">
        <f aca="false">IF(OR(A592="",H592=""),"",ROUND(H592-I592,2))</f>
        <v/>
      </c>
      <c r="K592" s="15" t="str">
        <f aca="false">IF(J592="","",IF(J592=0,"Tam",IF(J592&lt;0,"Açık","Fazla")))</f>
        <v/>
      </c>
      <c r="L592" s="14" t="str">
        <f aca="false">IF(A592="","",C592+D592)</f>
        <v/>
      </c>
    </row>
    <row r="593" customFormat="false" ht="15" hidden="false" customHeight="false" outlineLevel="0" collapsed="false">
      <c r="A593" s="12"/>
      <c r="B593" s="13"/>
      <c r="C593" s="13"/>
      <c r="D593" s="13"/>
      <c r="E593" s="13"/>
      <c r="F593" s="13"/>
      <c r="G593" s="13"/>
      <c r="H593" s="13"/>
      <c r="I593" s="14" t="str">
        <f aca="false">IF(A593="","",B593+C593+E593-F593-G593)</f>
        <v/>
      </c>
      <c r="J593" s="14" t="str">
        <f aca="false">IF(OR(A593="",H593=""),"",ROUND(H593-I593,2))</f>
        <v/>
      </c>
      <c r="K593" s="15" t="str">
        <f aca="false">IF(J593="","",IF(J593=0,"Tam",IF(J593&lt;0,"Açık","Fazla")))</f>
        <v/>
      </c>
      <c r="L593" s="14" t="str">
        <f aca="false">IF(A593="","",C593+D593)</f>
        <v/>
      </c>
    </row>
    <row r="594" customFormat="false" ht="15" hidden="false" customHeight="false" outlineLevel="0" collapsed="false">
      <c r="A594" s="12"/>
      <c r="B594" s="13"/>
      <c r="C594" s="13"/>
      <c r="D594" s="13"/>
      <c r="E594" s="13"/>
      <c r="F594" s="13"/>
      <c r="G594" s="13"/>
      <c r="H594" s="13"/>
      <c r="I594" s="14" t="str">
        <f aca="false">IF(A594="","",B594+C594+E594-F594-G594)</f>
        <v/>
      </c>
      <c r="J594" s="14" t="str">
        <f aca="false">IF(OR(A594="",H594=""),"",ROUND(H594-I594,2))</f>
        <v/>
      </c>
      <c r="K594" s="15" t="str">
        <f aca="false">IF(J594="","",IF(J594=0,"Tam",IF(J594&lt;0,"Açık","Fazla")))</f>
        <v/>
      </c>
      <c r="L594" s="14" t="str">
        <f aca="false">IF(A594="","",C594+D594)</f>
        <v/>
      </c>
    </row>
    <row r="595" customFormat="false" ht="15" hidden="false" customHeight="false" outlineLevel="0" collapsed="false">
      <c r="A595" s="12"/>
      <c r="B595" s="13"/>
      <c r="C595" s="13"/>
      <c r="D595" s="13"/>
      <c r="E595" s="13"/>
      <c r="F595" s="13"/>
      <c r="G595" s="13"/>
      <c r="H595" s="13"/>
      <c r="I595" s="14" t="str">
        <f aca="false">IF(A595="","",B595+C595+E595-F595-G595)</f>
        <v/>
      </c>
      <c r="J595" s="14" t="str">
        <f aca="false">IF(OR(A595="",H595=""),"",ROUND(H595-I595,2))</f>
        <v/>
      </c>
      <c r="K595" s="15" t="str">
        <f aca="false">IF(J595="","",IF(J595=0,"Tam",IF(J595&lt;0,"Açık","Fazla")))</f>
        <v/>
      </c>
      <c r="L595" s="14" t="str">
        <f aca="false">IF(A595="","",C595+D595)</f>
        <v/>
      </c>
    </row>
    <row r="596" customFormat="false" ht="15" hidden="false" customHeight="false" outlineLevel="0" collapsed="false">
      <c r="A596" s="12"/>
      <c r="B596" s="13"/>
      <c r="C596" s="13"/>
      <c r="D596" s="13"/>
      <c r="E596" s="13"/>
      <c r="F596" s="13"/>
      <c r="G596" s="13"/>
      <c r="H596" s="13"/>
      <c r="I596" s="14" t="str">
        <f aca="false">IF(A596="","",B596+C596+E596-F596-G596)</f>
        <v/>
      </c>
      <c r="J596" s="14" t="str">
        <f aca="false">IF(OR(A596="",H596=""),"",ROUND(H596-I596,2))</f>
        <v/>
      </c>
      <c r="K596" s="15" t="str">
        <f aca="false">IF(J596="","",IF(J596=0,"Tam",IF(J596&lt;0,"Açık","Fazla")))</f>
        <v/>
      </c>
      <c r="L596" s="14" t="str">
        <f aca="false">IF(A596="","",C596+D596)</f>
        <v/>
      </c>
    </row>
    <row r="597" customFormat="false" ht="15" hidden="false" customHeight="false" outlineLevel="0" collapsed="false">
      <c r="A597" s="12"/>
      <c r="B597" s="13"/>
      <c r="C597" s="13"/>
      <c r="D597" s="13"/>
      <c r="E597" s="13"/>
      <c r="F597" s="13"/>
      <c r="G597" s="13"/>
      <c r="H597" s="13"/>
      <c r="I597" s="14" t="str">
        <f aca="false">IF(A597="","",B597+C597+E597-F597-G597)</f>
        <v/>
      </c>
      <c r="J597" s="14" t="str">
        <f aca="false">IF(OR(A597="",H597=""),"",ROUND(H597-I597,2))</f>
        <v/>
      </c>
      <c r="K597" s="15" t="str">
        <f aca="false">IF(J597="","",IF(J597=0,"Tam",IF(J597&lt;0,"Açık","Fazla")))</f>
        <v/>
      </c>
      <c r="L597" s="14" t="str">
        <f aca="false">IF(A597="","",C597+D597)</f>
        <v/>
      </c>
    </row>
    <row r="598" customFormat="false" ht="15" hidden="false" customHeight="false" outlineLevel="0" collapsed="false">
      <c r="A598" s="12"/>
      <c r="B598" s="13"/>
      <c r="C598" s="13"/>
      <c r="D598" s="13"/>
      <c r="E598" s="13"/>
      <c r="F598" s="13"/>
      <c r="G598" s="13"/>
      <c r="H598" s="13"/>
      <c r="I598" s="14" t="str">
        <f aca="false">IF(A598="","",B598+C598+E598-F598-G598)</f>
        <v/>
      </c>
      <c r="J598" s="14" t="str">
        <f aca="false">IF(OR(A598="",H598=""),"",ROUND(H598-I598,2))</f>
        <v/>
      </c>
      <c r="K598" s="15" t="str">
        <f aca="false">IF(J598="","",IF(J598=0,"Tam",IF(J598&lt;0,"Açık","Fazla")))</f>
        <v/>
      </c>
      <c r="L598" s="14" t="str">
        <f aca="false">IF(A598="","",C598+D598)</f>
        <v/>
      </c>
    </row>
    <row r="599" customFormat="false" ht="15" hidden="false" customHeight="false" outlineLevel="0" collapsed="false">
      <c r="A599" s="12"/>
      <c r="B599" s="13"/>
      <c r="C599" s="13"/>
      <c r="D599" s="13"/>
      <c r="E599" s="13"/>
      <c r="F599" s="13"/>
      <c r="G599" s="13"/>
      <c r="H599" s="13"/>
      <c r="I599" s="14" t="str">
        <f aca="false">IF(A599="","",B599+C599+E599-F599-G599)</f>
        <v/>
      </c>
      <c r="J599" s="14" t="str">
        <f aca="false">IF(OR(A599="",H599=""),"",ROUND(H599-I599,2))</f>
        <v/>
      </c>
      <c r="K599" s="15" t="str">
        <f aca="false">IF(J599="","",IF(J599=0,"Tam",IF(J599&lt;0,"Açık","Fazla")))</f>
        <v/>
      </c>
      <c r="L599" s="14" t="str">
        <f aca="false">IF(A599="","",C599+D599)</f>
        <v/>
      </c>
    </row>
    <row r="600" customFormat="false" ht="15" hidden="false" customHeight="false" outlineLevel="0" collapsed="false">
      <c r="A600" s="12"/>
      <c r="B600" s="13"/>
      <c r="C600" s="13"/>
      <c r="D600" s="13"/>
      <c r="E600" s="13"/>
      <c r="F600" s="13"/>
      <c r="G600" s="13"/>
      <c r="H600" s="13"/>
      <c r="I600" s="14" t="str">
        <f aca="false">IF(A600="","",B600+C600+E600-F600-G600)</f>
        <v/>
      </c>
      <c r="J600" s="14" t="str">
        <f aca="false">IF(OR(A600="",H600=""),"",ROUND(H600-I600,2))</f>
        <v/>
      </c>
      <c r="K600" s="15" t="str">
        <f aca="false">IF(J600="","",IF(J600=0,"Tam",IF(J600&lt;0,"Açık","Fazla")))</f>
        <v/>
      </c>
      <c r="L600" s="14" t="str">
        <f aca="false">IF(A600="","",C600+D600)</f>
        <v/>
      </c>
    </row>
    <row r="601" customFormat="false" ht="15" hidden="false" customHeight="false" outlineLevel="0" collapsed="false">
      <c r="A601" s="12"/>
      <c r="B601" s="13"/>
      <c r="C601" s="13"/>
      <c r="D601" s="13"/>
      <c r="E601" s="13"/>
      <c r="F601" s="13"/>
      <c r="G601" s="13"/>
      <c r="H601" s="13"/>
      <c r="I601" s="14" t="str">
        <f aca="false">IF(A601="","",B601+C601+E601-F601-G601)</f>
        <v/>
      </c>
      <c r="J601" s="14" t="str">
        <f aca="false">IF(OR(A601="",H601=""),"",ROUND(H601-I601,2))</f>
        <v/>
      </c>
      <c r="K601" s="15" t="str">
        <f aca="false">IF(J601="","",IF(J601=0,"Tam",IF(J601&lt;0,"Açık","Fazla")))</f>
        <v/>
      </c>
      <c r="L601" s="14" t="str">
        <f aca="false">IF(A601="","",C601+D601)</f>
        <v/>
      </c>
    </row>
    <row r="602" customFormat="false" ht="15" hidden="false" customHeight="false" outlineLevel="0" collapsed="false">
      <c r="A602" s="12"/>
      <c r="B602" s="13"/>
      <c r="C602" s="13"/>
      <c r="D602" s="13"/>
      <c r="E602" s="13"/>
      <c r="F602" s="13"/>
      <c r="G602" s="13"/>
      <c r="H602" s="13"/>
      <c r="I602" s="14" t="str">
        <f aca="false">IF(A602="","",B602+C602+E602-F602-G602)</f>
        <v/>
      </c>
      <c r="J602" s="14" t="str">
        <f aca="false">IF(OR(A602="",H602=""),"",ROUND(H602-I602,2))</f>
        <v/>
      </c>
      <c r="K602" s="15" t="str">
        <f aca="false">IF(J602="","",IF(J602=0,"Tam",IF(J602&lt;0,"Açık","Fazla")))</f>
        <v/>
      </c>
      <c r="L602" s="14" t="str">
        <f aca="false">IF(A602="","",C602+D602)</f>
        <v/>
      </c>
    </row>
    <row r="603" customFormat="false" ht="15" hidden="false" customHeight="false" outlineLevel="0" collapsed="false">
      <c r="A603" s="12"/>
      <c r="B603" s="13"/>
      <c r="C603" s="13"/>
      <c r="D603" s="13"/>
      <c r="E603" s="13"/>
      <c r="F603" s="13"/>
      <c r="G603" s="13"/>
      <c r="H603" s="13"/>
      <c r="I603" s="14" t="str">
        <f aca="false">IF(A603="","",B603+C603+E603-F603-G603)</f>
        <v/>
      </c>
      <c r="J603" s="14" t="str">
        <f aca="false">IF(OR(A603="",H603=""),"",ROUND(H603-I603,2))</f>
        <v/>
      </c>
      <c r="K603" s="15" t="str">
        <f aca="false">IF(J603="","",IF(J603=0,"Tam",IF(J603&lt;0,"Açık","Fazla")))</f>
        <v/>
      </c>
      <c r="L603" s="14" t="str">
        <f aca="false">IF(A603="","",C603+D603)</f>
        <v/>
      </c>
    </row>
    <row r="604" customFormat="false" ht="15" hidden="false" customHeight="false" outlineLevel="0" collapsed="false">
      <c r="A604" s="12"/>
      <c r="B604" s="13"/>
      <c r="C604" s="13"/>
      <c r="D604" s="13"/>
      <c r="E604" s="13"/>
      <c r="F604" s="13"/>
      <c r="G604" s="13"/>
      <c r="H604" s="13"/>
      <c r="I604" s="14" t="str">
        <f aca="false">IF(A604="","",B604+C604+E604-F604-G604)</f>
        <v/>
      </c>
      <c r="J604" s="14" t="str">
        <f aca="false">IF(OR(A604="",H604=""),"",ROUND(H604-I604,2))</f>
        <v/>
      </c>
      <c r="K604" s="15" t="str">
        <f aca="false">IF(J604="","",IF(J604=0,"Tam",IF(J604&lt;0,"Açık","Fazla")))</f>
        <v/>
      </c>
      <c r="L604" s="14" t="str">
        <f aca="false">IF(A604="","",C604+D604)</f>
        <v/>
      </c>
    </row>
    <row r="605" customFormat="false" ht="15" hidden="false" customHeight="false" outlineLevel="0" collapsed="false">
      <c r="A605" s="12"/>
      <c r="B605" s="13"/>
      <c r="C605" s="13"/>
      <c r="D605" s="13"/>
      <c r="E605" s="13"/>
      <c r="F605" s="13"/>
      <c r="G605" s="13"/>
      <c r="H605" s="13"/>
      <c r="I605" s="14" t="str">
        <f aca="false">IF(A605="","",B605+C605+E605-F605-G605)</f>
        <v/>
      </c>
      <c r="J605" s="14" t="str">
        <f aca="false">IF(OR(A605="",H605=""),"",ROUND(H605-I605,2))</f>
        <v/>
      </c>
      <c r="K605" s="15" t="str">
        <f aca="false">IF(J605="","",IF(J605=0,"Tam",IF(J605&lt;0,"Açık","Fazla")))</f>
        <v/>
      </c>
      <c r="L605" s="14" t="str">
        <f aca="false">IF(A605="","",C605+D605)</f>
        <v/>
      </c>
    </row>
    <row r="606" customFormat="false" ht="15" hidden="false" customHeight="false" outlineLevel="0" collapsed="false">
      <c r="A606" s="12"/>
      <c r="B606" s="13"/>
      <c r="C606" s="13"/>
      <c r="D606" s="13"/>
      <c r="E606" s="13"/>
      <c r="F606" s="13"/>
      <c r="G606" s="13"/>
      <c r="H606" s="13"/>
      <c r="I606" s="14" t="str">
        <f aca="false">IF(A606="","",B606+C606+E606-F606-G606)</f>
        <v/>
      </c>
      <c r="J606" s="14" t="str">
        <f aca="false">IF(OR(A606="",H606=""),"",ROUND(H606-I606,2))</f>
        <v/>
      </c>
      <c r="K606" s="15" t="str">
        <f aca="false">IF(J606="","",IF(J606=0,"Tam",IF(J606&lt;0,"Açık","Fazla")))</f>
        <v/>
      </c>
      <c r="L606" s="14" t="str">
        <f aca="false">IF(A606="","",C606+D606)</f>
        <v/>
      </c>
    </row>
    <row r="607" customFormat="false" ht="15" hidden="false" customHeight="false" outlineLevel="0" collapsed="false">
      <c r="A607" s="12"/>
      <c r="B607" s="13"/>
      <c r="C607" s="13"/>
      <c r="D607" s="13"/>
      <c r="E607" s="13"/>
      <c r="F607" s="13"/>
      <c r="G607" s="13"/>
      <c r="H607" s="13"/>
      <c r="I607" s="14" t="str">
        <f aca="false">IF(A607="","",B607+C607+E607-F607-G607)</f>
        <v/>
      </c>
      <c r="J607" s="14" t="str">
        <f aca="false">IF(OR(A607="",H607=""),"",ROUND(H607-I607,2))</f>
        <v/>
      </c>
      <c r="K607" s="15" t="str">
        <f aca="false">IF(J607="","",IF(J607=0,"Tam",IF(J607&lt;0,"Açık","Fazla")))</f>
        <v/>
      </c>
      <c r="L607" s="14" t="str">
        <f aca="false">IF(A607="","",C607+D607)</f>
        <v/>
      </c>
    </row>
    <row r="608" customFormat="false" ht="15" hidden="false" customHeight="false" outlineLevel="0" collapsed="false">
      <c r="A608" s="12"/>
      <c r="B608" s="13"/>
      <c r="C608" s="13"/>
      <c r="D608" s="13"/>
      <c r="E608" s="13"/>
      <c r="F608" s="13"/>
      <c r="G608" s="13"/>
      <c r="H608" s="13"/>
      <c r="I608" s="14" t="str">
        <f aca="false">IF(A608="","",B608+C608+E608-F608-G608)</f>
        <v/>
      </c>
      <c r="J608" s="14" t="str">
        <f aca="false">IF(OR(A608="",H608=""),"",ROUND(H608-I608,2))</f>
        <v/>
      </c>
      <c r="K608" s="15" t="str">
        <f aca="false">IF(J608="","",IF(J608=0,"Tam",IF(J608&lt;0,"Açık","Fazla")))</f>
        <v/>
      </c>
      <c r="L608" s="14" t="str">
        <f aca="false">IF(A608="","",C608+D608)</f>
        <v/>
      </c>
    </row>
    <row r="609" customFormat="false" ht="15" hidden="false" customHeight="false" outlineLevel="0" collapsed="false">
      <c r="A609" s="12"/>
      <c r="B609" s="13"/>
      <c r="C609" s="13"/>
      <c r="D609" s="13"/>
      <c r="E609" s="13"/>
      <c r="F609" s="13"/>
      <c r="G609" s="13"/>
      <c r="H609" s="13"/>
      <c r="I609" s="14" t="str">
        <f aca="false">IF(A609="","",B609+C609+E609-F609-G609)</f>
        <v/>
      </c>
      <c r="J609" s="14" t="str">
        <f aca="false">IF(OR(A609="",H609=""),"",ROUND(H609-I609,2))</f>
        <v/>
      </c>
      <c r="K609" s="15" t="str">
        <f aca="false">IF(J609="","",IF(J609=0,"Tam",IF(J609&lt;0,"Açık","Fazla")))</f>
        <v/>
      </c>
      <c r="L609" s="14" t="str">
        <f aca="false">IF(A609="","",C609+D609)</f>
        <v/>
      </c>
    </row>
    <row r="610" customFormat="false" ht="15" hidden="false" customHeight="false" outlineLevel="0" collapsed="false">
      <c r="A610" s="12"/>
      <c r="B610" s="13"/>
      <c r="C610" s="13"/>
      <c r="D610" s="13"/>
      <c r="E610" s="13"/>
      <c r="F610" s="13"/>
      <c r="G610" s="13"/>
      <c r="H610" s="13"/>
      <c r="I610" s="14" t="str">
        <f aca="false">IF(A610="","",B610+C610+E610-F610-G610)</f>
        <v/>
      </c>
      <c r="J610" s="14" t="str">
        <f aca="false">IF(OR(A610="",H610=""),"",ROUND(H610-I610,2))</f>
        <v/>
      </c>
      <c r="K610" s="15" t="str">
        <f aca="false">IF(J610="","",IF(J610=0,"Tam",IF(J610&lt;0,"Açık","Fazla")))</f>
        <v/>
      </c>
      <c r="L610" s="14" t="str">
        <f aca="false">IF(A610="","",C610+D610)</f>
        <v/>
      </c>
    </row>
    <row r="611" customFormat="false" ht="15" hidden="false" customHeight="false" outlineLevel="0" collapsed="false">
      <c r="A611" s="12"/>
      <c r="B611" s="13"/>
      <c r="C611" s="13"/>
      <c r="D611" s="13"/>
      <c r="E611" s="13"/>
      <c r="F611" s="13"/>
      <c r="G611" s="13"/>
      <c r="H611" s="13"/>
      <c r="I611" s="14" t="str">
        <f aca="false">IF(A611="","",B611+C611+E611-F611-G611)</f>
        <v/>
      </c>
      <c r="J611" s="14" t="str">
        <f aca="false">IF(OR(A611="",H611=""),"",ROUND(H611-I611,2))</f>
        <v/>
      </c>
      <c r="K611" s="15" t="str">
        <f aca="false">IF(J611="","",IF(J611=0,"Tam",IF(J611&lt;0,"Açık","Fazla")))</f>
        <v/>
      </c>
      <c r="L611" s="14" t="str">
        <f aca="false">IF(A611="","",C611+D611)</f>
        <v/>
      </c>
    </row>
    <row r="612" customFormat="false" ht="15" hidden="false" customHeight="false" outlineLevel="0" collapsed="false">
      <c r="A612" s="12"/>
      <c r="B612" s="13"/>
      <c r="C612" s="13"/>
      <c r="D612" s="13"/>
      <c r="E612" s="13"/>
      <c r="F612" s="13"/>
      <c r="G612" s="13"/>
      <c r="H612" s="13"/>
      <c r="I612" s="14" t="str">
        <f aca="false">IF(A612="","",B612+C612+E612-F612-G612)</f>
        <v/>
      </c>
      <c r="J612" s="14" t="str">
        <f aca="false">IF(OR(A612="",H612=""),"",ROUND(H612-I612,2))</f>
        <v/>
      </c>
      <c r="K612" s="15" t="str">
        <f aca="false">IF(J612="","",IF(J612=0,"Tam",IF(J612&lt;0,"Açık","Fazla")))</f>
        <v/>
      </c>
      <c r="L612" s="14" t="str">
        <f aca="false">IF(A612="","",C612+D612)</f>
        <v/>
      </c>
    </row>
    <row r="613" customFormat="false" ht="15" hidden="false" customHeight="false" outlineLevel="0" collapsed="false">
      <c r="A613" s="12"/>
      <c r="B613" s="13"/>
      <c r="C613" s="13"/>
      <c r="D613" s="13"/>
      <c r="E613" s="13"/>
      <c r="F613" s="13"/>
      <c r="G613" s="13"/>
      <c r="H613" s="13"/>
      <c r="I613" s="14" t="str">
        <f aca="false">IF(A613="","",B613+C613+E613-F613-G613)</f>
        <v/>
      </c>
      <c r="J613" s="14" t="str">
        <f aca="false">IF(OR(A613="",H613=""),"",ROUND(H613-I613,2))</f>
        <v/>
      </c>
      <c r="K613" s="15" t="str">
        <f aca="false">IF(J613="","",IF(J613=0,"Tam",IF(J613&lt;0,"Açık","Fazla")))</f>
        <v/>
      </c>
      <c r="L613" s="14" t="str">
        <f aca="false">IF(A613="","",C613+D613)</f>
        <v/>
      </c>
    </row>
    <row r="614" customFormat="false" ht="15" hidden="false" customHeight="false" outlineLevel="0" collapsed="false">
      <c r="A614" s="12"/>
      <c r="B614" s="13"/>
      <c r="C614" s="13"/>
      <c r="D614" s="13"/>
      <c r="E614" s="13"/>
      <c r="F614" s="13"/>
      <c r="G614" s="13"/>
      <c r="H614" s="13"/>
      <c r="I614" s="14" t="str">
        <f aca="false">IF(A614="","",B614+C614+E614-F614-G614)</f>
        <v/>
      </c>
      <c r="J614" s="14" t="str">
        <f aca="false">IF(OR(A614="",H614=""),"",ROUND(H614-I614,2))</f>
        <v/>
      </c>
      <c r="K614" s="15" t="str">
        <f aca="false">IF(J614="","",IF(J614=0,"Tam",IF(J614&lt;0,"Açık","Fazla")))</f>
        <v/>
      </c>
      <c r="L614" s="14" t="str">
        <f aca="false">IF(A614="","",C614+D614)</f>
        <v/>
      </c>
    </row>
    <row r="615" customFormat="false" ht="15" hidden="false" customHeight="false" outlineLevel="0" collapsed="false">
      <c r="A615" s="12"/>
      <c r="B615" s="13"/>
      <c r="C615" s="13"/>
      <c r="D615" s="13"/>
      <c r="E615" s="13"/>
      <c r="F615" s="13"/>
      <c r="G615" s="13"/>
      <c r="H615" s="13"/>
      <c r="I615" s="14" t="str">
        <f aca="false">IF(A615="","",B615+C615+E615-F615-G615)</f>
        <v/>
      </c>
      <c r="J615" s="14" t="str">
        <f aca="false">IF(OR(A615="",H615=""),"",ROUND(H615-I615,2))</f>
        <v/>
      </c>
      <c r="K615" s="15" t="str">
        <f aca="false">IF(J615="","",IF(J615=0,"Tam",IF(J615&lt;0,"Açık","Fazla")))</f>
        <v/>
      </c>
      <c r="L615" s="14" t="str">
        <f aca="false">IF(A615="","",C615+D615)</f>
        <v/>
      </c>
    </row>
    <row r="616" customFormat="false" ht="15" hidden="false" customHeight="false" outlineLevel="0" collapsed="false">
      <c r="A616" s="12"/>
      <c r="B616" s="13"/>
      <c r="C616" s="13"/>
      <c r="D616" s="13"/>
      <c r="E616" s="13"/>
      <c r="F616" s="13"/>
      <c r="G616" s="13"/>
      <c r="H616" s="13"/>
      <c r="I616" s="14" t="str">
        <f aca="false">IF(A616="","",B616+C616+E616-F616-G616)</f>
        <v/>
      </c>
      <c r="J616" s="14" t="str">
        <f aca="false">IF(OR(A616="",H616=""),"",ROUND(H616-I616,2))</f>
        <v/>
      </c>
      <c r="K616" s="15" t="str">
        <f aca="false">IF(J616="","",IF(J616=0,"Tam",IF(J616&lt;0,"Açık","Fazla")))</f>
        <v/>
      </c>
      <c r="L616" s="14" t="str">
        <f aca="false">IF(A616="","",C616+D616)</f>
        <v/>
      </c>
    </row>
    <row r="617" customFormat="false" ht="15" hidden="false" customHeight="false" outlineLevel="0" collapsed="false">
      <c r="A617" s="12"/>
      <c r="B617" s="13"/>
      <c r="C617" s="13"/>
      <c r="D617" s="13"/>
      <c r="E617" s="13"/>
      <c r="F617" s="13"/>
      <c r="G617" s="13"/>
      <c r="H617" s="13"/>
      <c r="I617" s="14" t="str">
        <f aca="false">IF(A617="","",B617+C617+E617-F617-G617)</f>
        <v/>
      </c>
      <c r="J617" s="14" t="str">
        <f aca="false">IF(OR(A617="",H617=""),"",ROUND(H617-I617,2))</f>
        <v/>
      </c>
      <c r="K617" s="15" t="str">
        <f aca="false">IF(J617="","",IF(J617=0,"Tam",IF(J617&lt;0,"Açık","Fazla")))</f>
        <v/>
      </c>
      <c r="L617" s="14" t="str">
        <f aca="false">IF(A617="","",C617+D617)</f>
        <v/>
      </c>
    </row>
    <row r="618" customFormat="false" ht="15" hidden="false" customHeight="false" outlineLevel="0" collapsed="false">
      <c r="A618" s="12"/>
      <c r="B618" s="13"/>
      <c r="C618" s="13"/>
      <c r="D618" s="13"/>
      <c r="E618" s="13"/>
      <c r="F618" s="13"/>
      <c r="G618" s="13"/>
      <c r="H618" s="13"/>
      <c r="I618" s="14" t="str">
        <f aca="false">IF(A618="","",B618+C618+E618-F618-G618)</f>
        <v/>
      </c>
      <c r="J618" s="14" t="str">
        <f aca="false">IF(OR(A618="",H618=""),"",ROUND(H618-I618,2))</f>
        <v/>
      </c>
      <c r="K618" s="15" t="str">
        <f aca="false">IF(J618="","",IF(J618=0,"Tam",IF(J618&lt;0,"Açık","Fazla")))</f>
        <v/>
      </c>
      <c r="L618" s="14" t="str">
        <f aca="false">IF(A618="","",C618+D618)</f>
        <v/>
      </c>
    </row>
    <row r="619" customFormat="false" ht="15" hidden="false" customHeight="false" outlineLevel="0" collapsed="false">
      <c r="A619" s="12"/>
      <c r="B619" s="13"/>
      <c r="C619" s="13"/>
      <c r="D619" s="13"/>
      <c r="E619" s="13"/>
      <c r="F619" s="13"/>
      <c r="G619" s="13"/>
      <c r="H619" s="13"/>
      <c r="I619" s="14" t="str">
        <f aca="false">IF(A619="","",B619+C619+E619-F619-G619)</f>
        <v/>
      </c>
      <c r="J619" s="14" t="str">
        <f aca="false">IF(OR(A619="",H619=""),"",ROUND(H619-I619,2))</f>
        <v/>
      </c>
      <c r="K619" s="15" t="str">
        <f aca="false">IF(J619="","",IF(J619=0,"Tam",IF(J619&lt;0,"Açık","Fazla")))</f>
        <v/>
      </c>
      <c r="L619" s="14" t="str">
        <f aca="false">IF(A619="","",C619+D619)</f>
        <v/>
      </c>
    </row>
    <row r="620" customFormat="false" ht="15" hidden="false" customHeight="false" outlineLevel="0" collapsed="false">
      <c r="A620" s="12"/>
      <c r="B620" s="13"/>
      <c r="C620" s="13"/>
      <c r="D620" s="13"/>
      <c r="E620" s="13"/>
      <c r="F620" s="13"/>
      <c r="G620" s="13"/>
      <c r="H620" s="13"/>
      <c r="I620" s="14" t="str">
        <f aca="false">IF(A620="","",B620+C620+E620-F620-G620)</f>
        <v/>
      </c>
      <c r="J620" s="14" t="str">
        <f aca="false">IF(OR(A620="",H620=""),"",ROUND(H620-I620,2))</f>
        <v/>
      </c>
      <c r="K620" s="15" t="str">
        <f aca="false">IF(J620="","",IF(J620=0,"Tam",IF(J620&lt;0,"Açık","Fazla")))</f>
        <v/>
      </c>
      <c r="L620" s="14" t="str">
        <f aca="false">IF(A620="","",C620+D620)</f>
        <v/>
      </c>
    </row>
    <row r="621" customFormat="false" ht="15" hidden="false" customHeight="false" outlineLevel="0" collapsed="false">
      <c r="A621" s="12"/>
      <c r="B621" s="13"/>
      <c r="C621" s="13"/>
      <c r="D621" s="13"/>
      <c r="E621" s="13"/>
      <c r="F621" s="13"/>
      <c r="G621" s="13"/>
      <c r="H621" s="13"/>
      <c r="I621" s="14" t="str">
        <f aca="false">IF(A621="","",B621+C621+E621-F621-G621)</f>
        <v/>
      </c>
      <c r="J621" s="14" t="str">
        <f aca="false">IF(OR(A621="",H621=""),"",ROUND(H621-I621,2))</f>
        <v/>
      </c>
      <c r="K621" s="15" t="str">
        <f aca="false">IF(J621="","",IF(J621=0,"Tam",IF(J621&lt;0,"Açık","Fazla")))</f>
        <v/>
      </c>
      <c r="L621" s="14" t="str">
        <f aca="false">IF(A621="","",C621+D621)</f>
        <v/>
      </c>
    </row>
    <row r="622" customFormat="false" ht="15" hidden="false" customHeight="false" outlineLevel="0" collapsed="false">
      <c r="A622" s="12"/>
      <c r="B622" s="13"/>
      <c r="C622" s="13"/>
      <c r="D622" s="13"/>
      <c r="E622" s="13"/>
      <c r="F622" s="13"/>
      <c r="G622" s="13"/>
      <c r="H622" s="13"/>
      <c r="I622" s="14" t="str">
        <f aca="false">IF(A622="","",B622+C622+E622-F622-G622)</f>
        <v/>
      </c>
      <c r="J622" s="14" t="str">
        <f aca="false">IF(OR(A622="",H622=""),"",ROUND(H622-I622,2))</f>
        <v/>
      </c>
      <c r="K622" s="15" t="str">
        <f aca="false">IF(J622="","",IF(J622=0,"Tam",IF(J622&lt;0,"Açık","Fazla")))</f>
        <v/>
      </c>
      <c r="L622" s="14" t="str">
        <f aca="false">IF(A622="","",C622+D622)</f>
        <v/>
      </c>
    </row>
    <row r="623" customFormat="false" ht="15" hidden="false" customHeight="false" outlineLevel="0" collapsed="false">
      <c r="A623" s="12"/>
      <c r="B623" s="13"/>
      <c r="C623" s="13"/>
      <c r="D623" s="13"/>
      <c r="E623" s="13"/>
      <c r="F623" s="13"/>
      <c r="G623" s="13"/>
      <c r="H623" s="13"/>
      <c r="I623" s="14" t="str">
        <f aca="false">IF(A623="","",B623+C623+E623-F623-G623)</f>
        <v/>
      </c>
      <c r="J623" s="14" t="str">
        <f aca="false">IF(OR(A623="",H623=""),"",ROUND(H623-I623,2))</f>
        <v/>
      </c>
      <c r="K623" s="15" t="str">
        <f aca="false">IF(J623="","",IF(J623=0,"Tam",IF(J623&lt;0,"Açık","Fazla")))</f>
        <v/>
      </c>
      <c r="L623" s="14" t="str">
        <f aca="false">IF(A623="","",C623+D623)</f>
        <v/>
      </c>
    </row>
    <row r="624" customFormat="false" ht="15" hidden="false" customHeight="false" outlineLevel="0" collapsed="false">
      <c r="A624" s="12"/>
      <c r="B624" s="13"/>
      <c r="C624" s="13"/>
      <c r="D624" s="13"/>
      <c r="E624" s="13"/>
      <c r="F624" s="13"/>
      <c r="G624" s="13"/>
      <c r="H624" s="13"/>
      <c r="I624" s="14" t="str">
        <f aca="false">IF(A624="","",B624+C624+E624-F624-G624)</f>
        <v/>
      </c>
      <c r="J624" s="14" t="str">
        <f aca="false">IF(OR(A624="",H624=""),"",ROUND(H624-I624,2))</f>
        <v/>
      </c>
      <c r="K624" s="15" t="str">
        <f aca="false">IF(J624="","",IF(J624=0,"Tam",IF(J624&lt;0,"Açık","Fazla")))</f>
        <v/>
      </c>
      <c r="L624" s="14" t="str">
        <f aca="false">IF(A624="","",C624+D624)</f>
        <v/>
      </c>
    </row>
    <row r="625" customFormat="false" ht="15" hidden="false" customHeight="false" outlineLevel="0" collapsed="false">
      <c r="A625" s="12"/>
      <c r="B625" s="13"/>
      <c r="C625" s="13"/>
      <c r="D625" s="13"/>
      <c r="E625" s="13"/>
      <c r="F625" s="13"/>
      <c r="G625" s="13"/>
      <c r="H625" s="13"/>
      <c r="I625" s="14" t="str">
        <f aca="false">IF(A625="","",B625+C625+E625-F625-G625)</f>
        <v/>
      </c>
      <c r="J625" s="14" t="str">
        <f aca="false">IF(OR(A625="",H625=""),"",ROUND(H625-I625,2))</f>
        <v/>
      </c>
      <c r="K625" s="15" t="str">
        <f aca="false">IF(J625="","",IF(J625=0,"Tam",IF(J625&lt;0,"Açık","Fazla")))</f>
        <v/>
      </c>
      <c r="L625" s="14" t="str">
        <f aca="false">IF(A625="","",C625+D625)</f>
        <v/>
      </c>
    </row>
    <row r="626" customFormat="false" ht="15" hidden="false" customHeight="false" outlineLevel="0" collapsed="false">
      <c r="A626" s="12"/>
      <c r="B626" s="13"/>
      <c r="C626" s="13"/>
      <c r="D626" s="13"/>
      <c r="E626" s="13"/>
      <c r="F626" s="13"/>
      <c r="G626" s="13"/>
      <c r="H626" s="13"/>
      <c r="I626" s="14" t="str">
        <f aca="false">IF(A626="","",B626+C626+E626-F626-G626)</f>
        <v/>
      </c>
      <c r="J626" s="14" t="str">
        <f aca="false">IF(OR(A626="",H626=""),"",ROUND(H626-I626,2))</f>
        <v/>
      </c>
      <c r="K626" s="15" t="str">
        <f aca="false">IF(J626="","",IF(J626=0,"Tam",IF(J626&lt;0,"Açık","Fazla")))</f>
        <v/>
      </c>
      <c r="L626" s="14" t="str">
        <f aca="false">IF(A626="","",C626+D626)</f>
        <v/>
      </c>
    </row>
    <row r="627" customFormat="false" ht="15" hidden="false" customHeight="false" outlineLevel="0" collapsed="false">
      <c r="A627" s="12"/>
      <c r="B627" s="13"/>
      <c r="C627" s="13"/>
      <c r="D627" s="13"/>
      <c r="E627" s="13"/>
      <c r="F627" s="13"/>
      <c r="G627" s="13"/>
      <c r="H627" s="13"/>
      <c r="I627" s="14" t="str">
        <f aca="false">IF(A627="","",B627+C627+E627-F627-G627)</f>
        <v/>
      </c>
      <c r="J627" s="14" t="str">
        <f aca="false">IF(OR(A627="",H627=""),"",ROUND(H627-I627,2))</f>
        <v/>
      </c>
      <c r="K627" s="15" t="str">
        <f aca="false">IF(J627="","",IF(J627=0,"Tam",IF(J627&lt;0,"Açık","Fazla")))</f>
        <v/>
      </c>
      <c r="L627" s="14" t="str">
        <f aca="false">IF(A627="","",C627+D627)</f>
        <v/>
      </c>
    </row>
    <row r="628" customFormat="false" ht="15" hidden="false" customHeight="false" outlineLevel="0" collapsed="false">
      <c r="A628" s="12"/>
      <c r="B628" s="13"/>
      <c r="C628" s="13"/>
      <c r="D628" s="13"/>
      <c r="E628" s="13"/>
      <c r="F628" s="13"/>
      <c r="G628" s="13"/>
      <c r="H628" s="13"/>
      <c r="I628" s="14" t="str">
        <f aca="false">IF(A628="","",B628+C628+E628-F628-G628)</f>
        <v/>
      </c>
      <c r="J628" s="14" t="str">
        <f aca="false">IF(OR(A628="",H628=""),"",ROUND(H628-I628,2))</f>
        <v/>
      </c>
      <c r="K628" s="15" t="str">
        <f aca="false">IF(J628="","",IF(J628=0,"Tam",IF(J628&lt;0,"Açık","Fazla")))</f>
        <v/>
      </c>
      <c r="L628" s="14" t="str">
        <f aca="false">IF(A628="","",C628+D628)</f>
        <v/>
      </c>
    </row>
    <row r="629" customFormat="false" ht="15" hidden="false" customHeight="false" outlineLevel="0" collapsed="false">
      <c r="A629" s="12"/>
      <c r="B629" s="13"/>
      <c r="C629" s="13"/>
      <c r="D629" s="13"/>
      <c r="E629" s="13"/>
      <c r="F629" s="13"/>
      <c r="G629" s="13"/>
      <c r="H629" s="13"/>
      <c r="I629" s="14" t="str">
        <f aca="false">IF(A629="","",B629+C629+E629-F629-G629)</f>
        <v/>
      </c>
      <c r="J629" s="14" t="str">
        <f aca="false">IF(OR(A629="",H629=""),"",ROUND(H629-I629,2))</f>
        <v/>
      </c>
      <c r="K629" s="15" t="str">
        <f aca="false">IF(J629="","",IF(J629=0,"Tam",IF(J629&lt;0,"Açık","Fazla")))</f>
        <v/>
      </c>
      <c r="L629" s="14" t="str">
        <f aca="false">IF(A629="","",C629+D629)</f>
        <v/>
      </c>
    </row>
    <row r="630" customFormat="false" ht="15" hidden="false" customHeight="false" outlineLevel="0" collapsed="false">
      <c r="A630" s="12"/>
      <c r="B630" s="13"/>
      <c r="C630" s="13"/>
      <c r="D630" s="13"/>
      <c r="E630" s="13"/>
      <c r="F630" s="13"/>
      <c r="G630" s="13"/>
      <c r="H630" s="13"/>
      <c r="I630" s="14" t="str">
        <f aca="false">IF(A630="","",B630+C630+E630-F630-G630)</f>
        <v/>
      </c>
      <c r="J630" s="14" t="str">
        <f aca="false">IF(OR(A630="",H630=""),"",ROUND(H630-I630,2))</f>
        <v/>
      </c>
      <c r="K630" s="15" t="str">
        <f aca="false">IF(J630="","",IF(J630=0,"Tam",IF(J630&lt;0,"Açık","Fazla")))</f>
        <v/>
      </c>
      <c r="L630" s="14" t="str">
        <f aca="false">IF(A630="","",C630+D630)</f>
        <v/>
      </c>
    </row>
    <row r="631" customFormat="false" ht="15" hidden="false" customHeight="false" outlineLevel="0" collapsed="false">
      <c r="A631" s="12"/>
      <c r="B631" s="13"/>
      <c r="C631" s="13"/>
      <c r="D631" s="13"/>
      <c r="E631" s="13"/>
      <c r="F631" s="13"/>
      <c r="G631" s="13"/>
      <c r="H631" s="13"/>
      <c r="I631" s="14" t="str">
        <f aca="false">IF(A631="","",B631+C631+E631-F631-G631)</f>
        <v/>
      </c>
      <c r="J631" s="14" t="str">
        <f aca="false">IF(OR(A631="",H631=""),"",ROUND(H631-I631,2))</f>
        <v/>
      </c>
      <c r="K631" s="15" t="str">
        <f aca="false">IF(J631="","",IF(J631=0,"Tam",IF(J631&lt;0,"Açık","Fazla")))</f>
        <v/>
      </c>
      <c r="L631" s="14" t="str">
        <f aca="false">IF(A631="","",C631+D631)</f>
        <v/>
      </c>
    </row>
    <row r="632" customFormat="false" ht="15" hidden="false" customHeight="false" outlineLevel="0" collapsed="false">
      <c r="A632" s="12"/>
      <c r="B632" s="13"/>
      <c r="C632" s="13"/>
      <c r="D632" s="13"/>
      <c r="E632" s="13"/>
      <c r="F632" s="13"/>
      <c r="G632" s="13"/>
      <c r="H632" s="13"/>
      <c r="I632" s="14" t="str">
        <f aca="false">IF(A632="","",B632+C632+E632-F632-G632)</f>
        <v/>
      </c>
      <c r="J632" s="14" t="str">
        <f aca="false">IF(OR(A632="",H632=""),"",ROUND(H632-I632,2))</f>
        <v/>
      </c>
      <c r="K632" s="15" t="str">
        <f aca="false">IF(J632="","",IF(J632=0,"Tam",IF(J632&lt;0,"Açık","Fazla")))</f>
        <v/>
      </c>
      <c r="L632" s="14" t="str">
        <f aca="false">IF(A632="","",C632+D632)</f>
        <v/>
      </c>
    </row>
    <row r="633" customFormat="false" ht="15" hidden="false" customHeight="false" outlineLevel="0" collapsed="false">
      <c r="A633" s="12"/>
      <c r="B633" s="13"/>
      <c r="C633" s="13"/>
      <c r="D633" s="13"/>
      <c r="E633" s="13"/>
      <c r="F633" s="13"/>
      <c r="G633" s="13"/>
      <c r="H633" s="13"/>
      <c r="I633" s="14" t="str">
        <f aca="false">IF(A633="","",B633+C633+E633-F633-G633)</f>
        <v/>
      </c>
      <c r="J633" s="14" t="str">
        <f aca="false">IF(OR(A633="",H633=""),"",ROUND(H633-I633,2))</f>
        <v/>
      </c>
      <c r="K633" s="15" t="str">
        <f aca="false">IF(J633="","",IF(J633=0,"Tam",IF(J633&lt;0,"Açık","Fazla")))</f>
        <v/>
      </c>
      <c r="L633" s="14" t="str">
        <f aca="false">IF(A633="","",C633+D633)</f>
        <v/>
      </c>
    </row>
    <row r="634" customFormat="false" ht="15" hidden="false" customHeight="false" outlineLevel="0" collapsed="false">
      <c r="A634" s="12"/>
      <c r="B634" s="13"/>
      <c r="C634" s="13"/>
      <c r="D634" s="13"/>
      <c r="E634" s="13"/>
      <c r="F634" s="13"/>
      <c r="G634" s="13"/>
      <c r="H634" s="13"/>
      <c r="I634" s="14" t="str">
        <f aca="false">IF(A634="","",B634+C634+E634-F634-G634)</f>
        <v/>
      </c>
      <c r="J634" s="14" t="str">
        <f aca="false">IF(OR(A634="",H634=""),"",ROUND(H634-I634,2))</f>
        <v/>
      </c>
      <c r="K634" s="15" t="str">
        <f aca="false">IF(J634="","",IF(J634=0,"Tam",IF(J634&lt;0,"Açık","Fazla")))</f>
        <v/>
      </c>
      <c r="L634" s="14" t="str">
        <f aca="false">IF(A634="","",C634+D634)</f>
        <v/>
      </c>
    </row>
    <row r="635" customFormat="false" ht="15" hidden="false" customHeight="false" outlineLevel="0" collapsed="false">
      <c r="A635" s="12"/>
      <c r="B635" s="13"/>
      <c r="C635" s="13"/>
      <c r="D635" s="13"/>
      <c r="E635" s="13"/>
      <c r="F635" s="13"/>
      <c r="G635" s="13"/>
      <c r="H635" s="13"/>
      <c r="I635" s="14" t="str">
        <f aca="false">IF(A635="","",B635+C635+E635-F635-G635)</f>
        <v/>
      </c>
      <c r="J635" s="14" t="str">
        <f aca="false">IF(OR(A635="",H635=""),"",ROUND(H635-I635,2))</f>
        <v/>
      </c>
      <c r="K635" s="15" t="str">
        <f aca="false">IF(J635="","",IF(J635=0,"Tam",IF(J635&lt;0,"Açık","Fazla")))</f>
        <v/>
      </c>
      <c r="L635" s="14" t="str">
        <f aca="false">IF(A635="","",C635+D635)</f>
        <v/>
      </c>
    </row>
    <row r="636" customFormat="false" ht="15" hidden="false" customHeight="false" outlineLevel="0" collapsed="false">
      <c r="A636" s="12"/>
      <c r="B636" s="13"/>
      <c r="C636" s="13"/>
      <c r="D636" s="13"/>
      <c r="E636" s="13"/>
      <c r="F636" s="13"/>
      <c r="G636" s="13"/>
      <c r="H636" s="13"/>
      <c r="I636" s="14" t="str">
        <f aca="false">IF(A636="","",B636+C636+E636-F636-G636)</f>
        <v/>
      </c>
      <c r="J636" s="14" t="str">
        <f aca="false">IF(OR(A636="",H636=""),"",ROUND(H636-I636,2))</f>
        <v/>
      </c>
      <c r="K636" s="15" t="str">
        <f aca="false">IF(J636="","",IF(J636=0,"Tam",IF(J636&lt;0,"Açık","Fazla")))</f>
        <v/>
      </c>
      <c r="L636" s="14" t="str">
        <f aca="false">IF(A636="","",C636+D636)</f>
        <v/>
      </c>
    </row>
    <row r="637" customFormat="false" ht="15" hidden="false" customHeight="false" outlineLevel="0" collapsed="false">
      <c r="A637" s="12"/>
      <c r="B637" s="13"/>
      <c r="C637" s="13"/>
      <c r="D637" s="13"/>
      <c r="E637" s="13"/>
      <c r="F637" s="13"/>
      <c r="G637" s="13"/>
      <c r="H637" s="13"/>
      <c r="I637" s="14" t="str">
        <f aca="false">IF(A637="","",B637+C637+E637-F637-G637)</f>
        <v/>
      </c>
      <c r="J637" s="14" t="str">
        <f aca="false">IF(OR(A637="",H637=""),"",ROUND(H637-I637,2))</f>
        <v/>
      </c>
      <c r="K637" s="15" t="str">
        <f aca="false">IF(J637="","",IF(J637=0,"Tam",IF(J637&lt;0,"Açık","Fazla")))</f>
        <v/>
      </c>
      <c r="L637" s="14" t="str">
        <f aca="false">IF(A637="","",C637+D637)</f>
        <v/>
      </c>
    </row>
    <row r="638" customFormat="false" ht="15" hidden="false" customHeight="false" outlineLevel="0" collapsed="false">
      <c r="A638" s="12"/>
      <c r="B638" s="13"/>
      <c r="C638" s="13"/>
      <c r="D638" s="13"/>
      <c r="E638" s="13"/>
      <c r="F638" s="13"/>
      <c r="G638" s="13"/>
      <c r="H638" s="13"/>
      <c r="I638" s="14" t="str">
        <f aca="false">IF(A638="","",B638+C638+E638-F638-G638)</f>
        <v/>
      </c>
      <c r="J638" s="14" t="str">
        <f aca="false">IF(OR(A638="",H638=""),"",ROUND(H638-I638,2))</f>
        <v/>
      </c>
      <c r="K638" s="15" t="str">
        <f aca="false">IF(J638="","",IF(J638=0,"Tam",IF(J638&lt;0,"Açık","Fazla")))</f>
        <v/>
      </c>
      <c r="L638" s="14" t="str">
        <f aca="false">IF(A638="","",C638+D638)</f>
        <v/>
      </c>
    </row>
    <row r="639" customFormat="false" ht="15" hidden="false" customHeight="false" outlineLevel="0" collapsed="false">
      <c r="A639" s="12"/>
      <c r="B639" s="13"/>
      <c r="C639" s="13"/>
      <c r="D639" s="13"/>
      <c r="E639" s="13"/>
      <c r="F639" s="13"/>
      <c r="G639" s="13"/>
      <c r="H639" s="13"/>
      <c r="I639" s="14" t="str">
        <f aca="false">IF(A639="","",B639+C639+E639-F639-G639)</f>
        <v/>
      </c>
      <c r="J639" s="14" t="str">
        <f aca="false">IF(OR(A639="",H639=""),"",ROUND(H639-I639,2))</f>
        <v/>
      </c>
      <c r="K639" s="15" t="str">
        <f aca="false">IF(J639="","",IF(J639=0,"Tam",IF(J639&lt;0,"Açık","Fazla")))</f>
        <v/>
      </c>
      <c r="L639" s="14" t="str">
        <f aca="false">IF(A639="","",C639+D639)</f>
        <v/>
      </c>
    </row>
    <row r="640" customFormat="false" ht="15" hidden="false" customHeight="false" outlineLevel="0" collapsed="false">
      <c r="A640" s="12"/>
      <c r="B640" s="13"/>
      <c r="C640" s="13"/>
      <c r="D640" s="13"/>
      <c r="E640" s="13"/>
      <c r="F640" s="13"/>
      <c r="G640" s="13"/>
      <c r="H640" s="13"/>
      <c r="I640" s="14" t="str">
        <f aca="false">IF(A640="","",B640+C640+E640-F640-G640)</f>
        <v/>
      </c>
      <c r="J640" s="14" t="str">
        <f aca="false">IF(OR(A640="",H640=""),"",ROUND(H640-I640,2))</f>
        <v/>
      </c>
      <c r="K640" s="15" t="str">
        <f aca="false">IF(J640="","",IF(J640=0,"Tam",IF(J640&lt;0,"Açık","Fazla")))</f>
        <v/>
      </c>
      <c r="L640" s="14" t="str">
        <f aca="false">IF(A640="","",C640+D640)</f>
        <v/>
      </c>
    </row>
    <row r="641" customFormat="false" ht="15" hidden="false" customHeight="false" outlineLevel="0" collapsed="false">
      <c r="A641" s="12"/>
      <c r="B641" s="13"/>
      <c r="C641" s="13"/>
      <c r="D641" s="13"/>
      <c r="E641" s="13"/>
      <c r="F641" s="13"/>
      <c r="G641" s="13"/>
      <c r="H641" s="13"/>
      <c r="I641" s="14" t="str">
        <f aca="false">IF(A641="","",B641+C641+E641-F641-G641)</f>
        <v/>
      </c>
      <c r="J641" s="14" t="str">
        <f aca="false">IF(OR(A641="",H641=""),"",ROUND(H641-I641,2))</f>
        <v/>
      </c>
      <c r="K641" s="15" t="str">
        <f aca="false">IF(J641="","",IF(J641=0,"Tam",IF(J641&lt;0,"Açık","Fazla")))</f>
        <v/>
      </c>
      <c r="L641" s="14" t="str">
        <f aca="false">IF(A641="","",C641+D641)</f>
        <v/>
      </c>
    </row>
    <row r="642" customFormat="false" ht="15" hidden="false" customHeight="false" outlineLevel="0" collapsed="false">
      <c r="A642" s="12"/>
      <c r="B642" s="13"/>
      <c r="C642" s="13"/>
      <c r="D642" s="13"/>
      <c r="E642" s="13"/>
      <c r="F642" s="13"/>
      <c r="G642" s="13"/>
      <c r="H642" s="13"/>
      <c r="I642" s="14" t="str">
        <f aca="false">IF(A642="","",B642+C642+E642-F642-G642)</f>
        <v/>
      </c>
      <c r="J642" s="14" t="str">
        <f aca="false">IF(OR(A642="",H642=""),"",ROUND(H642-I642,2))</f>
        <v/>
      </c>
      <c r="K642" s="15" t="str">
        <f aca="false">IF(J642="","",IF(J642=0,"Tam",IF(J642&lt;0,"Açık","Fazla")))</f>
        <v/>
      </c>
      <c r="L642" s="14" t="str">
        <f aca="false">IF(A642="","",C642+D642)</f>
        <v/>
      </c>
    </row>
    <row r="643" customFormat="false" ht="15" hidden="false" customHeight="false" outlineLevel="0" collapsed="false">
      <c r="A643" s="12"/>
      <c r="B643" s="13"/>
      <c r="C643" s="13"/>
      <c r="D643" s="13"/>
      <c r="E643" s="13"/>
      <c r="F643" s="13"/>
      <c r="G643" s="13"/>
      <c r="H643" s="13"/>
      <c r="I643" s="14" t="str">
        <f aca="false">IF(A643="","",B643+C643+E643-F643-G643)</f>
        <v/>
      </c>
      <c r="J643" s="14" t="str">
        <f aca="false">IF(OR(A643="",H643=""),"",ROUND(H643-I643,2))</f>
        <v/>
      </c>
      <c r="K643" s="15" t="str">
        <f aca="false">IF(J643="","",IF(J643=0,"Tam",IF(J643&lt;0,"Açık","Fazla")))</f>
        <v/>
      </c>
      <c r="L643" s="14" t="str">
        <f aca="false">IF(A643="","",C643+D643)</f>
        <v/>
      </c>
    </row>
    <row r="644" customFormat="false" ht="15" hidden="false" customHeight="false" outlineLevel="0" collapsed="false">
      <c r="A644" s="12"/>
      <c r="B644" s="13"/>
      <c r="C644" s="13"/>
      <c r="D644" s="13"/>
      <c r="E644" s="13"/>
      <c r="F644" s="13"/>
      <c r="G644" s="13"/>
      <c r="H644" s="13"/>
      <c r="I644" s="14" t="str">
        <f aca="false">IF(A644="","",B644+C644+E644-F644-G644)</f>
        <v/>
      </c>
      <c r="J644" s="14" t="str">
        <f aca="false">IF(OR(A644="",H644=""),"",ROUND(H644-I644,2))</f>
        <v/>
      </c>
      <c r="K644" s="15" t="str">
        <f aca="false">IF(J644="","",IF(J644=0,"Tam",IF(J644&lt;0,"Açık","Fazla")))</f>
        <v/>
      </c>
      <c r="L644" s="14" t="str">
        <f aca="false">IF(A644="","",C644+D644)</f>
        <v/>
      </c>
    </row>
    <row r="645" customFormat="false" ht="15" hidden="false" customHeight="false" outlineLevel="0" collapsed="false">
      <c r="A645" s="12"/>
      <c r="B645" s="13"/>
      <c r="C645" s="13"/>
      <c r="D645" s="13"/>
      <c r="E645" s="13"/>
      <c r="F645" s="13"/>
      <c r="G645" s="13"/>
      <c r="H645" s="13"/>
      <c r="I645" s="14" t="str">
        <f aca="false">IF(A645="","",B645+C645+E645-F645-G645)</f>
        <v/>
      </c>
      <c r="J645" s="14" t="str">
        <f aca="false">IF(OR(A645="",H645=""),"",ROUND(H645-I645,2))</f>
        <v/>
      </c>
      <c r="K645" s="15" t="str">
        <f aca="false">IF(J645="","",IF(J645=0,"Tam",IF(J645&lt;0,"Açık","Fazla")))</f>
        <v/>
      </c>
      <c r="L645" s="14" t="str">
        <f aca="false">IF(A645="","",C645+D645)</f>
        <v/>
      </c>
    </row>
    <row r="646" customFormat="false" ht="15" hidden="false" customHeight="false" outlineLevel="0" collapsed="false">
      <c r="A646" s="12"/>
      <c r="B646" s="13"/>
      <c r="C646" s="13"/>
      <c r="D646" s="13"/>
      <c r="E646" s="13"/>
      <c r="F646" s="13"/>
      <c r="G646" s="13"/>
      <c r="H646" s="13"/>
      <c r="I646" s="14" t="str">
        <f aca="false">IF(A646="","",B646+C646+E646-F646-G646)</f>
        <v/>
      </c>
      <c r="J646" s="14" t="str">
        <f aca="false">IF(OR(A646="",H646=""),"",ROUND(H646-I646,2))</f>
        <v/>
      </c>
      <c r="K646" s="15" t="str">
        <f aca="false">IF(J646="","",IF(J646=0,"Tam",IF(J646&lt;0,"Açık","Fazla")))</f>
        <v/>
      </c>
      <c r="L646" s="14" t="str">
        <f aca="false">IF(A646="","",C646+D646)</f>
        <v/>
      </c>
    </row>
    <row r="647" customFormat="false" ht="15" hidden="false" customHeight="false" outlineLevel="0" collapsed="false">
      <c r="A647" s="12"/>
      <c r="B647" s="13"/>
      <c r="C647" s="13"/>
      <c r="D647" s="13"/>
      <c r="E647" s="13"/>
      <c r="F647" s="13"/>
      <c r="G647" s="13"/>
      <c r="H647" s="13"/>
      <c r="I647" s="14" t="str">
        <f aca="false">IF(A647="","",B647+C647+E647-F647-G647)</f>
        <v/>
      </c>
      <c r="J647" s="14" t="str">
        <f aca="false">IF(OR(A647="",H647=""),"",ROUND(H647-I647,2))</f>
        <v/>
      </c>
      <c r="K647" s="15" t="str">
        <f aca="false">IF(J647="","",IF(J647=0,"Tam",IF(J647&lt;0,"Açık","Fazla")))</f>
        <v/>
      </c>
      <c r="L647" s="14" t="str">
        <f aca="false">IF(A647="","",C647+D647)</f>
        <v/>
      </c>
    </row>
    <row r="648" customFormat="false" ht="15" hidden="false" customHeight="false" outlineLevel="0" collapsed="false">
      <c r="A648" s="12"/>
      <c r="B648" s="13"/>
      <c r="C648" s="13"/>
      <c r="D648" s="13"/>
      <c r="E648" s="13"/>
      <c r="F648" s="13"/>
      <c r="G648" s="13"/>
      <c r="H648" s="13"/>
      <c r="I648" s="14" t="str">
        <f aca="false">IF(A648="","",B648+C648+E648-F648-G648)</f>
        <v/>
      </c>
      <c r="J648" s="14" t="str">
        <f aca="false">IF(OR(A648="",H648=""),"",ROUND(H648-I648,2))</f>
        <v/>
      </c>
      <c r="K648" s="15" t="str">
        <f aca="false">IF(J648="","",IF(J648=0,"Tam",IF(J648&lt;0,"Açık","Fazla")))</f>
        <v/>
      </c>
      <c r="L648" s="14" t="str">
        <f aca="false">IF(A648="","",C648+D648)</f>
        <v/>
      </c>
    </row>
    <row r="649" customFormat="false" ht="15" hidden="false" customHeight="false" outlineLevel="0" collapsed="false">
      <c r="A649" s="12"/>
      <c r="B649" s="13"/>
      <c r="C649" s="13"/>
      <c r="D649" s="13"/>
      <c r="E649" s="13"/>
      <c r="F649" s="13"/>
      <c r="G649" s="13"/>
      <c r="H649" s="13"/>
      <c r="I649" s="14" t="str">
        <f aca="false">IF(A649="","",B649+C649+E649-F649-G649)</f>
        <v/>
      </c>
      <c r="J649" s="14" t="str">
        <f aca="false">IF(OR(A649="",H649=""),"",ROUND(H649-I649,2))</f>
        <v/>
      </c>
      <c r="K649" s="15" t="str">
        <f aca="false">IF(J649="","",IF(J649=0,"Tam",IF(J649&lt;0,"Açık","Fazla")))</f>
        <v/>
      </c>
      <c r="L649" s="14" t="str">
        <f aca="false">IF(A649="","",C649+D649)</f>
        <v/>
      </c>
    </row>
    <row r="650" customFormat="false" ht="15" hidden="false" customHeight="false" outlineLevel="0" collapsed="false">
      <c r="A650" s="12"/>
      <c r="B650" s="13"/>
      <c r="C650" s="13"/>
      <c r="D650" s="13"/>
      <c r="E650" s="13"/>
      <c r="F650" s="13"/>
      <c r="G650" s="13"/>
      <c r="H650" s="13"/>
      <c r="I650" s="14" t="str">
        <f aca="false">IF(A650="","",B650+C650+E650-F650-G650)</f>
        <v/>
      </c>
      <c r="J650" s="14" t="str">
        <f aca="false">IF(OR(A650="",H650=""),"",ROUND(H650-I650,2))</f>
        <v/>
      </c>
      <c r="K650" s="15" t="str">
        <f aca="false">IF(J650="","",IF(J650=0,"Tam",IF(J650&lt;0,"Açık","Fazla")))</f>
        <v/>
      </c>
      <c r="L650" s="14" t="str">
        <f aca="false">IF(A650="","",C650+D650)</f>
        <v/>
      </c>
    </row>
    <row r="651" customFormat="false" ht="15" hidden="false" customHeight="false" outlineLevel="0" collapsed="false">
      <c r="A651" s="12"/>
      <c r="B651" s="13"/>
      <c r="C651" s="13"/>
      <c r="D651" s="13"/>
      <c r="E651" s="13"/>
      <c r="F651" s="13"/>
      <c r="G651" s="13"/>
      <c r="H651" s="13"/>
      <c r="I651" s="14" t="str">
        <f aca="false">IF(A651="","",B651+C651+E651-F651-G651)</f>
        <v/>
      </c>
      <c r="J651" s="14" t="str">
        <f aca="false">IF(OR(A651="",H651=""),"",ROUND(H651-I651,2))</f>
        <v/>
      </c>
      <c r="K651" s="15" t="str">
        <f aca="false">IF(J651="","",IF(J651=0,"Tam",IF(J651&lt;0,"Açık","Fazla")))</f>
        <v/>
      </c>
      <c r="L651" s="14" t="str">
        <f aca="false">IF(A651="","",C651+D651)</f>
        <v/>
      </c>
    </row>
    <row r="652" customFormat="false" ht="15" hidden="false" customHeight="false" outlineLevel="0" collapsed="false">
      <c r="A652" s="12"/>
      <c r="B652" s="13"/>
      <c r="C652" s="13"/>
      <c r="D652" s="13"/>
      <c r="E652" s="13"/>
      <c r="F652" s="13"/>
      <c r="G652" s="13"/>
      <c r="H652" s="13"/>
      <c r="I652" s="14" t="str">
        <f aca="false">IF(A652="","",B652+C652+E652-F652-G652)</f>
        <v/>
      </c>
      <c r="J652" s="14" t="str">
        <f aca="false">IF(OR(A652="",H652=""),"",ROUND(H652-I652,2))</f>
        <v/>
      </c>
      <c r="K652" s="15" t="str">
        <f aca="false">IF(J652="","",IF(J652=0,"Tam",IF(J652&lt;0,"Açık","Fazla")))</f>
        <v/>
      </c>
      <c r="L652" s="14" t="str">
        <f aca="false">IF(A652="","",C652+D652)</f>
        <v/>
      </c>
    </row>
    <row r="653" customFormat="false" ht="15" hidden="false" customHeight="false" outlineLevel="0" collapsed="false">
      <c r="A653" s="12"/>
      <c r="B653" s="13"/>
      <c r="C653" s="13"/>
      <c r="D653" s="13"/>
      <c r="E653" s="13"/>
      <c r="F653" s="13"/>
      <c r="G653" s="13"/>
      <c r="H653" s="13"/>
      <c r="I653" s="14" t="str">
        <f aca="false">IF(A653="","",B653+C653+E653-F653-G653)</f>
        <v/>
      </c>
      <c r="J653" s="14" t="str">
        <f aca="false">IF(OR(A653="",H653=""),"",ROUND(H653-I653,2))</f>
        <v/>
      </c>
      <c r="K653" s="15" t="str">
        <f aca="false">IF(J653="","",IF(J653=0,"Tam",IF(J653&lt;0,"Açık","Fazla")))</f>
        <v/>
      </c>
      <c r="L653" s="14" t="str">
        <f aca="false">IF(A653="","",C653+D653)</f>
        <v/>
      </c>
    </row>
    <row r="654" customFormat="false" ht="15" hidden="false" customHeight="false" outlineLevel="0" collapsed="false">
      <c r="A654" s="12"/>
      <c r="B654" s="13"/>
      <c r="C654" s="13"/>
      <c r="D654" s="13"/>
      <c r="E654" s="13"/>
      <c r="F654" s="13"/>
      <c r="G654" s="13"/>
      <c r="H654" s="13"/>
      <c r="I654" s="14" t="str">
        <f aca="false">IF(A654="","",B654+C654+E654-F654-G654)</f>
        <v/>
      </c>
      <c r="J654" s="14" t="str">
        <f aca="false">IF(OR(A654="",H654=""),"",ROUND(H654-I654,2))</f>
        <v/>
      </c>
      <c r="K654" s="15" t="str">
        <f aca="false">IF(J654="","",IF(J654=0,"Tam",IF(J654&lt;0,"Açık","Fazla")))</f>
        <v/>
      </c>
      <c r="L654" s="14" t="str">
        <f aca="false">IF(A654="","",C654+D654)</f>
        <v/>
      </c>
    </row>
    <row r="655" customFormat="false" ht="15" hidden="false" customHeight="false" outlineLevel="0" collapsed="false">
      <c r="A655" s="12"/>
      <c r="B655" s="13"/>
      <c r="C655" s="13"/>
      <c r="D655" s="13"/>
      <c r="E655" s="13"/>
      <c r="F655" s="13"/>
      <c r="G655" s="13"/>
      <c r="H655" s="13"/>
      <c r="I655" s="14" t="str">
        <f aca="false">IF(A655="","",B655+C655+E655-F655-G655)</f>
        <v/>
      </c>
      <c r="J655" s="14" t="str">
        <f aca="false">IF(OR(A655="",H655=""),"",ROUND(H655-I655,2))</f>
        <v/>
      </c>
      <c r="K655" s="15" t="str">
        <f aca="false">IF(J655="","",IF(J655=0,"Tam",IF(J655&lt;0,"Açık","Fazla")))</f>
        <v/>
      </c>
      <c r="L655" s="14" t="str">
        <f aca="false">IF(A655="","",C655+D655)</f>
        <v/>
      </c>
    </row>
    <row r="656" customFormat="false" ht="15" hidden="false" customHeight="false" outlineLevel="0" collapsed="false">
      <c r="A656" s="12"/>
      <c r="B656" s="13"/>
      <c r="C656" s="13"/>
      <c r="D656" s="13"/>
      <c r="E656" s="13"/>
      <c r="F656" s="13"/>
      <c r="G656" s="13"/>
      <c r="H656" s="13"/>
      <c r="I656" s="14" t="str">
        <f aca="false">IF(A656="","",B656+C656+E656-F656-G656)</f>
        <v/>
      </c>
      <c r="J656" s="14" t="str">
        <f aca="false">IF(OR(A656="",H656=""),"",ROUND(H656-I656,2))</f>
        <v/>
      </c>
      <c r="K656" s="15" t="str">
        <f aca="false">IF(J656="","",IF(J656=0,"Tam",IF(J656&lt;0,"Açık","Fazla")))</f>
        <v/>
      </c>
      <c r="L656" s="14" t="str">
        <f aca="false">IF(A656="","",C656+D656)</f>
        <v/>
      </c>
    </row>
    <row r="657" customFormat="false" ht="15" hidden="false" customHeight="false" outlineLevel="0" collapsed="false">
      <c r="A657" s="12"/>
      <c r="B657" s="13"/>
      <c r="C657" s="13"/>
      <c r="D657" s="13"/>
      <c r="E657" s="13"/>
      <c r="F657" s="13"/>
      <c r="G657" s="13"/>
      <c r="H657" s="13"/>
      <c r="I657" s="14" t="str">
        <f aca="false">IF(A657="","",B657+C657+E657-F657-G657)</f>
        <v/>
      </c>
      <c r="J657" s="14" t="str">
        <f aca="false">IF(OR(A657="",H657=""),"",ROUND(H657-I657,2))</f>
        <v/>
      </c>
      <c r="K657" s="15" t="str">
        <f aca="false">IF(J657="","",IF(J657=0,"Tam",IF(J657&lt;0,"Açık","Fazla")))</f>
        <v/>
      </c>
      <c r="L657" s="14" t="str">
        <f aca="false">IF(A657="","",C657+D657)</f>
        <v/>
      </c>
    </row>
    <row r="658" customFormat="false" ht="15" hidden="false" customHeight="false" outlineLevel="0" collapsed="false">
      <c r="A658" s="12"/>
      <c r="B658" s="13"/>
      <c r="C658" s="13"/>
      <c r="D658" s="13"/>
      <c r="E658" s="13"/>
      <c r="F658" s="13"/>
      <c r="G658" s="13"/>
      <c r="H658" s="13"/>
      <c r="I658" s="14" t="str">
        <f aca="false">IF(A658="","",B658+C658+E658-F658-G658)</f>
        <v/>
      </c>
      <c r="J658" s="14" t="str">
        <f aca="false">IF(OR(A658="",H658=""),"",ROUND(H658-I658,2))</f>
        <v/>
      </c>
      <c r="K658" s="15" t="str">
        <f aca="false">IF(J658="","",IF(J658=0,"Tam",IF(J658&lt;0,"Açık","Fazla")))</f>
        <v/>
      </c>
      <c r="L658" s="14" t="str">
        <f aca="false">IF(A658="","",C658+D658)</f>
        <v/>
      </c>
    </row>
    <row r="659" customFormat="false" ht="15" hidden="false" customHeight="false" outlineLevel="0" collapsed="false">
      <c r="A659" s="12"/>
      <c r="B659" s="13"/>
      <c r="C659" s="13"/>
      <c r="D659" s="13"/>
      <c r="E659" s="13"/>
      <c r="F659" s="13"/>
      <c r="G659" s="13"/>
      <c r="H659" s="13"/>
      <c r="I659" s="14" t="str">
        <f aca="false">IF(A659="","",B659+C659+E659-F659-G659)</f>
        <v/>
      </c>
      <c r="J659" s="14" t="str">
        <f aca="false">IF(OR(A659="",H659=""),"",ROUND(H659-I659,2))</f>
        <v/>
      </c>
      <c r="K659" s="15" t="str">
        <f aca="false">IF(J659="","",IF(J659=0,"Tam",IF(J659&lt;0,"Açık","Fazla")))</f>
        <v/>
      </c>
      <c r="L659" s="14" t="str">
        <f aca="false">IF(A659="","",C659+D659)</f>
        <v/>
      </c>
    </row>
    <row r="660" customFormat="false" ht="15" hidden="false" customHeight="false" outlineLevel="0" collapsed="false">
      <c r="A660" s="12"/>
      <c r="B660" s="13"/>
      <c r="C660" s="13"/>
      <c r="D660" s="13"/>
      <c r="E660" s="13"/>
      <c r="F660" s="13"/>
      <c r="G660" s="13"/>
      <c r="H660" s="13"/>
      <c r="I660" s="14" t="str">
        <f aca="false">IF(A660="","",B660+C660+E660-F660-G660)</f>
        <v/>
      </c>
      <c r="J660" s="14" t="str">
        <f aca="false">IF(OR(A660="",H660=""),"",ROUND(H660-I660,2))</f>
        <v/>
      </c>
      <c r="K660" s="15" t="str">
        <f aca="false">IF(J660="","",IF(J660=0,"Tam",IF(J660&lt;0,"Açık","Fazla")))</f>
        <v/>
      </c>
      <c r="L660" s="14" t="str">
        <f aca="false">IF(A660="","",C660+D660)</f>
        <v/>
      </c>
    </row>
    <row r="661" customFormat="false" ht="15" hidden="false" customHeight="false" outlineLevel="0" collapsed="false">
      <c r="A661" s="12"/>
      <c r="B661" s="13"/>
      <c r="C661" s="13"/>
      <c r="D661" s="13"/>
      <c r="E661" s="13"/>
      <c r="F661" s="13"/>
      <c r="G661" s="13"/>
      <c r="H661" s="13"/>
      <c r="I661" s="14" t="str">
        <f aca="false">IF(A661="","",B661+C661+E661-F661-G661)</f>
        <v/>
      </c>
      <c r="J661" s="14" t="str">
        <f aca="false">IF(OR(A661="",H661=""),"",ROUND(H661-I661,2))</f>
        <v/>
      </c>
      <c r="K661" s="15" t="str">
        <f aca="false">IF(J661="","",IF(J661=0,"Tam",IF(J661&lt;0,"Açık","Fazla")))</f>
        <v/>
      </c>
      <c r="L661" s="14" t="str">
        <f aca="false">IF(A661="","",C661+D661)</f>
        <v/>
      </c>
    </row>
    <row r="662" customFormat="false" ht="15" hidden="false" customHeight="false" outlineLevel="0" collapsed="false">
      <c r="A662" s="12"/>
      <c r="B662" s="13"/>
      <c r="C662" s="13"/>
      <c r="D662" s="13"/>
      <c r="E662" s="13"/>
      <c r="F662" s="13"/>
      <c r="G662" s="13"/>
      <c r="H662" s="13"/>
      <c r="I662" s="14" t="str">
        <f aca="false">IF(A662="","",B662+C662+E662-F662-G662)</f>
        <v/>
      </c>
      <c r="J662" s="14" t="str">
        <f aca="false">IF(OR(A662="",H662=""),"",ROUND(H662-I662,2))</f>
        <v/>
      </c>
      <c r="K662" s="15" t="str">
        <f aca="false">IF(J662="","",IF(J662=0,"Tam",IF(J662&lt;0,"Açık","Fazla")))</f>
        <v/>
      </c>
      <c r="L662" s="14" t="str">
        <f aca="false">IF(A662="","",C662+D662)</f>
        <v/>
      </c>
    </row>
    <row r="663" customFormat="false" ht="15" hidden="false" customHeight="false" outlineLevel="0" collapsed="false">
      <c r="A663" s="12"/>
      <c r="B663" s="13"/>
      <c r="C663" s="13"/>
      <c r="D663" s="13"/>
      <c r="E663" s="13"/>
      <c r="F663" s="13"/>
      <c r="G663" s="13"/>
      <c r="H663" s="13"/>
      <c r="I663" s="14" t="str">
        <f aca="false">IF(A663="","",B663+C663+E663-F663-G663)</f>
        <v/>
      </c>
      <c r="J663" s="14" t="str">
        <f aca="false">IF(OR(A663="",H663=""),"",ROUND(H663-I663,2))</f>
        <v/>
      </c>
      <c r="K663" s="15" t="str">
        <f aca="false">IF(J663="","",IF(J663=0,"Tam",IF(J663&lt;0,"Açık","Fazla")))</f>
        <v/>
      </c>
      <c r="L663" s="14" t="str">
        <f aca="false">IF(A663="","",C663+D663)</f>
        <v/>
      </c>
    </row>
    <row r="664" customFormat="false" ht="15" hidden="false" customHeight="false" outlineLevel="0" collapsed="false">
      <c r="A664" s="12"/>
      <c r="B664" s="13"/>
      <c r="C664" s="13"/>
      <c r="D664" s="13"/>
      <c r="E664" s="13"/>
      <c r="F664" s="13"/>
      <c r="G664" s="13"/>
      <c r="H664" s="13"/>
      <c r="I664" s="14" t="str">
        <f aca="false">IF(A664="","",B664+C664+E664-F664-G664)</f>
        <v/>
      </c>
      <c r="J664" s="14" t="str">
        <f aca="false">IF(OR(A664="",H664=""),"",ROUND(H664-I664,2))</f>
        <v/>
      </c>
      <c r="K664" s="15" t="str">
        <f aca="false">IF(J664="","",IF(J664=0,"Tam",IF(J664&lt;0,"Açık","Fazla")))</f>
        <v/>
      </c>
      <c r="L664" s="14" t="str">
        <f aca="false">IF(A664="","",C664+D664)</f>
        <v/>
      </c>
    </row>
    <row r="665" customFormat="false" ht="15" hidden="false" customHeight="false" outlineLevel="0" collapsed="false">
      <c r="A665" s="12"/>
      <c r="B665" s="13"/>
      <c r="C665" s="13"/>
      <c r="D665" s="13"/>
      <c r="E665" s="13"/>
      <c r="F665" s="13"/>
      <c r="G665" s="13"/>
      <c r="H665" s="13"/>
      <c r="I665" s="14" t="str">
        <f aca="false">IF(A665="","",B665+C665+E665-F665-G665)</f>
        <v/>
      </c>
      <c r="J665" s="14" t="str">
        <f aca="false">IF(OR(A665="",H665=""),"",ROUND(H665-I665,2))</f>
        <v/>
      </c>
      <c r="K665" s="15" t="str">
        <f aca="false">IF(J665="","",IF(J665=0,"Tam",IF(J665&lt;0,"Açık","Fazla")))</f>
        <v/>
      </c>
      <c r="L665" s="14" t="str">
        <f aca="false">IF(A665="","",C665+D665)</f>
        <v/>
      </c>
    </row>
    <row r="666" customFormat="false" ht="15" hidden="false" customHeight="false" outlineLevel="0" collapsed="false">
      <c r="A666" s="12"/>
      <c r="B666" s="13"/>
      <c r="C666" s="13"/>
      <c r="D666" s="13"/>
      <c r="E666" s="13"/>
      <c r="F666" s="13"/>
      <c r="G666" s="13"/>
      <c r="H666" s="13"/>
      <c r="I666" s="14" t="str">
        <f aca="false">IF(A666="","",B666+C666+E666-F666-G666)</f>
        <v/>
      </c>
      <c r="J666" s="14" t="str">
        <f aca="false">IF(OR(A666="",H666=""),"",ROUND(H666-I666,2))</f>
        <v/>
      </c>
      <c r="K666" s="15" t="str">
        <f aca="false">IF(J666="","",IF(J666=0,"Tam",IF(J666&lt;0,"Açık","Fazla")))</f>
        <v/>
      </c>
      <c r="L666" s="14" t="str">
        <f aca="false">IF(A666="","",C666+D666)</f>
        <v/>
      </c>
    </row>
    <row r="667" customFormat="false" ht="15" hidden="false" customHeight="false" outlineLevel="0" collapsed="false">
      <c r="A667" s="12"/>
      <c r="B667" s="13"/>
      <c r="C667" s="13"/>
      <c r="D667" s="13"/>
      <c r="E667" s="13"/>
      <c r="F667" s="13"/>
      <c r="G667" s="13"/>
      <c r="H667" s="13"/>
      <c r="I667" s="14" t="str">
        <f aca="false">IF(A667="","",B667+C667+E667-F667-G667)</f>
        <v/>
      </c>
      <c r="J667" s="14" t="str">
        <f aca="false">IF(OR(A667="",H667=""),"",ROUND(H667-I667,2))</f>
        <v/>
      </c>
      <c r="K667" s="15" t="str">
        <f aca="false">IF(J667="","",IF(J667=0,"Tam",IF(J667&lt;0,"Açık","Fazla")))</f>
        <v/>
      </c>
      <c r="L667" s="14" t="str">
        <f aca="false">IF(A667="","",C667+D667)</f>
        <v/>
      </c>
    </row>
    <row r="668" customFormat="false" ht="15" hidden="false" customHeight="false" outlineLevel="0" collapsed="false">
      <c r="A668" s="12"/>
      <c r="B668" s="13"/>
      <c r="C668" s="13"/>
      <c r="D668" s="13"/>
      <c r="E668" s="13"/>
      <c r="F668" s="13"/>
      <c r="G668" s="13"/>
      <c r="H668" s="13"/>
      <c r="I668" s="14" t="str">
        <f aca="false">IF(A668="","",B668+C668+E668-F668-G668)</f>
        <v/>
      </c>
      <c r="J668" s="14" t="str">
        <f aca="false">IF(OR(A668="",H668=""),"",ROUND(H668-I668,2))</f>
        <v/>
      </c>
      <c r="K668" s="15" t="str">
        <f aca="false">IF(J668="","",IF(J668=0,"Tam",IF(J668&lt;0,"Açık","Fazla")))</f>
        <v/>
      </c>
      <c r="L668" s="14" t="str">
        <f aca="false">IF(A668="","",C668+D668)</f>
        <v/>
      </c>
    </row>
    <row r="669" customFormat="false" ht="15" hidden="false" customHeight="false" outlineLevel="0" collapsed="false">
      <c r="A669" s="12"/>
      <c r="B669" s="13"/>
      <c r="C669" s="13"/>
      <c r="D669" s="13"/>
      <c r="E669" s="13"/>
      <c r="F669" s="13"/>
      <c r="G669" s="13"/>
      <c r="H669" s="13"/>
      <c r="I669" s="14" t="str">
        <f aca="false">IF(A669="","",B669+C669+E669-F669-G669)</f>
        <v/>
      </c>
      <c r="J669" s="14" t="str">
        <f aca="false">IF(OR(A669="",H669=""),"",ROUND(H669-I669,2))</f>
        <v/>
      </c>
      <c r="K669" s="15" t="str">
        <f aca="false">IF(J669="","",IF(J669=0,"Tam",IF(J669&lt;0,"Açık","Fazla")))</f>
        <v/>
      </c>
      <c r="L669" s="14" t="str">
        <f aca="false">IF(A669="","",C669+D669)</f>
        <v/>
      </c>
    </row>
    <row r="670" customFormat="false" ht="15" hidden="false" customHeight="false" outlineLevel="0" collapsed="false">
      <c r="A670" s="12"/>
      <c r="B670" s="13"/>
      <c r="C670" s="13"/>
      <c r="D670" s="13"/>
      <c r="E670" s="13"/>
      <c r="F670" s="13"/>
      <c r="G670" s="13"/>
      <c r="H670" s="13"/>
      <c r="I670" s="14" t="str">
        <f aca="false">IF(A670="","",B670+C670+E670-F670-G670)</f>
        <v/>
      </c>
      <c r="J670" s="14" t="str">
        <f aca="false">IF(OR(A670="",H670=""),"",ROUND(H670-I670,2))</f>
        <v/>
      </c>
      <c r="K670" s="15" t="str">
        <f aca="false">IF(J670="","",IF(J670=0,"Tam",IF(J670&lt;0,"Açık","Fazla")))</f>
        <v/>
      </c>
      <c r="L670" s="14" t="str">
        <f aca="false">IF(A670="","",C670+D670)</f>
        <v/>
      </c>
    </row>
    <row r="671" customFormat="false" ht="15" hidden="false" customHeight="false" outlineLevel="0" collapsed="false">
      <c r="A671" s="12"/>
      <c r="B671" s="13"/>
      <c r="C671" s="13"/>
      <c r="D671" s="13"/>
      <c r="E671" s="13"/>
      <c r="F671" s="13"/>
      <c r="G671" s="13"/>
      <c r="H671" s="13"/>
      <c r="I671" s="14" t="str">
        <f aca="false">IF(A671="","",B671+C671+E671-F671-G671)</f>
        <v/>
      </c>
      <c r="J671" s="14" t="str">
        <f aca="false">IF(OR(A671="",H671=""),"",ROUND(H671-I671,2))</f>
        <v/>
      </c>
      <c r="K671" s="15" t="str">
        <f aca="false">IF(J671="","",IF(J671=0,"Tam",IF(J671&lt;0,"Açık","Fazla")))</f>
        <v/>
      </c>
      <c r="L671" s="14" t="str">
        <f aca="false">IF(A671="","",C671+D671)</f>
        <v/>
      </c>
    </row>
    <row r="672" customFormat="false" ht="15" hidden="false" customHeight="false" outlineLevel="0" collapsed="false">
      <c r="A672" s="12"/>
      <c r="B672" s="13"/>
      <c r="C672" s="13"/>
      <c r="D672" s="13"/>
      <c r="E672" s="13"/>
      <c r="F672" s="13"/>
      <c r="G672" s="13"/>
      <c r="H672" s="13"/>
      <c r="I672" s="14" t="str">
        <f aca="false">IF(A672="","",B672+C672+E672-F672-G672)</f>
        <v/>
      </c>
      <c r="J672" s="14" t="str">
        <f aca="false">IF(OR(A672="",H672=""),"",ROUND(H672-I672,2))</f>
        <v/>
      </c>
      <c r="K672" s="15" t="str">
        <f aca="false">IF(J672="","",IF(J672=0,"Tam",IF(J672&lt;0,"Açık","Fazla")))</f>
        <v/>
      </c>
      <c r="L672" s="14" t="str">
        <f aca="false">IF(A672="","",C672+D672)</f>
        <v/>
      </c>
    </row>
    <row r="673" customFormat="false" ht="15" hidden="false" customHeight="false" outlineLevel="0" collapsed="false">
      <c r="A673" s="12"/>
      <c r="B673" s="13"/>
      <c r="C673" s="13"/>
      <c r="D673" s="13"/>
      <c r="E673" s="13"/>
      <c r="F673" s="13"/>
      <c r="G673" s="13"/>
      <c r="H673" s="13"/>
      <c r="I673" s="14" t="str">
        <f aca="false">IF(A673="","",B673+C673+E673-F673-G673)</f>
        <v/>
      </c>
      <c r="J673" s="14" t="str">
        <f aca="false">IF(OR(A673="",H673=""),"",ROUND(H673-I673,2))</f>
        <v/>
      </c>
      <c r="K673" s="15" t="str">
        <f aca="false">IF(J673="","",IF(J673=0,"Tam",IF(J673&lt;0,"Açık","Fazla")))</f>
        <v/>
      </c>
      <c r="L673" s="14" t="str">
        <f aca="false">IF(A673="","",C673+D673)</f>
        <v/>
      </c>
    </row>
    <row r="674" customFormat="false" ht="15" hidden="false" customHeight="false" outlineLevel="0" collapsed="false">
      <c r="A674" s="12"/>
      <c r="B674" s="13"/>
      <c r="C674" s="13"/>
      <c r="D674" s="13"/>
      <c r="E674" s="13"/>
      <c r="F674" s="13"/>
      <c r="G674" s="13"/>
      <c r="H674" s="13"/>
      <c r="I674" s="14" t="str">
        <f aca="false">IF(A674="","",B674+C674+E674-F674-G674)</f>
        <v/>
      </c>
      <c r="J674" s="14" t="str">
        <f aca="false">IF(OR(A674="",H674=""),"",ROUND(H674-I674,2))</f>
        <v/>
      </c>
      <c r="K674" s="15" t="str">
        <f aca="false">IF(J674="","",IF(J674=0,"Tam",IF(J674&lt;0,"Açık","Fazla")))</f>
        <v/>
      </c>
      <c r="L674" s="14" t="str">
        <f aca="false">IF(A674="","",C674+D674)</f>
        <v/>
      </c>
    </row>
    <row r="675" customFormat="false" ht="15" hidden="false" customHeight="false" outlineLevel="0" collapsed="false">
      <c r="A675" s="12"/>
      <c r="B675" s="13"/>
      <c r="C675" s="13"/>
      <c r="D675" s="13"/>
      <c r="E675" s="13"/>
      <c r="F675" s="13"/>
      <c r="G675" s="13"/>
      <c r="H675" s="13"/>
      <c r="I675" s="14" t="str">
        <f aca="false">IF(A675="","",B675+C675+E675-F675-G675)</f>
        <v/>
      </c>
      <c r="J675" s="14" t="str">
        <f aca="false">IF(OR(A675="",H675=""),"",ROUND(H675-I675,2))</f>
        <v/>
      </c>
      <c r="K675" s="15" t="str">
        <f aca="false">IF(J675="","",IF(J675=0,"Tam",IF(J675&lt;0,"Açık","Fazla")))</f>
        <v/>
      </c>
      <c r="L675" s="14" t="str">
        <f aca="false">IF(A675="","",C675+D675)</f>
        <v/>
      </c>
    </row>
    <row r="676" customFormat="false" ht="15" hidden="false" customHeight="false" outlineLevel="0" collapsed="false">
      <c r="A676" s="12"/>
      <c r="B676" s="13"/>
      <c r="C676" s="13"/>
      <c r="D676" s="13"/>
      <c r="E676" s="13"/>
      <c r="F676" s="13"/>
      <c r="G676" s="13"/>
      <c r="H676" s="13"/>
      <c r="I676" s="14" t="str">
        <f aca="false">IF(A676="","",B676+C676+E676-F676-G676)</f>
        <v/>
      </c>
      <c r="J676" s="14" t="str">
        <f aca="false">IF(OR(A676="",H676=""),"",ROUND(H676-I676,2))</f>
        <v/>
      </c>
      <c r="K676" s="15" t="str">
        <f aca="false">IF(J676="","",IF(J676=0,"Tam",IF(J676&lt;0,"Açık","Fazla")))</f>
        <v/>
      </c>
      <c r="L676" s="14" t="str">
        <f aca="false">IF(A676="","",C676+D676)</f>
        <v/>
      </c>
    </row>
    <row r="677" customFormat="false" ht="15" hidden="false" customHeight="false" outlineLevel="0" collapsed="false">
      <c r="A677" s="12"/>
      <c r="B677" s="13"/>
      <c r="C677" s="13"/>
      <c r="D677" s="13"/>
      <c r="E677" s="13"/>
      <c r="F677" s="13"/>
      <c r="G677" s="13"/>
      <c r="H677" s="13"/>
      <c r="I677" s="14" t="str">
        <f aca="false">IF(A677="","",B677+C677+E677-F677-G677)</f>
        <v/>
      </c>
      <c r="J677" s="14" t="str">
        <f aca="false">IF(OR(A677="",H677=""),"",ROUND(H677-I677,2))</f>
        <v/>
      </c>
      <c r="K677" s="15" t="str">
        <f aca="false">IF(J677="","",IF(J677=0,"Tam",IF(J677&lt;0,"Açık","Fazla")))</f>
        <v/>
      </c>
      <c r="L677" s="14" t="str">
        <f aca="false">IF(A677="","",C677+D677)</f>
        <v/>
      </c>
    </row>
    <row r="678" customFormat="false" ht="15" hidden="false" customHeight="false" outlineLevel="0" collapsed="false">
      <c r="A678" s="12"/>
      <c r="B678" s="13"/>
      <c r="C678" s="13"/>
      <c r="D678" s="13"/>
      <c r="E678" s="13"/>
      <c r="F678" s="13"/>
      <c r="G678" s="13"/>
      <c r="H678" s="13"/>
      <c r="I678" s="14" t="str">
        <f aca="false">IF(A678="","",B678+C678+E678-F678-G678)</f>
        <v/>
      </c>
      <c r="J678" s="14" t="str">
        <f aca="false">IF(OR(A678="",H678=""),"",ROUND(H678-I678,2))</f>
        <v/>
      </c>
      <c r="K678" s="15" t="str">
        <f aca="false">IF(J678="","",IF(J678=0,"Tam",IF(J678&lt;0,"Açık","Fazla")))</f>
        <v/>
      </c>
      <c r="L678" s="14" t="str">
        <f aca="false">IF(A678="","",C678+D678)</f>
        <v/>
      </c>
    </row>
    <row r="679" customFormat="false" ht="15" hidden="false" customHeight="false" outlineLevel="0" collapsed="false">
      <c r="A679" s="12"/>
      <c r="B679" s="13"/>
      <c r="C679" s="13"/>
      <c r="D679" s="13"/>
      <c r="E679" s="13"/>
      <c r="F679" s="13"/>
      <c r="G679" s="13"/>
      <c r="H679" s="13"/>
      <c r="I679" s="14" t="str">
        <f aca="false">IF(A679="","",B679+C679+E679-F679-G679)</f>
        <v/>
      </c>
      <c r="J679" s="14" t="str">
        <f aca="false">IF(OR(A679="",H679=""),"",ROUND(H679-I679,2))</f>
        <v/>
      </c>
      <c r="K679" s="15" t="str">
        <f aca="false">IF(J679="","",IF(J679=0,"Tam",IF(J679&lt;0,"Açık","Fazla")))</f>
        <v/>
      </c>
      <c r="L679" s="14" t="str">
        <f aca="false">IF(A679="","",C679+D679)</f>
        <v/>
      </c>
    </row>
    <row r="680" customFormat="false" ht="15" hidden="false" customHeight="false" outlineLevel="0" collapsed="false">
      <c r="A680" s="12"/>
      <c r="B680" s="13"/>
      <c r="C680" s="13"/>
      <c r="D680" s="13"/>
      <c r="E680" s="13"/>
      <c r="F680" s="13"/>
      <c r="G680" s="13"/>
      <c r="H680" s="13"/>
      <c r="I680" s="14" t="str">
        <f aca="false">IF(A680="","",B680+C680+E680-F680-G680)</f>
        <v/>
      </c>
      <c r="J680" s="14" t="str">
        <f aca="false">IF(OR(A680="",H680=""),"",ROUND(H680-I680,2))</f>
        <v/>
      </c>
      <c r="K680" s="15" t="str">
        <f aca="false">IF(J680="","",IF(J680=0,"Tam",IF(J680&lt;0,"Açık","Fazla")))</f>
        <v/>
      </c>
      <c r="L680" s="14" t="str">
        <f aca="false">IF(A680="","",C680+D680)</f>
        <v/>
      </c>
    </row>
    <row r="681" customFormat="false" ht="15" hidden="false" customHeight="false" outlineLevel="0" collapsed="false">
      <c r="A681" s="12"/>
      <c r="B681" s="13"/>
      <c r="C681" s="13"/>
      <c r="D681" s="13"/>
      <c r="E681" s="13"/>
      <c r="F681" s="13"/>
      <c r="G681" s="13"/>
      <c r="H681" s="13"/>
      <c r="I681" s="14" t="str">
        <f aca="false">IF(A681="","",B681+C681+E681-F681-G681)</f>
        <v/>
      </c>
      <c r="J681" s="14" t="str">
        <f aca="false">IF(OR(A681="",H681=""),"",ROUND(H681-I681,2))</f>
        <v/>
      </c>
      <c r="K681" s="15" t="str">
        <f aca="false">IF(J681="","",IF(J681=0,"Tam",IF(J681&lt;0,"Açık","Fazla")))</f>
        <v/>
      </c>
      <c r="L681" s="14" t="str">
        <f aca="false">IF(A681="","",C681+D681)</f>
        <v/>
      </c>
    </row>
    <row r="682" customFormat="false" ht="15" hidden="false" customHeight="false" outlineLevel="0" collapsed="false">
      <c r="A682" s="12"/>
      <c r="B682" s="13"/>
      <c r="C682" s="13"/>
      <c r="D682" s="13"/>
      <c r="E682" s="13"/>
      <c r="F682" s="13"/>
      <c r="G682" s="13"/>
      <c r="H682" s="13"/>
      <c r="I682" s="14" t="str">
        <f aca="false">IF(A682="","",B682+C682+E682-F682-G682)</f>
        <v/>
      </c>
      <c r="J682" s="14" t="str">
        <f aca="false">IF(OR(A682="",H682=""),"",ROUND(H682-I682,2))</f>
        <v/>
      </c>
      <c r="K682" s="15" t="str">
        <f aca="false">IF(J682="","",IF(J682=0,"Tam",IF(J682&lt;0,"Açık","Fazla")))</f>
        <v/>
      </c>
      <c r="L682" s="14" t="str">
        <f aca="false">IF(A682="","",C682+D682)</f>
        <v/>
      </c>
    </row>
    <row r="683" customFormat="false" ht="15" hidden="false" customHeight="false" outlineLevel="0" collapsed="false">
      <c r="A683" s="12"/>
      <c r="B683" s="13"/>
      <c r="C683" s="13"/>
      <c r="D683" s="13"/>
      <c r="E683" s="13"/>
      <c r="F683" s="13"/>
      <c r="G683" s="13"/>
      <c r="H683" s="13"/>
      <c r="I683" s="14" t="str">
        <f aca="false">IF(A683="","",B683+C683+E683-F683-G683)</f>
        <v/>
      </c>
      <c r="J683" s="14" t="str">
        <f aca="false">IF(OR(A683="",H683=""),"",ROUND(H683-I683,2))</f>
        <v/>
      </c>
      <c r="K683" s="15" t="str">
        <f aca="false">IF(J683="","",IF(J683=0,"Tam",IF(J683&lt;0,"Açık","Fazla")))</f>
        <v/>
      </c>
      <c r="L683" s="14" t="str">
        <f aca="false">IF(A683="","",C683+D683)</f>
        <v/>
      </c>
    </row>
    <row r="684" customFormat="false" ht="15" hidden="false" customHeight="false" outlineLevel="0" collapsed="false">
      <c r="A684" s="12"/>
      <c r="B684" s="13"/>
      <c r="C684" s="13"/>
      <c r="D684" s="13"/>
      <c r="E684" s="13"/>
      <c r="F684" s="13"/>
      <c r="G684" s="13"/>
      <c r="H684" s="13"/>
      <c r="I684" s="14" t="str">
        <f aca="false">IF(A684="","",B684+C684+E684-F684-G684)</f>
        <v/>
      </c>
      <c r="J684" s="14" t="str">
        <f aca="false">IF(OR(A684="",H684=""),"",ROUND(H684-I684,2))</f>
        <v/>
      </c>
      <c r="K684" s="15" t="str">
        <f aca="false">IF(J684="","",IF(J684=0,"Tam",IF(J684&lt;0,"Açık","Fazla")))</f>
        <v/>
      </c>
      <c r="L684" s="14" t="str">
        <f aca="false">IF(A684="","",C684+D684)</f>
        <v/>
      </c>
    </row>
    <row r="685" customFormat="false" ht="15" hidden="false" customHeight="false" outlineLevel="0" collapsed="false">
      <c r="A685" s="12"/>
      <c r="B685" s="13"/>
      <c r="C685" s="13"/>
      <c r="D685" s="13"/>
      <c r="E685" s="13"/>
      <c r="F685" s="13"/>
      <c r="G685" s="13"/>
      <c r="H685" s="13"/>
      <c r="I685" s="14" t="str">
        <f aca="false">IF(A685="","",B685+C685+E685-F685-G685)</f>
        <v/>
      </c>
      <c r="J685" s="14" t="str">
        <f aca="false">IF(OR(A685="",H685=""),"",ROUND(H685-I685,2))</f>
        <v/>
      </c>
      <c r="K685" s="15" t="str">
        <f aca="false">IF(J685="","",IF(J685=0,"Tam",IF(J685&lt;0,"Açık","Fazla")))</f>
        <v/>
      </c>
      <c r="L685" s="14" t="str">
        <f aca="false">IF(A685="","",C685+D685)</f>
        <v/>
      </c>
    </row>
    <row r="686" customFormat="false" ht="15" hidden="false" customHeight="false" outlineLevel="0" collapsed="false">
      <c r="A686" s="12"/>
      <c r="B686" s="13"/>
      <c r="C686" s="13"/>
      <c r="D686" s="13"/>
      <c r="E686" s="13"/>
      <c r="F686" s="13"/>
      <c r="G686" s="13"/>
      <c r="H686" s="13"/>
      <c r="I686" s="14" t="str">
        <f aca="false">IF(A686="","",B686+C686+E686-F686-G686)</f>
        <v/>
      </c>
      <c r="J686" s="14" t="str">
        <f aca="false">IF(OR(A686="",H686=""),"",ROUND(H686-I686,2))</f>
        <v/>
      </c>
      <c r="K686" s="15" t="str">
        <f aca="false">IF(J686="","",IF(J686=0,"Tam",IF(J686&lt;0,"Açık","Fazla")))</f>
        <v/>
      </c>
      <c r="L686" s="14" t="str">
        <f aca="false">IF(A686="","",C686+D686)</f>
        <v/>
      </c>
    </row>
    <row r="687" customFormat="false" ht="15" hidden="false" customHeight="false" outlineLevel="0" collapsed="false">
      <c r="A687" s="12"/>
      <c r="B687" s="13"/>
      <c r="C687" s="13"/>
      <c r="D687" s="13"/>
      <c r="E687" s="13"/>
      <c r="F687" s="13"/>
      <c r="G687" s="13"/>
      <c r="H687" s="13"/>
      <c r="I687" s="14" t="str">
        <f aca="false">IF(A687="","",B687+C687+E687-F687-G687)</f>
        <v/>
      </c>
      <c r="J687" s="14" t="str">
        <f aca="false">IF(OR(A687="",H687=""),"",ROUND(H687-I687,2))</f>
        <v/>
      </c>
      <c r="K687" s="15" t="str">
        <f aca="false">IF(J687="","",IF(J687=0,"Tam",IF(J687&lt;0,"Açık","Fazla")))</f>
        <v/>
      </c>
      <c r="L687" s="14" t="str">
        <f aca="false">IF(A687="","",C687+D687)</f>
        <v/>
      </c>
    </row>
    <row r="688" customFormat="false" ht="15" hidden="false" customHeight="false" outlineLevel="0" collapsed="false">
      <c r="A688" s="12"/>
      <c r="B688" s="13"/>
      <c r="C688" s="13"/>
      <c r="D688" s="13"/>
      <c r="E688" s="13"/>
      <c r="F688" s="13"/>
      <c r="G688" s="13"/>
      <c r="H688" s="13"/>
      <c r="I688" s="14" t="str">
        <f aca="false">IF(A688="","",B688+C688+E688-F688-G688)</f>
        <v/>
      </c>
      <c r="J688" s="14" t="str">
        <f aca="false">IF(OR(A688="",H688=""),"",ROUND(H688-I688,2))</f>
        <v/>
      </c>
      <c r="K688" s="15" t="str">
        <f aca="false">IF(J688="","",IF(J688=0,"Tam",IF(J688&lt;0,"Açık","Fazla")))</f>
        <v/>
      </c>
      <c r="L688" s="14" t="str">
        <f aca="false">IF(A688="","",C688+D688)</f>
        <v/>
      </c>
    </row>
    <row r="689" customFormat="false" ht="15" hidden="false" customHeight="false" outlineLevel="0" collapsed="false">
      <c r="A689" s="12"/>
      <c r="B689" s="13"/>
      <c r="C689" s="13"/>
      <c r="D689" s="13"/>
      <c r="E689" s="13"/>
      <c r="F689" s="13"/>
      <c r="G689" s="13"/>
      <c r="H689" s="13"/>
      <c r="I689" s="14" t="str">
        <f aca="false">IF(A689="","",B689+C689+E689-F689-G689)</f>
        <v/>
      </c>
      <c r="J689" s="14" t="str">
        <f aca="false">IF(OR(A689="",H689=""),"",ROUND(H689-I689,2))</f>
        <v/>
      </c>
      <c r="K689" s="15" t="str">
        <f aca="false">IF(J689="","",IF(J689=0,"Tam",IF(J689&lt;0,"Açık","Fazla")))</f>
        <v/>
      </c>
      <c r="L689" s="14" t="str">
        <f aca="false">IF(A689="","",C689+D689)</f>
        <v/>
      </c>
    </row>
    <row r="690" customFormat="false" ht="15" hidden="false" customHeight="false" outlineLevel="0" collapsed="false">
      <c r="A690" s="12"/>
      <c r="B690" s="13"/>
      <c r="C690" s="13"/>
      <c r="D690" s="13"/>
      <c r="E690" s="13"/>
      <c r="F690" s="13"/>
      <c r="G690" s="13"/>
      <c r="H690" s="13"/>
      <c r="I690" s="14" t="str">
        <f aca="false">IF(A690="","",B690+C690+E690-F690-G690)</f>
        <v/>
      </c>
      <c r="J690" s="14" t="str">
        <f aca="false">IF(OR(A690="",H690=""),"",ROUND(H690-I690,2))</f>
        <v/>
      </c>
      <c r="K690" s="15" t="str">
        <f aca="false">IF(J690="","",IF(J690=0,"Tam",IF(J690&lt;0,"Açık","Fazla")))</f>
        <v/>
      </c>
      <c r="L690" s="14" t="str">
        <f aca="false">IF(A690="","",C690+D690)</f>
        <v/>
      </c>
    </row>
    <row r="691" customFormat="false" ht="15" hidden="false" customHeight="false" outlineLevel="0" collapsed="false">
      <c r="A691" s="12"/>
      <c r="B691" s="13"/>
      <c r="C691" s="13"/>
      <c r="D691" s="13"/>
      <c r="E691" s="13"/>
      <c r="F691" s="13"/>
      <c r="G691" s="13"/>
      <c r="H691" s="13"/>
      <c r="I691" s="14" t="str">
        <f aca="false">IF(A691="","",B691+C691+E691-F691-G691)</f>
        <v/>
      </c>
      <c r="J691" s="14" t="str">
        <f aca="false">IF(OR(A691="",H691=""),"",ROUND(H691-I691,2))</f>
        <v/>
      </c>
      <c r="K691" s="15" t="str">
        <f aca="false">IF(J691="","",IF(J691=0,"Tam",IF(J691&lt;0,"Açık","Fazla")))</f>
        <v/>
      </c>
      <c r="L691" s="14" t="str">
        <f aca="false">IF(A691="","",C691+D691)</f>
        <v/>
      </c>
    </row>
    <row r="692" customFormat="false" ht="15" hidden="false" customHeight="false" outlineLevel="0" collapsed="false">
      <c r="A692" s="12"/>
      <c r="B692" s="13"/>
      <c r="C692" s="13"/>
      <c r="D692" s="13"/>
      <c r="E692" s="13"/>
      <c r="F692" s="13"/>
      <c r="G692" s="13"/>
      <c r="H692" s="13"/>
      <c r="I692" s="14" t="str">
        <f aca="false">IF(A692="","",B692+C692+E692-F692-G692)</f>
        <v/>
      </c>
      <c r="J692" s="14" t="str">
        <f aca="false">IF(OR(A692="",H692=""),"",ROUND(H692-I692,2))</f>
        <v/>
      </c>
      <c r="K692" s="15" t="str">
        <f aca="false">IF(J692="","",IF(J692=0,"Tam",IF(J692&lt;0,"Açık","Fazla")))</f>
        <v/>
      </c>
      <c r="L692" s="14" t="str">
        <f aca="false">IF(A692="","",C692+D692)</f>
        <v/>
      </c>
    </row>
    <row r="693" customFormat="false" ht="15" hidden="false" customHeight="false" outlineLevel="0" collapsed="false">
      <c r="A693" s="12"/>
      <c r="B693" s="13"/>
      <c r="C693" s="13"/>
      <c r="D693" s="13"/>
      <c r="E693" s="13"/>
      <c r="F693" s="13"/>
      <c r="G693" s="13"/>
      <c r="H693" s="13"/>
      <c r="I693" s="14" t="str">
        <f aca="false">IF(A693="","",B693+C693+E693-F693-G693)</f>
        <v/>
      </c>
      <c r="J693" s="14" t="str">
        <f aca="false">IF(OR(A693="",H693=""),"",ROUND(H693-I693,2))</f>
        <v/>
      </c>
      <c r="K693" s="15" t="str">
        <f aca="false">IF(J693="","",IF(J693=0,"Tam",IF(J693&lt;0,"Açık","Fazla")))</f>
        <v/>
      </c>
      <c r="L693" s="14" t="str">
        <f aca="false">IF(A693="","",C693+D693)</f>
        <v/>
      </c>
    </row>
    <row r="694" customFormat="false" ht="15" hidden="false" customHeight="false" outlineLevel="0" collapsed="false">
      <c r="A694" s="12"/>
      <c r="B694" s="13"/>
      <c r="C694" s="13"/>
      <c r="D694" s="13"/>
      <c r="E694" s="13"/>
      <c r="F694" s="13"/>
      <c r="G694" s="13"/>
      <c r="H694" s="13"/>
      <c r="I694" s="14" t="str">
        <f aca="false">IF(A694="","",B694+C694+E694-F694-G694)</f>
        <v/>
      </c>
      <c r="J694" s="14" t="str">
        <f aca="false">IF(OR(A694="",H694=""),"",ROUND(H694-I694,2))</f>
        <v/>
      </c>
      <c r="K694" s="15" t="str">
        <f aca="false">IF(J694="","",IF(J694=0,"Tam",IF(J694&lt;0,"Açık","Fazla")))</f>
        <v/>
      </c>
      <c r="L694" s="14" t="str">
        <f aca="false">IF(A694="","",C694+D694)</f>
        <v/>
      </c>
    </row>
    <row r="695" customFormat="false" ht="15" hidden="false" customHeight="false" outlineLevel="0" collapsed="false">
      <c r="A695" s="12"/>
      <c r="B695" s="13"/>
      <c r="C695" s="13"/>
      <c r="D695" s="13"/>
      <c r="E695" s="13"/>
      <c r="F695" s="13"/>
      <c r="G695" s="13"/>
      <c r="H695" s="13"/>
      <c r="I695" s="14" t="str">
        <f aca="false">IF(A695="","",B695+C695+E695-F695-G695)</f>
        <v/>
      </c>
      <c r="J695" s="14" t="str">
        <f aca="false">IF(OR(A695="",H695=""),"",ROUND(H695-I695,2))</f>
        <v/>
      </c>
      <c r="K695" s="15" t="str">
        <f aca="false">IF(J695="","",IF(J695=0,"Tam",IF(J695&lt;0,"Açık","Fazla")))</f>
        <v/>
      </c>
      <c r="L695" s="14" t="str">
        <f aca="false">IF(A695="","",C695+D695)</f>
        <v/>
      </c>
    </row>
    <row r="696" customFormat="false" ht="15" hidden="false" customHeight="false" outlineLevel="0" collapsed="false">
      <c r="A696" s="12"/>
      <c r="B696" s="13"/>
      <c r="C696" s="13"/>
      <c r="D696" s="13"/>
      <c r="E696" s="13"/>
      <c r="F696" s="13"/>
      <c r="G696" s="13"/>
      <c r="H696" s="13"/>
      <c r="I696" s="14" t="str">
        <f aca="false">IF(A696="","",B696+C696+E696-F696-G696)</f>
        <v/>
      </c>
      <c r="J696" s="14" t="str">
        <f aca="false">IF(OR(A696="",H696=""),"",ROUND(H696-I696,2))</f>
        <v/>
      </c>
      <c r="K696" s="15" t="str">
        <f aca="false">IF(J696="","",IF(J696=0,"Tam",IF(J696&lt;0,"Açık","Fazla")))</f>
        <v/>
      </c>
      <c r="L696" s="14" t="str">
        <f aca="false">IF(A696="","",C696+D696)</f>
        <v/>
      </c>
    </row>
    <row r="697" customFormat="false" ht="15" hidden="false" customHeight="false" outlineLevel="0" collapsed="false">
      <c r="A697" s="12"/>
      <c r="B697" s="13"/>
      <c r="C697" s="13"/>
      <c r="D697" s="13"/>
      <c r="E697" s="13"/>
      <c r="F697" s="13"/>
      <c r="G697" s="13"/>
      <c r="H697" s="13"/>
      <c r="I697" s="14" t="str">
        <f aca="false">IF(A697="","",B697+C697+E697-F697-G697)</f>
        <v/>
      </c>
      <c r="J697" s="14" t="str">
        <f aca="false">IF(OR(A697="",H697=""),"",ROUND(H697-I697,2))</f>
        <v/>
      </c>
      <c r="K697" s="15" t="str">
        <f aca="false">IF(J697="","",IF(J697=0,"Tam",IF(J697&lt;0,"Açık","Fazla")))</f>
        <v/>
      </c>
      <c r="L697" s="14" t="str">
        <f aca="false">IF(A697="","",C697+D697)</f>
        <v/>
      </c>
    </row>
    <row r="698" customFormat="false" ht="15" hidden="false" customHeight="false" outlineLevel="0" collapsed="false">
      <c r="A698" s="12"/>
      <c r="B698" s="13"/>
      <c r="C698" s="13"/>
      <c r="D698" s="13"/>
      <c r="E698" s="13"/>
      <c r="F698" s="13"/>
      <c r="G698" s="13"/>
      <c r="H698" s="13"/>
      <c r="I698" s="14" t="str">
        <f aca="false">IF(A698="","",B698+C698+E698-F698-G698)</f>
        <v/>
      </c>
      <c r="J698" s="14" t="str">
        <f aca="false">IF(OR(A698="",H698=""),"",ROUND(H698-I698,2))</f>
        <v/>
      </c>
      <c r="K698" s="15" t="str">
        <f aca="false">IF(J698="","",IF(J698=0,"Tam",IF(J698&lt;0,"Açık","Fazla")))</f>
        <v/>
      </c>
      <c r="L698" s="14" t="str">
        <f aca="false">IF(A698="","",C698+D698)</f>
        <v/>
      </c>
    </row>
    <row r="699" customFormat="false" ht="15" hidden="false" customHeight="false" outlineLevel="0" collapsed="false">
      <c r="A699" s="12"/>
      <c r="B699" s="13"/>
      <c r="C699" s="13"/>
      <c r="D699" s="13"/>
      <c r="E699" s="13"/>
      <c r="F699" s="13"/>
      <c r="G699" s="13"/>
      <c r="H699" s="13"/>
      <c r="I699" s="14" t="str">
        <f aca="false">IF(A699="","",B699+C699+E699-F699-G699)</f>
        <v/>
      </c>
      <c r="J699" s="14" t="str">
        <f aca="false">IF(OR(A699="",H699=""),"",ROUND(H699-I699,2))</f>
        <v/>
      </c>
      <c r="K699" s="15" t="str">
        <f aca="false">IF(J699="","",IF(J699=0,"Tam",IF(J699&lt;0,"Açık","Fazla")))</f>
        <v/>
      </c>
      <c r="L699" s="14" t="str">
        <f aca="false">IF(A699="","",C699+D699)</f>
        <v/>
      </c>
    </row>
    <row r="700" customFormat="false" ht="15" hidden="false" customHeight="false" outlineLevel="0" collapsed="false">
      <c r="A700" s="12"/>
      <c r="B700" s="13"/>
      <c r="C700" s="13"/>
      <c r="D700" s="13"/>
      <c r="E700" s="13"/>
      <c r="F700" s="13"/>
      <c r="G700" s="13"/>
      <c r="H700" s="13"/>
      <c r="I700" s="14" t="str">
        <f aca="false">IF(A700="","",B700+C700+E700-F700-G700)</f>
        <v/>
      </c>
      <c r="J700" s="14" t="str">
        <f aca="false">IF(OR(A700="",H700=""),"",ROUND(H700-I700,2))</f>
        <v/>
      </c>
      <c r="K700" s="15" t="str">
        <f aca="false">IF(J700="","",IF(J700=0,"Tam",IF(J700&lt;0,"Açık","Fazla")))</f>
        <v/>
      </c>
      <c r="L700" s="14" t="str">
        <f aca="false">IF(A700="","",C700+D700)</f>
        <v/>
      </c>
    </row>
    <row r="701" customFormat="false" ht="15" hidden="false" customHeight="false" outlineLevel="0" collapsed="false">
      <c r="A701" s="12"/>
      <c r="B701" s="13"/>
      <c r="C701" s="13"/>
      <c r="D701" s="13"/>
      <c r="E701" s="13"/>
      <c r="F701" s="13"/>
      <c r="G701" s="13"/>
      <c r="H701" s="13"/>
      <c r="I701" s="14" t="str">
        <f aca="false">IF(A701="","",B701+C701+E701-F701-G701)</f>
        <v/>
      </c>
      <c r="J701" s="14" t="str">
        <f aca="false">IF(OR(A701="",H701=""),"",ROUND(H701-I701,2))</f>
        <v/>
      </c>
      <c r="K701" s="15" t="str">
        <f aca="false">IF(J701="","",IF(J701=0,"Tam",IF(J701&lt;0,"Açık","Fazla")))</f>
        <v/>
      </c>
      <c r="L701" s="14" t="str">
        <f aca="false">IF(A701="","",C701+D701)</f>
        <v/>
      </c>
    </row>
    <row r="702" customFormat="false" ht="15" hidden="false" customHeight="false" outlineLevel="0" collapsed="false">
      <c r="A702" s="12"/>
      <c r="B702" s="13"/>
      <c r="C702" s="13"/>
      <c r="D702" s="13"/>
      <c r="E702" s="13"/>
      <c r="F702" s="13"/>
      <c r="G702" s="13"/>
      <c r="H702" s="13"/>
      <c r="I702" s="14" t="str">
        <f aca="false">IF(A702="","",B702+C702+E702-F702-G702)</f>
        <v/>
      </c>
      <c r="J702" s="14" t="str">
        <f aca="false">IF(OR(A702="",H702=""),"",ROUND(H702-I702,2))</f>
        <v/>
      </c>
      <c r="K702" s="15" t="str">
        <f aca="false">IF(J702="","",IF(J702=0,"Tam",IF(J702&lt;0,"Açık","Fazla")))</f>
        <v/>
      </c>
      <c r="L702" s="14" t="str">
        <f aca="false">IF(A702="","",C702+D702)</f>
        <v/>
      </c>
    </row>
    <row r="703" customFormat="false" ht="15" hidden="false" customHeight="false" outlineLevel="0" collapsed="false">
      <c r="A703" s="12"/>
      <c r="B703" s="13"/>
      <c r="C703" s="13"/>
      <c r="D703" s="13"/>
      <c r="E703" s="13"/>
      <c r="F703" s="13"/>
      <c r="G703" s="13"/>
      <c r="H703" s="13"/>
      <c r="I703" s="14" t="str">
        <f aca="false">IF(A703="","",B703+C703+E703-F703-G703)</f>
        <v/>
      </c>
      <c r="J703" s="14" t="str">
        <f aca="false">IF(OR(A703="",H703=""),"",ROUND(H703-I703,2))</f>
        <v/>
      </c>
      <c r="K703" s="15" t="str">
        <f aca="false">IF(J703="","",IF(J703=0,"Tam",IF(J703&lt;0,"Açık","Fazla")))</f>
        <v/>
      </c>
      <c r="L703" s="14" t="str">
        <f aca="false">IF(A703="","",C703+D703)</f>
        <v/>
      </c>
    </row>
    <row r="704" customFormat="false" ht="15" hidden="false" customHeight="false" outlineLevel="0" collapsed="false">
      <c r="A704" s="12"/>
      <c r="B704" s="13"/>
      <c r="C704" s="13"/>
      <c r="D704" s="13"/>
      <c r="E704" s="13"/>
      <c r="F704" s="13"/>
      <c r="G704" s="13"/>
      <c r="H704" s="13"/>
      <c r="I704" s="14" t="str">
        <f aca="false">IF(A704="","",B704+C704+E704-F704-G704)</f>
        <v/>
      </c>
      <c r="J704" s="14" t="str">
        <f aca="false">IF(OR(A704="",H704=""),"",ROUND(H704-I704,2))</f>
        <v/>
      </c>
      <c r="K704" s="15" t="str">
        <f aca="false">IF(J704="","",IF(J704=0,"Tam",IF(J704&lt;0,"Açık","Fazla")))</f>
        <v/>
      </c>
      <c r="L704" s="14" t="str">
        <f aca="false">IF(A704="","",C704+D704)</f>
        <v/>
      </c>
    </row>
    <row r="705" customFormat="false" ht="15" hidden="false" customHeight="false" outlineLevel="0" collapsed="false">
      <c r="A705" s="12"/>
      <c r="B705" s="13"/>
      <c r="C705" s="13"/>
      <c r="D705" s="13"/>
      <c r="E705" s="13"/>
      <c r="F705" s="13"/>
      <c r="G705" s="13"/>
      <c r="H705" s="13"/>
      <c r="I705" s="14" t="str">
        <f aca="false">IF(A705="","",B705+C705+E705-F705-G705)</f>
        <v/>
      </c>
      <c r="J705" s="14" t="str">
        <f aca="false">IF(OR(A705="",H705=""),"",ROUND(H705-I705,2))</f>
        <v/>
      </c>
      <c r="K705" s="15" t="str">
        <f aca="false">IF(J705="","",IF(J705=0,"Tam",IF(J705&lt;0,"Açık","Fazla")))</f>
        <v/>
      </c>
      <c r="L705" s="14" t="str">
        <f aca="false">IF(A705="","",C705+D705)</f>
        <v/>
      </c>
    </row>
    <row r="706" customFormat="false" ht="15" hidden="false" customHeight="false" outlineLevel="0" collapsed="false">
      <c r="A706" s="12"/>
      <c r="B706" s="13"/>
      <c r="C706" s="13"/>
      <c r="D706" s="13"/>
      <c r="E706" s="13"/>
      <c r="F706" s="13"/>
      <c r="G706" s="13"/>
      <c r="H706" s="13"/>
      <c r="I706" s="14" t="str">
        <f aca="false">IF(A706="","",B706+C706+E706-F706-G706)</f>
        <v/>
      </c>
      <c r="J706" s="14" t="str">
        <f aca="false">IF(OR(A706="",H706=""),"",ROUND(H706-I706,2))</f>
        <v/>
      </c>
      <c r="K706" s="15" t="str">
        <f aca="false">IF(J706="","",IF(J706=0,"Tam",IF(J706&lt;0,"Açık","Fazla")))</f>
        <v/>
      </c>
      <c r="L706" s="14" t="str">
        <f aca="false">IF(A706="","",C706+D706)</f>
        <v/>
      </c>
    </row>
    <row r="707" customFormat="false" ht="15" hidden="false" customHeight="false" outlineLevel="0" collapsed="false">
      <c r="A707" s="12"/>
      <c r="B707" s="13"/>
      <c r="C707" s="13"/>
      <c r="D707" s="13"/>
      <c r="E707" s="13"/>
      <c r="F707" s="13"/>
      <c r="G707" s="13"/>
      <c r="H707" s="13"/>
      <c r="I707" s="14" t="str">
        <f aca="false">IF(A707="","",B707+C707+E707-F707-G707)</f>
        <v/>
      </c>
      <c r="J707" s="14" t="str">
        <f aca="false">IF(OR(A707="",H707=""),"",ROUND(H707-I707,2))</f>
        <v/>
      </c>
      <c r="K707" s="15" t="str">
        <f aca="false">IF(J707="","",IF(J707=0,"Tam",IF(J707&lt;0,"Açık","Fazla")))</f>
        <v/>
      </c>
      <c r="L707" s="14" t="str">
        <f aca="false">IF(A707="","",C707+D707)</f>
        <v/>
      </c>
    </row>
    <row r="708" customFormat="false" ht="15" hidden="false" customHeight="false" outlineLevel="0" collapsed="false">
      <c r="A708" s="12"/>
      <c r="B708" s="13"/>
      <c r="C708" s="13"/>
      <c r="D708" s="13"/>
      <c r="E708" s="13"/>
      <c r="F708" s="13"/>
      <c r="G708" s="13"/>
      <c r="H708" s="13"/>
      <c r="I708" s="14" t="str">
        <f aca="false">IF(A708="","",B708+C708+E708-F708-G708)</f>
        <v/>
      </c>
      <c r="J708" s="14" t="str">
        <f aca="false">IF(OR(A708="",H708=""),"",ROUND(H708-I708,2))</f>
        <v/>
      </c>
      <c r="K708" s="15" t="str">
        <f aca="false">IF(J708="","",IF(J708=0,"Tam",IF(J708&lt;0,"Açık","Fazla")))</f>
        <v/>
      </c>
      <c r="L708" s="14" t="str">
        <f aca="false">IF(A708="","",C708+D708)</f>
        <v/>
      </c>
    </row>
    <row r="709" customFormat="false" ht="15" hidden="false" customHeight="false" outlineLevel="0" collapsed="false">
      <c r="A709" s="12"/>
      <c r="B709" s="13"/>
      <c r="C709" s="13"/>
      <c r="D709" s="13"/>
      <c r="E709" s="13"/>
      <c r="F709" s="13"/>
      <c r="G709" s="13"/>
      <c r="H709" s="13"/>
      <c r="I709" s="14" t="str">
        <f aca="false">IF(A709="","",B709+C709+E709-F709-G709)</f>
        <v/>
      </c>
      <c r="J709" s="14" t="str">
        <f aca="false">IF(OR(A709="",H709=""),"",ROUND(H709-I709,2))</f>
        <v/>
      </c>
      <c r="K709" s="15" t="str">
        <f aca="false">IF(J709="","",IF(J709=0,"Tam",IF(J709&lt;0,"Açık","Fazla")))</f>
        <v/>
      </c>
      <c r="L709" s="14" t="str">
        <f aca="false">IF(A709="","",C709+D709)</f>
        <v/>
      </c>
    </row>
    <row r="710" customFormat="false" ht="15" hidden="false" customHeight="false" outlineLevel="0" collapsed="false">
      <c r="A710" s="12"/>
      <c r="B710" s="13"/>
      <c r="C710" s="13"/>
      <c r="D710" s="13"/>
      <c r="E710" s="13"/>
      <c r="F710" s="13"/>
      <c r="G710" s="13"/>
      <c r="H710" s="13"/>
      <c r="I710" s="14" t="str">
        <f aca="false">IF(A710="","",B710+C710+E710-F710-G710)</f>
        <v/>
      </c>
      <c r="J710" s="14" t="str">
        <f aca="false">IF(OR(A710="",H710=""),"",ROUND(H710-I710,2))</f>
        <v/>
      </c>
      <c r="K710" s="15" t="str">
        <f aca="false">IF(J710="","",IF(J710=0,"Tam",IF(J710&lt;0,"Açık","Fazla")))</f>
        <v/>
      </c>
      <c r="L710" s="14" t="str">
        <f aca="false">IF(A710="","",C710+D710)</f>
        <v/>
      </c>
    </row>
    <row r="711" customFormat="false" ht="15" hidden="false" customHeight="false" outlineLevel="0" collapsed="false">
      <c r="A711" s="12"/>
      <c r="B711" s="13"/>
      <c r="C711" s="13"/>
      <c r="D711" s="13"/>
      <c r="E711" s="13"/>
      <c r="F711" s="13"/>
      <c r="G711" s="13"/>
      <c r="H711" s="13"/>
      <c r="I711" s="14" t="str">
        <f aca="false">IF(A711="","",B711+C711+E711-F711-G711)</f>
        <v/>
      </c>
      <c r="J711" s="14" t="str">
        <f aca="false">IF(OR(A711="",H711=""),"",ROUND(H711-I711,2))</f>
        <v/>
      </c>
      <c r="K711" s="15" t="str">
        <f aca="false">IF(J711="","",IF(J711=0,"Tam",IF(J711&lt;0,"Açık","Fazla")))</f>
        <v/>
      </c>
      <c r="L711" s="14" t="str">
        <f aca="false">IF(A711="","",C711+D711)</f>
        <v/>
      </c>
    </row>
    <row r="712" customFormat="false" ht="15" hidden="false" customHeight="false" outlineLevel="0" collapsed="false">
      <c r="A712" s="12"/>
      <c r="B712" s="13"/>
      <c r="C712" s="13"/>
      <c r="D712" s="13"/>
      <c r="E712" s="13"/>
      <c r="F712" s="13"/>
      <c r="G712" s="13"/>
      <c r="H712" s="13"/>
      <c r="I712" s="14" t="str">
        <f aca="false">IF(A712="","",B712+C712+E712-F712-G712)</f>
        <v/>
      </c>
      <c r="J712" s="14" t="str">
        <f aca="false">IF(OR(A712="",H712=""),"",ROUND(H712-I712,2))</f>
        <v/>
      </c>
      <c r="K712" s="15" t="str">
        <f aca="false">IF(J712="","",IF(J712=0,"Tam",IF(J712&lt;0,"Açık","Fazla")))</f>
        <v/>
      </c>
      <c r="L712" s="14" t="str">
        <f aca="false">IF(A712="","",C712+D712)</f>
        <v/>
      </c>
    </row>
    <row r="713" customFormat="false" ht="15" hidden="false" customHeight="false" outlineLevel="0" collapsed="false">
      <c r="A713" s="12"/>
      <c r="B713" s="13"/>
      <c r="C713" s="13"/>
      <c r="D713" s="13"/>
      <c r="E713" s="13"/>
      <c r="F713" s="13"/>
      <c r="G713" s="13"/>
      <c r="H713" s="13"/>
      <c r="I713" s="14" t="str">
        <f aca="false">IF(A713="","",B713+C713+E713-F713-G713)</f>
        <v/>
      </c>
      <c r="J713" s="14" t="str">
        <f aca="false">IF(OR(A713="",H713=""),"",ROUND(H713-I713,2))</f>
        <v/>
      </c>
      <c r="K713" s="15" t="str">
        <f aca="false">IF(J713="","",IF(J713=0,"Tam",IF(J713&lt;0,"Açık","Fazla")))</f>
        <v/>
      </c>
      <c r="L713" s="14" t="str">
        <f aca="false">IF(A713="","",C713+D713)</f>
        <v/>
      </c>
    </row>
    <row r="714" customFormat="false" ht="15" hidden="false" customHeight="false" outlineLevel="0" collapsed="false">
      <c r="A714" s="12"/>
      <c r="B714" s="13"/>
      <c r="C714" s="13"/>
      <c r="D714" s="13"/>
      <c r="E714" s="13"/>
      <c r="F714" s="13"/>
      <c r="G714" s="13"/>
      <c r="H714" s="13"/>
      <c r="I714" s="14" t="str">
        <f aca="false">IF(A714="","",B714+C714+E714-F714-G714)</f>
        <v/>
      </c>
      <c r="J714" s="14" t="str">
        <f aca="false">IF(OR(A714="",H714=""),"",ROUND(H714-I714,2))</f>
        <v/>
      </c>
      <c r="K714" s="15" t="str">
        <f aca="false">IF(J714="","",IF(J714=0,"Tam",IF(J714&lt;0,"Açık","Fazla")))</f>
        <v/>
      </c>
      <c r="L714" s="14" t="str">
        <f aca="false">IF(A714="","",C714+D714)</f>
        <v/>
      </c>
    </row>
    <row r="715" customFormat="false" ht="15" hidden="false" customHeight="false" outlineLevel="0" collapsed="false">
      <c r="A715" s="12"/>
      <c r="B715" s="13"/>
      <c r="C715" s="13"/>
      <c r="D715" s="13"/>
      <c r="E715" s="13"/>
      <c r="F715" s="13"/>
      <c r="G715" s="13"/>
      <c r="H715" s="13"/>
      <c r="I715" s="14" t="str">
        <f aca="false">IF(A715="","",B715+C715+E715-F715-G715)</f>
        <v/>
      </c>
      <c r="J715" s="14" t="str">
        <f aca="false">IF(OR(A715="",H715=""),"",ROUND(H715-I715,2))</f>
        <v/>
      </c>
      <c r="K715" s="15" t="str">
        <f aca="false">IF(J715="","",IF(J715=0,"Tam",IF(J715&lt;0,"Açık","Fazla")))</f>
        <v/>
      </c>
      <c r="L715" s="14" t="str">
        <f aca="false">IF(A715="","",C715+D715)</f>
        <v/>
      </c>
    </row>
    <row r="716" customFormat="false" ht="15" hidden="false" customHeight="false" outlineLevel="0" collapsed="false">
      <c r="A716" s="12"/>
      <c r="B716" s="13"/>
      <c r="C716" s="13"/>
      <c r="D716" s="13"/>
      <c r="E716" s="13"/>
      <c r="F716" s="13"/>
      <c r="G716" s="13"/>
      <c r="H716" s="13"/>
      <c r="I716" s="14" t="str">
        <f aca="false">IF(A716="","",B716+C716+E716-F716-G716)</f>
        <v/>
      </c>
      <c r="J716" s="14" t="str">
        <f aca="false">IF(OR(A716="",H716=""),"",ROUND(H716-I716,2))</f>
        <v/>
      </c>
      <c r="K716" s="15" t="str">
        <f aca="false">IF(J716="","",IF(J716=0,"Tam",IF(J716&lt;0,"Açık","Fazla")))</f>
        <v/>
      </c>
      <c r="L716" s="14" t="str">
        <f aca="false">IF(A716="","",C716+D716)</f>
        <v/>
      </c>
    </row>
    <row r="717" customFormat="false" ht="15" hidden="false" customHeight="false" outlineLevel="0" collapsed="false">
      <c r="A717" s="12"/>
      <c r="B717" s="13"/>
      <c r="C717" s="13"/>
      <c r="D717" s="13"/>
      <c r="E717" s="13"/>
      <c r="F717" s="13"/>
      <c r="G717" s="13"/>
      <c r="H717" s="13"/>
      <c r="I717" s="14" t="str">
        <f aca="false">IF(A717="","",B717+C717+E717-F717-G717)</f>
        <v/>
      </c>
      <c r="J717" s="14" t="str">
        <f aca="false">IF(OR(A717="",H717=""),"",ROUND(H717-I717,2))</f>
        <v/>
      </c>
      <c r="K717" s="15" t="str">
        <f aca="false">IF(J717="","",IF(J717=0,"Tam",IF(J717&lt;0,"Açık","Fazla")))</f>
        <v/>
      </c>
      <c r="L717" s="14" t="str">
        <f aca="false">IF(A717="","",C717+D717)</f>
        <v/>
      </c>
    </row>
    <row r="718" customFormat="false" ht="15" hidden="false" customHeight="false" outlineLevel="0" collapsed="false">
      <c r="A718" s="12"/>
      <c r="B718" s="13"/>
      <c r="C718" s="13"/>
      <c r="D718" s="13"/>
      <c r="E718" s="13"/>
      <c r="F718" s="13"/>
      <c r="G718" s="13"/>
      <c r="H718" s="13"/>
      <c r="I718" s="14" t="str">
        <f aca="false">IF(A718="","",B718+C718+E718-F718-G718)</f>
        <v/>
      </c>
      <c r="J718" s="14" t="str">
        <f aca="false">IF(OR(A718="",H718=""),"",ROUND(H718-I718,2))</f>
        <v/>
      </c>
      <c r="K718" s="15" t="str">
        <f aca="false">IF(J718="","",IF(J718=0,"Tam",IF(J718&lt;0,"Açık","Fazla")))</f>
        <v/>
      </c>
      <c r="L718" s="14" t="str">
        <f aca="false">IF(A718="","",C718+D718)</f>
        <v/>
      </c>
    </row>
    <row r="719" customFormat="false" ht="15" hidden="false" customHeight="false" outlineLevel="0" collapsed="false">
      <c r="A719" s="12"/>
      <c r="B719" s="13"/>
      <c r="C719" s="13"/>
      <c r="D719" s="13"/>
      <c r="E719" s="13"/>
      <c r="F719" s="13"/>
      <c r="G719" s="13"/>
      <c r="H719" s="13"/>
      <c r="I719" s="14" t="str">
        <f aca="false">IF(A719="","",B719+C719+E719-F719-G719)</f>
        <v/>
      </c>
      <c r="J719" s="14" t="str">
        <f aca="false">IF(OR(A719="",H719=""),"",ROUND(H719-I719,2))</f>
        <v/>
      </c>
      <c r="K719" s="15" t="str">
        <f aca="false">IF(J719="","",IF(J719=0,"Tam",IF(J719&lt;0,"Açık","Fazla")))</f>
        <v/>
      </c>
      <c r="L719" s="14" t="str">
        <f aca="false">IF(A719="","",C719+D719)</f>
        <v/>
      </c>
    </row>
    <row r="720" customFormat="false" ht="15" hidden="false" customHeight="false" outlineLevel="0" collapsed="false">
      <c r="A720" s="12"/>
      <c r="B720" s="13"/>
      <c r="C720" s="13"/>
      <c r="D720" s="13"/>
      <c r="E720" s="13"/>
      <c r="F720" s="13"/>
      <c r="G720" s="13"/>
      <c r="H720" s="13"/>
      <c r="I720" s="14" t="str">
        <f aca="false">IF(A720="","",B720+C720+E720-F720-G720)</f>
        <v/>
      </c>
      <c r="J720" s="14" t="str">
        <f aca="false">IF(OR(A720="",H720=""),"",ROUND(H720-I720,2))</f>
        <v/>
      </c>
      <c r="K720" s="15" t="str">
        <f aca="false">IF(J720="","",IF(J720=0,"Tam",IF(J720&lt;0,"Açık","Fazla")))</f>
        <v/>
      </c>
      <c r="L720" s="14" t="str">
        <f aca="false">IF(A720="","",C720+D720)</f>
        <v/>
      </c>
    </row>
    <row r="721" customFormat="false" ht="15" hidden="false" customHeight="false" outlineLevel="0" collapsed="false">
      <c r="A721" s="12"/>
      <c r="B721" s="13"/>
      <c r="C721" s="13"/>
      <c r="D721" s="13"/>
      <c r="E721" s="13"/>
      <c r="F721" s="13"/>
      <c r="G721" s="13"/>
      <c r="H721" s="13"/>
      <c r="I721" s="14" t="str">
        <f aca="false">IF(A721="","",B721+C721+E721-F721-G721)</f>
        <v/>
      </c>
      <c r="J721" s="14" t="str">
        <f aca="false">IF(OR(A721="",H721=""),"",ROUND(H721-I721,2))</f>
        <v/>
      </c>
      <c r="K721" s="15" t="str">
        <f aca="false">IF(J721="","",IF(J721=0,"Tam",IF(J721&lt;0,"Açık","Fazla")))</f>
        <v/>
      </c>
      <c r="L721" s="14" t="str">
        <f aca="false">IF(A721="","",C721+D721)</f>
        <v/>
      </c>
    </row>
    <row r="722" customFormat="false" ht="15" hidden="false" customHeight="false" outlineLevel="0" collapsed="false">
      <c r="A722" s="12"/>
      <c r="B722" s="13"/>
      <c r="C722" s="13"/>
      <c r="D722" s="13"/>
      <c r="E722" s="13"/>
      <c r="F722" s="13"/>
      <c r="G722" s="13"/>
      <c r="H722" s="13"/>
      <c r="I722" s="14" t="str">
        <f aca="false">IF(A722="","",B722+C722+E722-F722-G722)</f>
        <v/>
      </c>
      <c r="J722" s="14" t="str">
        <f aca="false">IF(OR(A722="",H722=""),"",ROUND(H722-I722,2))</f>
        <v/>
      </c>
      <c r="K722" s="15" t="str">
        <f aca="false">IF(J722="","",IF(J722=0,"Tam",IF(J722&lt;0,"Açık","Fazla")))</f>
        <v/>
      </c>
      <c r="L722" s="14" t="str">
        <f aca="false">IF(A722="","",C722+D722)</f>
        <v/>
      </c>
    </row>
    <row r="723" customFormat="false" ht="15" hidden="false" customHeight="false" outlineLevel="0" collapsed="false">
      <c r="A723" s="12"/>
      <c r="B723" s="13"/>
      <c r="C723" s="13"/>
      <c r="D723" s="13"/>
      <c r="E723" s="13"/>
      <c r="F723" s="13"/>
      <c r="G723" s="13"/>
      <c r="H723" s="13"/>
      <c r="I723" s="14" t="str">
        <f aca="false">IF(A723="","",B723+C723+E723-F723-G723)</f>
        <v/>
      </c>
      <c r="J723" s="14" t="str">
        <f aca="false">IF(OR(A723="",H723=""),"",ROUND(H723-I723,2))</f>
        <v/>
      </c>
      <c r="K723" s="15" t="str">
        <f aca="false">IF(J723="","",IF(J723=0,"Tam",IF(J723&lt;0,"Açık","Fazla")))</f>
        <v/>
      </c>
      <c r="L723" s="14" t="str">
        <f aca="false">IF(A723="","",C723+D723)</f>
        <v/>
      </c>
    </row>
    <row r="724" customFormat="false" ht="15" hidden="false" customHeight="false" outlineLevel="0" collapsed="false">
      <c r="A724" s="12"/>
      <c r="B724" s="13"/>
      <c r="C724" s="13"/>
      <c r="D724" s="13"/>
      <c r="E724" s="13"/>
      <c r="F724" s="13"/>
      <c r="G724" s="13"/>
      <c r="H724" s="13"/>
      <c r="I724" s="14" t="str">
        <f aca="false">IF(A724="","",B724+C724+E724-F724-G724)</f>
        <v/>
      </c>
      <c r="J724" s="14" t="str">
        <f aca="false">IF(OR(A724="",H724=""),"",ROUND(H724-I724,2))</f>
        <v/>
      </c>
      <c r="K724" s="15" t="str">
        <f aca="false">IF(J724="","",IF(J724=0,"Tam",IF(J724&lt;0,"Açık","Fazla")))</f>
        <v/>
      </c>
      <c r="L724" s="14" t="str">
        <f aca="false">IF(A724="","",C724+D724)</f>
        <v/>
      </c>
    </row>
    <row r="725" customFormat="false" ht="15" hidden="false" customHeight="false" outlineLevel="0" collapsed="false">
      <c r="A725" s="12"/>
      <c r="B725" s="13"/>
      <c r="C725" s="13"/>
      <c r="D725" s="13"/>
      <c r="E725" s="13"/>
      <c r="F725" s="13"/>
      <c r="G725" s="13"/>
      <c r="H725" s="13"/>
      <c r="I725" s="14" t="str">
        <f aca="false">IF(A725="","",B725+C725+E725-F725-G725)</f>
        <v/>
      </c>
      <c r="J725" s="14" t="str">
        <f aca="false">IF(OR(A725="",H725=""),"",ROUND(H725-I725,2))</f>
        <v/>
      </c>
      <c r="K725" s="15" t="str">
        <f aca="false">IF(J725="","",IF(J725=0,"Tam",IF(J725&lt;0,"Açık","Fazla")))</f>
        <v/>
      </c>
      <c r="L725" s="14" t="str">
        <f aca="false">IF(A725="","",C725+D725)</f>
        <v/>
      </c>
    </row>
    <row r="726" customFormat="false" ht="15" hidden="false" customHeight="false" outlineLevel="0" collapsed="false">
      <c r="A726" s="12"/>
      <c r="B726" s="13"/>
      <c r="C726" s="13"/>
      <c r="D726" s="13"/>
      <c r="E726" s="13"/>
      <c r="F726" s="13"/>
      <c r="G726" s="13"/>
      <c r="H726" s="13"/>
      <c r="I726" s="14" t="str">
        <f aca="false">IF(A726="","",B726+C726+E726-F726-G726)</f>
        <v/>
      </c>
      <c r="J726" s="14" t="str">
        <f aca="false">IF(OR(A726="",H726=""),"",ROUND(H726-I726,2))</f>
        <v/>
      </c>
      <c r="K726" s="15" t="str">
        <f aca="false">IF(J726="","",IF(J726=0,"Tam",IF(J726&lt;0,"Açık","Fazla")))</f>
        <v/>
      </c>
      <c r="L726" s="14" t="str">
        <f aca="false">IF(A726="","",C726+D726)</f>
        <v/>
      </c>
    </row>
    <row r="727" customFormat="false" ht="15" hidden="false" customHeight="false" outlineLevel="0" collapsed="false">
      <c r="A727" s="12"/>
      <c r="B727" s="13"/>
      <c r="C727" s="13"/>
      <c r="D727" s="13"/>
      <c r="E727" s="13"/>
      <c r="F727" s="13"/>
      <c r="G727" s="13"/>
      <c r="H727" s="13"/>
      <c r="I727" s="14" t="str">
        <f aca="false">IF(A727="","",B727+C727+E727-F727-G727)</f>
        <v/>
      </c>
      <c r="J727" s="14" t="str">
        <f aca="false">IF(OR(A727="",H727=""),"",ROUND(H727-I727,2))</f>
        <v/>
      </c>
      <c r="K727" s="15" t="str">
        <f aca="false">IF(J727="","",IF(J727=0,"Tam",IF(J727&lt;0,"Açık","Fazla")))</f>
        <v/>
      </c>
      <c r="L727" s="14" t="str">
        <f aca="false">IF(A727="","",C727+D727)</f>
        <v/>
      </c>
    </row>
    <row r="728" customFormat="false" ht="15" hidden="false" customHeight="false" outlineLevel="0" collapsed="false">
      <c r="A728" s="12"/>
      <c r="B728" s="13"/>
      <c r="C728" s="13"/>
      <c r="D728" s="13"/>
      <c r="E728" s="13"/>
      <c r="F728" s="13"/>
      <c r="G728" s="13"/>
      <c r="H728" s="13"/>
      <c r="I728" s="14" t="str">
        <f aca="false">IF(A728="","",B728+C728+E728-F728-G728)</f>
        <v/>
      </c>
      <c r="J728" s="14" t="str">
        <f aca="false">IF(OR(A728="",H728=""),"",ROUND(H728-I728,2))</f>
        <v/>
      </c>
      <c r="K728" s="15" t="str">
        <f aca="false">IF(J728="","",IF(J728=0,"Tam",IF(J728&lt;0,"Açık","Fazla")))</f>
        <v/>
      </c>
      <c r="L728" s="14" t="str">
        <f aca="false">IF(A728="","",C728+D728)</f>
        <v/>
      </c>
    </row>
    <row r="729" customFormat="false" ht="15" hidden="false" customHeight="false" outlineLevel="0" collapsed="false">
      <c r="A729" s="12"/>
      <c r="B729" s="13"/>
      <c r="C729" s="13"/>
      <c r="D729" s="13"/>
      <c r="E729" s="13"/>
      <c r="F729" s="13"/>
      <c r="G729" s="13"/>
      <c r="H729" s="13"/>
      <c r="I729" s="14" t="str">
        <f aca="false">IF(A729="","",B729+C729+E729-F729-G729)</f>
        <v/>
      </c>
      <c r="J729" s="14" t="str">
        <f aca="false">IF(OR(A729="",H729=""),"",ROUND(H729-I729,2))</f>
        <v/>
      </c>
      <c r="K729" s="15" t="str">
        <f aca="false">IF(J729="","",IF(J729=0,"Tam",IF(J729&lt;0,"Açık","Fazla")))</f>
        <v/>
      </c>
      <c r="L729" s="14" t="str">
        <f aca="false">IF(A729="","",C729+D729)</f>
        <v/>
      </c>
    </row>
    <row r="730" customFormat="false" ht="15" hidden="false" customHeight="false" outlineLevel="0" collapsed="false">
      <c r="A730" s="12"/>
      <c r="B730" s="13"/>
      <c r="C730" s="13"/>
      <c r="D730" s="13"/>
      <c r="E730" s="13"/>
      <c r="F730" s="13"/>
      <c r="G730" s="13"/>
      <c r="H730" s="13"/>
      <c r="I730" s="14" t="str">
        <f aca="false">IF(A730="","",B730+C730+E730-F730-G730)</f>
        <v/>
      </c>
      <c r="J730" s="14" t="str">
        <f aca="false">IF(OR(A730="",H730=""),"",ROUND(H730-I730,2))</f>
        <v/>
      </c>
      <c r="K730" s="15" t="str">
        <f aca="false">IF(J730="","",IF(J730=0,"Tam",IF(J730&lt;0,"Açık","Fazla")))</f>
        <v/>
      </c>
      <c r="L730" s="14" t="str">
        <f aca="false">IF(A730="","",C730+D730)</f>
        <v/>
      </c>
    </row>
    <row r="731" customFormat="false" ht="15" hidden="false" customHeight="false" outlineLevel="0" collapsed="false">
      <c r="A731" s="12"/>
      <c r="B731" s="13"/>
      <c r="C731" s="13"/>
      <c r="D731" s="13"/>
      <c r="E731" s="13"/>
      <c r="F731" s="13"/>
      <c r="G731" s="13"/>
      <c r="H731" s="13"/>
      <c r="I731" s="14" t="str">
        <f aca="false">IF(A731="","",B731+C731+E731-F731-G731)</f>
        <v/>
      </c>
      <c r="J731" s="14" t="str">
        <f aca="false">IF(OR(A731="",H731=""),"",ROUND(H731-I731,2))</f>
        <v/>
      </c>
      <c r="K731" s="15" t="str">
        <f aca="false">IF(J731="","",IF(J731=0,"Tam",IF(J731&lt;0,"Açık","Fazla")))</f>
        <v/>
      </c>
      <c r="L731" s="14" t="str">
        <f aca="false">IF(A731="","",C731+D731)</f>
        <v/>
      </c>
    </row>
    <row r="732" customFormat="false" ht="15" hidden="false" customHeight="false" outlineLevel="0" collapsed="false">
      <c r="A732" s="12"/>
      <c r="B732" s="13"/>
      <c r="C732" s="13"/>
      <c r="D732" s="13"/>
      <c r="E732" s="13"/>
      <c r="F732" s="13"/>
      <c r="G732" s="13"/>
      <c r="H732" s="13"/>
      <c r="I732" s="14" t="str">
        <f aca="false">IF(A732="","",B732+C732+E732-F732-G732)</f>
        <v/>
      </c>
      <c r="J732" s="14" t="str">
        <f aca="false">IF(OR(A732="",H732=""),"",ROUND(H732-I732,2))</f>
        <v/>
      </c>
      <c r="K732" s="15" t="str">
        <f aca="false">IF(J732="","",IF(J732=0,"Tam",IF(J732&lt;0,"Açık","Fazla")))</f>
        <v/>
      </c>
      <c r="L732" s="14" t="str">
        <f aca="false">IF(A732="","",C732+D732)</f>
        <v/>
      </c>
    </row>
    <row r="733" customFormat="false" ht="15" hidden="false" customHeight="false" outlineLevel="0" collapsed="false">
      <c r="A733" s="12"/>
      <c r="B733" s="13"/>
      <c r="C733" s="13"/>
      <c r="D733" s="13"/>
      <c r="E733" s="13"/>
      <c r="F733" s="13"/>
      <c r="G733" s="13"/>
      <c r="H733" s="13"/>
      <c r="I733" s="14" t="str">
        <f aca="false">IF(A733="","",B733+C733+E733-F733-G733)</f>
        <v/>
      </c>
      <c r="J733" s="14" t="str">
        <f aca="false">IF(OR(A733="",H733=""),"",ROUND(H733-I733,2))</f>
        <v/>
      </c>
      <c r="K733" s="15" t="str">
        <f aca="false">IF(J733="","",IF(J733=0,"Tam",IF(J733&lt;0,"Açık","Fazla")))</f>
        <v/>
      </c>
      <c r="L733" s="14" t="str">
        <f aca="false">IF(A733="","",C733+D733)</f>
        <v/>
      </c>
    </row>
    <row r="734" customFormat="false" ht="15" hidden="false" customHeight="false" outlineLevel="0" collapsed="false">
      <c r="A734" s="12"/>
      <c r="B734" s="13"/>
      <c r="C734" s="13"/>
      <c r="D734" s="13"/>
      <c r="E734" s="13"/>
      <c r="F734" s="13"/>
      <c r="G734" s="13"/>
      <c r="H734" s="13"/>
      <c r="I734" s="14" t="str">
        <f aca="false">IF(A734="","",B734+C734+E734-F734-G734)</f>
        <v/>
      </c>
      <c r="J734" s="14" t="str">
        <f aca="false">IF(OR(A734="",H734=""),"",ROUND(H734-I734,2))</f>
        <v/>
      </c>
      <c r="K734" s="15" t="str">
        <f aca="false">IF(J734="","",IF(J734=0,"Tam",IF(J734&lt;0,"Açık","Fazla")))</f>
        <v/>
      </c>
      <c r="L734" s="14" t="str">
        <f aca="false">IF(A734="","",C734+D734)</f>
        <v/>
      </c>
    </row>
    <row r="735" customFormat="false" ht="15" hidden="false" customHeight="false" outlineLevel="0" collapsed="false">
      <c r="A735" s="12"/>
      <c r="B735" s="13"/>
      <c r="C735" s="13"/>
      <c r="D735" s="13"/>
      <c r="E735" s="13"/>
      <c r="F735" s="13"/>
      <c r="G735" s="13"/>
      <c r="H735" s="13"/>
      <c r="I735" s="14" t="str">
        <f aca="false">IF(A735="","",B735+C735+E735-F735-G735)</f>
        <v/>
      </c>
      <c r="J735" s="14" t="str">
        <f aca="false">IF(OR(A735="",H735=""),"",ROUND(H735-I735,2))</f>
        <v/>
      </c>
      <c r="K735" s="15" t="str">
        <f aca="false">IF(J735="","",IF(J735=0,"Tam",IF(J735&lt;0,"Açık","Fazla")))</f>
        <v/>
      </c>
      <c r="L735" s="14" t="str">
        <f aca="false">IF(A735="","",C735+D735)</f>
        <v/>
      </c>
    </row>
    <row r="736" customFormat="false" ht="15" hidden="false" customHeight="false" outlineLevel="0" collapsed="false">
      <c r="A736" s="12"/>
      <c r="B736" s="13"/>
      <c r="C736" s="13"/>
      <c r="D736" s="13"/>
      <c r="E736" s="13"/>
      <c r="F736" s="13"/>
      <c r="G736" s="13"/>
      <c r="H736" s="13"/>
      <c r="I736" s="14" t="str">
        <f aca="false">IF(A736="","",B736+C736+E736-F736-G736)</f>
        <v/>
      </c>
      <c r="J736" s="14" t="str">
        <f aca="false">IF(OR(A736="",H736=""),"",ROUND(H736-I736,2))</f>
        <v/>
      </c>
      <c r="K736" s="15" t="str">
        <f aca="false">IF(J736="","",IF(J736=0,"Tam",IF(J736&lt;0,"Açık","Fazla")))</f>
        <v/>
      </c>
      <c r="L736" s="14" t="str">
        <f aca="false">IF(A736="","",C736+D736)</f>
        <v/>
      </c>
    </row>
    <row r="737" customFormat="false" ht="15" hidden="false" customHeight="false" outlineLevel="0" collapsed="false">
      <c r="A737" s="12"/>
      <c r="B737" s="13"/>
      <c r="C737" s="13"/>
      <c r="D737" s="13"/>
      <c r="E737" s="13"/>
      <c r="F737" s="13"/>
      <c r="G737" s="13"/>
      <c r="H737" s="13"/>
      <c r="I737" s="14" t="str">
        <f aca="false">IF(A737="","",B737+C737+E737-F737-G737)</f>
        <v/>
      </c>
      <c r="J737" s="14" t="str">
        <f aca="false">IF(OR(A737="",H737=""),"",ROUND(H737-I737,2))</f>
        <v/>
      </c>
      <c r="K737" s="15" t="str">
        <f aca="false">IF(J737="","",IF(J737=0,"Tam",IF(J737&lt;0,"Açık","Fazla")))</f>
        <v/>
      </c>
      <c r="L737" s="14" t="str">
        <f aca="false">IF(A737="","",C737+D737)</f>
        <v/>
      </c>
    </row>
    <row r="738" customFormat="false" ht="15" hidden="false" customHeight="false" outlineLevel="0" collapsed="false">
      <c r="A738" s="12"/>
      <c r="B738" s="13"/>
      <c r="C738" s="13"/>
      <c r="D738" s="13"/>
      <c r="E738" s="13"/>
      <c r="F738" s="13"/>
      <c r="G738" s="13"/>
      <c r="H738" s="13"/>
      <c r="I738" s="14" t="str">
        <f aca="false">IF(A738="","",B738+C738+E738-F738-G738)</f>
        <v/>
      </c>
      <c r="J738" s="14" t="str">
        <f aca="false">IF(OR(A738="",H738=""),"",ROUND(H738-I738,2))</f>
        <v/>
      </c>
      <c r="K738" s="15" t="str">
        <f aca="false">IF(J738="","",IF(J738=0,"Tam",IF(J738&lt;0,"Açık","Fazla")))</f>
        <v/>
      </c>
      <c r="L738" s="14" t="str">
        <f aca="false">IF(A738="","",C738+D738)</f>
        <v/>
      </c>
    </row>
    <row r="739" customFormat="false" ht="15" hidden="false" customHeight="false" outlineLevel="0" collapsed="false">
      <c r="A739" s="12"/>
      <c r="B739" s="13"/>
      <c r="C739" s="13"/>
      <c r="D739" s="13"/>
      <c r="E739" s="13"/>
      <c r="F739" s="13"/>
      <c r="G739" s="13"/>
      <c r="H739" s="13"/>
      <c r="I739" s="14" t="str">
        <f aca="false">IF(A739="","",B739+C739+E739-F739-G739)</f>
        <v/>
      </c>
      <c r="J739" s="14" t="str">
        <f aca="false">IF(OR(A739="",H739=""),"",ROUND(H739-I739,2))</f>
        <v/>
      </c>
      <c r="K739" s="15" t="str">
        <f aca="false">IF(J739="","",IF(J739=0,"Tam",IF(J739&lt;0,"Açık","Fazla")))</f>
        <v/>
      </c>
      <c r="L739" s="14" t="str">
        <f aca="false">IF(A739="","",C739+D739)</f>
        <v/>
      </c>
    </row>
    <row r="740" customFormat="false" ht="15" hidden="false" customHeight="false" outlineLevel="0" collapsed="false">
      <c r="A740" s="12"/>
      <c r="B740" s="13"/>
      <c r="C740" s="13"/>
      <c r="D740" s="13"/>
      <c r="E740" s="13"/>
      <c r="F740" s="13"/>
      <c r="G740" s="13"/>
      <c r="H740" s="13"/>
      <c r="I740" s="14" t="str">
        <f aca="false">IF(A740="","",B740+C740+E740-F740-G740)</f>
        <v/>
      </c>
      <c r="J740" s="14" t="str">
        <f aca="false">IF(OR(A740="",H740=""),"",ROUND(H740-I740,2))</f>
        <v/>
      </c>
      <c r="K740" s="15" t="str">
        <f aca="false">IF(J740="","",IF(J740=0,"Tam",IF(J740&lt;0,"Açık","Fazla")))</f>
        <v/>
      </c>
      <c r="L740" s="14" t="str">
        <f aca="false">IF(A740="","",C740+D740)</f>
        <v/>
      </c>
    </row>
    <row r="741" customFormat="false" ht="15" hidden="false" customHeight="false" outlineLevel="0" collapsed="false">
      <c r="A741" s="12"/>
      <c r="B741" s="13"/>
      <c r="C741" s="13"/>
      <c r="D741" s="13"/>
      <c r="E741" s="13"/>
      <c r="F741" s="13"/>
      <c r="G741" s="13"/>
      <c r="H741" s="13"/>
      <c r="I741" s="14" t="str">
        <f aca="false">IF(A741="","",B741+C741+E741-F741-G741)</f>
        <v/>
      </c>
      <c r="J741" s="14" t="str">
        <f aca="false">IF(OR(A741="",H741=""),"",ROUND(H741-I741,2))</f>
        <v/>
      </c>
      <c r="K741" s="15" t="str">
        <f aca="false">IF(J741="","",IF(J741=0,"Tam",IF(J741&lt;0,"Açık","Fazla")))</f>
        <v/>
      </c>
      <c r="L741" s="14" t="str">
        <f aca="false">IF(A741="","",C741+D741)</f>
        <v/>
      </c>
    </row>
    <row r="742" customFormat="false" ht="15" hidden="false" customHeight="false" outlineLevel="0" collapsed="false">
      <c r="A742" s="12"/>
      <c r="B742" s="13"/>
      <c r="C742" s="13"/>
      <c r="D742" s="13"/>
      <c r="E742" s="13"/>
      <c r="F742" s="13"/>
      <c r="G742" s="13"/>
      <c r="H742" s="13"/>
      <c r="I742" s="14" t="str">
        <f aca="false">IF(A742="","",B742+C742+E742-F742-G742)</f>
        <v/>
      </c>
      <c r="J742" s="14" t="str">
        <f aca="false">IF(OR(A742="",H742=""),"",ROUND(H742-I742,2))</f>
        <v/>
      </c>
      <c r="K742" s="15" t="str">
        <f aca="false">IF(J742="","",IF(J742=0,"Tam",IF(J742&lt;0,"Açık","Fazla")))</f>
        <v/>
      </c>
      <c r="L742" s="14" t="str">
        <f aca="false">IF(A742="","",C742+D742)</f>
        <v/>
      </c>
    </row>
    <row r="743" customFormat="false" ht="15" hidden="false" customHeight="false" outlineLevel="0" collapsed="false">
      <c r="A743" s="12"/>
      <c r="B743" s="13"/>
      <c r="C743" s="13"/>
      <c r="D743" s="13"/>
      <c r="E743" s="13"/>
      <c r="F743" s="13"/>
      <c r="G743" s="13"/>
      <c r="H743" s="13"/>
      <c r="I743" s="14" t="str">
        <f aca="false">IF(A743="","",B743+C743+E743-F743-G743)</f>
        <v/>
      </c>
      <c r="J743" s="14" t="str">
        <f aca="false">IF(OR(A743="",H743=""),"",ROUND(H743-I743,2))</f>
        <v/>
      </c>
      <c r="K743" s="15" t="str">
        <f aca="false">IF(J743="","",IF(J743=0,"Tam",IF(J743&lt;0,"Açık","Fazla")))</f>
        <v/>
      </c>
      <c r="L743" s="14" t="str">
        <f aca="false">IF(A743="","",C743+D743)</f>
        <v/>
      </c>
    </row>
    <row r="744" customFormat="false" ht="15" hidden="false" customHeight="false" outlineLevel="0" collapsed="false">
      <c r="A744" s="12"/>
      <c r="B744" s="13"/>
      <c r="C744" s="13"/>
      <c r="D744" s="13"/>
      <c r="E744" s="13"/>
      <c r="F744" s="13"/>
      <c r="G744" s="13"/>
      <c r="H744" s="13"/>
      <c r="I744" s="14" t="str">
        <f aca="false">IF(A744="","",B744+C744+E744-F744-G744)</f>
        <v/>
      </c>
      <c r="J744" s="14" t="str">
        <f aca="false">IF(OR(A744="",H744=""),"",ROUND(H744-I744,2))</f>
        <v/>
      </c>
      <c r="K744" s="15" t="str">
        <f aca="false">IF(J744="","",IF(J744=0,"Tam",IF(J744&lt;0,"Açık","Fazla")))</f>
        <v/>
      </c>
      <c r="L744" s="14" t="str">
        <f aca="false">IF(A744="","",C744+D744)</f>
        <v/>
      </c>
    </row>
    <row r="745" customFormat="false" ht="15" hidden="false" customHeight="false" outlineLevel="0" collapsed="false">
      <c r="A745" s="12"/>
      <c r="B745" s="13"/>
      <c r="C745" s="13"/>
      <c r="D745" s="13"/>
      <c r="E745" s="13"/>
      <c r="F745" s="13"/>
      <c r="G745" s="13"/>
      <c r="H745" s="13"/>
      <c r="I745" s="14" t="str">
        <f aca="false">IF(A745="","",B745+C745+E745-F745-G745)</f>
        <v/>
      </c>
      <c r="J745" s="14" t="str">
        <f aca="false">IF(OR(A745="",H745=""),"",ROUND(H745-I745,2))</f>
        <v/>
      </c>
      <c r="K745" s="15" t="str">
        <f aca="false">IF(J745="","",IF(J745=0,"Tam",IF(J745&lt;0,"Açık","Fazla")))</f>
        <v/>
      </c>
      <c r="L745" s="14" t="str">
        <f aca="false">IF(A745="","",C745+D745)</f>
        <v/>
      </c>
    </row>
    <row r="746" customFormat="false" ht="15" hidden="false" customHeight="false" outlineLevel="0" collapsed="false">
      <c r="A746" s="12"/>
      <c r="B746" s="13"/>
      <c r="C746" s="13"/>
      <c r="D746" s="13"/>
      <c r="E746" s="13"/>
      <c r="F746" s="13"/>
      <c r="G746" s="13"/>
      <c r="H746" s="13"/>
      <c r="I746" s="14" t="str">
        <f aca="false">IF(A746="","",B746+C746+E746-F746-G746)</f>
        <v/>
      </c>
      <c r="J746" s="14" t="str">
        <f aca="false">IF(OR(A746="",H746=""),"",ROUND(H746-I746,2))</f>
        <v/>
      </c>
      <c r="K746" s="15" t="str">
        <f aca="false">IF(J746="","",IF(J746=0,"Tam",IF(J746&lt;0,"Açık","Fazla")))</f>
        <v/>
      </c>
      <c r="L746" s="14" t="str">
        <f aca="false">IF(A746="","",C746+D746)</f>
        <v/>
      </c>
    </row>
    <row r="747" customFormat="false" ht="15" hidden="false" customHeight="false" outlineLevel="0" collapsed="false">
      <c r="A747" s="12"/>
      <c r="B747" s="13"/>
      <c r="C747" s="13"/>
      <c r="D747" s="13"/>
      <c r="E747" s="13"/>
      <c r="F747" s="13"/>
      <c r="G747" s="13"/>
      <c r="H747" s="13"/>
      <c r="I747" s="14" t="str">
        <f aca="false">IF(A747="","",B747+C747+E747-F747-G747)</f>
        <v/>
      </c>
      <c r="J747" s="14" t="str">
        <f aca="false">IF(OR(A747="",H747=""),"",ROUND(H747-I747,2))</f>
        <v/>
      </c>
      <c r="K747" s="15" t="str">
        <f aca="false">IF(J747="","",IF(J747=0,"Tam",IF(J747&lt;0,"Açık","Fazla")))</f>
        <v/>
      </c>
      <c r="L747" s="14" t="str">
        <f aca="false">IF(A747="","",C747+D747)</f>
        <v/>
      </c>
    </row>
    <row r="748" customFormat="false" ht="15" hidden="false" customHeight="false" outlineLevel="0" collapsed="false">
      <c r="A748" s="12"/>
      <c r="B748" s="13"/>
      <c r="C748" s="13"/>
      <c r="D748" s="13"/>
      <c r="E748" s="13"/>
      <c r="F748" s="13"/>
      <c r="G748" s="13"/>
      <c r="H748" s="13"/>
      <c r="I748" s="14" t="str">
        <f aca="false">IF(A748="","",B748+C748+E748-F748-G748)</f>
        <v/>
      </c>
      <c r="J748" s="14" t="str">
        <f aca="false">IF(OR(A748="",H748=""),"",ROUND(H748-I748,2))</f>
        <v/>
      </c>
      <c r="K748" s="15" t="str">
        <f aca="false">IF(J748="","",IF(J748=0,"Tam",IF(J748&lt;0,"Açık","Fazla")))</f>
        <v/>
      </c>
      <c r="L748" s="14" t="str">
        <f aca="false">IF(A748="","",C748+D748)</f>
        <v/>
      </c>
    </row>
    <row r="749" customFormat="false" ht="15" hidden="false" customHeight="false" outlineLevel="0" collapsed="false">
      <c r="A749" s="12"/>
      <c r="B749" s="13"/>
      <c r="C749" s="13"/>
      <c r="D749" s="13"/>
      <c r="E749" s="13"/>
      <c r="F749" s="13"/>
      <c r="G749" s="13"/>
      <c r="H749" s="13"/>
      <c r="I749" s="14" t="str">
        <f aca="false">IF(A749="","",B749+C749+E749-F749-G749)</f>
        <v/>
      </c>
      <c r="J749" s="14" t="str">
        <f aca="false">IF(OR(A749="",H749=""),"",ROUND(H749-I749,2))</f>
        <v/>
      </c>
      <c r="K749" s="15" t="str">
        <f aca="false">IF(J749="","",IF(J749=0,"Tam",IF(J749&lt;0,"Açık","Fazla")))</f>
        <v/>
      </c>
      <c r="L749" s="14" t="str">
        <f aca="false">IF(A749="","",C749+D749)</f>
        <v/>
      </c>
    </row>
    <row r="750" customFormat="false" ht="15" hidden="false" customHeight="false" outlineLevel="0" collapsed="false">
      <c r="A750" s="12"/>
      <c r="B750" s="13"/>
      <c r="C750" s="13"/>
      <c r="D750" s="13"/>
      <c r="E750" s="13"/>
      <c r="F750" s="13"/>
      <c r="G750" s="13"/>
      <c r="H750" s="13"/>
      <c r="I750" s="14" t="str">
        <f aca="false">IF(A750="","",B750+C750+E750-F750-G750)</f>
        <v/>
      </c>
      <c r="J750" s="14" t="str">
        <f aca="false">IF(OR(A750="",H750=""),"",ROUND(H750-I750,2))</f>
        <v/>
      </c>
      <c r="K750" s="15" t="str">
        <f aca="false">IF(J750="","",IF(J750=0,"Tam",IF(J750&lt;0,"Açık","Fazla")))</f>
        <v/>
      </c>
      <c r="L750" s="14" t="str">
        <f aca="false">IF(A750="","",C750+D750)</f>
        <v/>
      </c>
    </row>
    <row r="751" customFormat="false" ht="15" hidden="false" customHeight="false" outlineLevel="0" collapsed="false">
      <c r="A751" s="12"/>
      <c r="B751" s="13"/>
      <c r="C751" s="13"/>
      <c r="D751" s="13"/>
      <c r="E751" s="13"/>
      <c r="F751" s="13"/>
      <c r="G751" s="13"/>
      <c r="H751" s="13"/>
      <c r="I751" s="14" t="str">
        <f aca="false">IF(A751="","",B751+C751+E751-F751-G751)</f>
        <v/>
      </c>
      <c r="J751" s="14" t="str">
        <f aca="false">IF(OR(A751="",H751=""),"",ROUND(H751-I751,2))</f>
        <v/>
      </c>
      <c r="K751" s="15" t="str">
        <f aca="false">IF(J751="","",IF(J751=0,"Tam",IF(J751&lt;0,"Açık","Fazla")))</f>
        <v/>
      </c>
      <c r="L751" s="14" t="str">
        <f aca="false">IF(A751="","",C751+D751)</f>
        <v/>
      </c>
    </row>
    <row r="752" customFormat="false" ht="15" hidden="false" customHeight="false" outlineLevel="0" collapsed="false">
      <c r="A752" s="12"/>
      <c r="B752" s="13"/>
      <c r="C752" s="13"/>
      <c r="D752" s="13"/>
      <c r="E752" s="13"/>
      <c r="F752" s="13"/>
      <c r="G752" s="13"/>
      <c r="H752" s="13"/>
      <c r="I752" s="14" t="str">
        <f aca="false">IF(A752="","",B752+C752+E752-F752-G752)</f>
        <v/>
      </c>
      <c r="J752" s="14" t="str">
        <f aca="false">IF(OR(A752="",H752=""),"",ROUND(H752-I752,2))</f>
        <v/>
      </c>
      <c r="K752" s="15" t="str">
        <f aca="false">IF(J752="","",IF(J752=0,"Tam",IF(J752&lt;0,"Açık","Fazla")))</f>
        <v/>
      </c>
      <c r="L752" s="14" t="str">
        <f aca="false">IF(A752="","",C752+D752)</f>
        <v/>
      </c>
    </row>
    <row r="753" customFormat="false" ht="15" hidden="false" customHeight="false" outlineLevel="0" collapsed="false">
      <c r="A753" s="12"/>
      <c r="B753" s="13"/>
      <c r="C753" s="13"/>
      <c r="D753" s="13"/>
      <c r="E753" s="13"/>
      <c r="F753" s="13"/>
      <c r="G753" s="13"/>
      <c r="H753" s="13"/>
      <c r="I753" s="14" t="str">
        <f aca="false">IF(A753="","",B753+C753+E753-F753-G753)</f>
        <v/>
      </c>
      <c r="J753" s="14" t="str">
        <f aca="false">IF(OR(A753="",H753=""),"",ROUND(H753-I753,2))</f>
        <v/>
      </c>
      <c r="K753" s="15" t="str">
        <f aca="false">IF(J753="","",IF(J753=0,"Tam",IF(J753&lt;0,"Açık","Fazla")))</f>
        <v/>
      </c>
      <c r="L753" s="14" t="str">
        <f aca="false">IF(A753="","",C753+D753)</f>
        <v/>
      </c>
    </row>
    <row r="754" customFormat="false" ht="15" hidden="false" customHeight="false" outlineLevel="0" collapsed="false">
      <c r="A754" s="12"/>
      <c r="B754" s="13"/>
      <c r="C754" s="13"/>
      <c r="D754" s="13"/>
      <c r="E754" s="13"/>
      <c r="F754" s="13"/>
      <c r="G754" s="13"/>
      <c r="H754" s="13"/>
      <c r="I754" s="14" t="str">
        <f aca="false">IF(A754="","",B754+C754+E754-F754-G754)</f>
        <v/>
      </c>
      <c r="J754" s="14" t="str">
        <f aca="false">IF(OR(A754="",H754=""),"",ROUND(H754-I754,2))</f>
        <v/>
      </c>
      <c r="K754" s="15" t="str">
        <f aca="false">IF(J754="","",IF(J754=0,"Tam",IF(J754&lt;0,"Açık","Fazla")))</f>
        <v/>
      </c>
      <c r="L754" s="14" t="str">
        <f aca="false">IF(A754="","",C754+D754)</f>
        <v/>
      </c>
    </row>
    <row r="755" customFormat="false" ht="15" hidden="false" customHeight="false" outlineLevel="0" collapsed="false">
      <c r="A755" s="12"/>
      <c r="B755" s="13"/>
      <c r="C755" s="13"/>
      <c r="D755" s="13"/>
      <c r="E755" s="13"/>
      <c r="F755" s="13"/>
      <c r="G755" s="13"/>
      <c r="H755" s="13"/>
      <c r="I755" s="14" t="str">
        <f aca="false">IF(A755="","",B755+C755+E755-F755-G755)</f>
        <v/>
      </c>
      <c r="J755" s="14" t="str">
        <f aca="false">IF(OR(A755="",H755=""),"",ROUND(H755-I755,2))</f>
        <v/>
      </c>
      <c r="K755" s="15" t="str">
        <f aca="false">IF(J755="","",IF(J755=0,"Tam",IF(J755&lt;0,"Açık","Fazla")))</f>
        <v/>
      </c>
      <c r="L755" s="14" t="str">
        <f aca="false">IF(A755="","",C755+D755)</f>
        <v/>
      </c>
    </row>
    <row r="756" customFormat="false" ht="15" hidden="false" customHeight="false" outlineLevel="0" collapsed="false">
      <c r="A756" s="12"/>
      <c r="B756" s="13"/>
      <c r="C756" s="13"/>
      <c r="D756" s="13"/>
      <c r="E756" s="13"/>
      <c r="F756" s="13"/>
      <c r="G756" s="13"/>
      <c r="H756" s="13"/>
      <c r="I756" s="14" t="str">
        <f aca="false">IF(A756="","",B756+C756+E756-F756-G756)</f>
        <v/>
      </c>
      <c r="J756" s="14" t="str">
        <f aca="false">IF(OR(A756="",H756=""),"",ROUND(H756-I756,2))</f>
        <v/>
      </c>
      <c r="K756" s="15" t="str">
        <f aca="false">IF(J756="","",IF(J756=0,"Tam",IF(J756&lt;0,"Açık","Fazla")))</f>
        <v/>
      </c>
      <c r="L756" s="14" t="str">
        <f aca="false">IF(A756="","",C756+D756)</f>
        <v/>
      </c>
    </row>
    <row r="757" customFormat="false" ht="15" hidden="false" customHeight="false" outlineLevel="0" collapsed="false">
      <c r="A757" s="12"/>
      <c r="B757" s="13"/>
      <c r="C757" s="13"/>
      <c r="D757" s="13"/>
      <c r="E757" s="13"/>
      <c r="F757" s="13"/>
      <c r="G757" s="13"/>
      <c r="H757" s="13"/>
      <c r="I757" s="14" t="str">
        <f aca="false">IF(A757="","",B757+C757+E757-F757-G757)</f>
        <v/>
      </c>
      <c r="J757" s="14" t="str">
        <f aca="false">IF(OR(A757="",H757=""),"",ROUND(H757-I757,2))</f>
        <v/>
      </c>
      <c r="K757" s="15" t="str">
        <f aca="false">IF(J757="","",IF(J757=0,"Tam",IF(J757&lt;0,"Açık","Fazla")))</f>
        <v/>
      </c>
      <c r="L757" s="14" t="str">
        <f aca="false">IF(A757="","",C757+D757)</f>
        <v/>
      </c>
    </row>
    <row r="758" customFormat="false" ht="15" hidden="false" customHeight="false" outlineLevel="0" collapsed="false">
      <c r="A758" s="12"/>
      <c r="B758" s="13"/>
      <c r="C758" s="13"/>
      <c r="D758" s="13"/>
      <c r="E758" s="13"/>
      <c r="F758" s="13"/>
      <c r="G758" s="13"/>
      <c r="H758" s="13"/>
      <c r="I758" s="14" t="str">
        <f aca="false">IF(A758="","",B758+C758+E758-F758-G758)</f>
        <v/>
      </c>
      <c r="J758" s="14" t="str">
        <f aca="false">IF(OR(A758="",H758=""),"",ROUND(H758-I758,2))</f>
        <v/>
      </c>
      <c r="K758" s="15" t="str">
        <f aca="false">IF(J758="","",IF(J758=0,"Tam",IF(J758&lt;0,"Açık","Fazla")))</f>
        <v/>
      </c>
      <c r="L758" s="14" t="str">
        <f aca="false">IF(A758="","",C758+D758)</f>
        <v/>
      </c>
    </row>
    <row r="759" customFormat="false" ht="15" hidden="false" customHeight="false" outlineLevel="0" collapsed="false">
      <c r="A759" s="12"/>
      <c r="B759" s="13"/>
      <c r="C759" s="13"/>
      <c r="D759" s="13"/>
      <c r="E759" s="13"/>
      <c r="F759" s="13"/>
      <c r="G759" s="13"/>
      <c r="H759" s="13"/>
      <c r="I759" s="14" t="str">
        <f aca="false">IF(A759="","",B759+C759+E759-F759-G759)</f>
        <v/>
      </c>
      <c r="J759" s="14" t="str">
        <f aca="false">IF(OR(A759="",H759=""),"",ROUND(H759-I759,2))</f>
        <v/>
      </c>
      <c r="K759" s="15" t="str">
        <f aca="false">IF(J759="","",IF(J759=0,"Tam",IF(J759&lt;0,"Açık","Fazla")))</f>
        <v/>
      </c>
      <c r="L759" s="14" t="str">
        <f aca="false">IF(A759="","",C759+D759)</f>
        <v/>
      </c>
    </row>
    <row r="760" customFormat="false" ht="15" hidden="false" customHeight="false" outlineLevel="0" collapsed="false">
      <c r="A760" s="12"/>
      <c r="B760" s="13"/>
      <c r="C760" s="13"/>
      <c r="D760" s="13"/>
      <c r="E760" s="13"/>
      <c r="F760" s="13"/>
      <c r="G760" s="13"/>
      <c r="H760" s="13"/>
      <c r="I760" s="14" t="str">
        <f aca="false">IF(A760="","",B760+C760+E760-F760-G760)</f>
        <v/>
      </c>
      <c r="J760" s="14" t="str">
        <f aca="false">IF(OR(A760="",H760=""),"",ROUND(H760-I760,2))</f>
        <v/>
      </c>
      <c r="K760" s="15" t="str">
        <f aca="false">IF(J760="","",IF(J760=0,"Tam",IF(J760&lt;0,"Açık","Fazla")))</f>
        <v/>
      </c>
      <c r="L760" s="14" t="str">
        <f aca="false">IF(A760="","",C760+D760)</f>
        <v/>
      </c>
    </row>
    <row r="761" customFormat="false" ht="15" hidden="false" customHeight="false" outlineLevel="0" collapsed="false">
      <c r="A761" s="12"/>
      <c r="B761" s="13"/>
      <c r="C761" s="13"/>
      <c r="D761" s="13"/>
      <c r="E761" s="13"/>
      <c r="F761" s="13"/>
      <c r="G761" s="13"/>
      <c r="H761" s="13"/>
      <c r="I761" s="14" t="str">
        <f aca="false">IF(A761="","",B761+C761+E761-F761-G761)</f>
        <v/>
      </c>
      <c r="J761" s="14" t="str">
        <f aca="false">IF(OR(A761="",H761=""),"",ROUND(H761-I761,2))</f>
        <v/>
      </c>
      <c r="K761" s="15" t="str">
        <f aca="false">IF(J761="","",IF(J761=0,"Tam",IF(J761&lt;0,"Açık","Fazla")))</f>
        <v/>
      </c>
      <c r="L761" s="14" t="str">
        <f aca="false">IF(A761="","",C761+D761)</f>
        <v/>
      </c>
    </row>
    <row r="762" customFormat="false" ht="15" hidden="false" customHeight="false" outlineLevel="0" collapsed="false">
      <c r="A762" s="12"/>
      <c r="B762" s="13"/>
      <c r="C762" s="13"/>
      <c r="D762" s="13"/>
      <c r="E762" s="13"/>
      <c r="F762" s="13"/>
      <c r="G762" s="13"/>
      <c r="H762" s="13"/>
      <c r="I762" s="14" t="str">
        <f aca="false">IF(A762="","",B762+C762+E762-F762-G762)</f>
        <v/>
      </c>
      <c r="J762" s="14" t="str">
        <f aca="false">IF(OR(A762="",H762=""),"",ROUND(H762-I762,2))</f>
        <v/>
      </c>
      <c r="K762" s="15" t="str">
        <f aca="false">IF(J762="","",IF(J762=0,"Tam",IF(J762&lt;0,"Açık","Fazla")))</f>
        <v/>
      </c>
      <c r="L762" s="14" t="str">
        <f aca="false">IF(A762="","",C762+D762)</f>
        <v/>
      </c>
    </row>
    <row r="763" customFormat="false" ht="15" hidden="false" customHeight="false" outlineLevel="0" collapsed="false">
      <c r="A763" s="12"/>
      <c r="B763" s="13"/>
      <c r="C763" s="13"/>
      <c r="D763" s="13"/>
      <c r="E763" s="13"/>
      <c r="F763" s="13"/>
      <c r="G763" s="13"/>
      <c r="H763" s="13"/>
      <c r="I763" s="14" t="str">
        <f aca="false">IF(A763="","",B763+C763+E763-F763-G763)</f>
        <v/>
      </c>
      <c r="J763" s="14" t="str">
        <f aca="false">IF(OR(A763="",H763=""),"",ROUND(H763-I763,2))</f>
        <v/>
      </c>
      <c r="K763" s="15" t="str">
        <f aca="false">IF(J763="","",IF(J763=0,"Tam",IF(J763&lt;0,"Açık","Fazla")))</f>
        <v/>
      </c>
      <c r="L763" s="14" t="str">
        <f aca="false">IF(A763="","",C763+D763)</f>
        <v/>
      </c>
    </row>
    <row r="764" customFormat="false" ht="15" hidden="false" customHeight="false" outlineLevel="0" collapsed="false">
      <c r="A764" s="12"/>
      <c r="B764" s="13"/>
      <c r="C764" s="13"/>
      <c r="D764" s="13"/>
      <c r="E764" s="13"/>
      <c r="F764" s="13"/>
      <c r="G764" s="13"/>
      <c r="H764" s="13"/>
      <c r="I764" s="14" t="str">
        <f aca="false">IF(A764="","",B764+C764+E764-F764-G764)</f>
        <v/>
      </c>
      <c r="J764" s="14" t="str">
        <f aca="false">IF(OR(A764="",H764=""),"",ROUND(H764-I764,2))</f>
        <v/>
      </c>
      <c r="K764" s="15" t="str">
        <f aca="false">IF(J764="","",IF(J764=0,"Tam",IF(J764&lt;0,"Açık","Fazla")))</f>
        <v/>
      </c>
      <c r="L764" s="14" t="str">
        <f aca="false">IF(A764="","",C764+D764)</f>
        <v/>
      </c>
    </row>
    <row r="765" customFormat="false" ht="15" hidden="false" customHeight="false" outlineLevel="0" collapsed="false">
      <c r="A765" s="12"/>
      <c r="B765" s="13"/>
      <c r="C765" s="13"/>
      <c r="D765" s="13"/>
      <c r="E765" s="13"/>
      <c r="F765" s="13"/>
      <c r="G765" s="13"/>
      <c r="H765" s="13"/>
      <c r="I765" s="14" t="str">
        <f aca="false">IF(A765="","",B765+C765+E765-F765-G765)</f>
        <v/>
      </c>
      <c r="J765" s="14" t="str">
        <f aca="false">IF(OR(A765="",H765=""),"",ROUND(H765-I765,2))</f>
        <v/>
      </c>
      <c r="K765" s="15" t="str">
        <f aca="false">IF(J765="","",IF(J765=0,"Tam",IF(J765&lt;0,"Açık","Fazla")))</f>
        <v/>
      </c>
      <c r="L765" s="14" t="str">
        <f aca="false">IF(A765="","",C765+D765)</f>
        <v/>
      </c>
    </row>
    <row r="766" customFormat="false" ht="15" hidden="false" customHeight="false" outlineLevel="0" collapsed="false">
      <c r="A766" s="12"/>
      <c r="B766" s="13"/>
      <c r="C766" s="13"/>
      <c r="D766" s="13"/>
      <c r="E766" s="13"/>
      <c r="F766" s="13"/>
      <c r="G766" s="13"/>
      <c r="H766" s="13"/>
      <c r="I766" s="14" t="str">
        <f aca="false">IF(A766="","",B766+C766+E766-F766-G766)</f>
        <v/>
      </c>
      <c r="J766" s="14" t="str">
        <f aca="false">IF(OR(A766="",H766=""),"",ROUND(H766-I766,2))</f>
        <v/>
      </c>
      <c r="K766" s="15" t="str">
        <f aca="false">IF(J766="","",IF(J766=0,"Tam",IF(J766&lt;0,"Açık","Fazla")))</f>
        <v/>
      </c>
      <c r="L766" s="14" t="str">
        <f aca="false">IF(A766="","",C766+D766)</f>
        <v/>
      </c>
    </row>
    <row r="767" customFormat="false" ht="15" hidden="false" customHeight="false" outlineLevel="0" collapsed="false">
      <c r="A767" s="12"/>
      <c r="B767" s="13"/>
      <c r="C767" s="13"/>
      <c r="D767" s="13"/>
      <c r="E767" s="13"/>
      <c r="F767" s="13"/>
      <c r="G767" s="13"/>
      <c r="H767" s="13"/>
      <c r="I767" s="14" t="str">
        <f aca="false">IF(A767="","",B767+C767+E767-F767-G767)</f>
        <v/>
      </c>
      <c r="J767" s="14" t="str">
        <f aca="false">IF(OR(A767="",H767=""),"",ROUND(H767-I767,2))</f>
        <v/>
      </c>
      <c r="K767" s="15" t="str">
        <f aca="false">IF(J767="","",IF(J767=0,"Tam",IF(J767&lt;0,"Açık","Fazla")))</f>
        <v/>
      </c>
      <c r="L767" s="14" t="str">
        <f aca="false">IF(A767="","",C767+D767)</f>
        <v/>
      </c>
    </row>
    <row r="768" customFormat="false" ht="15" hidden="false" customHeight="false" outlineLevel="0" collapsed="false">
      <c r="A768" s="12"/>
      <c r="B768" s="13"/>
      <c r="C768" s="13"/>
      <c r="D768" s="13"/>
      <c r="E768" s="13"/>
      <c r="F768" s="13"/>
      <c r="G768" s="13"/>
      <c r="H768" s="13"/>
      <c r="I768" s="14" t="str">
        <f aca="false">IF(A768="","",B768+C768+E768-F768-G768)</f>
        <v/>
      </c>
      <c r="J768" s="14" t="str">
        <f aca="false">IF(OR(A768="",H768=""),"",ROUND(H768-I768,2))</f>
        <v/>
      </c>
      <c r="K768" s="15" t="str">
        <f aca="false">IF(J768="","",IF(J768=0,"Tam",IF(J768&lt;0,"Açık","Fazla")))</f>
        <v/>
      </c>
      <c r="L768" s="14" t="str">
        <f aca="false">IF(A768="","",C768+D768)</f>
        <v/>
      </c>
    </row>
    <row r="769" customFormat="false" ht="15" hidden="false" customHeight="false" outlineLevel="0" collapsed="false">
      <c r="A769" s="12"/>
      <c r="B769" s="13"/>
      <c r="C769" s="13"/>
      <c r="D769" s="13"/>
      <c r="E769" s="13"/>
      <c r="F769" s="13"/>
      <c r="G769" s="13"/>
      <c r="H769" s="13"/>
      <c r="I769" s="14" t="str">
        <f aca="false">IF(A769="","",B769+C769+E769-F769-G769)</f>
        <v/>
      </c>
      <c r="J769" s="14" t="str">
        <f aca="false">IF(OR(A769="",H769=""),"",ROUND(H769-I769,2))</f>
        <v/>
      </c>
      <c r="K769" s="15" t="str">
        <f aca="false">IF(J769="","",IF(J769=0,"Tam",IF(J769&lt;0,"Açık","Fazla")))</f>
        <v/>
      </c>
      <c r="L769" s="14" t="str">
        <f aca="false">IF(A769="","",C769+D769)</f>
        <v/>
      </c>
    </row>
    <row r="770" customFormat="false" ht="15" hidden="false" customHeight="false" outlineLevel="0" collapsed="false">
      <c r="A770" s="12"/>
      <c r="B770" s="13"/>
      <c r="C770" s="13"/>
      <c r="D770" s="13"/>
      <c r="E770" s="13"/>
      <c r="F770" s="13"/>
      <c r="G770" s="13"/>
      <c r="H770" s="13"/>
      <c r="I770" s="14" t="str">
        <f aca="false">IF(A770="","",B770+C770+E770-F770-G770)</f>
        <v/>
      </c>
      <c r="J770" s="14" t="str">
        <f aca="false">IF(OR(A770="",H770=""),"",ROUND(H770-I770,2))</f>
        <v/>
      </c>
      <c r="K770" s="15" t="str">
        <f aca="false">IF(J770="","",IF(J770=0,"Tam",IF(J770&lt;0,"Açık","Fazla")))</f>
        <v/>
      </c>
      <c r="L770" s="14" t="str">
        <f aca="false">IF(A770="","",C770+D770)</f>
        <v/>
      </c>
    </row>
    <row r="771" customFormat="false" ht="15" hidden="false" customHeight="false" outlineLevel="0" collapsed="false">
      <c r="A771" s="12"/>
      <c r="B771" s="13"/>
      <c r="C771" s="13"/>
      <c r="D771" s="13"/>
      <c r="E771" s="13"/>
      <c r="F771" s="13"/>
      <c r="G771" s="13"/>
      <c r="H771" s="13"/>
      <c r="I771" s="14" t="str">
        <f aca="false">IF(A771="","",B771+C771+E771-F771-G771)</f>
        <v/>
      </c>
      <c r="J771" s="14" t="str">
        <f aca="false">IF(OR(A771="",H771=""),"",ROUND(H771-I771,2))</f>
        <v/>
      </c>
      <c r="K771" s="15" t="str">
        <f aca="false">IF(J771="","",IF(J771=0,"Tam",IF(J771&lt;0,"Açık","Fazla")))</f>
        <v/>
      </c>
      <c r="L771" s="14" t="str">
        <f aca="false">IF(A771="","",C771+D771)</f>
        <v/>
      </c>
    </row>
    <row r="772" customFormat="false" ht="15" hidden="false" customHeight="false" outlineLevel="0" collapsed="false">
      <c r="A772" s="12"/>
      <c r="B772" s="13"/>
      <c r="C772" s="13"/>
      <c r="D772" s="13"/>
      <c r="E772" s="13"/>
      <c r="F772" s="13"/>
      <c r="G772" s="13"/>
      <c r="H772" s="13"/>
      <c r="I772" s="14" t="str">
        <f aca="false">IF(A772="","",B772+C772+E772-F772-G772)</f>
        <v/>
      </c>
      <c r="J772" s="14" t="str">
        <f aca="false">IF(OR(A772="",H772=""),"",ROUND(H772-I772,2))</f>
        <v/>
      </c>
      <c r="K772" s="15" t="str">
        <f aca="false">IF(J772="","",IF(J772=0,"Tam",IF(J772&lt;0,"Açık","Fazla")))</f>
        <v/>
      </c>
      <c r="L772" s="14" t="str">
        <f aca="false">IF(A772="","",C772+D772)</f>
        <v/>
      </c>
    </row>
    <row r="773" customFormat="false" ht="15" hidden="false" customHeight="false" outlineLevel="0" collapsed="false">
      <c r="A773" s="12"/>
      <c r="B773" s="13"/>
      <c r="C773" s="13"/>
      <c r="D773" s="13"/>
      <c r="E773" s="13"/>
      <c r="F773" s="13"/>
      <c r="G773" s="13"/>
      <c r="H773" s="13"/>
      <c r="I773" s="14" t="str">
        <f aca="false">IF(A773="","",B773+C773+E773-F773-G773)</f>
        <v/>
      </c>
      <c r="J773" s="14" t="str">
        <f aca="false">IF(OR(A773="",H773=""),"",ROUND(H773-I773,2))</f>
        <v/>
      </c>
      <c r="K773" s="15" t="str">
        <f aca="false">IF(J773="","",IF(J773=0,"Tam",IF(J773&lt;0,"Açık","Fazla")))</f>
        <v/>
      </c>
      <c r="L773" s="14" t="str">
        <f aca="false">IF(A773="","",C773+D773)</f>
        <v/>
      </c>
    </row>
    <row r="774" customFormat="false" ht="15" hidden="false" customHeight="false" outlineLevel="0" collapsed="false">
      <c r="A774" s="12"/>
      <c r="B774" s="13"/>
      <c r="C774" s="13"/>
      <c r="D774" s="13"/>
      <c r="E774" s="13"/>
      <c r="F774" s="13"/>
      <c r="G774" s="13"/>
      <c r="H774" s="13"/>
      <c r="I774" s="14" t="str">
        <f aca="false">IF(A774="","",B774+C774+E774-F774-G774)</f>
        <v/>
      </c>
      <c r="J774" s="14" t="str">
        <f aca="false">IF(OR(A774="",H774=""),"",ROUND(H774-I774,2))</f>
        <v/>
      </c>
      <c r="K774" s="15" t="str">
        <f aca="false">IF(J774="","",IF(J774=0,"Tam",IF(J774&lt;0,"Açık","Fazla")))</f>
        <v/>
      </c>
      <c r="L774" s="14" t="str">
        <f aca="false">IF(A774="","",C774+D774)</f>
        <v/>
      </c>
    </row>
    <row r="775" customFormat="false" ht="15" hidden="false" customHeight="false" outlineLevel="0" collapsed="false">
      <c r="A775" s="12"/>
      <c r="B775" s="13"/>
      <c r="C775" s="13"/>
      <c r="D775" s="13"/>
      <c r="E775" s="13"/>
      <c r="F775" s="13"/>
      <c r="G775" s="13"/>
      <c r="H775" s="13"/>
      <c r="I775" s="14" t="str">
        <f aca="false">IF(A775="","",B775+C775+E775-F775-G775)</f>
        <v/>
      </c>
      <c r="J775" s="14" t="str">
        <f aca="false">IF(OR(A775="",H775=""),"",ROUND(H775-I775,2))</f>
        <v/>
      </c>
      <c r="K775" s="15" t="str">
        <f aca="false">IF(J775="","",IF(J775=0,"Tam",IF(J775&lt;0,"Açık","Fazla")))</f>
        <v/>
      </c>
      <c r="L775" s="14" t="str">
        <f aca="false">IF(A775="","",C775+D775)</f>
        <v/>
      </c>
    </row>
    <row r="776" customFormat="false" ht="15" hidden="false" customHeight="false" outlineLevel="0" collapsed="false">
      <c r="A776" s="12"/>
      <c r="B776" s="13"/>
      <c r="C776" s="13"/>
      <c r="D776" s="13"/>
      <c r="E776" s="13"/>
      <c r="F776" s="13"/>
      <c r="G776" s="13"/>
      <c r="H776" s="13"/>
      <c r="I776" s="14" t="str">
        <f aca="false">IF(A776="","",B776+C776+E776-F776-G776)</f>
        <v/>
      </c>
      <c r="J776" s="14" t="str">
        <f aca="false">IF(OR(A776="",H776=""),"",ROUND(H776-I776,2))</f>
        <v/>
      </c>
      <c r="K776" s="15" t="str">
        <f aca="false">IF(J776="","",IF(J776=0,"Tam",IF(J776&lt;0,"Açık","Fazla")))</f>
        <v/>
      </c>
      <c r="L776" s="14" t="str">
        <f aca="false">IF(A776="","",C776+D776)</f>
        <v/>
      </c>
    </row>
    <row r="777" customFormat="false" ht="15" hidden="false" customHeight="false" outlineLevel="0" collapsed="false">
      <c r="A777" s="12"/>
      <c r="B777" s="13"/>
      <c r="C777" s="13"/>
      <c r="D777" s="13"/>
      <c r="E777" s="13"/>
      <c r="F777" s="13"/>
      <c r="G777" s="13"/>
      <c r="H777" s="13"/>
      <c r="I777" s="14" t="str">
        <f aca="false">IF(A777="","",B777+C777+E777-F777-G777)</f>
        <v/>
      </c>
      <c r="J777" s="14" t="str">
        <f aca="false">IF(OR(A777="",H777=""),"",ROUND(H777-I777,2))</f>
        <v/>
      </c>
      <c r="K777" s="15" t="str">
        <f aca="false">IF(J777="","",IF(J777=0,"Tam",IF(J777&lt;0,"Açık","Fazla")))</f>
        <v/>
      </c>
      <c r="L777" s="14" t="str">
        <f aca="false">IF(A777="","",C777+D777)</f>
        <v/>
      </c>
    </row>
    <row r="778" customFormat="false" ht="15" hidden="false" customHeight="false" outlineLevel="0" collapsed="false">
      <c r="A778" s="12"/>
      <c r="B778" s="13"/>
      <c r="C778" s="13"/>
      <c r="D778" s="13"/>
      <c r="E778" s="13"/>
      <c r="F778" s="13"/>
      <c r="G778" s="13"/>
      <c r="H778" s="13"/>
      <c r="I778" s="14" t="str">
        <f aca="false">IF(A778="","",B778+C778+E778-F778-G778)</f>
        <v/>
      </c>
      <c r="J778" s="14" t="str">
        <f aca="false">IF(OR(A778="",H778=""),"",ROUND(H778-I778,2))</f>
        <v/>
      </c>
      <c r="K778" s="15" t="str">
        <f aca="false">IF(J778="","",IF(J778=0,"Tam",IF(J778&lt;0,"Açık","Fazla")))</f>
        <v/>
      </c>
      <c r="L778" s="14" t="str">
        <f aca="false">IF(A778="","",C778+D778)</f>
        <v/>
      </c>
    </row>
    <row r="779" customFormat="false" ht="15" hidden="false" customHeight="false" outlineLevel="0" collapsed="false">
      <c r="A779" s="12"/>
      <c r="B779" s="13"/>
      <c r="C779" s="13"/>
      <c r="D779" s="13"/>
      <c r="E779" s="13"/>
      <c r="F779" s="13"/>
      <c r="G779" s="13"/>
      <c r="H779" s="13"/>
      <c r="I779" s="14" t="str">
        <f aca="false">IF(A779="","",B779+C779+E779-F779-G779)</f>
        <v/>
      </c>
      <c r="J779" s="14" t="str">
        <f aca="false">IF(OR(A779="",H779=""),"",ROUND(H779-I779,2))</f>
        <v/>
      </c>
      <c r="K779" s="15" t="str">
        <f aca="false">IF(J779="","",IF(J779=0,"Tam",IF(J779&lt;0,"Açık","Fazla")))</f>
        <v/>
      </c>
      <c r="L779" s="14" t="str">
        <f aca="false">IF(A779="","",C779+D779)</f>
        <v/>
      </c>
    </row>
    <row r="780" customFormat="false" ht="15" hidden="false" customHeight="false" outlineLevel="0" collapsed="false">
      <c r="A780" s="12"/>
      <c r="B780" s="13"/>
      <c r="C780" s="13"/>
      <c r="D780" s="13"/>
      <c r="E780" s="13"/>
      <c r="F780" s="13"/>
      <c r="G780" s="13"/>
      <c r="H780" s="13"/>
      <c r="I780" s="14" t="str">
        <f aca="false">IF(A780="","",B780+C780+E780-F780-G780)</f>
        <v/>
      </c>
      <c r="J780" s="14" t="str">
        <f aca="false">IF(OR(A780="",H780=""),"",ROUND(H780-I780,2))</f>
        <v/>
      </c>
      <c r="K780" s="15" t="str">
        <f aca="false">IF(J780="","",IF(J780=0,"Tam",IF(J780&lt;0,"Açık","Fazla")))</f>
        <v/>
      </c>
      <c r="L780" s="14" t="str">
        <f aca="false">IF(A780="","",C780+D780)</f>
        <v/>
      </c>
    </row>
    <row r="781" customFormat="false" ht="15" hidden="false" customHeight="false" outlineLevel="0" collapsed="false">
      <c r="A781" s="12"/>
      <c r="B781" s="13"/>
      <c r="C781" s="13"/>
      <c r="D781" s="13"/>
      <c r="E781" s="13"/>
      <c r="F781" s="13"/>
      <c r="G781" s="13"/>
      <c r="H781" s="13"/>
      <c r="I781" s="14" t="str">
        <f aca="false">IF(A781="","",B781+C781+E781-F781-G781)</f>
        <v/>
      </c>
      <c r="J781" s="14" t="str">
        <f aca="false">IF(OR(A781="",H781=""),"",ROUND(H781-I781,2))</f>
        <v/>
      </c>
      <c r="K781" s="15" t="str">
        <f aca="false">IF(J781="","",IF(J781=0,"Tam",IF(J781&lt;0,"Açık","Fazla")))</f>
        <v/>
      </c>
      <c r="L781" s="14" t="str">
        <f aca="false">IF(A781="","",C781+D781)</f>
        <v/>
      </c>
    </row>
    <row r="782" customFormat="false" ht="15" hidden="false" customHeight="false" outlineLevel="0" collapsed="false">
      <c r="A782" s="12"/>
      <c r="B782" s="13"/>
      <c r="C782" s="13"/>
      <c r="D782" s="13"/>
      <c r="E782" s="13"/>
      <c r="F782" s="13"/>
      <c r="G782" s="13"/>
      <c r="H782" s="13"/>
      <c r="I782" s="14" t="str">
        <f aca="false">IF(A782="","",B782+C782+E782-F782-G782)</f>
        <v/>
      </c>
      <c r="J782" s="14" t="str">
        <f aca="false">IF(OR(A782="",H782=""),"",ROUND(H782-I782,2))</f>
        <v/>
      </c>
      <c r="K782" s="15" t="str">
        <f aca="false">IF(J782="","",IF(J782=0,"Tam",IF(J782&lt;0,"Açık","Fazla")))</f>
        <v/>
      </c>
      <c r="L782" s="14" t="str">
        <f aca="false">IF(A782="","",C782+D782)</f>
        <v/>
      </c>
    </row>
    <row r="783" customFormat="false" ht="15" hidden="false" customHeight="false" outlineLevel="0" collapsed="false">
      <c r="A783" s="12"/>
      <c r="B783" s="13"/>
      <c r="C783" s="13"/>
      <c r="D783" s="13"/>
      <c r="E783" s="13"/>
      <c r="F783" s="13"/>
      <c r="G783" s="13"/>
      <c r="H783" s="13"/>
      <c r="I783" s="14" t="str">
        <f aca="false">IF(A783="","",B783+C783+E783-F783-G783)</f>
        <v/>
      </c>
      <c r="J783" s="14" t="str">
        <f aca="false">IF(OR(A783="",H783=""),"",ROUND(H783-I783,2))</f>
        <v/>
      </c>
      <c r="K783" s="15" t="str">
        <f aca="false">IF(J783="","",IF(J783=0,"Tam",IF(J783&lt;0,"Açık","Fazla")))</f>
        <v/>
      </c>
      <c r="L783" s="14" t="str">
        <f aca="false">IF(A783="","",C783+D783)</f>
        <v/>
      </c>
    </row>
    <row r="784" customFormat="false" ht="15" hidden="false" customHeight="false" outlineLevel="0" collapsed="false">
      <c r="A784" s="12"/>
      <c r="B784" s="13"/>
      <c r="C784" s="13"/>
      <c r="D784" s="13"/>
      <c r="E784" s="13"/>
      <c r="F784" s="13"/>
      <c r="G784" s="13"/>
      <c r="H784" s="13"/>
      <c r="I784" s="14" t="str">
        <f aca="false">IF(A784="","",B784+C784+E784-F784-G784)</f>
        <v/>
      </c>
      <c r="J784" s="14" t="str">
        <f aca="false">IF(OR(A784="",H784=""),"",ROUND(H784-I784,2))</f>
        <v/>
      </c>
      <c r="K784" s="15" t="str">
        <f aca="false">IF(J784="","",IF(J784=0,"Tam",IF(J784&lt;0,"Açık","Fazla")))</f>
        <v/>
      </c>
      <c r="L784" s="14" t="str">
        <f aca="false">IF(A784="","",C784+D784)</f>
        <v/>
      </c>
    </row>
    <row r="785" customFormat="false" ht="15" hidden="false" customHeight="false" outlineLevel="0" collapsed="false">
      <c r="A785" s="12"/>
      <c r="B785" s="13"/>
      <c r="C785" s="13"/>
      <c r="D785" s="13"/>
      <c r="E785" s="13"/>
      <c r="F785" s="13"/>
      <c r="G785" s="13"/>
      <c r="H785" s="13"/>
      <c r="I785" s="14" t="str">
        <f aca="false">IF(A785="","",B785+C785+E785-F785-G785)</f>
        <v/>
      </c>
      <c r="J785" s="14" t="str">
        <f aca="false">IF(OR(A785="",H785=""),"",ROUND(H785-I785,2))</f>
        <v/>
      </c>
      <c r="K785" s="15" t="str">
        <f aca="false">IF(J785="","",IF(J785=0,"Tam",IF(J785&lt;0,"Açık","Fazla")))</f>
        <v/>
      </c>
      <c r="L785" s="14" t="str">
        <f aca="false">IF(A785="","",C785+D785)</f>
        <v/>
      </c>
    </row>
    <row r="786" customFormat="false" ht="15" hidden="false" customHeight="false" outlineLevel="0" collapsed="false">
      <c r="A786" s="12"/>
      <c r="B786" s="13"/>
      <c r="C786" s="13"/>
      <c r="D786" s="13"/>
      <c r="E786" s="13"/>
      <c r="F786" s="13"/>
      <c r="G786" s="13"/>
      <c r="H786" s="13"/>
      <c r="I786" s="14" t="str">
        <f aca="false">IF(A786="","",B786+C786+E786-F786-G786)</f>
        <v/>
      </c>
      <c r="J786" s="14" t="str">
        <f aca="false">IF(OR(A786="",H786=""),"",ROUND(H786-I786,2))</f>
        <v/>
      </c>
      <c r="K786" s="15" t="str">
        <f aca="false">IF(J786="","",IF(J786=0,"Tam",IF(J786&lt;0,"Açık","Fazla")))</f>
        <v/>
      </c>
      <c r="L786" s="14" t="str">
        <f aca="false">IF(A786="","",C786+D786)</f>
        <v/>
      </c>
    </row>
    <row r="787" customFormat="false" ht="15" hidden="false" customHeight="false" outlineLevel="0" collapsed="false">
      <c r="A787" s="12"/>
      <c r="B787" s="13"/>
      <c r="C787" s="13"/>
      <c r="D787" s="13"/>
      <c r="E787" s="13"/>
      <c r="F787" s="13"/>
      <c r="G787" s="13"/>
      <c r="H787" s="13"/>
      <c r="I787" s="14" t="str">
        <f aca="false">IF(A787="","",B787+C787+E787-F787-G787)</f>
        <v/>
      </c>
      <c r="J787" s="14" t="str">
        <f aca="false">IF(OR(A787="",H787=""),"",ROUND(H787-I787,2))</f>
        <v/>
      </c>
      <c r="K787" s="15" t="str">
        <f aca="false">IF(J787="","",IF(J787=0,"Tam",IF(J787&lt;0,"Açık","Fazla")))</f>
        <v/>
      </c>
      <c r="L787" s="14" t="str">
        <f aca="false">IF(A787="","",C787+D787)</f>
        <v/>
      </c>
    </row>
    <row r="788" customFormat="false" ht="15" hidden="false" customHeight="false" outlineLevel="0" collapsed="false">
      <c r="A788" s="12"/>
      <c r="B788" s="13"/>
      <c r="C788" s="13"/>
      <c r="D788" s="13"/>
      <c r="E788" s="13"/>
      <c r="F788" s="13"/>
      <c r="G788" s="13"/>
      <c r="H788" s="13"/>
      <c r="I788" s="14" t="str">
        <f aca="false">IF(A788="","",B788+C788+E788-F788-G788)</f>
        <v/>
      </c>
      <c r="J788" s="14" t="str">
        <f aca="false">IF(OR(A788="",H788=""),"",ROUND(H788-I788,2))</f>
        <v/>
      </c>
      <c r="K788" s="15" t="str">
        <f aca="false">IF(J788="","",IF(J788=0,"Tam",IF(J788&lt;0,"Açık","Fazla")))</f>
        <v/>
      </c>
      <c r="L788" s="14" t="str">
        <f aca="false">IF(A788="","",C788+D788)</f>
        <v/>
      </c>
    </row>
    <row r="789" customFormat="false" ht="15" hidden="false" customHeight="false" outlineLevel="0" collapsed="false">
      <c r="A789" s="12"/>
      <c r="B789" s="13"/>
      <c r="C789" s="13"/>
      <c r="D789" s="13"/>
      <c r="E789" s="13"/>
      <c r="F789" s="13"/>
      <c r="G789" s="13"/>
      <c r="H789" s="13"/>
      <c r="I789" s="14" t="str">
        <f aca="false">IF(A789="","",B789+C789+E789-F789-G789)</f>
        <v/>
      </c>
      <c r="J789" s="14" t="str">
        <f aca="false">IF(OR(A789="",H789=""),"",ROUND(H789-I789,2))</f>
        <v/>
      </c>
      <c r="K789" s="15" t="str">
        <f aca="false">IF(J789="","",IF(J789=0,"Tam",IF(J789&lt;0,"Açık","Fazla")))</f>
        <v/>
      </c>
      <c r="L789" s="14" t="str">
        <f aca="false">IF(A789="","",C789+D789)</f>
        <v/>
      </c>
    </row>
    <row r="790" customFormat="false" ht="15" hidden="false" customHeight="false" outlineLevel="0" collapsed="false">
      <c r="A790" s="12"/>
      <c r="B790" s="13"/>
      <c r="C790" s="13"/>
      <c r="D790" s="13"/>
      <c r="E790" s="13"/>
      <c r="F790" s="13"/>
      <c r="G790" s="13"/>
      <c r="H790" s="13"/>
      <c r="I790" s="14" t="str">
        <f aca="false">IF(A790="","",B790+C790+E790-F790-G790)</f>
        <v/>
      </c>
      <c r="J790" s="14" t="str">
        <f aca="false">IF(OR(A790="",H790=""),"",ROUND(H790-I790,2))</f>
        <v/>
      </c>
      <c r="K790" s="15" t="str">
        <f aca="false">IF(J790="","",IF(J790=0,"Tam",IF(J790&lt;0,"Açık","Fazla")))</f>
        <v/>
      </c>
      <c r="L790" s="14" t="str">
        <f aca="false">IF(A790="","",C790+D790)</f>
        <v/>
      </c>
    </row>
    <row r="791" customFormat="false" ht="15" hidden="false" customHeight="false" outlineLevel="0" collapsed="false">
      <c r="A791" s="12"/>
      <c r="B791" s="13"/>
      <c r="C791" s="13"/>
      <c r="D791" s="13"/>
      <c r="E791" s="13"/>
      <c r="F791" s="13"/>
      <c r="G791" s="13"/>
      <c r="H791" s="13"/>
      <c r="I791" s="14" t="str">
        <f aca="false">IF(A791="","",B791+C791+E791-F791-G791)</f>
        <v/>
      </c>
      <c r="J791" s="14" t="str">
        <f aca="false">IF(OR(A791="",H791=""),"",ROUND(H791-I791,2))</f>
        <v/>
      </c>
      <c r="K791" s="15" t="str">
        <f aca="false">IF(J791="","",IF(J791=0,"Tam",IF(J791&lt;0,"Açık","Fazla")))</f>
        <v/>
      </c>
      <c r="L791" s="14" t="str">
        <f aca="false">IF(A791="","",C791+D791)</f>
        <v/>
      </c>
    </row>
    <row r="792" customFormat="false" ht="15" hidden="false" customHeight="false" outlineLevel="0" collapsed="false">
      <c r="A792" s="12"/>
      <c r="B792" s="13"/>
      <c r="C792" s="13"/>
      <c r="D792" s="13"/>
      <c r="E792" s="13"/>
      <c r="F792" s="13"/>
      <c r="G792" s="13"/>
      <c r="H792" s="13"/>
      <c r="I792" s="14" t="str">
        <f aca="false">IF(A792="","",B792+C792+E792-F792-G792)</f>
        <v/>
      </c>
      <c r="J792" s="14" t="str">
        <f aca="false">IF(OR(A792="",H792=""),"",ROUND(H792-I792,2))</f>
        <v/>
      </c>
      <c r="K792" s="15" t="str">
        <f aca="false">IF(J792="","",IF(J792=0,"Tam",IF(J792&lt;0,"Açık","Fazla")))</f>
        <v/>
      </c>
      <c r="L792" s="14" t="str">
        <f aca="false">IF(A792="","",C792+D792)</f>
        <v/>
      </c>
    </row>
    <row r="793" customFormat="false" ht="15" hidden="false" customHeight="false" outlineLevel="0" collapsed="false">
      <c r="A793" s="12"/>
      <c r="B793" s="13"/>
      <c r="C793" s="13"/>
      <c r="D793" s="13"/>
      <c r="E793" s="13"/>
      <c r="F793" s="13"/>
      <c r="G793" s="13"/>
      <c r="H793" s="13"/>
      <c r="I793" s="14" t="str">
        <f aca="false">IF(A793="","",B793+C793+E793-F793-G793)</f>
        <v/>
      </c>
      <c r="J793" s="14" t="str">
        <f aca="false">IF(OR(A793="",H793=""),"",ROUND(H793-I793,2))</f>
        <v/>
      </c>
      <c r="K793" s="15" t="str">
        <f aca="false">IF(J793="","",IF(J793=0,"Tam",IF(J793&lt;0,"Açık","Fazla")))</f>
        <v/>
      </c>
      <c r="L793" s="14" t="str">
        <f aca="false">IF(A793="","",C793+D793)</f>
        <v/>
      </c>
    </row>
    <row r="794" customFormat="false" ht="15" hidden="false" customHeight="false" outlineLevel="0" collapsed="false">
      <c r="A794" s="12"/>
      <c r="B794" s="13"/>
      <c r="C794" s="13"/>
      <c r="D794" s="13"/>
      <c r="E794" s="13"/>
      <c r="F794" s="13"/>
      <c r="G794" s="13"/>
      <c r="H794" s="13"/>
      <c r="I794" s="14" t="str">
        <f aca="false">IF(A794="","",B794+C794+E794-F794-G794)</f>
        <v/>
      </c>
      <c r="J794" s="14" t="str">
        <f aca="false">IF(OR(A794="",H794=""),"",ROUND(H794-I794,2))</f>
        <v/>
      </c>
      <c r="K794" s="15" t="str">
        <f aca="false">IF(J794="","",IF(J794=0,"Tam",IF(J794&lt;0,"Açık","Fazla")))</f>
        <v/>
      </c>
      <c r="L794" s="14" t="str">
        <f aca="false">IF(A794="","",C794+D794)</f>
        <v/>
      </c>
    </row>
    <row r="795" customFormat="false" ht="15" hidden="false" customHeight="false" outlineLevel="0" collapsed="false">
      <c r="A795" s="12"/>
      <c r="B795" s="13"/>
      <c r="C795" s="13"/>
      <c r="D795" s="13"/>
      <c r="E795" s="13"/>
      <c r="F795" s="13"/>
      <c r="G795" s="13"/>
      <c r="H795" s="13"/>
      <c r="I795" s="14" t="str">
        <f aca="false">IF(A795="","",B795+C795+E795-F795-G795)</f>
        <v/>
      </c>
      <c r="J795" s="14" t="str">
        <f aca="false">IF(OR(A795="",H795=""),"",ROUND(H795-I795,2))</f>
        <v/>
      </c>
      <c r="K795" s="15" t="str">
        <f aca="false">IF(J795="","",IF(J795=0,"Tam",IF(J795&lt;0,"Açık","Fazla")))</f>
        <v/>
      </c>
      <c r="L795" s="14" t="str">
        <f aca="false">IF(A795="","",C795+D795)</f>
        <v/>
      </c>
    </row>
    <row r="796" customFormat="false" ht="15" hidden="false" customHeight="false" outlineLevel="0" collapsed="false">
      <c r="A796" s="12"/>
      <c r="B796" s="13"/>
      <c r="C796" s="13"/>
      <c r="D796" s="13"/>
      <c r="E796" s="13"/>
      <c r="F796" s="13"/>
      <c r="G796" s="13"/>
      <c r="H796" s="13"/>
      <c r="I796" s="14" t="str">
        <f aca="false">IF(A796="","",B796+C796+E796-F796-G796)</f>
        <v/>
      </c>
      <c r="J796" s="14" t="str">
        <f aca="false">IF(OR(A796="",H796=""),"",ROUND(H796-I796,2))</f>
        <v/>
      </c>
      <c r="K796" s="15" t="str">
        <f aca="false">IF(J796="","",IF(J796=0,"Tam",IF(J796&lt;0,"Açık","Fazla")))</f>
        <v/>
      </c>
      <c r="L796" s="14" t="str">
        <f aca="false">IF(A796="","",C796+D796)</f>
        <v/>
      </c>
    </row>
    <row r="797" customFormat="false" ht="15" hidden="false" customHeight="false" outlineLevel="0" collapsed="false">
      <c r="A797" s="12"/>
      <c r="B797" s="13"/>
      <c r="C797" s="13"/>
      <c r="D797" s="13"/>
      <c r="E797" s="13"/>
      <c r="F797" s="13"/>
      <c r="G797" s="13"/>
      <c r="H797" s="13"/>
      <c r="I797" s="14" t="str">
        <f aca="false">IF(A797="","",B797+C797+E797-F797-G797)</f>
        <v/>
      </c>
      <c r="J797" s="14" t="str">
        <f aca="false">IF(OR(A797="",H797=""),"",ROUND(H797-I797,2))</f>
        <v/>
      </c>
      <c r="K797" s="15" t="str">
        <f aca="false">IF(J797="","",IF(J797=0,"Tam",IF(J797&lt;0,"Açık","Fazla")))</f>
        <v/>
      </c>
      <c r="L797" s="14" t="str">
        <f aca="false">IF(A797="","",C797+D797)</f>
        <v/>
      </c>
    </row>
    <row r="798" customFormat="false" ht="15" hidden="false" customHeight="false" outlineLevel="0" collapsed="false">
      <c r="A798" s="12"/>
      <c r="B798" s="13"/>
      <c r="C798" s="13"/>
      <c r="D798" s="13"/>
      <c r="E798" s="13"/>
      <c r="F798" s="13"/>
      <c r="G798" s="13"/>
      <c r="H798" s="13"/>
      <c r="I798" s="14" t="str">
        <f aca="false">IF(A798="","",B798+C798+E798-F798-G798)</f>
        <v/>
      </c>
      <c r="J798" s="14" t="str">
        <f aca="false">IF(OR(A798="",H798=""),"",ROUND(H798-I798,2))</f>
        <v/>
      </c>
      <c r="K798" s="15" t="str">
        <f aca="false">IF(J798="","",IF(J798=0,"Tam",IF(J798&lt;0,"Açık","Fazla")))</f>
        <v/>
      </c>
      <c r="L798" s="14" t="str">
        <f aca="false">IF(A798="","",C798+D798)</f>
        <v/>
      </c>
    </row>
    <row r="799" customFormat="false" ht="15" hidden="false" customHeight="false" outlineLevel="0" collapsed="false">
      <c r="A799" s="12"/>
      <c r="B799" s="13"/>
      <c r="C799" s="13"/>
      <c r="D799" s="13"/>
      <c r="E799" s="13"/>
      <c r="F799" s="13"/>
      <c r="G799" s="13"/>
      <c r="H799" s="13"/>
      <c r="I799" s="14" t="str">
        <f aca="false">IF(A799="","",B799+C799+E799-F799-G799)</f>
        <v/>
      </c>
      <c r="J799" s="14" t="str">
        <f aca="false">IF(OR(A799="",H799=""),"",ROUND(H799-I799,2))</f>
        <v/>
      </c>
      <c r="K799" s="15" t="str">
        <f aca="false">IF(J799="","",IF(J799=0,"Tam",IF(J799&lt;0,"Açık","Fazla")))</f>
        <v/>
      </c>
      <c r="L799" s="14" t="str">
        <f aca="false">IF(A799="","",C799+D799)</f>
        <v/>
      </c>
    </row>
    <row r="800" customFormat="false" ht="15" hidden="false" customHeight="false" outlineLevel="0" collapsed="false">
      <c r="A800" s="12"/>
      <c r="B800" s="13"/>
      <c r="C800" s="13"/>
      <c r="D800" s="13"/>
      <c r="E800" s="13"/>
      <c r="F800" s="13"/>
      <c r="G800" s="13"/>
      <c r="H800" s="13"/>
      <c r="I800" s="14" t="str">
        <f aca="false">IF(A800="","",B800+C800+E800-F800-G800)</f>
        <v/>
      </c>
      <c r="J800" s="14" t="str">
        <f aca="false">IF(OR(A800="",H800=""),"",ROUND(H800-I800,2))</f>
        <v/>
      </c>
      <c r="K800" s="15" t="str">
        <f aca="false">IF(J800="","",IF(J800=0,"Tam",IF(J800&lt;0,"Açık","Fazla")))</f>
        <v/>
      </c>
      <c r="L800" s="14" t="str">
        <f aca="false">IF(A800="","",C800+D800)</f>
        <v/>
      </c>
    </row>
    <row r="801" customFormat="false" ht="15" hidden="false" customHeight="false" outlineLevel="0" collapsed="false">
      <c r="A801" s="12"/>
      <c r="B801" s="13"/>
      <c r="C801" s="13"/>
      <c r="D801" s="13"/>
      <c r="E801" s="13"/>
      <c r="F801" s="13"/>
      <c r="G801" s="13"/>
      <c r="H801" s="13"/>
      <c r="I801" s="14" t="str">
        <f aca="false">IF(A801="","",B801+C801+E801-F801-G801)</f>
        <v/>
      </c>
      <c r="J801" s="14" t="str">
        <f aca="false">IF(OR(A801="",H801=""),"",ROUND(H801-I801,2))</f>
        <v/>
      </c>
      <c r="K801" s="15" t="str">
        <f aca="false">IF(J801="","",IF(J801=0,"Tam",IF(J801&lt;0,"Açık","Fazla")))</f>
        <v/>
      </c>
      <c r="L801" s="14" t="str">
        <f aca="false">IF(A801="","",C801+D801)</f>
        <v/>
      </c>
    </row>
    <row r="802" customFormat="false" ht="15" hidden="false" customHeight="false" outlineLevel="0" collapsed="false">
      <c r="A802" s="12"/>
      <c r="B802" s="13"/>
      <c r="C802" s="13"/>
      <c r="D802" s="13"/>
      <c r="E802" s="13"/>
      <c r="F802" s="13"/>
      <c r="G802" s="13"/>
      <c r="H802" s="13"/>
      <c r="I802" s="14" t="str">
        <f aca="false">IF(A802="","",B802+C802+E802-F802-G802)</f>
        <v/>
      </c>
      <c r="J802" s="14" t="str">
        <f aca="false">IF(OR(A802="",H802=""),"",ROUND(H802-I802,2))</f>
        <v/>
      </c>
      <c r="K802" s="15" t="str">
        <f aca="false">IF(J802="","",IF(J802=0,"Tam",IF(J802&lt;0,"Açık","Fazla")))</f>
        <v/>
      </c>
      <c r="L802" s="14" t="str">
        <f aca="false">IF(A802="","",C802+D802)</f>
        <v/>
      </c>
    </row>
    <row r="803" customFormat="false" ht="15" hidden="false" customHeight="false" outlineLevel="0" collapsed="false">
      <c r="A803" s="12"/>
      <c r="B803" s="13"/>
      <c r="C803" s="13"/>
      <c r="D803" s="13"/>
      <c r="E803" s="13"/>
      <c r="F803" s="13"/>
      <c r="G803" s="13"/>
      <c r="H803" s="13"/>
      <c r="I803" s="14" t="str">
        <f aca="false">IF(A803="","",B803+C803+E803-F803-G803)</f>
        <v/>
      </c>
      <c r="J803" s="14" t="str">
        <f aca="false">IF(OR(A803="",H803=""),"",ROUND(H803-I803,2))</f>
        <v/>
      </c>
      <c r="K803" s="15" t="str">
        <f aca="false">IF(J803="","",IF(J803=0,"Tam",IF(J803&lt;0,"Açık","Fazla")))</f>
        <v/>
      </c>
      <c r="L803" s="14" t="str">
        <f aca="false">IF(A803="","",C803+D803)</f>
        <v/>
      </c>
    </row>
    <row r="804" customFormat="false" ht="15" hidden="false" customHeight="false" outlineLevel="0" collapsed="false">
      <c r="A804" s="12"/>
      <c r="B804" s="13"/>
      <c r="C804" s="13"/>
      <c r="D804" s="13"/>
      <c r="E804" s="13"/>
      <c r="F804" s="13"/>
      <c r="G804" s="13"/>
      <c r="H804" s="13"/>
      <c r="I804" s="14" t="str">
        <f aca="false">IF(A804="","",B804+C804+E804-F804-G804)</f>
        <v/>
      </c>
      <c r="J804" s="14" t="str">
        <f aca="false">IF(OR(A804="",H804=""),"",ROUND(H804-I804,2))</f>
        <v/>
      </c>
      <c r="K804" s="15" t="str">
        <f aca="false">IF(J804="","",IF(J804=0,"Tam",IF(J804&lt;0,"Açık","Fazla")))</f>
        <v/>
      </c>
      <c r="L804" s="14" t="str">
        <f aca="false">IF(A804="","",C804+D804)</f>
        <v/>
      </c>
    </row>
  </sheetData>
  <conditionalFormatting sqref="K5:K804">
    <cfRule type="cellIs" priority="2" operator="equal" aboveAverage="0" equalAverage="0" bottom="0" percent="0" rank="0" text="" dxfId="0">
      <formula>"Açık"</formula>
    </cfRule>
    <cfRule type="cellIs" priority="3" operator="equal" aboveAverage="0" equalAverage="0" bottom="0" percent="0" rank="0" text="" dxfId="1">
      <formula>"Fazla"</formula>
    </cfRule>
    <cfRule type="cellIs" priority="4" operator="equal" aboveAverage="0" equalAverage="0" bottom="0" percent="0" rank="0" text="" dxfId="2">
      <formula>"Tam"</formula>
    </cfRule>
  </conditionalFormatting>
  <dataValidations count="2">
    <dataValidation allowBlank="true" error="Geçerli bir tarih gir (örnek: 05.10.2026)." errorStyle="stop" errorTitle="Kontrol" operator="greaterThan" showDropDown="false" showErrorMessage="true" showInputMessage="false" sqref="A5:A804" type="date">
      <formula1>36526</formula1>
      <formula2>0</formula2>
    </dataValidation>
    <dataValidation allowBlank="true" error="Sıfır ya da daha büyük bir sayı gir." errorStyle="stop" errorTitle="Kontrol" operator="greaterThanOrEqual" showDropDown="false" showErrorMessage="true" showInputMessage="false" sqref="B5:H804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7" min="3" style="0" width="16"/>
    <col collapsed="false" customWidth="true" hidden="false" outlineLevel="0" max="8" min="8" style="0" width="3"/>
    <col collapsed="false" customWidth="true" hidden="false" outlineLevel="0" max="9" min="9" style="0" width="26"/>
    <col collapsed="false" customWidth="true" hidden="false" outlineLevel="0" max="12" min="10" style="0" width="15"/>
  </cols>
  <sheetData>
    <row r="1" customFormat="false" ht="19.7" hidden="false" customHeight="false" outlineLevel="0" collapsed="false">
      <c r="A1" s="8" t="s">
        <v>36</v>
      </c>
    </row>
    <row r="2" customFormat="false" ht="15" hidden="false" customHeight="false" outlineLevel="0" collapsed="false">
      <c r="A2" s="9" t="s">
        <v>37</v>
      </c>
    </row>
    <row r="3" customFormat="false" ht="15" hidden="false" customHeight="false" outlineLevel="0" collapsed="false">
      <c r="B3" s="16" t="s">
        <v>38</v>
      </c>
      <c r="C3" s="17" t="n">
        <v>2026</v>
      </c>
    </row>
    <row r="5" customFormat="false" ht="30" hidden="false" customHeight="true" outlineLevel="0" collapsed="false">
      <c r="B5" s="18" t="s">
        <v>39</v>
      </c>
      <c r="C5" s="18" t="s">
        <v>40</v>
      </c>
      <c r="D5" s="18" t="s">
        <v>41</v>
      </c>
      <c r="E5" s="18" t="s">
        <v>42</v>
      </c>
      <c r="F5" s="18" t="s">
        <v>43</v>
      </c>
    </row>
    <row r="6" customFormat="false" ht="27.75" hidden="false" customHeight="true" outlineLevel="0" collapsed="false">
      <c r="B6" s="19" t="n">
        <f aca="false">E23</f>
        <v>78500</v>
      </c>
      <c r="C6" s="20" t="n">
        <f aca="false">IF(E23=0,0,D23/E23)</f>
        <v>0.597452229299363</v>
      </c>
      <c r="D6" s="21" t="n">
        <f aca="false">F23</f>
        <v>-50</v>
      </c>
      <c r="E6" s="22" t="n">
        <f aca="false">COUNTIF(Günler!$K$5:$K$804,"Açık")</f>
        <v>1</v>
      </c>
      <c r="F6" s="19" t="n">
        <f aca="false">IF(COUNT(Günler!$A$5:$A$804)=0,0,SUM(Günler!$L$5:$L$804)/COUNT(Günler!$A$5:$A$804))</f>
        <v>19625</v>
      </c>
    </row>
    <row r="9" customFormat="false" ht="15" hidden="false" customHeight="false" outlineLevel="0" collapsed="false">
      <c r="B9" s="23" t="s">
        <v>44</v>
      </c>
    </row>
    <row r="10" customFormat="false" ht="21.75" hidden="false" customHeight="true" outlineLevel="0" collapsed="false">
      <c r="B10" s="10" t="s">
        <v>45</v>
      </c>
      <c r="C10" s="10" t="s">
        <v>26</v>
      </c>
      <c r="D10" s="10" t="s">
        <v>27</v>
      </c>
      <c r="E10" s="10" t="s">
        <v>46</v>
      </c>
      <c r="F10" s="10" t="s">
        <v>47</v>
      </c>
    </row>
    <row r="11" customFormat="false" ht="15" hidden="false" customHeight="false" outlineLevel="0" collapsed="false">
      <c r="B11" s="24" t="s">
        <v>48</v>
      </c>
      <c r="C11" s="14" t="n">
        <f aca="false">SUMIFS(Günler!$C$5:$C$804,Günler!$A$5:$A$804,"&gt;="&amp;DATE($C$3,1,1),Günler!$A$5:$A$804,"&lt;"&amp;DATE($C$3,2,1))</f>
        <v>0</v>
      </c>
      <c r="D11" s="14" t="n">
        <f aca="false">SUMIFS(Günler!$D$5:$D$804,Günler!$A$5:$A$804,"&gt;="&amp;DATE($C$3,1,1),Günler!$A$5:$A$804,"&lt;"&amp;DATE($C$3,2,1))</f>
        <v>0</v>
      </c>
      <c r="E11" s="14" t="n">
        <f aca="false">C11+D11</f>
        <v>0</v>
      </c>
      <c r="F11" s="14" t="n">
        <f aca="false">SUMIFS(Günler!$J$5:$J$804,Günler!$A$5:$A$804,"&gt;="&amp;DATE($C$3,1,1),Günler!$A$5:$A$804,"&lt;"&amp;DATE($C$3,2,1))</f>
        <v>0</v>
      </c>
    </row>
    <row r="12" customFormat="false" ht="15" hidden="false" customHeight="false" outlineLevel="0" collapsed="false">
      <c r="B12" s="25" t="s">
        <v>49</v>
      </c>
      <c r="C12" s="26" t="n">
        <f aca="false">SUMIFS(Günler!$C$5:$C$804,Günler!$A$5:$A$804,"&gt;="&amp;DATE($C$3,2,1),Günler!$A$5:$A$804,"&lt;"&amp;DATE($C$3,3,1))</f>
        <v>0</v>
      </c>
      <c r="D12" s="26" t="n">
        <f aca="false">SUMIFS(Günler!$D$5:$D$804,Günler!$A$5:$A$804,"&gt;="&amp;DATE($C$3,2,1),Günler!$A$5:$A$804,"&lt;"&amp;DATE($C$3,3,1))</f>
        <v>0</v>
      </c>
      <c r="E12" s="26" t="n">
        <f aca="false">C12+D12</f>
        <v>0</v>
      </c>
      <c r="F12" s="26" t="n">
        <f aca="false">SUMIFS(Günler!$J$5:$J$804,Günler!$A$5:$A$804,"&gt;="&amp;DATE($C$3,2,1),Günler!$A$5:$A$804,"&lt;"&amp;DATE($C$3,3,1))</f>
        <v>0</v>
      </c>
    </row>
    <row r="13" customFormat="false" ht="15" hidden="false" customHeight="false" outlineLevel="0" collapsed="false">
      <c r="B13" s="24" t="s">
        <v>50</v>
      </c>
      <c r="C13" s="14" t="n">
        <f aca="false">SUMIFS(Günler!$C$5:$C$804,Günler!$A$5:$A$804,"&gt;="&amp;DATE($C$3,3,1),Günler!$A$5:$A$804,"&lt;"&amp;DATE($C$3,4,1))</f>
        <v>0</v>
      </c>
      <c r="D13" s="14" t="n">
        <f aca="false">SUMIFS(Günler!$D$5:$D$804,Günler!$A$5:$A$804,"&gt;="&amp;DATE($C$3,3,1),Günler!$A$5:$A$804,"&lt;"&amp;DATE($C$3,4,1))</f>
        <v>0</v>
      </c>
      <c r="E13" s="14" t="n">
        <f aca="false">C13+D13</f>
        <v>0</v>
      </c>
      <c r="F13" s="14" t="n">
        <f aca="false">SUMIFS(Günler!$J$5:$J$804,Günler!$A$5:$A$804,"&gt;="&amp;DATE($C$3,3,1),Günler!$A$5:$A$804,"&lt;"&amp;DATE($C$3,4,1))</f>
        <v>0</v>
      </c>
    </row>
    <row r="14" customFormat="false" ht="15" hidden="false" customHeight="false" outlineLevel="0" collapsed="false">
      <c r="B14" s="25" t="s">
        <v>51</v>
      </c>
      <c r="C14" s="26" t="n">
        <f aca="false">SUMIFS(Günler!$C$5:$C$804,Günler!$A$5:$A$804,"&gt;="&amp;DATE($C$3,4,1),Günler!$A$5:$A$804,"&lt;"&amp;DATE($C$3,5,1))</f>
        <v>0</v>
      </c>
      <c r="D14" s="26" t="n">
        <f aca="false">SUMIFS(Günler!$D$5:$D$804,Günler!$A$5:$A$804,"&gt;="&amp;DATE($C$3,4,1),Günler!$A$5:$A$804,"&lt;"&amp;DATE($C$3,5,1))</f>
        <v>0</v>
      </c>
      <c r="E14" s="26" t="n">
        <f aca="false">C14+D14</f>
        <v>0</v>
      </c>
      <c r="F14" s="26" t="n">
        <f aca="false">SUMIFS(Günler!$J$5:$J$804,Günler!$A$5:$A$804,"&gt;="&amp;DATE($C$3,4,1),Günler!$A$5:$A$804,"&lt;"&amp;DATE($C$3,5,1))</f>
        <v>0</v>
      </c>
    </row>
    <row r="15" customFormat="false" ht="15" hidden="false" customHeight="false" outlineLevel="0" collapsed="false">
      <c r="B15" s="24" t="s">
        <v>52</v>
      </c>
      <c r="C15" s="14" t="n">
        <f aca="false">SUMIFS(Günler!$C$5:$C$804,Günler!$A$5:$A$804,"&gt;="&amp;DATE($C$3,5,1),Günler!$A$5:$A$804,"&lt;"&amp;DATE($C$3,6,1))</f>
        <v>0</v>
      </c>
      <c r="D15" s="14" t="n">
        <f aca="false">SUMIFS(Günler!$D$5:$D$804,Günler!$A$5:$A$804,"&gt;="&amp;DATE($C$3,5,1),Günler!$A$5:$A$804,"&lt;"&amp;DATE($C$3,6,1))</f>
        <v>0</v>
      </c>
      <c r="E15" s="14" t="n">
        <f aca="false">C15+D15</f>
        <v>0</v>
      </c>
      <c r="F15" s="14" t="n">
        <f aca="false">SUMIFS(Günler!$J$5:$J$804,Günler!$A$5:$A$804,"&gt;="&amp;DATE($C$3,5,1),Günler!$A$5:$A$804,"&lt;"&amp;DATE($C$3,6,1))</f>
        <v>0</v>
      </c>
    </row>
    <row r="16" customFormat="false" ht="15" hidden="false" customHeight="false" outlineLevel="0" collapsed="false">
      <c r="B16" s="25" t="s">
        <v>53</v>
      </c>
      <c r="C16" s="26" t="n">
        <f aca="false">SUMIFS(Günler!$C$5:$C$804,Günler!$A$5:$A$804,"&gt;="&amp;DATE($C$3,6,1),Günler!$A$5:$A$804,"&lt;"&amp;DATE($C$3,7,1))</f>
        <v>0</v>
      </c>
      <c r="D16" s="26" t="n">
        <f aca="false">SUMIFS(Günler!$D$5:$D$804,Günler!$A$5:$A$804,"&gt;="&amp;DATE($C$3,6,1),Günler!$A$5:$A$804,"&lt;"&amp;DATE($C$3,7,1))</f>
        <v>0</v>
      </c>
      <c r="E16" s="26" t="n">
        <f aca="false">C16+D16</f>
        <v>0</v>
      </c>
      <c r="F16" s="26" t="n">
        <f aca="false">SUMIFS(Günler!$J$5:$J$804,Günler!$A$5:$A$804,"&gt;="&amp;DATE($C$3,6,1),Günler!$A$5:$A$804,"&lt;"&amp;DATE($C$3,7,1))</f>
        <v>0</v>
      </c>
    </row>
    <row r="17" customFormat="false" ht="15" hidden="false" customHeight="false" outlineLevel="0" collapsed="false">
      <c r="B17" s="24" t="s">
        <v>54</v>
      </c>
      <c r="C17" s="14" t="n">
        <f aca="false">SUMIFS(Günler!$C$5:$C$804,Günler!$A$5:$A$804,"&gt;="&amp;DATE($C$3,7,1),Günler!$A$5:$A$804,"&lt;"&amp;DATE($C$3,8,1))</f>
        <v>0</v>
      </c>
      <c r="D17" s="14" t="n">
        <f aca="false">SUMIFS(Günler!$D$5:$D$804,Günler!$A$5:$A$804,"&gt;="&amp;DATE($C$3,7,1),Günler!$A$5:$A$804,"&lt;"&amp;DATE($C$3,8,1))</f>
        <v>0</v>
      </c>
      <c r="E17" s="14" t="n">
        <f aca="false">C17+D17</f>
        <v>0</v>
      </c>
      <c r="F17" s="14" t="n">
        <f aca="false">SUMIFS(Günler!$J$5:$J$804,Günler!$A$5:$A$804,"&gt;="&amp;DATE($C$3,7,1),Günler!$A$5:$A$804,"&lt;"&amp;DATE($C$3,8,1))</f>
        <v>0</v>
      </c>
    </row>
    <row r="18" customFormat="false" ht="15" hidden="false" customHeight="false" outlineLevel="0" collapsed="false">
      <c r="B18" s="25" t="s">
        <v>55</v>
      </c>
      <c r="C18" s="26" t="n">
        <f aca="false">SUMIFS(Günler!$C$5:$C$804,Günler!$A$5:$A$804,"&gt;="&amp;DATE($C$3,8,1),Günler!$A$5:$A$804,"&lt;"&amp;DATE($C$3,9,1))</f>
        <v>0</v>
      </c>
      <c r="D18" s="26" t="n">
        <f aca="false">SUMIFS(Günler!$D$5:$D$804,Günler!$A$5:$A$804,"&gt;="&amp;DATE($C$3,8,1),Günler!$A$5:$A$804,"&lt;"&amp;DATE($C$3,9,1))</f>
        <v>0</v>
      </c>
      <c r="E18" s="26" t="n">
        <f aca="false">C18+D18</f>
        <v>0</v>
      </c>
      <c r="F18" s="26" t="n">
        <f aca="false">SUMIFS(Günler!$J$5:$J$804,Günler!$A$5:$A$804,"&gt;="&amp;DATE($C$3,8,1),Günler!$A$5:$A$804,"&lt;"&amp;DATE($C$3,9,1))</f>
        <v>0</v>
      </c>
    </row>
    <row r="19" customFormat="false" ht="15" hidden="false" customHeight="false" outlineLevel="0" collapsed="false">
      <c r="B19" s="24" t="s">
        <v>56</v>
      </c>
      <c r="C19" s="14" t="n">
        <f aca="false">SUMIFS(Günler!$C$5:$C$804,Günler!$A$5:$A$804,"&gt;="&amp;DATE($C$3,9,1),Günler!$A$5:$A$804,"&lt;"&amp;DATE($C$3,10,1))</f>
        <v>6000</v>
      </c>
      <c r="D19" s="14" t="n">
        <f aca="false">SUMIFS(Günler!$D$5:$D$804,Günler!$A$5:$A$804,"&gt;="&amp;DATE($C$3,9,1),Günler!$A$5:$A$804,"&lt;"&amp;DATE($C$3,10,1))</f>
        <v>9000</v>
      </c>
      <c r="E19" s="14" t="n">
        <f aca="false">C19+D19</f>
        <v>15000</v>
      </c>
      <c r="F19" s="14" t="n">
        <f aca="false">SUMIFS(Günler!$J$5:$J$804,Günler!$A$5:$A$804,"&gt;="&amp;DATE($C$3,9,1),Günler!$A$5:$A$804,"&lt;"&amp;DATE($C$3,10,1))</f>
        <v>0</v>
      </c>
    </row>
    <row r="20" customFormat="false" ht="15" hidden="false" customHeight="false" outlineLevel="0" collapsed="false">
      <c r="B20" s="25" t="s">
        <v>57</v>
      </c>
      <c r="C20" s="26" t="n">
        <f aca="false">SUMIFS(Günler!$C$5:$C$804,Günler!$A$5:$A$804,"&gt;="&amp;DATE($C$3,10,1),Günler!$A$5:$A$804,"&lt;"&amp;DATE($C$3,11,1))</f>
        <v>25600</v>
      </c>
      <c r="D20" s="26" t="n">
        <f aca="false">SUMIFS(Günler!$D$5:$D$804,Günler!$A$5:$A$804,"&gt;="&amp;DATE($C$3,10,1),Günler!$A$5:$A$804,"&lt;"&amp;DATE($C$3,11,1))</f>
        <v>37900</v>
      </c>
      <c r="E20" s="26" t="n">
        <f aca="false">C20+D20</f>
        <v>63500</v>
      </c>
      <c r="F20" s="26" t="n">
        <f aca="false">SUMIFS(Günler!$J$5:$J$804,Günler!$A$5:$A$804,"&gt;="&amp;DATE($C$3,10,1),Günler!$A$5:$A$804,"&lt;"&amp;DATE($C$3,11,1))</f>
        <v>-50</v>
      </c>
    </row>
    <row r="21" customFormat="false" ht="15" hidden="false" customHeight="false" outlineLevel="0" collapsed="false">
      <c r="B21" s="24" t="s">
        <v>58</v>
      </c>
      <c r="C21" s="14" t="n">
        <f aca="false">SUMIFS(Günler!$C$5:$C$804,Günler!$A$5:$A$804,"&gt;="&amp;DATE($C$3,11,1),Günler!$A$5:$A$804,"&lt;"&amp;DATE($C$3,12,1))</f>
        <v>0</v>
      </c>
      <c r="D21" s="14" t="n">
        <f aca="false">SUMIFS(Günler!$D$5:$D$804,Günler!$A$5:$A$804,"&gt;="&amp;DATE($C$3,11,1),Günler!$A$5:$A$804,"&lt;"&amp;DATE($C$3,12,1))</f>
        <v>0</v>
      </c>
      <c r="E21" s="14" t="n">
        <f aca="false">C21+D21</f>
        <v>0</v>
      </c>
      <c r="F21" s="14" t="n">
        <f aca="false">SUMIFS(Günler!$J$5:$J$804,Günler!$A$5:$A$804,"&gt;="&amp;DATE($C$3,11,1),Günler!$A$5:$A$804,"&lt;"&amp;DATE($C$3,12,1))</f>
        <v>0</v>
      </c>
    </row>
    <row r="22" customFormat="false" ht="15" hidden="false" customHeight="false" outlineLevel="0" collapsed="false">
      <c r="B22" s="25" t="s">
        <v>59</v>
      </c>
      <c r="C22" s="26" t="n">
        <f aca="false">SUMIFS(Günler!$C$5:$C$804,Günler!$A$5:$A$804,"&gt;="&amp;DATE($C$3,12,1),Günler!$A$5:$A$804,"&lt;"&amp;DATE($C$3,13,1))</f>
        <v>0</v>
      </c>
      <c r="D22" s="26" t="n">
        <f aca="false">SUMIFS(Günler!$D$5:$D$804,Günler!$A$5:$A$804,"&gt;="&amp;DATE($C$3,12,1),Günler!$A$5:$A$804,"&lt;"&amp;DATE($C$3,13,1))</f>
        <v>0</v>
      </c>
      <c r="E22" s="26" t="n">
        <f aca="false">C22+D22</f>
        <v>0</v>
      </c>
      <c r="F22" s="26" t="n">
        <f aca="false">SUMIFS(Günler!$J$5:$J$804,Günler!$A$5:$A$804,"&gt;="&amp;DATE($C$3,12,1),Günler!$A$5:$A$804,"&lt;"&amp;DATE($C$3,13,1))</f>
        <v>0</v>
      </c>
    </row>
    <row r="23" customFormat="false" ht="15" hidden="false" customHeight="false" outlineLevel="0" collapsed="false">
      <c r="B23" s="27" t="s">
        <v>60</v>
      </c>
      <c r="C23" s="28" t="n">
        <f aca="false">SUM(C11:C22)</f>
        <v>31600</v>
      </c>
      <c r="D23" s="28" t="n">
        <f aca="false">SUM(D11:D22)</f>
        <v>46900</v>
      </c>
      <c r="E23" s="28" t="n">
        <f aca="false">SUM(E11:E22)</f>
        <v>78500</v>
      </c>
      <c r="F23" s="28" t="n">
        <f aca="false">SUM(F11:F22)</f>
        <v>-50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B1:C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96"/>
  </cols>
  <sheetData>
    <row r="1" customFormat="false" ht="19.7" hidden="false" customHeight="false" outlineLevel="0" collapsed="false">
      <c r="B1" s="8" t="s">
        <v>61</v>
      </c>
    </row>
    <row r="2" customFormat="false" ht="30" hidden="false" customHeight="true" outlineLevel="0" collapsed="false">
      <c r="B2" s="29" t="s">
        <v>62</v>
      </c>
      <c r="C2" s="29"/>
    </row>
    <row r="3" customFormat="false" ht="31.5" hidden="false" customHeight="true" outlineLevel="0" collapsed="false">
      <c r="B3" s="30" t="s">
        <v>63</v>
      </c>
      <c r="C3" s="30"/>
    </row>
    <row r="5" customFormat="false" ht="15" hidden="false" customHeight="false" outlineLevel="0" collapsed="false">
      <c r="B5" s="31" t="s">
        <v>64</v>
      </c>
      <c r="C5" s="31" t="s">
        <v>65</v>
      </c>
    </row>
    <row r="6" customFormat="false" ht="31.5" hidden="false" customHeight="true" outlineLevel="0" collapsed="false">
      <c r="B6" s="32" t="s">
        <v>66</v>
      </c>
      <c r="C6" s="33" t="s">
        <v>67</v>
      </c>
    </row>
    <row r="7" customFormat="false" ht="31.5" hidden="false" customHeight="true" outlineLevel="0" collapsed="false">
      <c r="B7" s="34" t="s">
        <v>68</v>
      </c>
      <c r="C7" s="35" t="s">
        <v>69</v>
      </c>
    </row>
    <row r="8" customFormat="false" ht="31.5" hidden="false" customHeight="true" outlineLevel="0" collapsed="false">
      <c r="B8" s="32" t="s">
        <v>70</v>
      </c>
      <c r="C8" s="33" t="s">
        <v>71</v>
      </c>
    </row>
    <row r="9" customFormat="false" ht="31.5" hidden="false" customHeight="true" outlineLevel="0" collapsed="false">
      <c r="B9" s="34" t="s">
        <v>72</v>
      </c>
      <c r="C9" s="35" t="s">
        <v>73</v>
      </c>
    </row>
  </sheetData>
  <mergeCells count="2">
    <mergeCell ref="B2:C2"/>
    <mergeCell ref="B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2026-10-04T22:00:05Z</dcterms:created>
  <dc:creator>openpyxl</dc:creator>
  <dc:description/>
  <dc:language>en-US</dc:language>
  <cp:lastModifiedBy/>
  <dcterms:modified xsi:type="dcterms:W3CDTF">2026-10-04T22:00:06Z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