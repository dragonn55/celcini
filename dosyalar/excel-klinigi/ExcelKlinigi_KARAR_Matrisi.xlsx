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Matris" sheetId="2" state="visible" r:id="rId4"/>
    <sheet name="AI Komutları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<sst xmlns="http://schemas.openxmlformats.org/spreadsheetml/2006/main" count="59" uniqueCount="57">
  <si>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EXCEL KLİNİĞİ</t>
  </si>
  <si>
    <t xml:space="preserve">KARAR  |  Karar matrisi</t>
  </si>
  <si>
    <t xml:space="preserve">Araba, ev, tedarikçi, iş teklifi: seçenekleri kendi ölçütlerinle puanla, hangisi önde ve neden, gör.</t>
  </si>
  <si>
    <t xml:space="preserve">NASIL KULLANILIR</t>
  </si>
  <si>
    <t xml:space="preserve">1. Ölçütler</t>
  </si>
  <si>
    <t xml:space="preserve">Kararda senin için önemli olan ölçütleri ve her birinin önemini 1 ile 10 arasında yaz.</t>
  </si>
  <si>
    <t xml:space="preserve">2. Seçenekler</t>
  </si>
  <si>
    <t xml:space="preserve">Seçenekleri üst satırdaki sarı hücrelere yaz.</t>
  </si>
  <si>
    <t xml:space="preserve">3. Puanla</t>
  </si>
  <si>
    <t xml:space="preserve">Her seçeneği her ölçütte 1 ile 10 arasında puanla. Yüksek puan her zaman daha iyi demek olmalı: fiyatta ucuz olan yüksek puan alır.</t>
  </si>
  <si>
    <t xml:space="preserve">4. Sonuç</t>
  </si>
  <si>
    <t xml:space="preserve">Ağırlıklı puan, sıra ve öndeki seçenek hesaplanır.</t>
  </si>
  <si>
    <t xml:space="preserve">BİLMEN GEREKENLER</t>
  </si>
  <si>
    <t xml:space="preserve">Ağırlıklı puan</t>
  </si>
  <si>
    <t xml:space="preserve">Her ölçütün puanı, o ölçütün toplam önem içindeki payıyla çarpılıp toplanır.</t>
  </si>
  <si>
    <t xml:space="preserve">Eksik puan</t>
  </si>
  <si>
    <t xml:space="preserve">Bir seçenekte puanlanmamış ölçüt varsa o seçenek haksız yere düşük görünür; eksik puan satırı bunu gösterir.</t>
  </si>
  <si>
    <t xml:space="preserve">Karar senin</t>
  </si>
  <si>
    <t xml:space="preserve">Dosya sayısal bir karşılaştırma verir; son kararı vermez.</t>
  </si>
  <si>
    <t xml:space="preserve">Kapasite</t>
  </si>
  <si>
    <t xml:space="preserve">12 ölçüt, 8 seçenek.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</si>
  <si>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</si>
  <si>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</si>
  <si>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</si>
  <si>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</si>
  <si>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</si>
  <si>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Karar Matrisi</t>
  </si>
  <si>
    <t xml:space="preserve">Ölçütleri ve önemlerini yaz, seçenekleri üst satıra yaz, her seçeneği her ölçütte 1 ile 10 arasında puanla.</t>
  </si>
  <si>
    <t xml:space="preserve">Ölçüt</t>
  </si>
  <si>
    <t xml:space="preserve">Önem (1-10)</t>
  </si>
  <si>
    <t xml:space="preserve">Pay</t>
  </si>
  <si>
    <t xml:space="preserve">Araç Alfa</t>
  </si>
  <si>
    <t xml:space="preserve">Araç Beta</t>
  </si>
  <si>
    <t xml:space="preserve">Araç Gama</t>
  </si>
  <si>
    <t xml:space="preserve">Fiyat</t>
  </si>
  <si>
    <t xml:space="preserve">Yakıt tüketimi</t>
  </si>
  <si>
    <t xml:space="preserve">Güvenlik</t>
  </si>
  <si>
    <t xml:space="preserve">Bagaj hacmi</t>
  </si>
  <si>
    <t xml:space="preserve">İkinci el değeri</t>
  </si>
  <si>
    <t xml:space="preserve">Sıra</t>
  </si>
  <si>
    <t xml:space="preserve">Sonuç</t>
  </si>
  <si>
    <t xml:space="preserve">Öndeki seçenek</t>
  </si>
  <si>
    <t xml:space="preserve">İkinciyle puan farkı</t>
  </si>
  <si>
    <t xml:space="preserve">Yorum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</si>
  <si>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</si>
  <si>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</si>
  <si>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Paylaşılacak kişisel bilgi yoksa doğrudan yapıştırabilirsin. Yapay zekanın verdiği rakamları dosyadaki özet sayfasıyla karşılaştır.</t>
  </si>
  <si>
    <t xml:space="preserve">Ne için</t>
  </si>
  <si>
    <t xml:space="preserve">Komut (kopyala, yapıştır)</t>
  </si>
  <si>
    <t xml:space="preserve">Ölçüt önerisi</t>
  </si>
  <si>
    <t xml:space="preserve">[karar konusu] için düşünmem gereken ölçütleri öner; hangilerini atlamış olabilirim?</t>
  </si>
  <si>
    <t xml:space="preserve">Şeytanın avukatı</t>
  </si>
  <si>
    <t xml:space="preserve">[Matris sayfası] Öndeki seçeneğin zayıf yanlarını ve ikinciyi seçmek için geçerli nedenleri yaz.</t>
  </si>
  <si>
    <t xml:space="preserve">Duyarlılık</t>
  </si>
  <si>
    <t xml:space="preserve">[Matris sayfası] Hangi ölçütün önemi değişirse sıralama değişir?</t>
  </si>
  <si>
    <t xml:space="preserve">Puan tutarlılığı</t>
  </si>
  <si>
    <t xml:space="preserve">[Matris sayfası] Puanlarımda tutarsız görünen yer var mı?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</si>
</sst>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2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1F6F43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12" min="5" style="0" width="1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5" customFormat="false" ht="30" hidden="false" customHeight="true" outlineLevel="0" collapsed="false">
      <c r="B5" s="10" t="s">
        <v>28</v>
      </c>
      <c r="C5" s="10" t="s">
        <v>29</v>
      </c>
      <c r="D5" s="11" t="s">
        <v>30</v>
      </c>
      <c r="E5" s="12" t="s">
        <v>31</v>
      </c>
      <c r="F5" s="12" t="s">
        <v>32</v>
      </c>
      <c r="G5" s="12" t="s">
        <v>33</v>
      </c>
      <c r="H5" s="12"/>
      <c r="I5" s="12"/>
      <c r="J5" s="12"/>
      <c r="K5" s="12"/>
      <c r="L5" s="12"/>
    </row>
    <row r="6" customFormat="false" ht="15" hidden="false" customHeight="false" outlineLevel="0" collapsed="false">
      <c r="B6" s="13" t="s">
        <v>34</v>
      </c>
      <c r="C6" s="14" t="n">
        <v>9</v>
      </c>
      <c r="D6" s="15" t="n">
        <f aca="false">IF(OR(B6="",C6=""),"",C6/SUM($C$6:$C$17))</f>
        <v>0.264705882352941</v>
      </c>
      <c r="E6" s="14" t="n">
        <v>6</v>
      </c>
      <c r="F6" s="14" t="n">
        <v>8</v>
      </c>
      <c r="G6" s="14" t="n">
        <v>7</v>
      </c>
      <c r="H6" s="14"/>
      <c r="I6" s="14"/>
      <c r="J6" s="14"/>
      <c r="K6" s="14"/>
      <c r="L6" s="14"/>
    </row>
    <row r="7" customFormat="false" ht="15" hidden="false" customHeight="false" outlineLevel="0" collapsed="false">
      <c r="B7" s="13" t="s">
        <v>35</v>
      </c>
      <c r="C7" s="14" t="n">
        <v>7</v>
      </c>
      <c r="D7" s="15" t="n">
        <f aca="false">IF(OR(B7="",C7=""),"",C7/SUM($C$6:$C$17))</f>
        <v>0.205882352941176</v>
      </c>
      <c r="E7" s="14" t="n">
        <v>7</v>
      </c>
      <c r="F7" s="14" t="n">
        <v>9</v>
      </c>
      <c r="G7" s="14" t="n">
        <v>5</v>
      </c>
      <c r="H7" s="14"/>
      <c r="I7" s="14"/>
      <c r="J7" s="14"/>
      <c r="K7" s="14"/>
      <c r="L7" s="14"/>
    </row>
    <row r="8" customFormat="false" ht="15" hidden="false" customHeight="false" outlineLevel="0" collapsed="false">
      <c r="B8" s="13" t="s">
        <v>36</v>
      </c>
      <c r="C8" s="14" t="n">
        <v>8</v>
      </c>
      <c r="D8" s="15" t="n">
        <f aca="false">IF(OR(B8="",C8=""),"",C8/SUM($C$6:$C$17))</f>
        <v>0.235294117647059</v>
      </c>
      <c r="E8" s="14" t="n">
        <v>8</v>
      </c>
      <c r="F8" s="14" t="n">
        <v>6</v>
      </c>
      <c r="G8" s="14" t="n">
        <v>9</v>
      </c>
      <c r="H8" s="14"/>
      <c r="I8" s="14"/>
      <c r="J8" s="14"/>
      <c r="K8" s="14"/>
      <c r="L8" s="14"/>
    </row>
    <row r="9" customFormat="false" ht="15" hidden="false" customHeight="false" outlineLevel="0" collapsed="false">
      <c r="B9" s="13" t="s">
        <v>37</v>
      </c>
      <c r="C9" s="14" t="n">
        <v>4</v>
      </c>
      <c r="D9" s="15" t="n">
        <f aca="false">IF(OR(B9="",C9=""),"",C9/SUM($C$6:$C$17))</f>
        <v>0.117647058823529</v>
      </c>
      <c r="E9" s="14" t="n">
        <v>9</v>
      </c>
      <c r="F9" s="14" t="n">
        <v>5</v>
      </c>
      <c r="G9" s="14" t="n">
        <v>7</v>
      </c>
      <c r="H9" s="14"/>
      <c r="I9" s="14"/>
      <c r="J9" s="14"/>
      <c r="K9" s="14"/>
      <c r="L9" s="14"/>
    </row>
    <row r="10" customFormat="false" ht="15" hidden="false" customHeight="false" outlineLevel="0" collapsed="false">
      <c r="B10" s="13" t="s">
        <v>38</v>
      </c>
      <c r="C10" s="14" t="n">
        <v>6</v>
      </c>
      <c r="D10" s="15" t="n">
        <f aca="false">IF(OR(B10="",C10=""),"",C10/SUM($C$6:$C$17))</f>
        <v>0.176470588235294</v>
      </c>
      <c r="E10" s="14" t="n">
        <v>6</v>
      </c>
      <c r="F10" s="14" t="n">
        <v>7</v>
      </c>
      <c r="G10" s="14" t="n">
        <v>8</v>
      </c>
      <c r="H10" s="14"/>
      <c r="I10" s="14"/>
      <c r="J10" s="14"/>
      <c r="K10" s="14"/>
      <c r="L10" s="14"/>
    </row>
    <row r="11" customFormat="false" ht="15" hidden="false" customHeight="false" outlineLevel="0" collapsed="false">
      <c r="B11" s="13"/>
      <c r="C11" s="14"/>
      <c r="D11" s="15" t="str">
        <f aca="false">IF(OR(B11="",C11=""),"",C11/SUM($C$6:$C$17))</f>
        <v/>
      </c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false" outlineLevel="0" collapsed="false">
      <c r="B12" s="13"/>
      <c r="C12" s="14"/>
      <c r="D12" s="15" t="str">
        <f aca="false">IF(OR(B12="",C12=""),"",C12/SUM($C$6:$C$17))</f>
        <v/>
      </c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false" outlineLevel="0" collapsed="false">
      <c r="B13" s="13"/>
      <c r="C13" s="14"/>
      <c r="D13" s="15" t="str">
        <f aca="false">IF(OR(B13="",C13=""),"",C13/SUM($C$6:$C$17))</f>
        <v/>
      </c>
      <c r="E13" s="14"/>
      <c r="F13" s="14"/>
      <c r="G13" s="14"/>
      <c r="H13" s="14"/>
      <c r="I13" s="14"/>
      <c r="J13" s="14"/>
      <c r="K13" s="14"/>
      <c r="L13" s="14"/>
    </row>
    <row r="14" customFormat="false" ht="15" hidden="false" customHeight="false" outlineLevel="0" collapsed="false">
      <c r="B14" s="13"/>
      <c r="C14" s="14"/>
      <c r="D14" s="15" t="str">
        <f aca="false">IF(OR(B14="",C14=""),"",C14/SUM($C$6:$C$17))</f>
        <v/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false" outlineLevel="0" collapsed="false">
      <c r="B15" s="13"/>
      <c r="C15" s="14"/>
      <c r="D15" s="15" t="str">
        <f aca="false">IF(OR(B15="",C15=""),"",C15/SUM($C$6:$C$17))</f>
        <v/>
      </c>
      <c r="E15" s="14"/>
      <c r="F15" s="14"/>
      <c r="G15" s="14"/>
      <c r="H15" s="14"/>
      <c r="I15" s="14"/>
      <c r="J15" s="14"/>
      <c r="K15" s="14"/>
      <c r="L15" s="14"/>
    </row>
    <row r="16" customFormat="false" ht="15" hidden="false" customHeight="false" outlineLevel="0" collapsed="false">
      <c r="B16" s="13"/>
      <c r="C16" s="14"/>
      <c r="D16" s="15" t="str">
        <f aca="false">IF(OR(B16="",C16=""),"",C16/SUM($C$6:$C$17))</f>
        <v/>
      </c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false" outlineLevel="0" collapsed="false">
      <c r="B17" s="13"/>
      <c r="C17" s="14"/>
      <c r="D17" s="15" t="str">
        <f aca="false">IF(OR(B17="",C17=""),"",C17/SUM($C$6:$C$17))</f>
        <v/>
      </c>
      <c r="E17" s="14"/>
      <c r="F17" s="14"/>
      <c r="G17" s="14"/>
      <c r="H17" s="14"/>
      <c r="I17" s="14"/>
      <c r="J17" s="14"/>
      <c r="K17" s="14"/>
      <c r="L17" s="14"/>
    </row>
    <row r="19" customFormat="false" ht="15" hidden="false" customHeight="false" outlineLevel="0" collapsed="false">
      <c r="B19" s="16" t="s">
        <v>13</v>
      </c>
      <c r="E19" s="17" t="n">
        <f aca="false">IF(E5="","",SUMPRODUCT($D$6:$D$17,E6:E17))</f>
        <v>7.02941176470588</v>
      </c>
      <c r="F19" s="17" t="n">
        <f aca="false">IF(F5="","",SUMPRODUCT($D$6:$D$17,F6:F17))</f>
        <v>7.20588235294118</v>
      </c>
      <c r="G19" s="17" t="n">
        <f aca="false">IF(G5="","",SUMPRODUCT($D$6:$D$17,G6:G17))</f>
        <v>7.23529411764706</v>
      </c>
      <c r="H19" s="17" t="str">
        <f aca="false">IF(H5="","",SUMPRODUCT($D$6:$D$17,H6:H17))</f>
        <v/>
      </c>
      <c r="I19" s="17" t="str">
        <f aca="false">IF(I5="","",SUMPRODUCT($D$6:$D$17,I6:I17))</f>
        <v/>
      </c>
      <c r="J19" s="17" t="str">
        <f aca="false">IF(J5="","",SUMPRODUCT($D$6:$D$17,J6:J17))</f>
        <v/>
      </c>
      <c r="K19" s="17" t="str">
        <f aca="false">IF(K5="","",SUMPRODUCT($D$6:$D$17,K6:K17))</f>
        <v/>
      </c>
      <c r="L19" s="17" t="str">
        <f aca="false">IF(L5="","",SUMPRODUCT($D$6:$D$17,L6:L17))</f>
        <v/>
      </c>
    </row>
    <row r="20" customFormat="false" ht="15" hidden="false" customHeight="false" outlineLevel="0" collapsed="false">
      <c r="B20" s="16" t="s">
        <v>39</v>
      </c>
      <c r="E20" s="18" t="n">
        <f aca="false">IF(E19="","",RANK(E19,$E$19:$L$19))</f>
        <v>3</v>
      </c>
      <c r="F20" s="18" t="n">
        <f aca="false">IF(F19="","",RANK(F19,$E$19:$L$19))</f>
        <v>2</v>
      </c>
      <c r="G20" s="18" t="n">
        <f aca="false">IF(G19="","",RANK(G19,$E$19:$L$19))</f>
        <v>1</v>
      </c>
      <c r="H20" s="18" t="str">
        <f aca="false">IF(H19="","",RANK(H19,$E$19:$L$19))</f>
        <v/>
      </c>
      <c r="I20" s="18" t="str">
        <f aca="false">IF(I19="","",RANK(I19,$E$19:$L$19))</f>
        <v/>
      </c>
      <c r="J20" s="18" t="str">
        <f aca="false">IF(J19="","",RANK(J19,$E$19:$L$19))</f>
        <v/>
      </c>
      <c r="K20" s="18" t="str">
        <f aca="false">IF(K19="","",RANK(K19,$E$19:$L$19))</f>
        <v/>
      </c>
      <c r="L20" s="18" t="str">
        <f aca="false">IF(L19="","",RANK(L19,$E$19:$L$19))</f>
        <v/>
      </c>
    </row>
    <row r="21" customFormat="false" ht="15" hidden="false" customHeight="false" outlineLevel="0" collapsed="false">
      <c r="B21" s="16" t="s">
        <v>15</v>
      </c>
      <c r="E21" s="19" t="n">
        <f aca="false">IF(E5="","",COUNTA($B$6:$B$17)-COUNT(E6:E17))</f>
        <v>0</v>
      </c>
      <c r="F21" s="19" t="n">
        <f aca="false">IF(F5="","",COUNTA($B$6:$B$17)-COUNT(F6:F17))</f>
        <v>0</v>
      </c>
      <c r="G21" s="19" t="n">
        <f aca="false">IF(G5="","",COUNTA($B$6:$B$17)-COUNT(G6:G17))</f>
        <v>0</v>
      </c>
      <c r="H21" s="19" t="str">
        <f aca="false">IF(H5="","",COUNTA($B$6:$B$17)-COUNT(H6:H17))</f>
        <v/>
      </c>
      <c r="I21" s="19" t="str">
        <f aca="false">IF(I5="","",COUNTA($B$6:$B$17)-COUNT(I6:I17))</f>
        <v/>
      </c>
      <c r="J21" s="19" t="str">
        <f aca="false">IF(J5="","",COUNTA($B$6:$B$17)-COUNT(J6:J17))</f>
        <v/>
      </c>
      <c r="K21" s="19" t="str">
        <f aca="false">IF(K5="","",COUNTA($B$6:$B$17)-COUNT(K6:K17))</f>
        <v/>
      </c>
      <c r="L21" s="19" t="str">
        <f aca="false">IF(L5="","",COUNTA($B$6:$B$17)-COUNT(L6:L17))</f>
        <v/>
      </c>
    </row>
    <row r="23" customFormat="false" ht="15" hidden="false" customHeight="false" outlineLevel="0" collapsed="false">
      <c r="B23" s="20" t="s">
        <v>40</v>
      </c>
    </row>
    <row r="24" customFormat="false" ht="15" hidden="false" customHeight="false" outlineLevel="0" collapsed="false">
      <c r="B24" s="0" t="s">
        <v>41</v>
      </c>
      <c r="C24" s="21" t="str">
        <f aca="false">IFERROR(INDEX($E$5:$L$5,MATCH(MAX($E$19:$L$19),$E$19:$L$19,0))&amp;"","")</f>
        <v>Araç Gama</v>
      </c>
    </row>
    <row r="25" customFormat="false" ht="15" hidden="false" customHeight="false" outlineLevel="0" collapsed="false">
      <c r="B25" s="0" t="s">
        <v>42</v>
      </c>
      <c r="C25" s="22" t="n">
        <f aca="false">IFERROR(LARGE($E$19:$L$19,1)-LARGE($E$19:$L$19,2),"")</f>
        <v>0.0294117647058823</v>
      </c>
    </row>
    <row r="26" customFormat="false" ht="15" hidden="false" customHeight="false" outlineLevel="0" collapsed="false">
      <c r="B26" s="0" t="s">
        <v>43</v>
      </c>
      <c r="C26" s="0" t="str">
        <f aca="false">IF(C25="","",IF(C25&lt;0.3,"Fark çok küçük; önemleri ve puanları bir kez daha gözden geçir.","Fark belirgin."))</f>
        <v>Fark çok küçük; önemleri ve puanları bir kez daha gözden geçir.</v>
      </c>
    </row>
  </sheetData>
  <conditionalFormatting sqref="E20:L20">
    <cfRule type="expression" priority="2" aboveAverage="0" equalAverage="0" bottom="0" percent="0" rank="0" text="" dxfId="0">
      <formula>E20=1</formula>
    </cfRule>
  </conditionalFormatting>
  <conditionalFormatting sqref="E21:L21">
    <cfRule type="expression" priority="3" aboveAverage="0" equalAverage="0" bottom="0" percent="0" rank="0" text="" dxfId="1">
      <formula>AND(ISNUMBER(E21),E21&gt;0)</formula>
    </cfRule>
  </conditionalFormatting>
  <dataValidations count="1">
    <dataValidation allowBlank="true" error="1 ile 10 arasında bir tam sayı gir." errorStyle="stop" errorTitle="Kontrol" operator="between" showDropDown="false" showErrorMessage="true" showInputMessage="false" sqref="C6:C17 E6:L17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44</v>
      </c>
    </row>
    <row r="2" customFormat="false" ht="30" hidden="false" customHeight="true" outlineLevel="0" collapsed="false">
      <c r="B2" s="23" t="s">
        <v>45</v>
      </c>
      <c r="C2" s="23"/>
    </row>
    <row r="3" customFormat="false" ht="31.5" hidden="false" customHeight="true" outlineLevel="0" collapsed="false">
      <c r="B3" s="24" t="s">
        <v>46</v>
      </c>
      <c r="C3" s="24"/>
    </row>
    <row r="5" customFormat="false" ht="15" hidden="false" customHeight="false" outlineLevel="0" collapsed="false">
      <c r="B5" s="25" t="s">
        <v>47</v>
      </c>
      <c r="C5" s="25" t="s">
        <v>48</v>
      </c>
    </row>
    <row r="6" customFormat="false" ht="31.5" hidden="false" customHeight="true" outlineLevel="0" collapsed="false">
      <c r="B6" s="26" t="s">
        <v>49</v>
      </c>
      <c r="C6" s="27" t="s">
        <v>50</v>
      </c>
    </row>
    <row r="7" customFormat="false" ht="31.5" hidden="false" customHeight="true" outlineLevel="0" collapsed="false">
      <c r="B7" s="28" t="s">
        <v>51</v>
      </c>
      <c r="C7" s="29" t="s">
        <v>52</v>
      </c>
    </row>
    <row r="8" customFormat="false" ht="31.5" hidden="false" customHeight="true" outlineLevel="0" collapsed="false">
      <c r="B8" s="26" t="s">
        <v>53</v>
      </c>
      <c r="C8" s="27" t="s">
        <v>54</v>
      </c>
    </row>
    <row r="9" customFormat="false" ht="31.5" hidden="false" customHeight="true" outlineLevel="0" collapsed="false">
      <c r="B9" s="28" t="s">
        <v>55</v>
      </c>
      <c r="C9" s="29" t="s">
        <v>56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2026-10-04T22:00:06Z</dcterms:created>
  <dc:creator>openpyxl</dc:creator>
  <dc:description/>
  <dc:language>en-US</dc:language>
  <cp:lastModifiedBy/>
  <dcterms:modified xsi:type="dcterms:W3CDTF">2026-10-04T22:00:06Z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