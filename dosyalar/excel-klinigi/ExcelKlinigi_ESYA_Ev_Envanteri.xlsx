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Eşyalar" sheetId="2" state="visible" r:id="rId4"/>
    <sheet name="Özet" sheetId="3" state="visible" r:id="rId5"/>
    <sheet name="Listeler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<sst xmlns="http://schemas.openxmlformats.org/spreadsheetml/2006/main" count="101" uniqueCount="77">
  <si>
    <t xml:space="preserve">EXCEL KLİNİĞİ</t>
  </si>
  <si>
    <t xml:space="preserve">EŞYA  |  Ev eşyası ve garanti takibi</t>
  </si>
  <si>
    <t xml:space="preserve">Evde ne var, kaça alındı, garantisi ne zaman bitiyor; sigorta ya da taşınma için hazır liste.</t>
  </si>
  <si>
    <t xml:space="preserve">NASIL KULLANILIR</t>
  </si>
  <si>
    <t xml:space="preserve">1. Listeler</t>
  </si>
  <si>
    <t xml:space="preserve">Odaları ve kategorileri kendi evine göre düzenle.</t>
  </si>
  <si>
    <t xml:space="preserve">2. Eşyalar</t>
  </si>
  <si>
    <t xml:space="preserve">Her eşyayı odası, alış tarihi, değeri ve garanti bitişiyle yaz.</t>
  </si>
  <si>
    <t xml:space="preserve">3. Özet</t>
  </si>
  <si>
    <t xml:space="preserve">Toplam değer, oda ve kategori dağılımı, garantisi bitmek üzere olanlar.</t>
  </si>
  <si>
    <t xml:space="preserve">BİLMEN GEREKENLER</t>
  </si>
  <si>
    <t xml:space="preserve">Değer</t>
  </si>
  <si>
    <t xml:space="preserve">Yazdığın tutar alış bedeli ya da bugünkü tahmini değer olabilir; hangisini seçtiysen hep aynısını kullan.</t>
  </si>
  <si>
    <t xml:space="preserve">Sigorta</t>
  </si>
  <si>
    <t xml:space="preserve">Liste sigorta başvurusunda yardımcı olur ama poliçe ya da ekspertiz yerine geçmez.</t>
  </si>
  <si>
    <t xml:space="preserve">Kapasite</t>
  </si>
  <si>
    <t xml:space="preserve">Eşyalar: 400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</si>
  <si>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</si>
  <si>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</si>
  <si>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</si>
  <si>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</si>
  <si>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</si>
  <si>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Eşyalar</t>
  </si>
  <si>
    <t xml:space="preserve">Her eşyayı bir satır yaz. Garanti bitiş tarihini faturadan ya da garanti belgesinden al.</t>
  </si>
  <si>
    <t xml:space="preserve">Eşya</t>
  </si>
  <si>
    <t xml:space="preserve">Oda</t>
  </si>
  <si>
    <t xml:space="preserve">Kategori</t>
  </si>
  <si>
    <t xml:space="preserve">Alış tarihi</t>
  </si>
  <si>
    <t xml:space="preserve">Değer (₺)</t>
  </si>
  <si>
    <t xml:space="preserve">Garanti bitişi</t>
  </si>
  <si>
    <t xml:space="preserve">Marka ve seri no</t>
  </si>
  <si>
    <t xml:space="preserve">Garanti</t>
  </si>
  <si>
    <t xml:space="preserve">Yaş (yıl)</t>
  </si>
  <si>
    <t xml:space="preserve">y</t>
  </si>
  <si>
    <t xml:space="preserve">Buzdolabı</t>
  </si>
  <si>
    <t xml:space="preserve">Mutfak</t>
  </si>
  <si>
    <t xml:space="preserve">Beyaz eşya</t>
  </si>
  <si>
    <t xml:space="preserve">Örnek</t>
  </si>
  <si>
    <t xml:space="preserve">Televizyon</t>
  </si>
  <si>
    <t xml:space="preserve">Salon</t>
  </si>
  <si>
    <t xml:space="preserve">Elektronik</t>
  </si>
  <si>
    <t xml:space="preserve">Koltuk takımı</t>
  </si>
  <si>
    <t xml:space="preserve">Mobilya</t>
  </si>
  <si>
    <t xml:space="preserve">Dizüstü bilgisayar</t>
  </si>
  <si>
    <t xml:space="preserve">Yatak odası</t>
  </si>
  <si>
    <t xml:space="preserve">Kahve makinesi</t>
  </si>
  <si>
    <t xml:space="preserve">Küçük ev aleti</t>
  </si>
  <si>
    <t xml:space="preserve">Özet</t>
  </si>
  <si>
    <t xml:space="preserve">Bu sayfaya yazma.</t>
  </si>
  <si>
    <t xml:space="preserve">Toplam değer</t>
  </si>
  <si>
    <t xml:space="preserve">Garantisi süren</t>
  </si>
  <si>
    <t xml:space="preserve">30 gün içinde biten</t>
  </si>
  <si>
    <t xml:space="preserve">Odaya göre</t>
  </si>
  <si>
    <t xml:space="preserve">Garantisi en yakın bitecek 10 eşya</t>
  </si>
  <si>
    <t xml:space="preserve">Adet</t>
  </si>
  <si>
    <t xml:space="preserve">Kategoriye göre</t>
  </si>
  <si>
    <t xml:space="preserve">Listeler</t>
  </si>
  <si>
    <t xml:space="preserve">Açılır listelerde çıkan seçenekler. Sarı hücrelere kendi seçeneklerini yaz.</t>
  </si>
  <si>
    <t xml:space="preserve">Çocuk odası</t>
  </si>
  <si>
    <t xml:space="preserve">Banyo</t>
  </si>
  <si>
    <t xml:space="preserve">Değerli eşya</t>
  </si>
  <si>
    <t xml:space="preserve">Balkon</t>
  </si>
  <si>
    <t xml:space="preserve">Diğer</t>
  </si>
  <si>
    <t xml:space="preserve">Depo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</si>
  <si>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</si>
  <si>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</si>
  <si>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Seri numaralarını ve adresini paylaşma. Yapay zekanın verdiği rakamları dosyadaki özet sayfasıyla karşılaştır.</t>
  </si>
  <si>
    <t xml:space="preserve">Ne için</t>
  </si>
  <si>
    <t xml:space="preserve">Komut (kopyala, yapıştır)</t>
  </si>
  <si>
    <t xml:space="preserve">Garanti hatırlatma</t>
  </si>
  <si>
    <t xml:space="preserve">[Özet sayfası] Garantisi yakında biten eşyalar için garanti bitmeden kontrol etmem gerekenleri yaz.</t>
  </si>
  <si>
    <t xml:space="preserve">Sigorta özeti</t>
  </si>
  <si>
    <t xml:space="preserve">[Eşyalar sayfası] Sigortacıya gönderilecek, kategori bazında toplamları gösteren kısa bir özet hazırla.</t>
  </si>
  <si>
    <t xml:space="preserve">Yenileme planı</t>
  </si>
  <si>
    <t xml:space="preserve">Yaşı 8 yılı geçen beyaz eşyaları listele ve yenileme için öncelik sırası öner.</t>
  </si>
  <si>
    <t xml:space="preserve">Taşınma listesi</t>
  </si>
  <si>
    <t xml:space="preserve">[Eşyalar sayfası] Oda oda taşınma kontrol listesi oluştur.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</si>
</sst>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#,##0.00&quot; ₺&quot;"/>
    <numFmt numFmtId="167" formatCode="0.0"/>
    <numFmt numFmtId="168" formatCode="mm/dd/yy"/>
    <numFmt numFmtId="169" formatCode="#,##0;[RED]\-#,##0;\-"/>
    <numFmt numFmtId="170" formatCode="#,##0.00&quot; ₺&quot;;[RED]\-#,##0.00&quot; ₺&quot;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667085"/>
      </font>
      <fill>
        <patternFill>
          <bgColor rgb="FFF3F4F6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B8A5E"/>
      <rgbColor rgb="FF003300"/>
      <rgbColor rgb="FF333300"/>
      <rgbColor rgb="FF93370D"/>
      <rgbColor rgb="FF993366"/>
      <rgbColor rgb="FF475467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18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24"/>
    <col collapsed="false" customWidth="true" hidden="false" outlineLevel="0" max="9" min="8" style="0" width="14"/>
    <col collapsed="false" customWidth="true" hidden="true" outlineLevel="0" max="10" min="10" style="0" width="14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4" customFormat="false" ht="27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1" t="s">
        <v>31</v>
      </c>
      <c r="I4" s="11" t="s">
        <v>32</v>
      </c>
      <c r="J4" s="11" t="s">
        <v>33</v>
      </c>
    </row>
    <row r="5" customFormat="false" ht="15" hidden="false" customHeight="false" outlineLevel="0" collapsed="false">
      <c r="A5" s="12" t="s">
        <v>34</v>
      </c>
      <c r="B5" s="13" t="s">
        <v>35</v>
      </c>
      <c r="C5" s="13" t="s">
        <v>36</v>
      </c>
      <c r="D5" s="14" t="n">
        <v>45422</v>
      </c>
      <c r="E5" s="15" t="n">
        <v>45000</v>
      </c>
      <c r="F5" s="14" t="n">
        <v>46517</v>
      </c>
      <c r="G5" s="12" t="s">
        <v>37</v>
      </c>
      <c r="H5" s="16" t="str">
        <f aca="true">IF(A5="","",IF(F5="","Belirsiz",IF(F5&lt;TODAY(),"Bitti",IF(F5&lt;=TODAY()+30,"30 gün içinde","Sürüyor"))))</f>
        <v>Sürüyor</v>
      </c>
      <c r="I5" s="17" t="n">
        <f aca="true">IF(OR(A5="",D5=""),"",(TODAY()-D5)/365.25)</f>
        <v>2.40109514031485</v>
      </c>
      <c r="J5" s="18" t="n">
        <f aca="true">IF(AND(A5&lt;&gt;"",F5&lt;&gt;"",F5&gt;=TODAY()),F5+ROW()/1000000,"")</f>
        <v>46517.000005</v>
      </c>
    </row>
    <row r="6" customFormat="false" ht="15" hidden="false" customHeight="false" outlineLevel="0" collapsed="false">
      <c r="A6" s="12" t="s">
        <v>38</v>
      </c>
      <c r="B6" s="13" t="s">
        <v>39</v>
      </c>
      <c r="C6" s="13" t="s">
        <v>40</v>
      </c>
      <c r="D6" s="14" t="n">
        <v>45962</v>
      </c>
      <c r="E6" s="15" t="n">
        <v>38000</v>
      </c>
      <c r="F6" s="14" t="n">
        <v>46319</v>
      </c>
      <c r="G6" s="12" t="s">
        <v>37</v>
      </c>
      <c r="H6" s="16" t="str">
        <f aca="true">IF(A6="","",IF(F6="","Belirsiz",IF(F6&lt;TODAY(),"Bitti",IF(F6&lt;=TODAY()+30,"30 gün içinde","Sürüyor"))))</f>
        <v>30 gün içinde</v>
      </c>
      <c r="I6" s="17" t="n">
        <f aca="true">IF(OR(A6="",D6=""),"",(TODAY()-D6)/365.25)</f>
        <v>0.922655715263518</v>
      </c>
      <c r="J6" s="18" t="n">
        <f aca="true">IF(AND(A6&lt;&gt;"",F6&lt;&gt;"",F6&gt;=TODAY()),F6+ROW()/1000000,"")</f>
        <v>46319.000006</v>
      </c>
    </row>
    <row r="7" customFormat="false" ht="15" hidden="false" customHeight="false" outlineLevel="0" collapsed="false">
      <c r="A7" s="12" t="s">
        <v>41</v>
      </c>
      <c r="B7" s="13" t="s">
        <v>39</v>
      </c>
      <c r="C7" s="13" t="s">
        <v>42</v>
      </c>
      <c r="D7" s="14" t="n">
        <v>44621</v>
      </c>
      <c r="E7" s="15" t="n">
        <v>60000</v>
      </c>
      <c r="F7" s="14" t="n">
        <v>45352</v>
      </c>
      <c r="G7" s="12" t="s">
        <v>37</v>
      </c>
      <c r="H7" s="16" t="str">
        <f aca="true">IF(A7="","",IF(F7="","Belirsiz",IF(F7&lt;TODAY(),"Bitti",IF(F7&lt;=TODAY()+30,"30 gün içinde","Sürüyor"))))</f>
        <v>Bitti</v>
      </c>
      <c r="I7" s="17" t="n">
        <f aca="true">IF(OR(A7="",D7=""),"",(TODAY()-D7)/365.25)</f>
        <v>4.59411362080767</v>
      </c>
      <c r="J7" s="16" t="str">
        <f aca="true">IF(AND(A7&lt;&gt;"",F7&lt;&gt;"",F7&gt;=TODAY()),F7+ROW()/1000000,"")</f>
        <v/>
      </c>
    </row>
    <row r="8" customFormat="false" ht="15" hidden="false" customHeight="false" outlineLevel="0" collapsed="false">
      <c r="A8" s="12" t="s">
        <v>43</v>
      </c>
      <c r="B8" s="13" t="s">
        <v>44</v>
      </c>
      <c r="C8" s="13" t="s">
        <v>40</v>
      </c>
      <c r="D8" s="14" t="n">
        <v>45702</v>
      </c>
      <c r="E8" s="15" t="n">
        <v>52000</v>
      </c>
      <c r="F8" s="14" t="n">
        <v>46432</v>
      </c>
      <c r="G8" s="12" t="s">
        <v>37</v>
      </c>
      <c r="H8" s="16" t="str">
        <f aca="true">IF(A8="","",IF(F8="","Belirsiz",IF(F8&lt;TODAY(),"Bitti",IF(F8&lt;=TODAY()+30,"30 gün içinde","Sürüyor"))))</f>
        <v>Sürüyor</v>
      </c>
      <c r="I8" s="17" t="n">
        <f aca="true">IF(OR(A8="",D8=""),"",(TODAY()-D8)/365.25)</f>
        <v>1.63449691991786</v>
      </c>
      <c r="J8" s="18" t="n">
        <f aca="true">IF(AND(A8&lt;&gt;"",F8&lt;&gt;"",F8&gt;=TODAY()),F8+ROW()/1000000,"")</f>
        <v>46432.000008</v>
      </c>
    </row>
    <row r="9" customFormat="false" ht="15" hidden="false" customHeight="false" outlineLevel="0" collapsed="false">
      <c r="A9" s="12" t="s">
        <v>45</v>
      </c>
      <c r="B9" s="13" t="s">
        <v>35</v>
      </c>
      <c r="C9" s="13" t="s">
        <v>46</v>
      </c>
      <c r="D9" s="14" t="n">
        <v>46027</v>
      </c>
      <c r="E9" s="15" t="n">
        <v>7000</v>
      </c>
      <c r="F9" s="14"/>
      <c r="G9" s="12" t="s">
        <v>37</v>
      </c>
      <c r="H9" s="16" t="str">
        <f aca="true">IF(A9="","",IF(F9="","Belirsiz",IF(F9&lt;TODAY(),"Bitti",IF(F9&lt;=TODAY()+30,"30 gün içinde","Sürüyor"))))</f>
        <v>Belirsiz</v>
      </c>
      <c r="I9" s="17" t="n">
        <f aca="true">IF(OR(A9="",D9=""),"",(TODAY()-D9)/365.25)</f>
        <v>0.744695414099932</v>
      </c>
      <c r="J9" s="16" t="str">
        <f aca="true">IF(AND(A9&lt;&gt;"",F9&lt;&gt;"",F9&gt;=TODAY()),F9+ROW()/1000000,"")</f>
        <v/>
      </c>
    </row>
    <row r="10" customFormat="false" ht="15" hidden="false" customHeight="false" outlineLevel="0" collapsed="false">
      <c r="A10" s="12"/>
      <c r="B10" s="13"/>
      <c r="C10" s="13"/>
      <c r="D10" s="14"/>
      <c r="E10" s="15"/>
      <c r="F10" s="14"/>
      <c r="G10" s="12"/>
      <c r="H10" s="16" t="str">
        <f aca="true">IF(A10="","",IF(F10="","Belirsiz",IF(F10&lt;TODAY(),"Bitti",IF(F10&lt;=TODAY()+30,"30 gün içinde","Sürüyor"))))</f>
        <v/>
      </c>
      <c r="I10" s="17" t="str">
        <f aca="true">IF(OR(A10="",D10=""),"",(TODAY()-D10)/365.25)</f>
        <v/>
      </c>
      <c r="J10" s="16" t="str">
        <f aca="true">IF(AND(A10&lt;&gt;"",F10&lt;&gt;"",F10&gt;=TODAY()),F10+ROW()/1000000,"")</f>
        <v/>
      </c>
    </row>
    <row r="11" customFormat="false" ht="15" hidden="false" customHeight="false" outlineLevel="0" collapsed="false">
      <c r="A11" s="12"/>
      <c r="B11" s="13"/>
      <c r="C11" s="13"/>
      <c r="D11" s="14"/>
      <c r="E11" s="15"/>
      <c r="F11" s="14"/>
      <c r="G11" s="12"/>
      <c r="H11" s="16" t="str">
        <f aca="true">IF(A11="","",IF(F11="","Belirsiz",IF(F11&lt;TODAY(),"Bitti",IF(F11&lt;=TODAY()+30,"30 gün içinde","Sürüyor"))))</f>
        <v/>
      </c>
      <c r="I11" s="17" t="str">
        <f aca="true">IF(OR(A11="",D11=""),"",(TODAY()-D11)/365.25)</f>
        <v/>
      </c>
      <c r="J11" s="16" t="str">
        <f aca="true">IF(AND(A11&lt;&gt;"",F11&lt;&gt;"",F11&gt;=TODAY()),F11+ROW()/1000000,"")</f>
        <v/>
      </c>
    </row>
    <row r="12" customFormat="false" ht="15" hidden="false" customHeight="false" outlineLevel="0" collapsed="false">
      <c r="A12" s="12"/>
      <c r="B12" s="13"/>
      <c r="C12" s="13"/>
      <c r="D12" s="14"/>
      <c r="E12" s="15"/>
      <c r="F12" s="14"/>
      <c r="G12" s="12"/>
      <c r="H12" s="16" t="str">
        <f aca="true">IF(A12="","",IF(F12="","Belirsiz",IF(F12&lt;TODAY(),"Bitti",IF(F12&lt;=TODAY()+30,"30 gün içinde","Sürüyor"))))</f>
        <v/>
      </c>
      <c r="I12" s="17" t="str">
        <f aca="true">IF(OR(A12="",D12=""),"",(TODAY()-D12)/365.25)</f>
        <v/>
      </c>
      <c r="J12" s="16" t="str">
        <f aca="true">IF(AND(A12&lt;&gt;"",F12&lt;&gt;"",F12&gt;=TODAY()),F12+ROW()/1000000,"")</f>
        <v/>
      </c>
    </row>
    <row r="13" customFormat="false" ht="15" hidden="false" customHeight="false" outlineLevel="0" collapsed="false">
      <c r="A13" s="12"/>
      <c r="B13" s="13"/>
      <c r="C13" s="13"/>
      <c r="D13" s="14"/>
      <c r="E13" s="15"/>
      <c r="F13" s="14"/>
      <c r="G13" s="12"/>
      <c r="H13" s="16" t="str">
        <f aca="true">IF(A13="","",IF(F13="","Belirsiz",IF(F13&lt;TODAY(),"Bitti",IF(F13&lt;=TODAY()+30,"30 gün içinde","Sürüyor"))))</f>
        <v/>
      </c>
      <c r="I13" s="17" t="str">
        <f aca="true">IF(OR(A13="",D13=""),"",(TODAY()-D13)/365.25)</f>
        <v/>
      </c>
      <c r="J13" s="16" t="str">
        <f aca="true">IF(AND(A13&lt;&gt;"",F13&lt;&gt;"",F13&gt;=TODAY()),F13+ROW()/1000000,"")</f>
        <v/>
      </c>
    </row>
    <row r="14" customFormat="false" ht="15" hidden="false" customHeight="false" outlineLevel="0" collapsed="false">
      <c r="A14" s="12"/>
      <c r="B14" s="13"/>
      <c r="C14" s="13"/>
      <c r="D14" s="14"/>
      <c r="E14" s="15"/>
      <c r="F14" s="14"/>
      <c r="G14" s="12"/>
      <c r="H14" s="16" t="str">
        <f aca="true">IF(A14="","",IF(F14="","Belirsiz",IF(F14&lt;TODAY(),"Bitti",IF(F14&lt;=TODAY()+30,"30 gün içinde","Sürüyor"))))</f>
        <v/>
      </c>
      <c r="I14" s="17" t="str">
        <f aca="true">IF(OR(A14="",D14=""),"",(TODAY()-D14)/365.25)</f>
        <v/>
      </c>
      <c r="J14" s="16" t="str">
        <f aca="true">IF(AND(A14&lt;&gt;"",F14&lt;&gt;"",F14&gt;=TODAY()),F14+ROW()/1000000,"")</f>
        <v/>
      </c>
    </row>
    <row r="15" customFormat="false" ht="15" hidden="false" customHeight="false" outlineLevel="0" collapsed="false">
      <c r="A15" s="12"/>
      <c r="B15" s="13"/>
      <c r="C15" s="13"/>
      <c r="D15" s="14"/>
      <c r="E15" s="15"/>
      <c r="F15" s="14"/>
      <c r="G15" s="12"/>
      <c r="H15" s="16" t="str">
        <f aca="true">IF(A15="","",IF(F15="","Belirsiz",IF(F15&lt;TODAY(),"Bitti",IF(F15&lt;=TODAY()+30,"30 gün içinde","Sürüyor"))))</f>
        <v/>
      </c>
      <c r="I15" s="17" t="str">
        <f aca="true">IF(OR(A15="",D15=""),"",(TODAY()-D15)/365.25)</f>
        <v/>
      </c>
      <c r="J15" s="16" t="str">
        <f aca="true">IF(AND(A15&lt;&gt;"",F15&lt;&gt;"",F15&gt;=TODAY()),F15+ROW()/1000000,"")</f>
        <v/>
      </c>
    </row>
    <row r="16" customFormat="false" ht="15" hidden="false" customHeight="false" outlineLevel="0" collapsed="false">
      <c r="A16" s="12"/>
      <c r="B16" s="13"/>
      <c r="C16" s="13"/>
      <c r="D16" s="14"/>
      <c r="E16" s="15"/>
      <c r="F16" s="14"/>
      <c r="G16" s="12"/>
      <c r="H16" s="16" t="str">
        <f aca="true">IF(A16="","",IF(F16="","Belirsiz",IF(F16&lt;TODAY(),"Bitti",IF(F16&lt;=TODAY()+30,"30 gün içinde","Sürüyor"))))</f>
        <v/>
      </c>
      <c r="I16" s="17" t="str">
        <f aca="true">IF(OR(A16="",D16=""),"",(TODAY()-D16)/365.25)</f>
        <v/>
      </c>
      <c r="J16" s="16" t="str">
        <f aca="true">IF(AND(A16&lt;&gt;"",F16&lt;&gt;"",F16&gt;=TODAY()),F16+ROW()/1000000,"")</f>
        <v/>
      </c>
    </row>
    <row r="17" customFormat="false" ht="15" hidden="false" customHeight="false" outlineLevel="0" collapsed="false">
      <c r="A17" s="12"/>
      <c r="B17" s="13"/>
      <c r="C17" s="13"/>
      <c r="D17" s="14"/>
      <c r="E17" s="15"/>
      <c r="F17" s="14"/>
      <c r="G17" s="12"/>
      <c r="H17" s="16" t="str">
        <f aca="true">IF(A17="","",IF(F17="","Belirsiz",IF(F17&lt;TODAY(),"Bitti",IF(F17&lt;=TODAY()+30,"30 gün içinde","Sürüyor"))))</f>
        <v/>
      </c>
      <c r="I17" s="17" t="str">
        <f aca="true">IF(OR(A17="",D17=""),"",(TODAY()-D17)/365.25)</f>
        <v/>
      </c>
      <c r="J17" s="16" t="str">
        <f aca="true">IF(AND(A17&lt;&gt;"",F17&lt;&gt;"",F17&gt;=TODAY()),F17+ROW()/1000000,"")</f>
        <v/>
      </c>
    </row>
    <row r="18" customFormat="false" ht="15" hidden="false" customHeight="false" outlineLevel="0" collapsed="false">
      <c r="A18" s="12"/>
      <c r="B18" s="13"/>
      <c r="C18" s="13"/>
      <c r="D18" s="14"/>
      <c r="E18" s="15"/>
      <c r="F18" s="14"/>
      <c r="G18" s="12"/>
      <c r="H18" s="16" t="str">
        <f aca="true">IF(A18="","",IF(F18="","Belirsiz",IF(F18&lt;TODAY(),"Bitti",IF(F18&lt;=TODAY()+30,"30 gün içinde","Sürüyor"))))</f>
        <v/>
      </c>
      <c r="I18" s="17" t="str">
        <f aca="true">IF(OR(A18="",D18=""),"",(TODAY()-D18)/365.25)</f>
        <v/>
      </c>
      <c r="J18" s="16" t="str">
        <f aca="true">IF(AND(A18&lt;&gt;"",F18&lt;&gt;"",F18&gt;=TODAY()),F18+ROW()/1000000,"")</f>
        <v/>
      </c>
    </row>
    <row r="19" customFormat="false" ht="15" hidden="false" customHeight="false" outlineLevel="0" collapsed="false">
      <c r="A19" s="12"/>
      <c r="B19" s="13"/>
      <c r="C19" s="13"/>
      <c r="D19" s="14"/>
      <c r="E19" s="15"/>
      <c r="F19" s="14"/>
      <c r="G19" s="12"/>
      <c r="H19" s="16" t="str">
        <f aca="true">IF(A19="","",IF(F19="","Belirsiz",IF(F19&lt;TODAY(),"Bitti",IF(F19&lt;=TODAY()+30,"30 gün içinde","Sürüyor"))))</f>
        <v/>
      </c>
      <c r="I19" s="17" t="str">
        <f aca="true">IF(OR(A19="",D19=""),"",(TODAY()-D19)/365.25)</f>
        <v/>
      </c>
      <c r="J19" s="16" t="str">
        <f aca="true">IF(AND(A19&lt;&gt;"",F19&lt;&gt;"",F19&gt;=TODAY()),F19+ROW()/1000000,"")</f>
        <v/>
      </c>
    </row>
    <row r="20" customFormat="false" ht="15" hidden="false" customHeight="false" outlineLevel="0" collapsed="false">
      <c r="A20" s="12"/>
      <c r="B20" s="13"/>
      <c r="C20" s="13"/>
      <c r="D20" s="14"/>
      <c r="E20" s="15"/>
      <c r="F20" s="14"/>
      <c r="G20" s="12"/>
      <c r="H20" s="16" t="str">
        <f aca="true">IF(A20="","",IF(F20="","Belirsiz",IF(F20&lt;TODAY(),"Bitti",IF(F20&lt;=TODAY()+30,"30 gün içinde","Sürüyor"))))</f>
        <v/>
      </c>
      <c r="I20" s="17" t="str">
        <f aca="true">IF(OR(A20="",D20=""),"",(TODAY()-D20)/365.25)</f>
        <v/>
      </c>
      <c r="J20" s="16" t="str">
        <f aca="true">IF(AND(A20&lt;&gt;"",F20&lt;&gt;"",F20&gt;=TODAY()),F20+ROW()/1000000,"")</f>
        <v/>
      </c>
    </row>
    <row r="21" customFormat="false" ht="15" hidden="false" customHeight="false" outlineLevel="0" collapsed="false">
      <c r="A21" s="12"/>
      <c r="B21" s="13"/>
      <c r="C21" s="13"/>
      <c r="D21" s="14"/>
      <c r="E21" s="15"/>
      <c r="F21" s="14"/>
      <c r="G21" s="12"/>
      <c r="H21" s="16" t="str">
        <f aca="true">IF(A21="","",IF(F21="","Belirsiz",IF(F21&lt;TODAY(),"Bitti",IF(F21&lt;=TODAY()+30,"30 gün içinde","Sürüyor"))))</f>
        <v/>
      </c>
      <c r="I21" s="17" t="str">
        <f aca="true">IF(OR(A21="",D21=""),"",(TODAY()-D21)/365.25)</f>
        <v/>
      </c>
      <c r="J21" s="16" t="str">
        <f aca="true">IF(AND(A21&lt;&gt;"",F21&lt;&gt;"",F21&gt;=TODAY()),F21+ROW()/1000000,"")</f>
        <v/>
      </c>
    </row>
    <row r="22" customFormat="false" ht="15" hidden="false" customHeight="false" outlineLevel="0" collapsed="false">
      <c r="A22" s="12"/>
      <c r="B22" s="13"/>
      <c r="C22" s="13"/>
      <c r="D22" s="14"/>
      <c r="E22" s="15"/>
      <c r="F22" s="14"/>
      <c r="G22" s="12"/>
      <c r="H22" s="16" t="str">
        <f aca="true">IF(A22="","",IF(F22="","Belirsiz",IF(F22&lt;TODAY(),"Bitti",IF(F22&lt;=TODAY()+30,"30 gün içinde","Sürüyor"))))</f>
        <v/>
      </c>
      <c r="I22" s="17" t="str">
        <f aca="true">IF(OR(A22="",D22=""),"",(TODAY()-D22)/365.25)</f>
        <v/>
      </c>
      <c r="J22" s="16" t="str">
        <f aca="true">IF(AND(A22&lt;&gt;"",F22&lt;&gt;"",F22&gt;=TODAY()),F22+ROW()/1000000,"")</f>
        <v/>
      </c>
    </row>
    <row r="23" customFormat="false" ht="15" hidden="false" customHeight="false" outlineLevel="0" collapsed="false">
      <c r="A23" s="12"/>
      <c r="B23" s="13"/>
      <c r="C23" s="13"/>
      <c r="D23" s="14"/>
      <c r="E23" s="15"/>
      <c r="F23" s="14"/>
      <c r="G23" s="12"/>
      <c r="H23" s="16" t="str">
        <f aca="true">IF(A23="","",IF(F23="","Belirsiz",IF(F23&lt;TODAY(),"Bitti",IF(F23&lt;=TODAY()+30,"30 gün içinde","Sürüyor"))))</f>
        <v/>
      </c>
      <c r="I23" s="17" t="str">
        <f aca="true">IF(OR(A23="",D23=""),"",(TODAY()-D23)/365.25)</f>
        <v/>
      </c>
      <c r="J23" s="16" t="str">
        <f aca="true">IF(AND(A23&lt;&gt;"",F23&lt;&gt;"",F23&gt;=TODAY()),F23+ROW()/1000000,"")</f>
        <v/>
      </c>
    </row>
    <row r="24" customFormat="false" ht="15" hidden="false" customHeight="false" outlineLevel="0" collapsed="false">
      <c r="A24" s="12"/>
      <c r="B24" s="13"/>
      <c r="C24" s="13"/>
      <c r="D24" s="14"/>
      <c r="E24" s="15"/>
      <c r="F24" s="14"/>
      <c r="G24" s="12"/>
      <c r="H24" s="16" t="str">
        <f aca="true">IF(A24="","",IF(F24="","Belirsiz",IF(F24&lt;TODAY(),"Bitti",IF(F24&lt;=TODAY()+30,"30 gün içinde","Sürüyor"))))</f>
        <v/>
      </c>
      <c r="I24" s="17" t="str">
        <f aca="true">IF(OR(A24="",D24=""),"",(TODAY()-D24)/365.25)</f>
        <v/>
      </c>
      <c r="J24" s="16" t="str">
        <f aca="true">IF(AND(A24&lt;&gt;"",F24&lt;&gt;"",F24&gt;=TODAY()),F24+ROW()/1000000,"")</f>
        <v/>
      </c>
    </row>
    <row r="25" customFormat="false" ht="15" hidden="false" customHeight="false" outlineLevel="0" collapsed="false">
      <c r="A25" s="12"/>
      <c r="B25" s="13"/>
      <c r="C25" s="13"/>
      <c r="D25" s="14"/>
      <c r="E25" s="15"/>
      <c r="F25" s="14"/>
      <c r="G25" s="12"/>
      <c r="H25" s="16" t="str">
        <f aca="true">IF(A25="","",IF(F25="","Belirsiz",IF(F25&lt;TODAY(),"Bitti",IF(F25&lt;=TODAY()+30,"30 gün içinde","Sürüyor"))))</f>
        <v/>
      </c>
      <c r="I25" s="17" t="str">
        <f aca="true">IF(OR(A25="",D25=""),"",(TODAY()-D25)/365.25)</f>
        <v/>
      </c>
      <c r="J25" s="16" t="str">
        <f aca="true">IF(AND(A25&lt;&gt;"",F25&lt;&gt;"",F25&gt;=TODAY()),F25+ROW()/1000000,"")</f>
        <v/>
      </c>
    </row>
    <row r="26" customFormat="false" ht="15" hidden="false" customHeight="false" outlineLevel="0" collapsed="false">
      <c r="A26" s="12"/>
      <c r="B26" s="13"/>
      <c r="C26" s="13"/>
      <c r="D26" s="14"/>
      <c r="E26" s="15"/>
      <c r="F26" s="14"/>
      <c r="G26" s="12"/>
      <c r="H26" s="16" t="str">
        <f aca="true">IF(A26="","",IF(F26="","Belirsiz",IF(F26&lt;TODAY(),"Bitti",IF(F26&lt;=TODAY()+30,"30 gün içinde","Sürüyor"))))</f>
        <v/>
      </c>
      <c r="I26" s="17" t="str">
        <f aca="true">IF(OR(A26="",D26=""),"",(TODAY()-D26)/365.25)</f>
        <v/>
      </c>
      <c r="J26" s="16" t="str">
        <f aca="true">IF(AND(A26&lt;&gt;"",F26&lt;&gt;"",F26&gt;=TODAY()),F26+ROW()/1000000,"")</f>
        <v/>
      </c>
    </row>
    <row r="27" customFormat="false" ht="15" hidden="false" customHeight="false" outlineLevel="0" collapsed="false">
      <c r="A27" s="12"/>
      <c r="B27" s="13"/>
      <c r="C27" s="13"/>
      <c r="D27" s="14"/>
      <c r="E27" s="15"/>
      <c r="F27" s="14"/>
      <c r="G27" s="12"/>
      <c r="H27" s="16" t="str">
        <f aca="true">IF(A27="","",IF(F27="","Belirsiz",IF(F27&lt;TODAY(),"Bitti",IF(F27&lt;=TODAY()+30,"30 gün içinde","Sürüyor"))))</f>
        <v/>
      </c>
      <c r="I27" s="17" t="str">
        <f aca="true">IF(OR(A27="",D27=""),"",(TODAY()-D27)/365.25)</f>
        <v/>
      </c>
      <c r="J27" s="16" t="str">
        <f aca="true">IF(AND(A27&lt;&gt;"",F27&lt;&gt;"",F27&gt;=TODAY()),F27+ROW()/1000000,"")</f>
        <v/>
      </c>
    </row>
    <row r="28" customFormat="false" ht="15" hidden="false" customHeight="false" outlineLevel="0" collapsed="false">
      <c r="A28" s="12"/>
      <c r="B28" s="13"/>
      <c r="C28" s="13"/>
      <c r="D28" s="14"/>
      <c r="E28" s="15"/>
      <c r="F28" s="14"/>
      <c r="G28" s="12"/>
      <c r="H28" s="16" t="str">
        <f aca="true">IF(A28="","",IF(F28="","Belirsiz",IF(F28&lt;TODAY(),"Bitti",IF(F28&lt;=TODAY()+30,"30 gün içinde","Sürüyor"))))</f>
        <v/>
      </c>
      <c r="I28" s="17" t="str">
        <f aca="true">IF(OR(A28="",D28=""),"",(TODAY()-D28)/365.25)</f>
        <v/>
      </c>
      <c r="J28" s="16" t="str">
        <f aca="true">IF(AND(A28&lt;&gt;"",F28&lt;&gt;"",F28&gt;=TODAY()),F28+ROW()/1000000,"")</f>
        <v/>
      </c>
    </row>
    <row r="29" customFormat="false" ht="15" hidden="false" customHeight="false" outlineLevel="0" collapsed="false">
      <c r="A29" s="12"/>
      <c r="B29" s="13"/>
      <c r="C29" s="13"/>
      <c r="D29" s="14"/>
      <c r="E29" s="15"/>
      <c r="F29" s="14"/>
      <c r="G29" s="12"/>
      <c r="H29" s="16" t="str">
        <f aca="true">IF(A29="","",IF(F29="","Belirsiz",IF(F29&lt;TODAY(),"Bitti",IF(F29&lt;=TODAY()+30,"30 gün içinde","Sürüyor"))))</f>
        <v/>
      </c>
      <c r="I29" s="17" t="str">
        <f aca="true">IF(OR(A29="",D29=""),"",(TODAY()-D29)/365.25)</f>
        <v/>
      </c>
      <c r="J29" s="16" t="str">
        <f aca="true">IF(AND(A29&lt;&gt;"",F29&lt;&gt;"",F29&gt;=TODAY()),F29+ROW()/1000000,"")</f>
        <v/>
      </c>
    </row>
    <row r="30" customFormat="false" ht="15" hidden="false" customHeight="false" outlineLevel="0" collapsed="false">
      <c r="A30" s="12"/>
      <c r="B30" s="13"/>
      <c r="C30" s="13"/>
      <c r="D30" s="14"/>
      <c r="E30" s="15"/>
      <c r="F30" s="14"/>
      <c r="G30" s="12"/>
      <c r="H30" s="16" t="str">
        <f aca="true">IF(A30="","",IF(F30="","Belirsiz",IF(F30&lt;TODAY(),"Bitti",IF(F30&lt;=TODAY()+30,"30 gün içinde","Sürüyor"))))</f>
        <v/>
      </c>
      <c r="I30" s="17" t="str">
        <f aca="true">IF(OR(A30="",D30=""),"",(TODAY()-D30)/365.25)</f>
        <v/>
      </c>
      <c r="J30" s="16" t="str">
        <f aca="true">IF(AND(A30&lt;&gt;"",F30&lt;&gt;"",F30&gt;=TODAY()),F30+ROW()/1000000,"")</f>
        <v/>
      </c>
    </row>
    <row r="31" customFormat="false" ht="15" hidden="false" customHeight="false" outlineLevel="0" collapsed="false">
      <c r="A31" s="12"/>
      <c r="B31" s="13"/>
      <c r="C31" s="13"/>
      <c r="D31" s="14"/>
      <c r="E31" s="15"/>
      <c r="F31" s="14"/>
      <c r="G31" s="12"/>
      <c r="H31" s="16" t="str">
        <f aca="true">IF(A31="","",IF(F31="","Belirsiz",IF(F31&lt;TODAY(),"Bitti",IF(F31&lt;=TODAY()+30,"30 gün içinde","Sürüyor"))))</f>
        <v/>
      </c>
      <c r="I31" s="17" t="str">
        <f aca="true">IF(OR(A31="",D31=""),"",(TODAY()-D31)/365.25)</f>
        <v/>
      </c>
      <c r="J31" s="16" t="str">
        <f aca="true">IF(AND(A31&lt;&gt;"",F31&lt;&gt;"",F31&gt;=TODAY()),F31+ROW()/1000000,"")</f>
        <v/>
      </c>
    </row>
    <row r="32" customFormat="false" ht="15" hidden="false" customHeight="false" outlineLevel="0" collapsed="false">
      <c r="A32" s="12"/>
      <c r="B32" s="13"/>
      <c r="C32" s="13"/>
      <c r="D32" s="14"/>
      <c r="E32" s="15"/>
      <c r="F32" s="14"/>
      <c r="G32" s="12"/>
      <c r="H32" s="16" t="str">
        <f aca="true">IF(A32="","",IF(F32="","Belirsiz",IF(F32&lt;TODAY(),"Bitti",IF(F32&lt;=TODAY()+30,"30 gün içinde","Sürüyor"))))</f>
        <v/>
      </c>
      <c r="I32" s="17" t="str">
        <f aca="true">IF(OR(A32="",D32=""),"",(TODAY()-D32)/365.25)</f>
        <v/>
      </c>
      <c r="J32" s="16" t="str">
        <f aca="true">IF(AND(A32&lt;&gt;"",F32&lt;&gt;"",F32&gt;=TODAY()),F32+ROW()/1000000,"")</f>
        <v/>
      </c>
    </row>
    <row r="33" customFormat="false" ht="15" hidden="false" customHeight="false" outlineLevel="0" collapsed="false">
      <c r="A33" s="12"/>
      <c r="B33" s="13"/>
      <c r="C33" s="13"/>
      <c r="D33" s="14"/>
      <c r="E33" s="15"/>
      <c r="F33" s="14"/>
      <c r="G33" s="12"/>
      <c r="H33" s="16" t="str">
        <f aca="true">IF(A33="","",IF(F33="","Belirsiz",IF(F33&lt;TODAY(),"Bitti",IF(F33&lt;=TODAY()+30,"30 gün içinde","Sürüyor"))))</f>
        <v/>
      </c>
      <c r="I33" s="17" t="str">
        <f aca="true">IF(OR(A33="",D33=""),"",(TODAY()-D33)/365.25)</f>
        <v/>
      </c>
      <c r="J33" s="16" t="str">
        <f aca="true">IF(AND(A33&lt;&gt;"",F33&lt;&gt;"",F33&gt;=TODAY()),F33+ROW()/1000000,"")</f>
        <v/>
      </c>
    </row>
    <row r="34" customFormat="false" ht="15" hidden="false" customHeight="false" outlineLevel="0" collapsed="false">
      <c r="A34" s="12"/>
      <c r="B34" s="13"/>
      <c r="C34" s="13"/>
      <c r="D34" s="14"/>
      <c r="E34" s="15"/>
      <c r="F34" s="14"/>
      <c r="G34" s="12"/>
      <c r="H34" s="16" t="str">
        <f aca="true">IF(A34="","",IF(F34="","Belirsiz",IF(F34&lt;TODAY(),"Bitti",IF(F34&lt;=TODAY()+30,"30 gün içinde","Sürüyor"))))</f>
        <v/>
      </c>
      <c r="I34" s="17" t="str">
        <f aca="true">IF(OR(A34="",D34=""),"",(TODAY()-D34)/365.25)</f>
        <v/>
      </c>
      <c r="J34" s="16" t="str">
        <f aca="true">IF(AND(A34&lt;&gt;"",F34&lt;&gt;"",F34&gt;=TODAY()),F34+ROW()/1000000,"")</f>
        <v/>
      </c>
    </row>
    <row r="35" customFormat="false" ht="15" hidden="false" customHeight="false" outlineLevel="0" collapsed="false">
      <c r="A35" s="12"/>
      <c r="B35" s="13"/>
      <c r="C35" s="13"/>
      <c r="D35" s="14"/>
      <c r="E35" s="15"/>
      <c r="F35" s="14"/>
      <c r="G35" s="12"/>
      <c r="H35" s="16" t="str">
        <f aca="true">IF(A35="","",IF(F35="","Belirsiz",IF(F35&lt;TODAY(),"Bitti",IF(F35&lt;=TODAY()+30,"30 gün içinde","Sürüyor"))))</f>
        <v/>
      </c>
      <c r="I35" s="17" t="str">
        <f aca="true">IF(OR(A35="",D35=""),"",(TODAY()-D35)/365.25)</f>
        <v/>
      </c>
      <c r="J35" s="16" t="str">
        <f aca="true">IF(AND(A35&lt;&gt;"",F35&lt;&gt;"",F35&gt;=TODAY()),F35+ROW()/1000000,"")</f>
        <v/>
      </c>
    </row>
    <row r="36" customFormat="false" ht="15" hidden="false" customHeight="false" outlineLevel="0" collapsed="false">
      <c r="A36" s="12"/>
      <c r="B36" s="13"/>
      <c r="C36" s="13"/>
      <c r="D36" s="14"/>
      <c r="E36" s="15"/>
      <c r="F36" s="14"/>
      <c r="G36" s="12"/>
      <c r="H36" s="16" t="str">
        <f aca="true">IF(A36="","",IF(F36="","Belirsiz",IF(F36&lt;TODAY(),"Bitti",IF(F36&lt;=TODAY()+30,"30 gün içinde","Sürüyor"))))</f>
        <v/>
      </c>
      <c r="I36" s="17" t="str">
        <f aca="true">IF(OR(A36="",D36=""),"",(TODAY()-D36)/365.25)</f>
        <v/>
      </c>
      <c r="J36" s="16" t="str">
        <f aca="true">IF(AND(A36&lt;&gt;"",F36&lt;&gt;"",F36&gt;=TODAY()),F36+ROW()/1000000,"")</f>
        <v/>
      </c>
    </row>
    <row r="37" customFormat="false" ht="15" hidden="false" customHeight="false" outlineLevel="0" collapsed="false">
      <c r="A37" s="12"/>
      <c r="B37" s="13"/>
      <c r="C37" s="13"/>
      <c r="D37" s="14"/>
      <c r="E37" s="15"/>
      <c r="F37" s="14"/>
      <c r="G37" s="12"/>
      <c r="H37" s="16" t="str">
        <f aca="true">IF(A37="","",IF(F37="","Belirsiz",IF(F37&lt;TODAY(),"Bitti",IF(F37&lt;=TODAY()+30,"30 gün içinde","Sürüyor"))))</f>
        <v/>
      </c>
      <c r="I37" s="17" t="str">
        <f aca="true">IF(OR(A37="",D37=""),"",(TODAY()-D37)/365.25)</f>
        <v/>
      </c>
      <c r="J37" s="16" t="str">
        <f aca="true">IF(AND(A37&lt;&gt;"",F37&lt;&gt;"",F37&gt;=TODAY()),F37+ROW()/1000000,"")</f>
        <v/>
      </c>
    </row>
    <row r="38" customFormat="false" ht="15" hidden="false" customHeight="false" outlineLevel="0" collapsed="false">
      <c r="A38" s="12"/>
      <c r="B38" s="13"/>
      <c r="C38" s="13"/>
      <c r="D38" s="14"/>
      <c r="E38" s="15"/>
      <c r="F38" s="14"/>
      <c r="G38" s="12"/>
      <c r="H38" s="16" t="str">
        <f aca="true">IF(A38="","",IF(F38="","Belirsiz",IF(F38&lt;TODAY(),"Bitti",IF(F38&lt;=TODAY()+30,"30 gün içinde","Sürüyor"))))</f>
        <v/>
      </c>
      <c r="I38" s="17" t="str">
        <f aca="true">IF(OR(A38="",D38=""),"",(TODAY()-D38)/365.25)</f>
        <v/>
      </c>
      <c r="J38" s="16" t="str">
        <f aca="true">IF(AND(A38&lt;&gt;"",F38&lt;&gt;"",F38&gt;=TODAY()),F38+ROW()/1000000,"")</f>
        <v/>
      </c>
    </row>
    <row r="39" customFormat="false" ht="15" hidden="false" customHeight="false" outlineLevel="0" collapsed="false">
      <c r="A39" s="12"/>
      <c r="B39" s="13"/>
      <c r="C39" s="13"/>
      <c r="D39" s="14"/>
      <c r="E39" s="15"/>
      <c r="F39" s="14"/>
      <c r="G39" s="12"/>
      <c r="H39" s="16" t="str">
        <f aca="true">IF(A39="","",IF(F39="","Belirsiz",IF(F39&lt;TODAY(),"Bitti",IF(F39&lt;=TODAY()+30,"30 gün içinde","Sürüyor"))))</f>
        <v/>
      </c>
      <c r="I39" s="17" t="str">
        <f aca="true">IF(OR(A39="",D39=""),"",(TODAY()-D39)/365.25)</f>
        <v/>
      </c>
      <c r="J39" s="16" t="str">
        <f aca="true">IF(AND(A39&lt;&gt;"",F39&lt;&gt;"",F39&gt;=TODAY()),F39+ROW()/1000000,"")</f>
        <v/>
      </c>
    </row>
    <row r="40" customFormat="false" ht="15" hidden="false" customHeight="false" outlineLevel="0" collapsed="false">
      <c r="A40" s="12"/>
      <c r="B40" s="13"/>
      <c r="C40" s="13"/>
      <c r="D40" s="14"/>
      <c r="E40" s="15"/>
      <c r="F40" s="14"/>
      <c r="G40" s="12"/>
      <c r="H40" s="16" t="str">
        <f aca="true">IF(A40="","",IF(F40="","Belirsiz",IF(F40&lt;TODAY(),"Bitti",IF(F40&lt;=TODAY()+30,"30 gün içinde","Sürüyor"))))</f>
        <v/>
      </c>
      <c r="I40" s="17" t="str">
        <f aca="true">IF(OR(A40="",D40=""),"",(TODAY()-D40)/365.25)</f>
        <v/>
      </c>
      <c r="J40" s="16" t="str">
        <f aca="true">IF(AND(A40&lt;&gt;"",F40&lt;&gt;"",F40&gt;=TODAY()),F40+ROW()/1000000,"")</f>
        <v/>
      </c>
    </row>
    <row r="41" customFormat="false" ht="15" hidden="false" customHeight="false" outlineLevel="0" collapsed="false">
      <c r="A41" s="12"/>
      <c r="B41" s="13"/>
      <c r="C41" s="13"/>
      <c r="D41" s="14"/>
      <c r="E41" s="15"/>
      <c r="F41" s="14"/>
      <c r="G41" s="12"/>
      <c r="H41" s="16" t="str">
        <f aca="true">IF(A41="","",IF(F41="","Belirsiz",IF(F41&lt;TODAY(),"Bitti",IF(F41&lt;=TODAY()+30,"30 gün içinde","Sürüyor"))))</f>
        <v/>
      </c>
      <c r="I41" s="17" t="str">
        <f aca="true">IF(OR(A41="",D41=""),"",(TODAY()-D41)/365.25)</f>
        <v/>
      </c>
      <c r="J41" s="16" t="str">
        <f aca="true">IF(AND(A41&lt;&gt;"",F41&lt;&gt;"",F41&gt;=TODAY()),F41+ROW()/1000000,"")</f>
        <v/>
      </c>
    </row>
    <row r="42" customFormat="false" ht="15" hidden="false" customHeight="false" outlineLevel="0" collapsed="false">
      <c r="A42" s="12"/>
      <c r="B42" s="13"/>
      <c r="C42" s="13"/>
      <c r="D42" s="14"/>
      <c r="E42" s="15"/>
      <c r="F42" s="14"/>
      <c r="G42" s="12"/>
      <c r="H42" s="16" t="str">
        <f aca="true">IF(A42="","",IF(F42="","Belirsiz",IF(F42&lt;TODAY(),"Bitti",IF(F42&lt;=TODAY()+30,"30 gün içinde","Sürüyor"))))</f>
        <v/>
      </c>
      <c r="I42" s="17" t="str">
        <f aca="true">IF(OR(A42="",D42=""),"",(TODAY()-D42)/365.25)</f>
        <v/>
      </c>
      <c r="J42" s="16" t="str">
        <f aca="true">IF(AND(A42&lt;&gt;"",F42&lt;&gt;"",F42&gt;=TODAY()),F42+ROW()/1000000,"")</f>
        <v/>
      </c>
    </row>
    <row r="43" customFormat="false" ht="15" hidden="false" customHeight="false" outlineLevel="0" collapsed="false">
      <c r="A43" s="12"/>
      <c r="B43" s="13"/>
      <c r="C43" s="13"/>
      <c r="D43" s="14"/>
      <c r="E43" s="15"/>
      <c r="F43" s="14"/>
      <c r="G43" s="12"/>
      <c r="H43" s="16" t="str">
        <f aca="true">IF(A43="","",IF(F43="","Belirsiz",IF(F43&lt;TODAY(),"Bitti",IF(F43&lt;=TODAY()+30,"30 gün içinde","Sürüyor"))))</f>
        <v/>
      </c>
      <c r="I43" s="17" t="str">
        <f aca="true">IF(OR(A43="",D43=""),"",(TODAY()-D43)/365.25)</f>
        <v/>
      </c>
      <c r="J43" s="16" t="str">
        <f aca="true">IF(AND(A43&lt;&gt;"",F43&lt;&gt;"",F43&gt;=TODAY()),F43+ROW()/1000000,"")</f>
        <v/>
      </c>
    </row>
    <row r="44" customFormat="false" ht="15" hidden="false" customHeight="false" outlineLevel="0" collapsed="false">
      <c r="A44" s="12"/>
      <c r="B44" s="13"/>
      <c r="C44" s="13"/>
      <c r="D44" s="14"/>
      <c r="E44" s="15"/>
      <c r="F44" s="14"/>
      <c r="G44" s="12"/>
      <c r="H44" s="16" t="str">
        <f aca="true">IF(A44="","",IF(F44="","Belirsiz",IF(F44&lt;TODAY(),"Bitti",IF(F44&lt;=TODAY()+30,"30 gün içinde","Sürüyor"))))</f>
        <v/>
      </c>
      <c r="I44" s="17" t="str">
        <f aca="true">IF(OR(A44="",D44=""),"",(TODAY()-D44)/365.25)</f>
        <v/>
      </c>
      <c r="J44" s="16" t="str">
        <f aca="true">IF(AND(A44&lt;&gt;"",F44&lt;&gt;"",F44&gt;=TODAY()),F44+ROW()/1000000,"")</f>
        <v/>
      </c>
    </row>
    <row r="45" customFormat="false" ht="15" hidden="false" customHeight="false" outlineLevel="0" collapsed="false">
      <c r="A45" s="12"/>
      <c r="B45" s="13"/>
      <c r="C45" s="13"/>
      <c r="D45" s="14"/>
      <c r="E45" s="15"/>
      <c r="F45" s="14"/>
      <c r="G45" s="12"/>
      <c r="H45" s="16" t="str">
        <f aca="true">IF(A45="","",IF(F45="","Belirsiz",IF(F45&lt;TODAY(),"Bitti",IF(F45&lt;=TODAY()+30,"30 gün içinde","Sürüyor"))))</f>
        <v/>
      </c>
      <c r="I45" s="17" t="str">
        <f aca="true">IF(OR(A45="",D45=""),"",(TODAY()-D45)/365.25)</f>
        <v/>
      </c>
      <c r="J45" s="16" t="str">
        <f aca="true">IF(AND(A45&lt;&gt;"",F45&lt;&gt;"",F45&gt;=TODAY()),F45+ROW()/1000000,"")</f>
        <v/>
      </c>
    </row>
    <row r="46" customFormat="false" ht="15" hidden="false" customHeight="false" outlineLevel="0" collapsed="false">
      <c r="A46" s="12"/>
      <c r="B46" s="13"/>
      <c r="C46" s="13"/>
      <c r="D46" s="14"/>
      <c r="E46" s="15"/>
      <c r="F46" s="14"/>
      <c r="G46" s="12"/>
      <c r="H46" s="16" t="str">
        <f aca="true">IF(A46="","",IF(F46="","Belirsiz",IF(F46&lt;TODAY(),"Bitti",IF(F46&lt;=TODAY()+30,"30 gün içinde","Sürüyor"))))</f>
        <v/>
      </c>
      <c r="I46" s="17" t="str">
        <f aca="true">IF(OR(A46="",D46=""),"",(TODAY()-D46)/365.25)</f>
        <v/>
      </c>
      <c r="J46" s="16" t="str">
        <f aca="true">IF(AND(A46&lt;&gt;"",F46&lt;&gt;"",F46&gt;=TODAY()),F46+ROW()/1000000,"")</f>
        <v/>
      </c>
    </row>
    <row r="47" customFormat="false" ht="15" hidden="false" customHeight="false" outlineLevel="0" collapsed="false">
      <c r="A47" s="12"/>
      <c r="B47" s="13"/>
      <c r="C47" s="13"/>
      <c r="D47" s="14"/>
      <c r="E47" s="15"/>
      <c r="F47" s="14"/>
      <c r="G47" s="12"/>
      <c r="H47" s="16" t="str">
        <f aca="true">IF(A47="","",IF(F47="","Belirsiz",IF(F47&lt;TODAY(),"Bitti",IF(F47&lt;=TODAY()+30,"30 gün içinde","Sürüyor"))))</f>
        <v/>
      </c>
      <c r="I47" s="17" t="str">
        <f aca="true">IF(OR(A47="",D47=""),"",(TODAY()-D47)/365.25)</f>
        <v/>
      </c>
      <c r="J47" s="16" t="str">
        <f aca="true">IF(AND(A47&lt;&gt;"",F47&lt;&gt;"",F47&gt;=TODAY()),F47+ROW()/1000000,"")</f>
        <v/>
      </c>
    </row>
    <row r="48" customFormat="false" ht="15" hidden="false" customHeight="false" outlineLevel="0" collapsed="false">
      <c r="A48" s="12"/>
      <c r="B48" s="13"/>
      <c r="C48" s="13"/>
      <c r="D48" s="14"/>
      <c r="E48" s="15"/>
      <c r="F48" s="14"/>
      <c r="G48" s="12"/>
      <c r="H48" s="16" t="str">
        <f aca="true">IF(A48="","",IF(F48="","Belirsiz",IF(F48&lt;TODAY(),"Bitti",IF(F48&lt;=TODAY()+30,"30 gün içinde","Sürüyor"))))</f>
        <v/>
      </c>
      <c r="I48" s="17" t="str">
        <f aca="true">IF(OR(A48="",D48=""),"",(TODAY()-D48)/365.25)</f>
        <v/>
      </c>
      <c r="J48" s="16" t="str">
        <f aca="true">IF(AND(A48&lt;&gt;"",F48&lt;&gt;"",F48&gt;=TODAY()),F48+ROW()/1000000,"")</f>
        <v/>
      </c>
    </row>
    <row r="49" customFormat="false" ht="15" hidden="false" customHeight="false" outlineLevel="0" collapsed="false">
      <c r="A49" s="12"/>
      <c r="B49" s="13"/>
      <c r="C49" s="13"/>
      <c r="D49" s="14"/>
      <c r="E49" s="15"/>
      <c r="F49" s="14"/>
      <c r="G49" s="12"/>
      <c r="H49" s="16" t="str">
        <f aca="true">IF(A49="","",IF(F49="","Belirsiz",IF(F49&lt;TODAY(),"Bitti",IF(F49&lt;=TODAY()+30,"30 gün içinde","Sürüyor"))))</f>
        <v/>
      </c>
      <c r="I49" s="17" t="str">
        <f aca="true">IF(OR(A49="",D49=""),"",(TODAY()-D49)/365.25)</f>
        <v/>
      </c>
      <c r="J49" s="16" t="str">
        <f aca="true">IF(AND(A49&lt;&gt;"",F49&lt;&gt;"",F49&gt;=TODAY()),F49+ROW()/1000000,"")</f>
        <v/>
      </c>
    </row>
    <row r="50" customFormat="false" ht="15" hidden="false" customHeight="false" outlineLevel="0" collapsed="false">
      <c r="A50" s="12"/>
      <c r="B50" s="13"/>
      <c r="C50" s="13"/>
      <c r="D50" s="14"/>
      <c r="E50" s="15"/>
      <c r="F50" s="14"/>
      <c r="G50" s="12"/>
      <c r="H50" s="16" t="str">
        <f aca="true">IF(A50="","",IF(F50="","Belirsiz",IF(F50&lt;TODAY(),"Bitti",IF(F50&lt;=TODAY()+30,"30 gün içinde","Sürüyor"))))</f>
        <v/>
      </c>
      <c r="I50" s="17" t="str">
        <f aca="true">IF(OR(A50="",D50=""),"",(TODAY()-D50)/365.25)</f>
        <v/>
      </c>
      <c r="J50" s="16" t="str">
        <f aca="true">IF(AND(A50&lt;&gt;"",F50&lt;&gt;"",F50&gt;=TODAY()),F50+ROW()/1000000,"")</f>
        <v/>
      </c>
    </row>
    <row r="51" customFormat="false" ht="15" hidden="false" customHeight="false" outlineLevel="0" collapsed="false">
      <c r="A51" s="12"/>
      <c r="B51" s="13"/>
      <c r="C51" s="13"/>
      <c r="D51" s="14"/>
      <c r="E51" s="15"/>
      <c r="F51" s="14"/>
      <c r="G51" s="12"/>
      <c r="H51" s="16" t="str">
        <f aca="true">IF(A51="","",IF(F51="","Belirsiz",IF(F51&lt;TODAY(),"Bitti",IF(F51&lt;=TODAY()+30,"30 gün içinde","Sürüyor"))))</f>
        <v/>
      </c>
      <c r="I51" s="17" t="str">
        <f aca="true">IF(OR(A51="",D51=""),"",(TODAY()-D51)/365.25)</f>
        <v/>
      </c>
      <c r="J51" s="16" t="str">
        <f aca="true">IF(AND(A51&lt;&gt;"",F51&lt;&gt;"",F51&gt;=TODAY()),F51+ROW()/1000000,"")</f>
        <v/>
      </c>
    </row>
    <row r="52" customFormat="false" ht="15" hidden="false" customHeight="false" outlineLevel="0" collapsed="false">
      <c r="A52" s="12"/>
      <c r="B52" s="13"/>
      <c r="C52" s="13"/>
      <c r="D52" s="14"/>
      <c r="E52" s="15"/>
      <c r="F52" s="14"/>
      <c r="G52" s="12"/>
      <c r="H52" s="16" t="str">
        <f aca="true">IF(A52="","",IF(F52="","Belirsiz",IF(F52&lt;TODAY(),"Bitti",IF(F52&lt;=TODAY()+30,"30 gün içinde","Sürüyor"))))</f>
        <v/>
      </c>
      <c r="I52" s="17" t="str">
        <f aca="true">IF(OR(A52="",D52=""),"",(TODAY()-D52)/365.25)</f>
        <v/>
      </c>
      <c r="J52" s="16" t="str">
        <f aca="true">IF(AND(A52&lt;&gt;"",F52&lt;&gt;"",F52&gt;=TODAY()),F52+ROW()/1000000,"")</f>
        <v/>
      </c>
    </row>
    <row r="53" customFormat="false" ht="15" hidden="false" customHeight="false" outlineLevel="0" collapsed="false">
      <c r="A53" s="12"/>
      <c r="B53" s="13"/>
      <c r="C53" s="13"/>
      <c r="D53" s="14"/>
      <c r="E53" s="15"/>
      <c r="F53" s="14"/>
      <c r="G53" s="12"/>
      <c r="H53" s="16" t="str">
        <f aca="true">IF(A53="","",IF(F53="","Belirsiz",IF(F53&lt;TODAY(),"Bitti",IF(F53&lt;=TODAY()+30,"30 gün içinde","Sürüyor"))))</f>
        <v/>
      </c>
      <c r="I53" s="17" t="str">
        <f aca="true">IF(OR(A53="",D53=""),"",(TODAY()-D53)/365.25)</f>
        <v/>
      </c>
      <c r="J53" s="16" t="str">
        <f aca="true">IF(AND(A53&lt;&gt;"",F53&lt;&gt;"",F53&gt;=TODAY()),F53+ROW()/1000000,"")</f>
        <v/>
      </c>
    </row>
    <row r="54" customFormat="false" ht="15" hidden="false" customHeight="false" outlineLevel="0" collapsed="false">
      <c r="A54" s="12"/>
      <c r="B54" s="13"/>
      <c r="C54" s="13"/>
      <c r="D54" s="14"/>
      <c r="E54" s="15"/>
      <c r="F54" s="14"/>
      <c r="G54" s="12"/>
      <c r="H54" s="16" t="str">
        <f aca="true">IF(A54="","",IF(F54="","Belirsiz",IF(F54&lt;TODAY(),"Bitti",IF(F54&lt;=TODAY()+30,"30 gün içinde","Sürüyor"))))</f>
        <v/>
      </c>
      <c r="I54" s="17" t="str">
        <f aca="true">IF(OR(A54="",D54=""),"",(TODAY()-D54)/365.25)</f>
        <v/>
      </c>
      <c r="J54" s="16" t="str">
        <f aca="true">IF(AND(A54&lt;&gt;"",F54&lt;&gt;"",F54&gt;=TODAY()),F54+ROW()/1000000,"")</f>
        <v/>
      </c>
    </row>
    <row r="55" customFormat="false" ht="15" hidden="false" customHeight="false" outlineLevel="0" collapsed="false">
      <c r="A55" s="12"/>
      <c r="B55" s="13"/>
      <c r="C55" s="13"/>
      <c r="D55" s="14"/>
      <c r="E55" s="15"/>
      <c r="F55" s="14"/>
      <c r="G55" s="12"/>
      <c r="H55" s="16" t="str">
        <f aca="true">IF(A55="","",IF(F55="","Belirsiz",IF(F55&lt;TODAY(),"Bitti",IF(F55&lt;=TODAY()+30,"30 gün içinde","Sürüyor"))))</f>
        <v/>
      </c>
      <c r="I55" s="17" t="str">
        <f aca="true">IF(OR(A55="",D55=""),"",(TODAY()-D55)/365.25)</f>
        <v/>
      </c>
      <c r="J55" s="16" t="str">
        <f aca="true">IF(AND(A55&lt;&gt;"",F55&lt;&gt;"",F55&gt;=TODAY()),F55+ROW()/1000000,"")</f>
        <v/>
      </c>
    </row>
    <row r="56" customFormat="false" ht="15" hidden="false" customHeight="false" outlineLevel="0" collapsed="false">
      <c r="A56" s="12"/>
      <c r="B56" s="13"/>
      <c r="C56" s="13"/>
      <c r="D56" s="14"/>
      <c r="E56" s="15"/>
      <c r="F56" s="14"/>
      <c r="G56" s="12"/>
      <c r="H56" s="16" t="str">
        <f aca="true">IF(A56="","",IF(F56="","Belirsiz",IF(F56&lt;TODAY(),"Bitti",IF(F56&lt;=TODAY()+30,"30 gün içinde","Sürüyor"))))</f>
        <v/>
      </c>
      <c r="I56" s="17" t="str">
        <f aca="true">IF(OR(A56="",D56=""),"",(TODAY()-D56)/365.25)</f>
        <v/>
      </c>
      <c r="J56" s="16" t="str">
        <f aca="true">IF(AND(A56&lt;&gt;"",F56&lt;&gt;"",F56&gt;=TODAY()),F56+ROW()/1000000,"")</f>
        <v/>
      </c>
    </row>
    <row r="57" customFormat="false" ht="15" hidden="false" customHeight="false" outlineLevel="0" collapsed="false">
      <c r="A57" s="12"/>
      <c r="B57" s="13"/>
      <c r="C57" s="13"/>
      <c r="D57" s="14"/>
      <c r="E57" s="15"/>
      <c r="F57" s="14"/>
      <c r="G57" s="12"/>
      <c r="H57" s="16" t="str">
        <f aca="true">IF(A57="","",IF(F57="","Belirsiz",IF(F57&lt;TODAY(),"Bitti",IF(F57&lt;=TODAY()+30,"30 gün içinde","Sürüyor"))))</f>
        <v/>
      </c>
      <c r="I57" s="17" t="str">
        <f aca="true">IF(OR(A57="",D57=""),"",(TODAY()-D57)/365.25)</f>
        <v/>
      </c>
      <c r="J57" s="16" t="str">
        <f aca="true">IF(AND(A57&lt;&gt;"",F57&lt;&gt;"",F57&gt;=TODAY()),F57+ROW()/1000000,"")</f>
        <v/>
      </c>
    </row>
    <row r="58" customFormat="false" ht="15" hidden="false" customHeight="false" outlineLevel="0" collapsed="false">
      <c r="A58" s="12"/>
      <c r="B58" s="13"/>
      <c r="C58" s="13"/>
      <c r="D58" s="14"/>
      <c r="E58" s="15"/>
      <c r="F58" s="14"/>
      <c r="G58" s="12"/>
      <c r="H58" s="16" t="str">
        <f aca="true">IF(A58="","",IF(F58="","Belirsiz",IF(F58&lt;TODAY(),"Bitti",IF(F58&lt;=TODAY()+30,"30 gün içinde","Sürüyor"))))</f>
        <v/>
      </c>
      <c r="I58" s="17" t="str">
        <f aca="true">IF(OR(A58="",D58=""),"",(TODAY()-D58)/365.25)</f>
        <v/>
      </c>
      <c r="J58" s="16" t="str">
        <f aca="true">IF(AND(A58&lt;&gt;"",F58&lt;&gt;"",F58&gt;=TODAY()),F58+ROW()/1000000,"")</f>
        <v/>
      </c>
    </row>
    <row r="59" customFormat="false" ht="15" hidden="false" customHeight="false" outlineLevel="0" collapsed="false">
      <c r="A59" s="12"/>
      <c r="B59" s="13"/>
      <c r="C59" s="13"/>
      <c r="D59" s="14"/>
      <c r="E59" s="15"/>
      <c r="F59" s="14"/>
      <c r="G59" s="12"/>
      <c r="H59" s="16" t="str">
        <f aca="true">IF(A59="","",IF(F59="","Belirsiz",IF(F59&lt;TODAY(),"Bitti",IF(F59&lt;=TODAY()+30,"30 gün içinde","Sürüyor"))))</f>
        <v/>
      </c>
      <c r="I59" s="17" t="str">
        <f aca="true">IF(OR(A59="",D59=""),"",(TODAY()-D59)/365.25)</f>
        <v/>
      </c>
      <c r="J59" s="16" t="str">
        <f aca="true">IF(AND(A59&lt;&gt;"",F59&lt;&gt;"",F59&gt;=TODAY()),F59+ROW()/1000000,"")</f>
        <v/>
      </c>
    </row>
    <row r="60" customFormat="false" ht="15" hidden="false" customHeight="false" outlineLevel="0" collapsed="false">
      <c r="A60" s="12"/>
      <c r="B60" s="13"/>
      <c r="C60" s="13"/>
      <c r="D60" s="14"/>
      <c r="E60" s="15"/>
      <c r="F60" s="14"/>
      <c r="G60" s="12"/>
      <c r="H60" s="16" t="str">
        <f aca="true">IF(A60="","",IF(F60="","Belirsiz",IF(F60&lt;TODAY(),"Bitti",IF(F60&lt;=TODAY()+30,"30 gün içinde","Sürüyor"))))</f>
        <v/>
      </c>
      <c r="I60" s="17" t="str">
        <f aca="true">IF(OR(A60="",D60=""),"",(TODAY()-D60)/365.25)</f>
        <v/>
      </c>
      <c r="J60" s="16" t="str">
        <f aca="true">IF(AND(A60&lt;&gt;"",F60&lt;&gt;"",F60&gt;=TODAY()),F60+ROW()/1000000,"")</f>
        <v/>
      </c>
    </row>
    <row r="61" customFormat="false" ht="15" hidden="false" customHeight="false" outlineLevel="0" collapsed="false">
      <c r="A61" s="12"/>
      <c r="B61" s="13"/>
      <c r="C61" s="13"/>
      <c r="D61" s="14"/>
      <c r="E61" s="15"/>
      <c r="F61" s="14"/>
      <c r="G61" s="12"/>
      <c r="H61" s="16" t="str">
        <f aca="true">IF(A61="","",IF(F61="","Belirsiz",IF(F61&lt;TODAY(),"Bitti",IF(F61&lt;=TODAY()+30,"30 gün içinde","Sürüyor"))))</f>
        <v/>
      </c>
      <c r="I61" s="17" t="str">
        <f aca="true">IF(OR(A61="",D61=""),"",(TODAY()-D61)/365.25)</f>
        <v/>
      </c>
      <c r="J61" s="16" t="str">
        <f aca="true">IF(AND(A61&lt;&gt;"",F61&lt;&gt;"",F61&gt;=TODAY()),F61+ROW()/1000000,"")</f>
        <v/>
      </c>
    </row>
    <row r="62" customFormat="false" ht="15" hidden="false" customHeight="false" outlineLevel="0" collapsed="false">
      <c r="A62" s="12"/>
      <c r="B62" s="13"/>
      <c r="C62" s="13"/>
      <c r="D62" s="14"/>
      <c r="E62" s="15"/>
      <c r="F62" s="14"/>
      <c r="G62" s="12"/>
      <c r="H62" s="16" t="str">
        <f aca="true">IF(A62="","",IF(F62="","Belirsiz",IF(F62&lt;TODAY(),"Bitti",IF(F62&lt;=TODAY()+30,"30 gün içinde","Sürüyor"))))</f>
        <v/>
      </c>
      <c r="I62" s="17" t="str">
        <f aca="true">IF(OR(A62="",D62=""),"",(TODAY()-D62)/365.25)</f>
        <v/>
      </c>
      <c r="J62" s="16" t="str">
        <f aca="true">IF(AND(A62&lt;&gt;"",F62&lt;&gt;"",F62&gt;=TODAY()),F62+ROW()/1000000,"")</f>
        <v/>
      </c>
    </row>
    <row r="63" customFormat="false" ht="15" hidden="false" customHeight="false" outlineLevel="0" collapsed="false">
      <c r="A63" s="12"/>
      <c r="B63" s="13"/>
      <c r="C63" s="13"/>
      <c r="D63" s="14"/>
      <c r="E63" s="15"/>
      <c r="F63" s="14"/>
      <c r="G63" s="12"/>
      <c r="H63" s="16" t="str">
        <f aca="true">IF(A63="","",IF(F63="","Belirsiz",IF(F63&lt;TODAY(),"Bitti",IF(F63&lt;=TODAY()+30,"30 gün içinde","Sürüyor"))))</f>
        <v/>
      </c>
      <c r="I63" s="17" t="str">
        <f aca="true">IF(OR(A63="",D63=""),"",(TODAY()-D63)/365.25)</f>
        <v/>
      </c>
      <c r="J63" s="16" t="str">
        <f aca="true">IF(AND(A63&lt;&gt;"",F63&lt;&gt;"",F63&gt;=TODAY()),F63+ROW()/1000000,"")</f>
        <v/>
      </c>
    </row>
    <row r="64" customFormat="false" ht="15" hidden="false" customHeight="false" outlineLevel="0" collapsed="false">
      <c r="A64" s="12"/>
      <c r="B64" s="13"/>
      <c r="C64" s="13"/>
      <c r="D64" s="14"/>
      <c r="E64" s="15"/>
      <c r="F64" s="14"/>
      <c r="G64" s="12"/>
      <c r="H64" s="16" t="str">
        <f aca="true">IF(A64="","",IF(F64="","Belirsiz",IF(F64&lt;TODAY(),"Bitti",IF(F64&lt;=TODAY()+30,"30 gün içinde","Sürüyor"))))</f>
        <v/>
      </c>
      <c r="I64" s="17" t="str">
        <f aca="true">IF(OR(A64="",D64=""),"",(TODAY()-D64)/365.25)</f>
        <v/>
      </c>
      <c r="J64" s="16" t="str">
        <f aca="true">IF(AND(A64&lt;&gt;"",F64&lt;&gt;"",F64&gt;=TODAY()),F64+ROW()/1000000,"")</f>
        <v/>
      </c>
    </row>
    <row r="65" customFormat="false" ht="15" hidden="false" customHeight="false" outlineLevel="0" collapsed="false">
      <c r="A65" s="12"/>
      <c r="B65" s="13"/>
      <c r="C65" s="13"/>
      <c r="D65" s="14"/>
      <c r="E65" s="15"/>
      <c r="F65" s="14"/>
      <c r="G65" s="12"/>
      <c r="H65" s="16" t="str">
        <f aca="true">IF(A65="","",IF(F65="","Belirsiz",IF(F65&lt;TODAY(),"Bitti",IF(F65&lt;=TODAY()+30,"30 gün içinde","Sürüyor"))))</f>
        <v/>
      </c>
      <c r="I65" s="17" t="str">
        <f aca="true">IF(OR(A65="",D65=""),"",(TODAY()-D65)/365.25)</f>
        <v/>
      </c>
      <c r="J65" s="16" t="str">
        <f aca="true">IF(AND(A65&lt;&gt;"",F65&lt;&gt;"",F65&gt;=TODAY()),F65+ROW()/1000000,"")</f>
        <v/>
      </c>
    </row>
    <row r="66" customFormat="false" ht="15" hidden="false" customHeight="false" outlineLevel="0" collapsed="false">
      <c r="A66" s="12"/>
      <c r="B66" s="13"/>
      <c r="C66" s="13"/>
      <c r="D66" s="14"/>
      <c r="E66" s="15"/>
      <c r="F66" s="14"/>
      <c r="G66" s="12"/>
      <c r="H66" s="16" t="str">
        <f aca="true">IF(A66="","",IF(F66="","Belirsiz",IF(F66&lt;TODAY(),"Bitti",IF(F66&lt;=TODAY()+30,"30 gün içinde","Sürüyor"))))</f>
        <v/>
      </c>
      <c r="I66" s="17" t="str">
        <f aca="true">IF(OR(A66="",D66=""),"",(TODAY()-D66)/365.25)</f>
        <v/>
      </c>
      <c r="J66" s="16" t="str">
        <f aca="true">IF(AND(A66&lt;&gt;"",F66&lt;&gt;"",F66&gt;=TODAY()),F66+ROW()/1000000,"")</f>
        <v/>
      </c>
    </row>
    <row r="67" customFormat="false" ht="15" hidden="false" customHeight="false" outlineLevel="0" collapsed="false">
      <c r="A67" s="12"/>
      <c r="B67" s="13"/>
      <c r="C67" s="13"/>
      <c r="D67" s="14"/>
      <c r="E67" s="15"/>
      <c r="F67" s="14"/>
      <c r="G67" s="12"/>
      <c r="H67" s="16" t="str">
        <f aca="true">IF(A67="","",IF(F67="","Belirsiz",IF(F67&lt;TODAY(),"Bitti",IF(F67&lt;=TODAY()+30,"30 gün içinde","Sürüyor"))))</f>
        <v/>
      </c>
      <c r="I67" s="17" t="str">
        <f aca="true">IF(OR(A67="",D67=""),"",(TODAY()-D67)/365.25)</f>
        <v/>
      </c>
      <c r="J67" s="16" t="str">
        <f aca="true">IF(AND(A67&lt;&gt;"",F67&lt;&gt;"",F67&gt;=TODAY()),F67+ROW()/1000000,"")</f>
        <v/>
      </c>
    </row>
    <row r="68" customFormat="false" ht="15" hidden="false" customHeight="false" outlineLevel="0" collapsed="false">
      <c r="A68" s="12"/>
      <c r="B68" s="13"/>
      <c r="C68" s="13"/>
      <c r="D68" s="14"/>
      <c r="E68" s="15"/>
      <c r="F68" s="14"/>
      <c r="G68" s="12"/>
      <c r="H68" s="16" t="str">
        <f aca="true">IF(A68="","",IF(F68="","Belirsiz",IF(F68&lt;TODAY(),"Bitti",IF(F68&lt;=TODAY()+30,"30 gün içinde","Sürüyor"))))</f>
        <v/>
      </c>
      <c r="I68" s="17" t="str">
        <f aca="true">IF(OR(A68="",D68=""),"",(TODAY()-D68)/365.25)</f>
        <v/>
      </c>
      <c r="J68" s="16" t="str">
        <f aca="true">IF(AND(A68&lt;&gt;"",F68&lt;&gt;"",F68&gt;=TODAY()),F68+ROW()/1000000,"")</f>
        <v/>
      </c>
    </row>
    <row r="69" customFormat="false" ht="15" hidden="false" customHeight="false" outlineLevel="0" collapsed="false">
      <c r="A69" s="12"/>
      <c r="B69" s="13"/>
      <c r="C69" s="13"/>
      <c r="D69" s="14"/>
      <c r="E69" s="15"/>
      <c r="F69" s="14"/>
      <c r="G69" s="12"/>
      <c r="H69" s="16" t="str">
        <f aca="true">IF(A69="","",IF(F69="","Belirsiz",IF(F69&lt;TODAY(),"Bitti",IF(F69&lt;=TODAY()+30,"30 gün içinde","Sürüyor"))))</f>
        <v/>
      </c>
      <c r="I69" s="17" t="str">
        <f aca="true">IF(OR(A69="",D69=""),"",(TODAY()-D69)/365.25)</f>
        <v/>
      </c>
      <c r="J69" s="16" t="str">
        <f aca="true">IF(AND(A69&lt;&gt;"",F69&lt;&gt;"",F69&gt;=TODAY()),F69+ROW()/1000000,"")</f>
        <v/>
      </c>
    </row>
    <row r="70" customFormat="false" ht="15" hidden="false" customHeight="false" outlineLevel="0" collapsed="false">
      <c r="A70" s="12"/>
      <c r="B70" s="13"/>
      <c r="C70" s="13"/>
      <c r="D70" s="14"/>
      <c r="E70" s="15"/>
      <c r="F70" s="14"/>
      <c r="G70" s="12"/>
      <c r="H70" s="16" t="str">
        <f aca="true">IF(A70="","",IF(F70="","Belirsiz",IF(F70&lt;TODAY(),"Bitti",IF(F70&lt;=TODAY()+30,"30 gün içinde","Sürüyor"))))</f>
        <v/>
      </c>
      <c r="I70" s="17" t="str">
        <f aca="true">IF(OR(A70="",D70=""),"",(TODAY()-D70)/365.25)</f>
        <v/>
      </c>
      <c r="J70" s="16" t="str">
        <f aca="true">IF(AND(A70&lt;&gt;"",F70&lt;&gt;"",F70&gt;=TODAY()),F70+ROW()/1000000,"")</f>
        <v/>
      </c>
    </row>
    <row r="71" customFormat="false" ht="15" hidden="false" customHeight="false" outlineLevel="0" collapsed="false">
      <c r="A71" s="12"/>
      <c r="B71" s="13"/>
      <c r="C71" s="13"/>
      <c r="D71" s="14"/>
      <c r="E71" s="15"/>
      <c r="F71" s="14"/>
      <c r="G71" s="12"/>
      <c r="H71" s="16" t="str">
        <f aca="true">IF(A71="","",IF(F71="","Belirsiz",IF(F71&lt;TODAY(),"Bitti",IF(F71&lt;=TODAY()+30,"30 gün içinde","Sürüyor"))))</f>
        <v/>
      </c>
      <c r="I71" s="17" t="str">
        <f aca="true">IF(OR(A71="",D71=""),"",(TODAY()-D71)/365.25)</f>
        <v/>
      </c>
      <c r="J71" s="16" t="str">
        <f aca="true">IF(AND(A71&lt;&gt;"",F71&lt;&gt;"",F71&gt;=TODAY()),F71+ROW()/1000000,"")</f>
        <v/>
      </c>
    </row>
    <row r="72" customFormat="false" ht="15" hidden="false" customHeight="false" outlineLevel="0" collapsed="false">
      <c r="A72" s="12"/>
      <c r="B72" s="13"/>
      <c r="C72" s="13"/>
      <c r="D72" s="14"/>
      <c r="E72" s="15"/>
      <c r="F72" s="14"/>
      <c r="G72" s="12"/>
      <c r="H72" s="16" t="str">
        <f aca="true">IF(A72="","",IF(F72="","Belirsiz",IF(F72&lt;TODAY(),"Bitti",IF(F72&lt;=TODAY()+30,"30 gün içinde","Sürüyor"))))</f>
        <v/>
      </c>
      <c r="I72" s="17" t="str">
        <f aca="true">IF(OR(A72="",D72=""),"",(TODAY()-D72)/365.25)</f>
        <v/>
      </c>
      <c r="J72" s="16" t="str">
        <f aca="true">IF(AND(A72&lt;&gt;"",F72&lt;&gt;"",F72&gt;=TODAY()),F72+ROW()/1000000,"")</f>
        <v/>
      </c>
    </row>
    <row r="73" customFormat="false" ht="15" hidden="false" customHeight="false" outlineLevel="0" collapsed="false">
      <c r="A73" s="12"/>
      <c r="B73" s="13"/>
      <c r="C73" s="13"/>
      <c r="D73" s="14"/>
      <c r="E73" s="15"/>
      <c r="F73" s="14"/>
      <c r="G73" s="12"/>
      <c r="H73" s="16" t="str">
        <f aca="true">IF(A73="","",IF(F73="","Belirsiz",IF(F73&lt;TODAY(),"Bitti",IF(F73&lt;=TODAY()+30,"30 gün içinde","Sürüyor"))))</f>
        <v/>
      </c>
      <c r="I73" s="17" t="str">
        <f aca="true">IF(OR(A73="",D73=""),"",(TODAY()-D73)/365.25)</f>
        <v/>
      </c>
      <c r="J73" s="16" t="str">
        <f aca="true">IF(AND(A73&lt;&gt;"",F73&lt;&gt;"",F73&gt;=TODAY()),F73+ROW()/1000000,"")</f>
        <v/>
      </c>
    </row>
    <row r="74" customFormat="false" ht="15" hidden="false" customHeight="false" outlineLevel="0" collapsed="false">
      <c r="A74" s="12"/>
      <c r="B74" s="13"/>
      <c r="C74" s="13"/>
      <c r="D74" s="14"/>
      <c r="E74" s="15"/>
      <c r="F74" s="14"/>
      <c r="G74" s="12"/>
      <c r="H74" s="16" t="str">
        <f aca="true">IF(A74="","",IF(F74="","Belirsiz",IF(F74&lt;TODAY(),"Bitti",IF(F74&lt;=TODAY()+30,"30 gün içinde","Sürüyor"))))</f>
        <v/>
      </c>
      <c r="I74" s="17" t="str">
        <f aca="true">IF(OR(A74="",D74=""),"",(TODAY()-D74)/365.25)</f>
        <v/>
      </c>
      <c r="J74" s="16" t="str">
        <f aca="true">IF(AND(A74&lt;&gt;"",F74&lt;&gt;"",F74&gt;=TODAY()),F74+ROW()/1000000,"")</f>
        <v/>
      </c>
    </row>
    <row r="75" customFormat="false" ht="15" hidden="false" customHeight="false" outlineLevel="0" collapsed="false">
      <c r="A75" s="12"/>
      <c r="B75" s="13"/>
      <c r="C75" s="13"/>
      <c r="D75" s="14"/>
      <c r="E75" s="15"/>
      <c r="F75" s="14"/>
      <c r="G75" s="12"/>
      <c r="H75" s="16" t="str">
        <f aca="true">IF(A75="","",IF(F75="","Belirsiz",IF(F75&lt;TODAY(),"Bitti",IF(F75&lt;=TODAY()+30,"30 gün içinde","Sürüyor"))))</f>
        <v/>
      </c>
      <c r="I75" s="17" t="str">
        <f aca="true">IF(OR(A75="",D75=""),"",(TODAY()-D75)/365.25)</f>
        <v/>
      </c>
      <c r="J75" s="16" t="str">
        <f aca="true">IF(AND(A75&lt;&gt;"",F75&lt;&gt;"",F75&gt;=TODAY()),F75+ROW()/1000000,"")</f>
        <v/>
      </c>
    </row>
    <row r="76" customFormat="false" ht="15" hidden="false" customHeight="false" outlineLevel="0" collapsed="false">
      <c r="A76" s="12"/>
      <c r="B76" s="13"/>
      <c r="C76" s="13"/>
      <c r="D76" s="14"/>
      <c r="E76" s="15"/>
      <c r="F76" s="14"/>
      <c r="G76" s="12"/>
      <c r="H76" s="16" t="str">
        <f aca="true">IF(A76="","",IF(F76="","Belirsiz",IF(F76&lt;TODAY(),"Bitti",IF(F76&lt;=TODAY()+30,"30 gün içinde","Sürüyor"))))</f>
        <v/>
      </c>
      <c r="I76" s="17" t="str">
        <f aca="true">IF(OR(A76="",D76=""),"",(TODAY()-D76)/365.25)</f>
        <v/>
      </c>
      <c r="J76" s="16" t="str">
        <f aca="true">IF(AND(A76&lt;&gt;"",F76&lt;&gt;"",F76&gt;=TODAY()),F76+ROW()/1000000,"")</f>
        <v/>
      </c>
    </row>
    <row r="77" customFormat="false" ht="15" hidden="false" customHeight="false" outlineLevel="0" collapsed="false">
      <c r="A77" s="12"/>
      <c r="B77" s="13"/>
      <c r="C77" s="13"/>
      <c r="D77" s="14"/>
      <c r="E77" s="15"/>
      <c r="F77" s="14"/>
      <c r="G77" s="12"/>
      <c r="H77" s="16" t="str">
        <f aca="true">IF(A77="","",IF(F77="","Belirsiz",IF(F77&lt;TODAY(),"Bitti",IF(F77&lt;=TODAY()+30,"30 gün içinde","Sürüyor"))))</f>
        <v/>
      </c>
      <c r="I77" s="17" t="str">
        <f aca="true">IF(OR(A77="",D77=""),"",(TODAY()-D77)/365.25)</f>
        <v/>
      </c>
      <c r="J77" s="16" t="str">
        <f aca="true">IF(AND(A77&lt;&gt;"",F77&lt;&gt;"",F77&gt;=TODAY()),F77+ROW()/1000000,"")</f>
        <v/>
      </c>
    </row>
    <row r="78" customFormat="false" ht="15" hidden="false" customHeight="false" outlineLevel="0" collapsed="false">
      <c r="A78" s="12"/>
      <c r="B78" s="13"/>
      <c r="C78" s="13"/>
      <c r="D78" s="14"/>
      <c r="E78" s="15"/>
      <c r="F78" s="14"/>
      <c r="G78" s="12"/>
      <c r="H78" s="16" t="str">
        <f aca="true">IF(A78="","",IF(F78="","Belirsiz",IF(F78&lt;TODAY(),"Bitti",IF(F78&lt;=TODAY()+30,"30 gün içinde","Sürüyor"))))</f>
        <v/>
      </c>
      <c r="I78" s="17" t="str">
        <f aca="true">IF(OR(A78="",D78=""),"",(TODAY()-D78)/365.25)</f>
        <v/>
      </c>
      <c r="J78" s="16" t="str">
        <f aca="true">IF(AND(A78&lt;&gt;"",F78&lt;&gt;"",F78&gt;=TODAY()),F78+ROW()/1000000,"")</f>
        <v/>
      </c>
    </row>
    <row r="79" customFormat="false" ht="15" hidden="false" customHeight="false" outlineLevel="0" collapsed="false">
      <c r="A79" s="12"/>
      <c r="B79" s="13"/>
      <c r="C79" s="13"/>
      <c r="D79" s="14"/>
      <c r="E79" s="15"/>
      <c r="F79" s="14"/>
      <c r="G79" s="12"/>
      <c r="H79" s="16" t="str">
        <f aca="true">IF(A79="","",IF(F79="","Belirsiz",IF(F79&lt;TODAY(),"Bitti",IF(F79&lt;=TODAY()+30,"30 gün içinde","Sürüyor"))))</f>
        <v/>
      </c>
      <c r="I79" s="17" t="str">
        <f aca="true">IF(OR(A79="",D79=""),"",(TODAY()-D79)/365.25)</f>
        <v/>
      </c>
      <c r="J79" s="16" t="str">
        <f aca="true">IF(AND(A79&lt;&gt;"",F79&lt;&gt;"",F79&gt;=TODAY()),F79+ROW()/1000000,"")</f>
        <v/>
      </c>
    </row>
    <row r="80" customFormat="false" ht="15" hidden="false" customHeight="false" outlineLevel="0" collapsed="false">
      <c r="A80" s="12"/>
      <c r="B80" s="13"/>
      <c r="C80" s="13"/>
      <c r="D80" s="14"/>
      <c r="E80" s="15"/>
      <c r="F80" s="14"/>
      <c r="G80" s="12"/>
      <c r="H80" s="16" t="str">
        <f aca="true">IF(A80="","",IF(F80="","Belirsiz",IF(F80&lt;TODAY(),"Bitti",IF(F80&lt;=TODAY()+30,"30 gün içinde","Sürüyor"))))</f>
        <v/>
      </c>
      <c r="I80" s="17" t="str">
        <f aca="true">IF(OR(A80="",D80=""),"",(TODAY()-D80)/365.25)</f>
        <v/>
      </c>
      <c r="J80" s="16" t="str">
        <f aca="true">IF(AND(A80&lt;&gt;"",F80&lt;&gt;"",F80&gt;=TODAY()),F80+ROW()/1000000,"")</f>
        <v/>
      </c>
    </row>
    <row r="81" customFormat="false" ht="15" hidden="false" customHeight="false" outlineLevel="0" collapsed="false">
      <c r="A81" s="12"/>
      <c r="B81" s="13"/>
      <c r="C81" s="13"/>
      <c r="D81" s="14"/>
      <c r="E81" s="15"/>
      <c r="F81" s="14"/>
      <c r="G81" s="12"/>
      <c r="H81" s="16" t="str">
        <f aca="true">IF(A81="","",IF(F81="","Belirsiz",IF(F81&lt;TODAY(),"Bitti",IF(F81&lt;=TODAY()+30,"30 gün içinde","Sürüyor"))))</f>
        <v/>
      </c>
      <c r="I81" s="17" t="str">
        <f aca="true">IF(OR(A81="",D81=""),"",(TODAY()-D81)/365.25)</f>
        <v/>
      </c>
      <c r="J81" s="16" t="str">
        <f aca="true">IF(AND(A81&lt;&gt;"",F81&lt;&gt;"",F81&gt;=TODAY()),F81+ROW()/1000000,"")</f>
        <v/>
      </c>
    </row>
    <row r="82" customFormat="false" ht="15" hidden="false" customHeight="false" outlineLevel="0" collapsed="false">
      <c r="A82" s="12"/>
      <c r="B82" s="13"/>
      <c r="C82" s="13"/>
      <c r="D82" s="14"/>
      <c r="E82" s="15"/>
      <c r="F82" s="14"/>
      <c r="G82" s="12"/>
      <c r="H82" s="16" t="str">
        <f aca="true">IF(A82="","",IF(F82="","Belirsiz",IF(F82&lt;TODAY(),"Bitti",IF(F82&lt;=TODAY()+30,"30 gün içinde","Sürüyor"))))</f>
        <v/>
      </c>
      <c r="I82" s="17" t="str">
        <f aca="true">IF(OR(A82="",D82=""),"",(TODAY()-D82)/365.25)</f>
        <v/>
      </c>
      <c r="J82" s="16" t="str">
        <f aca="true">IF(AND(A82&lt;&gt;"",F82&lt;&gt;"",F82&gt;=TODAY()),F82+ROW()/1000000,"")</f>
        <v/>
      </c>
    </row>
    <row r="83" customFormat="false" ht="15" hidden="false" customHeight="false" outlineLevel="0" collapsed="false">
      <c r="A83" s="12"/>
      <c r="B83" s="13"/>
      <c r="C83" s="13"/>
      <c r="D83" s="14"/>
      <c r="E83" s="15"/>
      <c r="F83" s="14"/>
      <c r="G83" s="12"/>
      <c r="H83" s="16" t="str">
        <f aca="true">IF(A83="","",IF(F83="","Belirsiz",IF(F83&lt;TODAY(),"Bitti",IF(F83&lt;=TODAY()+30,"30 gün içinde","Sürüyor"))))</f>
        <v/>
      </c>
      <c r="I83" s="17" t="str">
        <f aca="true">IF(OR(A83="",D83=""),"",(TODAY()-D83)/365.25)</f>
        <v/>
      </c>
      <c r="J83" s="16" t="str">
        <f aca="true">IF(AND(A83&lt;&gt;"",F83&lt;&gt;"",F83&gt;=TODAY()),F83+ROW()/1000000,"")</f>
        <v/>
      </c>
    </row>
    <row r="84" customFormat="false" ht="15" hidden="false" customHeight="false" outlineLevel="0" collapsed="false">
      <c r="A84" s="12"/>
      <c r="B84" s="13"/>
      <c r="C84" s="13"/>
      <c r="D84" s="14"/>
      <c r="E84" s="15"/>
      <c r="F84" s="14"/>
      <c r="G84" s="12"/>
      <c r="H84" s="16" t="str">
        <f aca="true">IF(A84="","",IF(F84="","Belirsiz",IF(F84&lt;TODAY(),"Bitti",IF(F84&lt;=TODAY()+30,"30 gün içinde","Sürüyor"))))</f>
        <v/>
      </c>
      <c r="I84" s="17" t="str">
        <f aca="true">IF(OR(A84="",D84=""),"",(TODAY()-D84)/365.25)</f>
        <v/>
      </c>
      <c r="J84" s="16" t="str">
        <f aca="true">IF(AND(A84&lt;&gt;"",F84&lt;&gt;"",F84&gt;=TODAY()),F84+ROW()/1000000,"")</f>
        <v/>
      </c>
    </row>
    <row r="85" customFormat="false" ht="15" hidden="false" customHeight="false" outlineLevel="0" collapsed="false">
      <c r="A85" s="12"/>
      <c r="B85" s="13"/>
      <c r="C85" s="13"/>
      <c r="D85" s="14"/>
      <c r="E85" s="15"/>
      <c r="F85" s="14"/>
      <c r="G85" s="12"/>
      <c r="H85" s="16" t="str">
        <f aca="true">IF(A85="","",IF(F85="","Belirsiz",IF(F85&lt;TODAY(),"Bitti",IF(F85&lt;=TODAY()+30,"30 gün içinde","Sürüyor"))))</f>
        <v/>
      </c>
      <c r="I85" s="17" t="str">
        <f aca="true">IF(OR(A85="",D85=""),"",(TODAY()-D85)/365.25)</f>
        <v/>
      </c>
      <c r="J85" s="16" t="str">
        <f aca="true">IF(AND(A85&lt;&gt;"",F85&lt;&gt;"",F85&gt;=TODAY()),F85+ROW()/1000000,"")</f>
        <v/>
      </c>
    </row>
    <row r="86" customFormat="false" ht="15" hidden="false" customHeight="false" outlineLevel="0" collapsed="false">
      <c r="A86" s="12"/>
      <c r="B86" s="13"/>
      <c r="C86" s="13"/>
      <c r="D86" s="14"/>
      <c r="E86" s="15"/>
      <c r="F86" s="14"/>
      <c r="G86" s="12"/>
      <c r="H86" s="16" t="str">
        <f aca="true">IF(A86="","",IF(F86="","Belirsiz",IF(F86&lt;TODAY(),"Bitti",IF(F86&lt;=TODAY()+30,"30 gün içinde","Sürüyor"))))</f>
        <v/>
      </c>
      <c r="I86" s="17" t="str">
        <f aca="true">IF(OR(A86="",D86=""),"",(TODAY()-D86)/365.25)</f>
        <v/>
      </c>
      <c r="J86" s="16" t="str">
        <f aca="true">IF(AND(A86&lt;&gt;"",F86&lt;&gt;"",F86&gt;=TODAY()),F86+ROW()/1000000,"")</f>
        <v/>
      </c>
    </row>
    <row r="87" customFormat="false" ht="15" hidden="false" customHeight="false" outlineLevel="0" collapsed="false">
      <c r="A87" s="12"/>
      <c r="B87" s="13"/>
      <c r="C87" s="13"/>
      <c r="D87" s="14"/>
      <c r="E87" s="15"/>
      <c r="F87" s="14"/>
      <c r="G87" s="12"/>
      <c r="H87" s="16" t="str">
        <f aca="true">IF(A87="","",IF(F87="","Belirsiz",IF(F87&lt;TODAY(),"Bitti",IF(F87&lt;=TODAY()+30,"30 gün içinde","Sürüyor"))))</f>
        <v/>
      </c>
      <c r="I87" s="17" t="str">
        <f aca="true">IF(OR(A87="",D87=""),"",(TODAY()-D87)/365.25)</f>
        <v/>
      </c>
      <c r="J87" s="16" t="str">
        <f aca="true">IF(AND(A87&lt;&gt;"",F87&lt;&gt;"",F87&gt;=TODAY()),F87+ROW()/1000000,"")</f>
        <v/>
      </c>
    </row>
    <row r="88" customFormat="false" ht="15" hidden="false" customHeight="false" outlineLevel="0" collapsed="false">
      <c r="A88" s="12"/>
      <c r="B88" s="13"/>
      <c r="C88" s="13"/>
      <c r="D88" s="14"/>
      <c r="E88" s="15"/>
      <c r="F88" s="14"/>
      <c r="G88" s="12"/>
      <c r="H88" s="16" t="str">
        <f aca="true">IF(A88="","",IF(F88="","Belirsiz",IF(F88&lt;TODAY(),"Bitti",IF(F88&lt;=TODAY()+30,"30 gün içinde","Sürüyor"))))</f>
        <v/>
      </c>
      <c r="I88" s="17" t="str">
        <f aca="true">IF(OR(A88="",D88=""),"",(TODAY()-D88)/365.25)</f>
        <v/>
      </c>
      <c r="J88" s="16" t="str">
        <f aca="true">IF(AND(A88&lt;&gt;"",F88&lt;&gt;"",F88&gt;=TODAY()),F88+ROW()/1000000,"")</f>
        <v/>
      </c>
    </row>
    <row r="89" customFormat="false" ht="15" hidden="false" customHeight="false" outlineLevel="0" collapsed="false">
      <c r="A89" s="12"/>
      <c r="B89" s="13"/>
      <c r="C89" s="13"/>
      <c r="D89" s="14"/>
      <c r="E89" s="15"/>
      <c r="F89" s="14"/>
      <c r="G89" s="12"/>
      <c r="H89" s="16" t="str">
        <f aca="true">IF(A89="","",IF(F89="","Belirsiz",IF(F89&lt;TODAY(),"Bitti",IF(F89&lt;=TODAY()+30,"30 gün içinde","Sürüyor"))))</f>
        <v/>
      </c>
      <c r="I89" s="17" t="str">
        <f aca="true">IF(OR(A89="",D89=""),"",(TODAY()-D89)/365.25)</f>
        <v/>
      </c>
      <c r="J89" s="16" t="str">
        <f aca="true">IF(AND(A89&lt;&gt;"",F89&lt;&gt;"",F89&gt;=TODAY()),F89+ROW()/1000000,"")</f>
        <v/>
      </c>
    </row>
    <row r="90" customFormat="false" ht="15" hidden="false" customHeight="false" outlineLevel="0" collapsed="false">
      <c r="A90" s="12"/>
      <c r="B90" s="13"/>
      <c r="C90" s="13"/>
      <c r="D90" s="14"/>
      <c r="E90" s="15"/>
      <c r="F90" s="14"/>
      <c r="G90" s="12"/>
      <c r="H90" s="16" t="str">
        <f aca="true">IF(A90="","",IF(F90="","Belirsiz",IF(F90&lt;TODAY(),"Bitti",IF(F90&lt;=TODAY()+30,"30 gün içinde","Sürüyor"))))</f>
        <v/>
      </c>
      <c r="I90" s="17" t="str">
        <f aca="true">IF(OR(A90="",D90=""),"",(TODAY()-D90)/365.25)</f>
        <v/>
      </c>
      <c r="J90" s="16" t="str">
        <f aca="true">IF(AND(A90&lt;&gt;"",F90&lt;&gt;"",F90&gt;=TODAY()),F90+ROW()/1000000,"")</f>
        <v/>
      </c>
    </row>
    <row r="91" customFormat="false" ht="15" hidden="false" customHeight="false" outlineLevel="0" collapsed="false">
      <c r="A91" s="12"/>
      <c r="B91" s="13"/>
      <c r="C91" s="13"/>
      <c r="D91" s="14"/>
      <c r="E91" s="15"/>
      <c r="F91" s="14"/>
      <c r="G91" s="12"/>
      <c r="H91" s="16" t="str">
        <f aca="true">IF(A91="","",IF(F91="","Belirsiz",IF(F91&lt;TODAY(),"Bitti",IF(F91&lt;=TODAY()+30,"30 gün içinde","Sürüyor"))))</f>
        <v/>
      </c>
      <c r="I91" s="17" t="str">
        <f aca="true">IF(OR(A91="",D91=""),"",(TODAY()-D91)/365.25)</f>
        <v/>
      </c>
      <c r="J91" s="16" t="str">
        <f aca="true">IF(AND(A91&lt;&gt;"",F91&lt;&gt;"",F91&gt;=TODAY()),F91+ROW()/1000000,"")</f>
        <v/>
      </c>
    </row>
    <row r="92" customFormat="false" ht="15" hidden="false" customHeight="false" outlineLevel="0" collapsed="false">
      <c r="A92" s="12"/>
      <c r="B92" s="13"/>
      <c r="C92" s="13"/>
      <c r="D92" s="14"/>
      <c r="E92" s="15"/>
      <c r="F92" s="14"/>
      <c r="G92" s="12"/>
      <c r="H92" s="16" t="str">
        <f aca="true">IF(A92="","",IF(F92="","Belirsiz",IF(F92&lt;TODAY(),"Bitti",IF(F92&lt;=TODAY()+30,"30 gün içinde","Sürüyor"))))</f>
        <v/>
      </c>
      <c r="I92" s="17" t="str">
        <f aca="true">IF(OR(A92="",D92=""),"",(TODAY()-D92)/365.25)</f>
        <v/>
      </c>
      <c r="J92" s="16" t="str">
        <f aca="true">IF(AND(A92&lt;&gt;"",F92&lt;&gt;"",F92&gt;=TODAY()),F92+ROW()/1000000,"")</f>
        <v/>
      </c>
    </row>
    <row r="93" customFormat="false" ht="15" hidden="false" customHeight="false" outlineLevel="0" collapsed="false">
      <c r="A93" s="12"/>
      <c r="B93" s="13"/>
      <c r="C93" s="13"/>
      <c r="D93" s="14"/>
      <c r="E93" s="15"/>
      <c r="F93" s="14"/>
      <c r="G93" s="12"/>
      <c r="H93" s="16" t="str">
        <f aca="true">IF(A93="","",IF(F93="","Belirsiz",IF(F93&lt;TODAY(),"Bitti",IF(F93&lt;=TODAY()+30,"30 gün içinde","Sürüyor"))))</f>
        <v/>
      </c>
      <c r="I93" s="17" t="str">
        <f aca="true">IF(OR(A93="",D93=""),"",(TODAY()-D93)/365.25)</f>
        <v/>
      </c>
      <c r="J93" s="16" t="str">
        <f aca="true">IF(AND(A93&lt;&gt;"",F93&lt;&gt;"",F93&gt;=TODAY()),F93+ROW()/1000000,"")</f>
        <v/>
      </c>
    </row>
    <row r="94" customFormat="false" ht="15" hidden="false" customHeight="false" outlineLevel="0" collapsed="false">
      <c r="A94" s="12"/>
      <c r="B94" s="13"/>
      <c r="C94" s="13"/>
      <c r="D94" s="14"/>
      <c r="E94" s="15"/>
      <c r="F94" s="14"/>
      <c r="G94" s="12"/>
      <c r="H94" s="16" t="str">
        <f aca="true">IF(A94="","",IF(F94="","Belirsiz",IF(F94&lt;TODAY(),"Bitti",IF(F94&lt;=TODAY()+30,"30 gün içinde","Sürüyor"))))</f>
        <v/>
      </c>
      <c r="I94" s="17" t="str">
        <f aca="true">IF(OR(A94="",D94=""),"",(TODAY()-D94)/365.25)</f>
        <v/>
      </c>
      <c r="J94" s="16" t="str">
        <f aca="true">IF(AND(A94&lt;&gt;"",F94&lt;&gt;"",F94&gt;=TODAY()),F94+ROW()/1000000,"")</f>
        <v/>
      </c>
    </row>
    <row r="95" customFormat="false" ht="15" hidden="false" customHeight="false" outlineLevel="0" collapsed="false">
      <c r="A95" s="12"/>
      <c r="B95" s="13"/>
      <c r="C95" s="13"/>
      <c r="D95" s="14"/>
      <c r="E95" s="15"/>
      <c r="F95" s="14"/>
      <c r="G95" s="12"/>
      <c r="H95" s="16" t="str">
        <f aca="true">IF(A95="","",IF(F95="","Belirsiz",IF(F95&lt;TODAY(),"Bitti",IF(F95&lt;=TODAY()+30,"30 gün içinde","Sürüyor"))))</f>
        <v/>
      </c>
      <c r="I95" s="17" t="str">
        <f aca="true">IF(OR(A95="",D95=""),"",(TODAY()-D95)/365.25)</f>
        <v/>
      </c>
      <c r="J95" s="16" t="str">
        <f aca="true">IF(AND(A95&lt;&gt;"",F95&lt;&gt;"",F95&gt;=TODAY()),F95+ROW()/1000000,"")</f>
        <v/>
      </c>
    </row>
    <row r="96" customFormat="false" ht="15" hidden="false" customHeight="false" outlineLevel="0" collapsed="false">
      <c r="A96" s="12"/>
      <c r="B96" s="13"/>
      <c r="C96" s="13"/>
      <c r="D96" s="14"/>
      <c r="E96" s="15"/>
      <c r="F96" s="14"/>
      <c r="G96" s="12"/>
      <c r="H96" s="16" t="str">
        <f aca="true">IF(A96="","",IF(F96="","Belirsiz",IF(F96&lt;TODAY(),"Bitti",IF(F96&lt;=TODAY()+30,"30 gün içinde","Sürüyor"))))</f>
        <v/>
      </c>
      <c r="I96" s="17" t="str">
        <f aca="true">IF(OR(A96="",D96=""),"",(TODAY()-D96)/365.25)</f>
        <v/>
      </c>
      <c r="J96" s="16" t="str">
        <f aca="true">IF(AND(A96&lt;&gt;"",F96&lt;&gt;"",F96&gt;=TODAY()),F96+ROW()/1000000,"")</f>
        <v/>
      </c>
    </row>
    <row r="97" customFormat="false" ht="15" hidden="false" customHeight="false" outlineLevel="0" collapsed="false">
      <c r="A97" s="12"/>
      <c r="B97" s="13"/>
      <c r="C97" s="13"/>
      <c r="D97" s="14"/>
      <c r="E97" s="15"/>
      <c r="F97" s="14"/>
      <c r="G97" s="12"/>
      <c r="H97" s="16" t="str">
        <f aca="true">IF(A97="","",IF(F97="","Belirsiz",IF(F97&lt;TODAY(),"Bitti",IF(F97&lt;=TODAY()+30,"30 gün içinde","Sürüyor"))))</f>
        <v/>
      </c>
      <c r="I97" s="17" t="str">
        <f aca="true">IF(OR(A97="",D97=""),"",(TODAY()-D97)/365.25)</f>
        <v/>
      </c>
      <c r="J97" s="16" t="str">
        <f aca="true">IF(AND(A97&lt;&gt;"",F97&lt;&gt;"",F97&gt;=TODAY()),F97+ROW()/1000000,"")</f>
        <v/>
      </c>
    </row>
    <row r="98" customFormat="false" ht="15" hidden="false" customHeight="false" outlineLevel="0" collapsed="false">
      <c r="A98" s="12"/>
      <c r="B98" s="13"/>
      <c r="C98" s="13"/>
      <c r="D98" s="14"/>
      <c r="E98" s="15"/>
      <c r="F98" s="14"/>
      <c r="G98" s="12"/>
      <c r="H98" s="16" t="str">
        <f aca="true">IF(A98="","",IF(F98="","Belirsiz",IF(F98&lt;TODAY(),"Bitti",IF(F98&lt;=TODAY()+30,"30 gün içinde","Sürüyor"))))</f>
        <v/>
      </c>
      <c r="I98" s="17" t="str">
        <f aca="true">IF(OR(A98="",D98=""),"",(TODAY()-D98)/365.25)</f>
        <v/>
      </c>
      <c r="J98" s="16" t="str">
        <f aca="true">IF(AND(A98&lt;&gt;"",F98&lt;&gt;"",F98&gt;=TODAY()),F98+ROW()/1000000,"")</f>
        <v/>
      </c>
    </row>
    <row r="99" customFormat="false" ht="15" hidden="false" customHeight="false" outlineLevel="0" collapsed="false">
      <c r="A99" s="12"/>
      <c r="B99" s="13"/>
      <c r="C99" s="13"/>
      <c r="D99" s="14"/>
      <c r="E99" s="15"/>
      <c r="F99" s="14"/>
      <c r="G99" s="12"/>
      <c r="H99" s="16" t="str">
        <f aca="true">IF(A99="","",IF(F99="","Belirsiz",IF(F99&lt;TODAY(),"Bitti",IF(F99&lt;=TODAY()+30,"30 gün içinde","Sürüyor"))))</f>
        <v/>
      </c>
      <c r="I99" s="17" t="str">
        <f aca="true">IF(OR(A99="",D99=""),"",(TODAY()-D99)/365.25)</f>
        <v/>
      </c>
      <c r="J99" s="16" t="str">
        <f aca="true">IF(AND(A99&lt;&gt;"",F99&lt;&gt;"",F99&gt;=TODAY()),F99+ROW()/1000000,"")</f>
        <v/>
      </c>
    </row>
    <row r="100" customFormat="false" ht="15" hidden="false" customHeight="false" outlineLevel="0" collapsed="false">
      <c r="A100" s="12"/>
      <c r="B100" s="13"/>
      <c r="C100" s="13"/>
      <c r="D100" s="14"/>
      <c r="E100" s="15"/>
      <c r="F100" s="14"/>
      <c r="G100" s="12"/>
      <c r="H100" s="16" t="str">
        <f aca="true">IF(A100="","",IF(F100="","Belirsiz",IF(F100&lt;TODAY(),"Bitti",IF(F100&lt;=TODAY()+30,"30 gün içinde","Sürüyor"))))</f>
        <v/>
      </c>
      <c r="I100" s="17" t="str">
        <f aca="true">IF(OR(A100="",D100=""),"",(TODAY()-D100)/365.25)</f>
        <v/>
      </c>
      <c r="J100" s="16" t="str">
        <f aca="true">IF(AND(A100&lt;&gt;"",F100&lt;&gt;"",F100&gt;=TODAY()),F100+ROW()/1000000,"")</f>
        <v/>
      </c>
    </row>
    <row r="101" customFormat="false" ht="15" hidden="false" customHeight="false" outlineLevel="0" collapsed="false">
      <c r="A101" s="12"/>
      <c r="B101" s="13"/>
      <c r="C101" s="13"/>
      <c r="D101" s="14"/>
      <c r="E101" s="15"/>
      <c r="F101" s="14"/>
      <c r="G101" s="12"/>
      <c r="H101" s="16" t="str">
        <f aca="true">IF(A101="","",IF(F101="","Belirsiz",IF(F101&lt;TODAY(),"Bitti",IF(F101&lt;=TODAY()+30,"30 gün içinde","Sürüyor"))))</f>
        <v/>
      </c>
      <c r="I101" s="17" t="str">
        <f aca="true">IF(OR(A101="",D101=""),"",(TODAY()-D101)/365.25)</f>
        <v/>
      </c>
      <c r="J101" s="16" t="str">
        <f aca="true">IF(AND(A101&lt;&gt;"",F101&lt;&gt;"",F101&gt;=TODAY()),F101+ROW()/1000000,"")</f>
        <v/>
      </c>
    </row>
    <row r="102" customFormat="false" ht="15" hidden="false" customHeight="false" outlineLevel="0" collapsed="false">
      <c r="A102" s="12"/>
      <c r="B102" s="13"/>
      <c r="C102" s="13"/>
      <c r="D102" s="14"/>
      <c r="E102" s="15"/>
      <c r="F102" s="14"/>
      <c r="G102" s="12"/>
      <c r="H102" s="16" t="str">
        <f aca="true">IF(A102="","",IF(F102="","Belirsiz",IF(F102&lt;TODAY(),"Bitti",IF(F102&lt;=TODAY()+30,"30 gün içinde","Sürüyor"))))</f>
        <v/>
      </c>
      <c r="I102" s="17" t="str">
        <f aca="true">IF(OR(A102="",D102=""),"",(TODAY()-D102)/365.25)</f>
        <v/>
      </c>
      <c r="J102" s="16" t="str">
        <f aca="true">IF(AND(A102&lt;&gt;"",F102&lt;&gt;"",F102&gt;=TODAY()),F102+ROW()/1000000,"")</f>
        <v/>
      </c>
    </row>
    <row r="103" customFormat="false" ht="15" hidden="false" customHeight="false" outlineLevel="0" collapsed="false">
      <c r="A103" s="12"/>
      <c r="B103" s="13"/>
      <c r="C103" s="13"/>
      <c r="D103" s="14"/>
      <c r="E103" s="15"/>
      <c r="F103" s="14"/>
      <c r="G103" s="12"/>
      <c r="H103" s="16" t="str">
        <f aca="true">IF(A103="","",IF(F103="","Belirsiz",IF(F103&lt;TODAY(),"Bitti",IF(F103&lt;=TODAY()+30,"30 gün içinde","Sürüyor"))))</f>
        <v/>
      </c>
      <c r="I103" s="17" t="str">
        <f aca="true">IF(OR(A103="",D103=""),"",(TODAY()-D103)/365.25)</f>
        <v/>
      </c>
      <c r="J103" s="16" t="str">
        <f aca="true">IF(AND(A103&lt;&gt;"",F103&lt;&gt;"",F103&gt;=TODAY()),F103+ROW()/1000000,"")</f>
        <v/>
      </c>
    </row>
    <row r="104" customFormat="false" ht="15" hidden="false" customHeight="false" outlineLevel="0" collapsed="false">
      <c r="A104" s="12"/>
      <c r="B104" s="13"/>
      <c r="C104" s="13"/>
      <c r="D104" s="14"/>
      <c r="E104" s="15"/>
      <c r="F104" s="14"/>
      <c r="G104" s="12"/>
      <c r="H104" s="16" t="str">
        <f aca="true">IF(A104="","",IF(F104="","Belirsiz",IF(F104&lt;TODAY(),"Bitti",IF(F104&lt;=TODAY()+30,"30 gün içinde","Sürüyor"))))</f>
        <v/>
      </c>
      <c r="I104" s="17" t="str">
        <f aca="true">IF(OR(A104="",D104=""),"",(TODAY()-D104)/365.25)</f>
        <v/>
      </c>
      <c r="J104" s="16" t="str">
        <f aca="true">IF(AND(A104&lt;&gt;"",F104&lt;&gt;"",F104&gt;=TODAY()),F104+ROW()/1000000,"")</f>
        <v/>
      </c>
    </row>
    <row r="105" customFormat="false" ht="15" hidden="false" customHeight="false" outlineLevel="0" collapsed="false">
      <c r="A105" s="12"/>
      <c r="B105" s="13"/>
      <c r="C105" s="13"/>
      <c r="D105" s="14"/>
      <c r="E105" s="15"/>
      <c r="F105" s="14"/>
      <c r="G105" s="12"/>
      <c r="H105" s="16" t="str">
        <f aca="true">IF(A105="","",IF(F105="","Belirsiz",IF(F105&lt;TODAY(),"Bitti",IF(F105&lt;=TODAY()+30,"30 gün içinde","Sürüyor"))))</f>
        <v/>
      </c>
      <c r="I105" s="17" t="str">
        <f aca="true">IF(OR(A105="",D105=""),"",(TODAY()-D105)/365.25)</f>
        <v/>
      </c>
      <c r="J105" s="16" t="str">
        <f aca="true">IF(AND(A105&lt;&gt;"",F105&lt;&gt;"",F105&gt;=TODAY()),F105+ROW()/1000000,"")</f>
        <v/>
      </c>
    </row>
    <row r="106" customFormat="false" ht="15" hidden="false" customHeight="false" outlineLevel="0" collapsed="false">
      <c r="A106" s="12"/>
      <c r="B106" s="13"/>
      <c r="C106" s="13"/>
      <c r="D106" s="14"/>
      <c r="E106" s="15"/>
      <c r="F106" s="14"/>
      <c r="G106" s="12"/>
      <c r="H106" s="16" t="str">
        <f aca="true">IF(A106="","",IF(F106="","Belirsiz",IF(F106&lt;TODAY(),"Bitti",IF(F106&lt;=TODAY()+30,"30 gün içinde","Sürüyor"))))</f>
        <v/>
      </c>
      <c r="I106" s="17" t="str">
        <f aca="true">IF(OR(A106="",D106=""),"",(TODAY()-D106)/365.25)</f>
        <v/>
      </c>
      <c r="J106" s="16" t="str">
        <f aca="true">IF(AND(A106&lt;&gt;"",F106&lt;&gt;"",F106&gt;=TODAY()),F106+ROW()/1000000,"")</f>
        <v/>
      </c>
    </row>
    <row r="107" customFormat="false" ht="15" hidden="false" customHeight="false" outlineLevel="0" collapsed="false">
      <c r="A107" s="12"/>
      <c r="B107" s="13"/>
      <c r="C107" s="13"/>
      <c r="D107" s="14"/>
      <c r="E107" s="15"/>
      <c r="F107" s="14"/>
      <c r="G107" s="12"/>
      <c r="H107" s="16" t="str">
        <f aca="true">IF(A107="","",IF(F107="","Belirsiz",IF(F107&lt;TODAY(),"Bitti",IF(F107&lt;=TODAY()+30,"30 gün içinde","Sürüyor"))))</f>
        <v/>
      </c>
      <c r="I107" s="17" t="str">
        <f aca="true">IF(OR(A107="",D107=""),"",(TODAY()-D107)/365.25)</f>
        <v/>
      </c>
      <c r="J107" s="16" t="str">
        <f aca="true">IF(AND(A107&lt;&gt;"",F107&lt;&gt;"",F107&gt;=TODAY()),F107+ROW()/1000000,"")</f>
        <v/>
      </c>
    </row>
    <row r="108" customFormat="false" ht="15" hidden="false" customHeight="false" outlineLevel="0" collapsed="false">
      <c r="A108" s="12"/>
      <c r="B108" s="13"/>
      <c r="C108" s="13"/>
      <c r="D108" s="14"/>
      <c r="E108" s="15"/>
      <c r="F108" s="14"/>
      <c r="G108" s="12"/>
      <c r="H108" s="16" t="str">
        <f aca="true">IF(A108="","",IF(F108="","Belirsiz",IF(F108&lt;TODAY(),"Bitti",IF(F108&lt;=TODAY()+30,"30 gün içinde","Sürüyor"))))</f>
        <v/>
      </c>
      <c r="I108" s="17" t="str">
        <f aca="true">IF(OR(A108="",D108=""),"",(TODAY()-D108)/365.25)</f>
        <v/>
      </c>
      <c r="J108" s="16" t="str">
        <f aca="true">IF(AND(A108&lt;&gt;"",F108&lt;&gt;"",F108&gt;=TODAY()),F108+ROW()/1000000,"")</f>
        <v/>
      </c>
    </row>
    <row r="109" customFormat="false" ht="15" hidden="false" customHeight="false" outlineLevel="0" collapsed="false">
      <c r="A109" s="12"/>
      <c r="B109" s="13"/>
      <c r="C109" s="13"/>
      <c r="D109" s="14"/>
      <c r="E109" s="15"/>
      <c r="F109" s="14"/>
      <c r="G109" s="12"/>
      <c r="H109" s="16" t="str">
        <f aca="true">IF(A109="","",IF(F109="","Belirsiz",IF(F109&lt;TODAY(),"Bitti",IF(F109&lt;=TODAY()+30,"30 gün içinde","Sürüyor"))))</f>
        <v/>
      </c>
      <c r="I109" s="17" t="str">
        <f aca="true">IF(OR(A109="",D109=""),"",(TODAY()-D109)/365.25)</f>
        <v/>
      </c>
      <c r="J109" s="16" t="str">
        <f aca="true">IF(AND(A109&lt;&gt;"",F109&lt;&gt;"",F109&gt;=TODAY()),F109+ROW()/1000000,"")</f>
        <v/>
      </c>
    </row>
    <row r="110" customFormat="false" ht="15" hidden="false" customHeight="false" outlineLevel="0" collapsed="false">
      <c r="A110" s="12"/>
      <c r="B110" s="13"/>
      <c r="C110" s="13"/>
      <c r="D110" s="14"/>
      <c r="E110" s="15"/>
      <c r="F110" s="14"/>
      <c r="G110" s="12"/>
      <c r="H110" s="16" t="str">
        <f aca="true">IF(A110="","",IF(F110="","Belirsiz",IF(F110&lt;TODAY(),"Bitti",IF(F110&lt;=TODAY()+30,"30 gün içinde","Sürüyor"))))</f>
        <v/>
      </c>
      <c r="I110" s="17" t="str">
        <f aca="true">IF(OR(A110="",D110=""),"",(TODAY()-D110)/365.25)</f>
        <v/>
      </c>
      <c r="J110" s="16" t="str">
        <f aca="true">IF(AND(A110&lt;&gt;"",F110&lt;&gt;"",F110&gt;=TODAY()),F110+ROW()/1000000,"")</f>
        <v/>
      </c>
    </row>
    <row r="111" customFormat="false" ht="15" hidden="false" customHeight="false" outlineLevel="0" collapsed="false">
      <c r="A111" s="12"/>
      <c r="B111" s="13"/>
      <c r="C111" s="13"/>
      <c r="D111" s="14"/>
      <c r="E111" s="15"/>
      <c r="F111" s="14"/>
      <c r="G111" s="12"/>
      <c r="H111" s="16" t="str">
        <f aca="true">IF(A111="","",IF(F111="","Belirsiz",IF(F111&lt;TODAY(),"Bitti",IF(F111&lt;=TODAY()+30,"30 gün içinde","Sürüyor"))))</f>
        <v/>
      </c>
      <c r="I111" s="17" t="str">
        <f aca="true">IF(OR(A111="",D111=""),"",(TODAY()-D111)/365.25)</f>
        <v/>
      </c>
      <c r="J111" s="16" t="str">
        <f aca="true">IF(AND(A111&lt;&gt;"",F111&lt;&gt;"",F111&gt;=TODAY()),F111+ROW()/1000000,"")</f>
        <v/>
      </c>
    </row>
    <row r="112" customFormat="false" ht="15" hidden="false" customHeight="false" outlineLevel="0" collapsed="false">
      <c r="A112" s="12"/>
      <c r="B112" s="13"/>
      <c r="C112" s="13"/>
      <c r="D112" s="14"/>
      <c r="E112" s="15"/>
      <c r="F112" s="14"/>
      <c r="G112" s="12"/>
      <c r="H112" s="16" t="str">
        <f aca="true">IF(A112="","",IF(F112="","Belirsiz",IF(F112&lt;TODAY(),"Bitti",IF(F112&lt;=TODAY()+30,"30 gün içinde","Sürüyor"))))</f>
        <v/>
      </c>
      <c r="I112" s="17" t="str">
        <f aca="true">IF(OR(A112="",D112=""),"",(TODAY()-D112)/365.25)</f>
        <v/>
      </c>
      <c r="J112" s="16" t="str">
        <f aca="true">IF(AND(A112&lt;&gt;"",F112&lt;&gt;"",F112&gt;=TODAY()),F112+ROW()/1000000,"")</f>
        <v/>
      </c>
    </row>
    <row r="113" customFormat="false" ht="15" hidden="false" customHeight="false" outlineLevel="0" collapsed="false">
      <c r="A113" s="12"/>
      <c r="B113" s="13"/>
      <c r="C113" s="13"/>
      <c r="D113" s="14"/>
      <c r="E113" s="15"/>
      <c r="F113" s="14"/>
      <c r="G113" s="12"/>
      <c r="H113" s="16" t="str">
        <f aca="true">IF(A113="","",IF(F113="","Belirsiz",IF(F113&lt;TODAY(),"Bitti",IF(F113&lt;=TODAY()+30,"30 gün içinde","Sürüyor"))))</f>
        <v/>
      </c>
      <c r="I113" s="17" t="str">
        <f aca="true">IF(OR(A113="",D113=""),"",(TODAY()-D113)/365.25)</f>
        <v/>
      </c>
      <c r="J113" s="16" t="str">
        <f aca="true">IF(AND(A113&lt;&gt;"",F113&lt;&gt;"",F113&gt;=TODAY()),F113+ROW()/1000000,"")</f>
        <v/>
      </c>
    </row>
    <row r="114" customFormat="false" ht="15" hidden="false" customHeight="false" outlineLevel="0" collapsed="false">
      <c r="A114" s="12"/>
      <c r="B114" s="13"/>
      <c r="C114" s="13"/>
      <c r="D114" s="14"/>
      <c r="E114" s="15"/>
      <c r="F114" s="14"/>
      <c r="G114" s="12"/>
      <c r="H114" s="16" t="str">
        <f aca="true">IF(A114="","",IF(F114="","Belirsiz",IF(F114&lt;TODAY(),"Bitti",IF(F114&lt;=TODAY()+30,"30 gün içinde","Sürüyor"))))</f>
        <v/>
      </c>
      <c r="I114" s="17" t="str">
        <f aca="true">IF(OR(A114="",D114=""),"",(TODAY()-D114)/365.25)</f>
        <v/>
      </c>
      <c r="J114" s="16" t="str">
        <f aca="true">IF(AND(A114&lt;&gt;"",F114&lt;&gt;"",F114&gt;=TODAY()),F114+ROW()/1000000,"")</f>
        <v/>
      </c>
    </row>
    <row r="115" customFormat="false" ht="15" hidden="false" customHeight="false" outlineLevel="0" collapsed="false">
      <c r="A115" s="12"/>
      <c r="B115" s="13"/>
      <c r="C115" s="13"/>
      <c r="D115" s="14"/>
      <c r="E115" s="15"/>
      <c r="F115" s="14"/>
      <c r="G115" s="12"/>
      <c r="H115" s="16" t="str">
        <f aca="true">IF(A115="","",IF(F115="","Belirsiz",IF(F115&lt;TODAY(),"Bitti",IF(F115&lt;=TODAY()+30,"30 gün içinde","Sürüyor"))))</f>
        <v/>
      </c>
      <c r="I115" s="17" t="str">
        <f aca="true">IF(OR(A115="",D115=""),"",(TODAY()-D115)/365.25)</f>
        <v/>
      </c>
      <c r="J115" s="16" t="str">
        <f aca="true">IF(AND(A115&lt;&gt;"",F115&lt;&gt;"",F115&gt;=TODAY()),F115+ROW()/1000000,"")</f>
        <v/>
      </c>
    </row>
    <row r="116" customFormat="false" ht="15" hidden="false" customHeight="false" outlineLevel="0" collapsed="false">
      <c r="A116" s="12"/>
      <c r="B116" s="13"/>
      <c r="C116" s="13"/>
      <c r="D116" s="14"/>
      <c r="E116" s="15"/>
      <c r="F116" s="14"/>
      <c r="G116" s="12"/>
      <c r="H116" s="16" t="str">
        <f aca="true">IF(A116="","",IF(F116="","Belirsiz",IF(F116&lt;TODAY(),"Bitti",IF(F116&lt;=TODAY()+30,"30 gün içinde","Sürüyor"))))</f>
        <v/>
      </c>
      <c r="I116" s="17" t="str">
        <f aca="true">IF(OR(A116="",D116=""),"",(TODAY()-D116)/365.25)</f>
        <v/>
      </c>
      <c r="J116" s="16" t="str">
        <f aca="true">IF(AND(A116&lt;&gt;"",F116&lt;&gt;"",F116&gt;=TODAY()),F116+ROW()/1000000,"")</f>
        <v/>
      </c>
    </row>
    <row r="117" customFormat="false" ht="15" hidden="false" customHeight="false" outlineLevel="0" collapsed="false">
      <c r="A117" s="12"/>
      <c r="B117" s="13"/>
      <c r="C117" s="13"/>
      <c r="D117" s="14"/>
      <c r="E117" s="15"/>
      <c r="F117" s="14"/>
      <c r="G117" s="12"/>
      <c r="H117" s="16" t="str">
        <f aca="true">IF(A117="","",IF(F117="","Belirsiz",IF(F117&lt;TODAY(),"Bitti",IF(F117&lt;=TODAY()+30,"30 gün içinde","Sürüyor"))))</f>
        <v/>
      </c>
      <c r="I117" s="17" t="str">
        <f aca="true">IF(OR(A117="",D117=""),"",(TODAY()-D117)/365.25)</f>
        <v/>
      </c>
      <c r="J117" s="16" t="str">
        <f aca="true">IF(AND(A117&lt;&gt;"",F117&lt;&gt;"",F117&gt;=TODAY()),F117+ROW()/1000000,"")</f>
        <v/>
      </c>
    </row>
    <row r="118" customFormat="false" ht="15" hidden="false" customHeight="false" outlineLevel="0" collapsed="false">
      <c r="A118" s="12"/>
      <c r="B118" s="13"/>
      <c r="C118" s="13"/>
      <c r="D118" s="14"/>
      <c r="E118" s="15"/>
      <c r="F118" s="14"/>
      <c r="G118" s="12"/>
      <c r="H118" s="16" t="str">
        <f aca="true">IF(A118="","",IF(F118="","Belirsiz",IF(F118&lt;TODAY(),"Bitti",IF(F118&lt;=TODAY()+30,"30 gün içinde","Sürüyor"))))</f>
        <v/>
      </c>
      <c r="I118" s="17" t="str">
        <f aca="true">IF(OR(A118="",D118=""),"",(TODAY()-D118)/365.25)</f>
        <v/>
      </c>
      <c r="J118" s="16" t="str">
        <f aca="true">IF(AND(A118&lt;&gt;"",F118&lt;&gt;"",F118&gt;=TODAY()),F118+ROW()/1000000,"")</f>
        <v/>
      </c>
    </row>
    <row r="119" customFormat="false" ht="15" hidden="false" customHeight="false" outlineLevel="0" collapsed="false">
      <c r="A119" s="12"/>
      <c r="B119" s="13"/>
      <c r="C119" s="13"/>
      <c r="D119" s="14"/>
      <c r="E119" s="15"/>
      <c r="F119" s="14"/>
      <c r="G119" s="12"/>
      <c r="H119" s="16" t="str">
        <f aca="true">IF(A119="","",IF(F119="","Belirsiz",IF(F119&lt;TODAY(),"Bitti",IF(F119&lt;=TODAY()+30,"30 gün içinde","Sürüyor"))))</f>
        <v/>
      </c>
      <c r="I119" s="17" t="str">
        <f aca="true">IF(OR(A119="",D119=""),"",(TODAY()-D119)/365.25)</f>
        <v/>
      </c>
      <c r="J119" s="16" t="str">
        <f aca="true">IF(AND(A119&lt;&gt;"",F119&lt;&gt;"",F119&gt;=TODAY()),F119+ROW()/1000000,"")</f>
        <v/>
      </c>
    </row>
    <row r="120" customFormat="false" ht="15" hidden="false" customHeight="false" outlineLevel="0" collapsed="false">
      <c r="A120" s="12"/>
      <c r="B120" s="13"/>
      <c r="C120" s="13"/>
      <c r="D120" s="14"/>
      <c r="E120" s="15"/>
      <c r="F120" s="14"/>
      <c r="G120" s="12"/>
      <c r="H120" s="16" t="str">
        <f aca="true">IF(A120="","",IF(F120="","Belirsiz",IF(F120&lt;TODAY(),"Bitti",IF(F120&lt;=TODAY()+30,"30 gün içinde","Sürüyor"))))</f>
        <v/>
      </c>
      <c r="I120" s="17" t="str">
        <f aca="true">IF(OR(A120="",D120=""),"",(TODAY()-D120)/365.25)</f>
        <v/>
      </c>
      <c r="J120" s="16" t="str">
        <f aca="true">IF(AND(A120&lt;&gt;"",F120&lt;&gt;"",F120&gt;=TODAY()),F120+ROW()/1000000,"")</f>
        <v/>
      </c>
    </row>
    <row r="121" customFormat="false" ht="15" hidden="false" customHeight="false" outlineLevel="0" collapsed="false">
      <c r="A121" s="12"/>
      <c r="B121" s="13"/>
      <c r="C121" s="13"/>
      <c r="D121" s="14"/>
      <c r="E121" s="15"/>
      <c r="F121" s="14"/>
      <c r="G121" s="12"/>
      <c r="H121" s="16" t="str">
        <f aca="true">IF(A121="","",IF(F121="","Belirsiz",IF(F121&lt;TODAY(),"Bitti",IF(F121&lt;=TODAY()+30,"30 gün içinde","Sürüyor"))))</f>
        <v/>
      </c>
      <c r="I121" s="17" t="str">
        <f aca="true">IF(OR(A121="",D121=""),"",(TODAY()-D121)/365.25)</f>
        <v/>
      </c>
      <c r="J121" s="16" t="str">
        <f aca="true">IF(AND(A121&lt;&gt;"",F121&lt;&gt;"",F121&gt;=TODAY()),F121+ROW()/1000000,"")</f>
        <v/>
      </c>
    </row>
    <row r="122" customFormat="false" ht="15" hidden="false" customHeight="false" outlineLevel="0" collapsed="false">
      <c r="A122" s="12"/>
      <c r="B122" s="13"/>
      <c r="C122" s="13"/>
      <c r="D122" s="14"/>
      <c r="E122" s="15"/>
      <c r="F122" s="14"/>
      <c r="G122" s="12"/>
      <c r="H122" s="16" t="str">
        <f aca="true">IF(A122="","",IF(F122="","Belirsiz",IF(F122&lt;TODAY(),"Bitti",IF(F122&lt;=TODAY()+30,"30 gün içinde","Sürüyor"))))</f>
        <v/>
      </c>
      <c r="I122" s="17" t="str">
        <f aca="true">IF(OR(A122="",D122=""),"",(TODAY()-D122)/365.25)</f>
        <v/>
      </c>
      <c r="J122" s="16" t="str">
        <f aca="true">IF(AND(A122&lt;&gt;"",F122&lt;&gt;"",F122&gt;=TODAY()),F122+ROW()/1000000,"")</f>
        <v/>
      </c>
    </row>
    <row r="123" customFormat="false" ht="15" hidden="false" customHeight="false" outlineLevel="0" collapsed="false">
      <c r="A123" s="12"/>
      <c r="B123" s="13"/>
      <c r="C123" s="13"/>
      <c r="D123" s="14"/>
      <c r="E123" s="15"/>
      <c r="F123" s="14"/>
      <c r="G123" s="12"/>
      <c r="H123" s="16" t="str">
        <f aca="true">IF(A123="","",IF(F123="","Belirsiz",IF(F123&lt;TODAY(),"Bitti",IF(F123&lt;=TODAY()+30,"30 gün içinde","Sürüyor"))))</f>
        <v/>
      </c>
      <c r="I123" s="17" t="str">
        <f aca="true">IF(OR(A123="",D123=""),"",(TODAY()-D123)/365.25)</f>
        <v/>
      </c>
      <c r="J123" s="16" t="str">
        <f aca="true">IF(AND(A123&lt;&gt;"",F123&lt;&gt;"",F123&gt;=TODAY()),F123+ROW()/1000000,"")</f>
        <v/>
      </c>
    </row>
    <row r="124" customFormat="false" ht="15" hidden="false" customHeight="false" outlineLevel="0" collapsed="false">
      <c r="A124" s="12"/>
      <c r="B124" s="13"/>
      <c r="C124" s="13"/>
      <c r="D124" s="14"/>
      <c r="E124" s="15"/>
      <c r="F124" s="14"/>
      <c r="G124" s="12"/>
      <c r="H124" s="16" t="str">
        <f aca="true">IF(A124="","",IF(F124="","Belirsiz",IF(F124&lt;TODAY(),"Bitti",IF(F124&lt;=TODAY()+30,"30 gün içinde","Sürüyor"))))</f>
        <v/>
      </c>
      <c r="I124" s="17" t="str">
        <f aca="true">IF(OR(A124="",D124=""),"",(TODAY()-D124)/365.25)</f>
        <v/>
      </c>
      <c r="J124" s="16" t="str">
        <f aca="true">IF(AND(A124&lt;&gt;"",F124&lt;&gt;"",F124&gt;=TODAY()),F124+ROW()/1000000,"")</f>
        <v/>
      </c>
    </row>
    <row r="125" customFormat="false" ht="15" hidden="false" customHeight="false" outlineLevel="0" collapsed="false">
      <c r="A125" s="12"/>
      <c r="B125" s="13"/>
      <c r="C125" s="13"/>
      <c r="D125" s="14"/>
      <c r="E125" s="15"/>
      <c r="F125" s="14"/>
      <c r="G125" s="12"/>
      <c r="H125" s="16" t="str">
        <f aca="true">IF(A125="","",IF(F125="","Belirsiz",IF(F125&lt;TODAY(),"Bitti",IF(F125&lt;=TODAY()+30,"30 gün içinde","Sürüyor"))))</f>
        <v/>
      </c>
      <c r="I125" s="17" t="str">
        <f aca="true">IF(OR(A125="",D125=""),"",(TODAY()-D125)/365.25)</f>
        <v/>
      </c>
      <c r="J125" s="16" t="str">
        <f aca="true">IF(AND(A125&lt;&gt;"",F125&lt;&gt;"",F125&gt;=TODAY()),F125+ROW()/1000000,"")</f>
        <v/>
      </c>
    </row>
    <row r="126" customFormat="false" ht="15" hidden="false" customHeight="false" outlineLevel="0" collapsed="false">
      <c r="A126" s="12"/>
      <c r="B126" s="13"/>
      <c r="C126" s="13"/>
      <c r="D126" s="14"/>
      <c r="E126" s="15"/>
      <c r="F126" s="14"/>
      <c r="G126" s="12"/>
      <c r="H126" s="16" t="str">
        <f aca="true">IF(A126="","",IF(F126="","Belirsiz",IF(F126&lt;TODAY(),"Bitti",IF(F126&lt;=TODAY()+30,"30 gün içinde","Sürüyor"))))</f>
        <v/>
      </c>
      <c r="I126" s="17" t="str">
        <f aca="true">IF(OR(A126="",D126=""),"",(TODAY()-D126)/365.25)</f>
        <v/>
      </c>
      <c r="J126" s="16" t="str">
        <f aca="true">IF(AND(A126&lt;&gt;"",F126&lt;&gt;"",F126&gt;=TODAY()),F126+ROW()/1000000,"")</f>
        <v/>
      </c>
    </row>
    <row r="127" customFormat="false" ht="15" hidden="false" customHeight="false" outlineLevel="0" collapsed="false">
      <c r="A127" s="12"/>
      <c r="B127" s="13"/>
      <c r="C127" s="13"/>
      <c r="D127" s="14"/>
      <c r="E127" s="15"/>
      <c r="F127" s="14"/>
      <c r="G127" s="12"/>
      <c r="H127" s="16" t="str">
        <f aca="true">IF(A127="","",IF(F127="","Belirsiz",IF(F127&lt;TODAY(),"Bitti",IF(F127&lt;=TODAY()+30,"30 gün içinde","Sürüyor"))))</f>
        <v/>
      </c>
      <c r="I127" s="17" t="str">
        <f aca="true">IF(OR(A127="",D127=""),"",(TODAY()-D127)/365.25)</f>
        <v/>
      </c>
      <c r="J127" s="16" t="str">
        <f aca="true">IF(AND(A127&lt;&gt;"",F127&lt;&gt;"",F127&gt;=TODAY()),F127+ROW()/1000000,"")</f>
        <v/>
      </c>
    </row>
    <row r="128" customFormat="false" ht="15" hidden="false" customHeight="false" outlineLevel="0" collapsed="false">
      <c r="A128" s="12"/>
      <c r="B128" s="13"/>
      <c r="C128" s="13"/>
      <c r="D128" s="14"/>
      <c r="E128" s="15"/>
      <c r="F128" s="14"/>
      <c r="G128" s="12"/>
      <c r="H128" s="16" t="str">
        <f aca="true">IF(A128="","",IF(F128="","Belirsiz",IF(F128&lt;TODAY(),"Bitti",IF(F128&lt;=TODAY()+30,"30 gün içinde","Sürüyor"))))</f>
        <v/>
      </c>
      <c r="I128" s="17" t="str">
        <f aca="true">IF(OR(A128="",D128=""),"",(TODAY()-D128)/365.25)</f>
        <v/>
      </c>
      <c r="J128" s="16" t="str">
        <f aca="true">IF(AND(A128&lt;&gt;"",F128&lt;&gt;"",F128&gt;=TODAY()),F128+ROW()/1000000,"")</f>
        <v/>
      </c>
    </row>
    <row r="129" customFormat="false" ht="15" hidden="false" customHeight="false" outlineLevel="0" collapsed="false">
      <c r="A129" s="12"/>
      <c r="B129" s="13"/>
      <c r="C129" s="13"/>
      <c r="D129" s="14"/>
      <c r="E129" s="15"/>
      <c r="F129" s="14"/>
      <c r="G129" s="12"/>
      <c r="H129" s="16" t="str">
        <f aca="true">IF(A129="","",IF(F129="","Belirsiz",IF(F129&lt;TODAY(),"Bitti",IF(F129&lt;=TODAY()+30,"30 gün içinde","Sürüyor"))))</f>
        <v/>
      </c>
      <c r="I129" s="17" t="str">
        <f aca="true">IF(OR(A129="",D129=""),"",(TODAY()-D129)/365.25)</f>
        <v/>
      </c>
      <c r="J129" s="16" t="str">
        <f aca="true">IF(AND(A129&lt;&gt;"",F129&lt;&gt;"",F129&gt;=TODAY()),F129+ROW()/1000000,"")</f>
        <v/>
      </c>
    </row>
    <row r="130" customFormat="false" ht="15" hidden="false" customHeight="false" outlineLevel="0" collapsed="false">
      <c r="A130" s="12"/>
      <c r="B130" s="13"/>
      <c r="C130" s="13"/>
      <c r="D130" s="14"/>
      <c r="E130" s="15"/>
      <c r="F130" s="14"/>
      <c r="G130" s="12"/>
      <c r="H130" s="16" t="str">
        <f aca="true">IF(A130="","",IF(F130="","Belirsiz",IF(F130&lt;TODAY(),"Bitti",IF(F130&lt;=TODAY()+30,"30 gün içinde","Sürüyor"))))</f>
        <v/>
      </c>
      <c r="I130" s="17" t="str">
        <f aca="true">IF(OR(A130="",D130=""),"",(TODAY()-D130)/365.25)</f>
        <v/>
      </c>
      <c r="J130" s="16" t="str">
        <f aca="true">IF(AND(A130&lt;&gt;"",F130&lt;&gt;"",F130&gt;=TODAY()),F130+ROW()/1000000,"")</f>
        <v/>
      </c>
    </row>
    <row r="131" customFormat="false" ht="15" hidden="false" customHeight="false" outlineLevel="0" collapsed="false">
      <c r="A131" s="12"/>
      <c r="B131" s="13"/>
      <c r="C131" s="13"/>
      <c r="D131" s="14"/>
      <c r="E131" s="15"/>
      <c r="F131" s="14"/>
      <c r="G131" s="12"/>
      <c r="H131" s="16" t="str">
        <f aca="true">IF(A131="","",IF(F131="","Belirsiz",IF(F131&lt;TODAY(),"Bitti",IF(F131&lt;=TODAY()+30,"30 gün içinde","Sürüyor"))))</f>
        <v/>
      </c>
      <c r="I131" s="17" t="str">
        <f aca="true">IF(OR(A131="",D131=""),"",(TODAY()-D131)/365.25)</f>
        <v/>
      </c>
      <c r="J131" s="16" t="str">
        <f aca="true">IF(AND(A131&lt;&gt;"",F131&lt;&gt;"",F131&gt;=TODAY()),F131+ROW()/1000000,"")</f>
        <v/>
      </c>
    </row>
    <row r="132" customFormat="false" ht="15" hidden="false" customHeight="false" outlineLevel="0" collapsed="false">
      <c r="A132" s="12"/>
      <c r="B132" s="13"/>
      <c r="C132" s="13"/>
      <c r="D132" s="14"/>
      <c r="E132" s="15"/>
      <c r="F132" s="14"/>
      <c r="G132" s="12"/>
      <c r="H132" s="16" t="str">
        <f aca="true">IF(A132="","",IF(F132="","Belirsiz",IF(F132&lt;TODAY(),"Bitti",IF(F132&lt;=TODAY()+30,"30 gün içinde","Sürüyor"))))</f>
        <v/>
      </c>
      <c r="I132" s="17" t="str">
        <f aca="true">IF(OR(A132="",D132=""),"",(TODAY()-D132)/365.25)</f>
        <v/>
      </c>
      <c r="J132" s="16" t="str">
        <f aca="true">IF(AND(A132&lt;&gt;"",F132&lt;&gt;"",F132&gt;=TODAY()),F132+ROW()/1000000,"")</f>
        <v/>
      </c>
    </row>
    <row r="133" customFormat="false" ht="15" hidden="false" customHeight="false" outlineLevel="0" collapsed="false">
      <c r="A133" s="12"/>
      <c r="B133" s="13"/>
      <c r="C133" s="13"/>
      <c r="D133" s="14"/>
      <c r="E133" s="15"/>
      <c r="F133" s="14"/>
      <c r="G133" s="12"/>
      <c r="H133" s="16" t="str">
        <f aca="true">IF(A133="","",IF(F133="","Belirsiz",IF(F133&lt;TODAY(),"Bitti",IF(F133&lt;=TODAY()+30,"30 gün içinde","Sürüyor"))))</f>
        <v/>
      </c>
      <c r="I133" s="17" t="str">
        <f aca="true">IF(OR(A133="",D133=""),"",(TODAY()-D133)/365.25)</f>
        <v/>
      </c>
      <c r="J133" s="16" t="str">
        <f aca="true">IF(AND(A133&lt;&gt;"",F133&lt;&gt;"",F133&gt;=TODAY()),F133+ROW()/1000000,"")</f>
        <v/>
      </c>
    </row>
    <row r="134" customFormat="false" ht="15" hidden="false" customHeight="false" outlineLevel="0" collapsed="false">
      <c r="A134" s="12"/>
      <c r="B134" s="13"/>
      <c r="C134" s="13"/>
      <c r="D134" s="14"/>
      <c r="E134" s="15"/>
      <c r="F134" s="14"/>
      <c r="G134" s="12"/>
      <c r="H134" s="16" t="str">
        <f aca="true">IF(A134="","",IF(F134="","Belirsiz",IF(F134&lt;TODAY(),"Bitti",IF(F134&lt;=TODAY()+30,"30 gün içinde","Sürüyor"))))</f>
        <v/>
      </c>
      <c r="I134" s="17" t="str">
        <f aca="true">IF(OR(A134="",D134=""),"",(TODAY()-D134)/365.25)</f>
        <v/>
      </c>
      <c r="J134" s="16" t="str">
        <f aca="true">IF(AND(A134&lt;&gt;"",F134&lt;&gt;"",F134&gt;=TODAY()),F134+ROW()/1000000,"")</f>
        <v/>
      </c>
    </row>
    <row r="135" customFormat="false" ht="15" hidden="false" customHeight="false" outlineLevel="0" collapsed="false">
      <c r="A135" s="12"/>
      <c r="B135" s="13"/>
      <c r="C135" s="13"/>
      <c r="D135" s="14"/>
      <c r="E135" s="15"/>
      <c r="F135" s="14"/>
      <c r="G135" s="12"/>
      <c r="H135" s="16" t="str">
        <f aca="true">IF(A135="","",IF(F135="","Belirsiz",IF(F135&lt;TODAY(),"Bitti",IF(F135&lt;=TODAY()+30,"30 gün içinde","Sürüyor"))))</f>
        <v/>
      </c>
      <c r="I135" s="17" t="str">
        <f aca="true">IF(OR(A135="",D135=""),"",(TODAY()-D135)/365.25)</f>
        <v/>
      </c>
      <c r="J135" s="16" t="str">
        <f aca="true">IF(AND(A135&lt;&gt;"",F135&lt;&gt;"",F135&gt;=TODAY()),F135+ROW()/1000000,"")</f>
        <v/>
      </c>
    </row>
    <row r="136" customFormat="false" ht="15" hidden="false" customHeight="false" outlineLevel="0" collapsed="false">
      <c r="A136" s="12"/>
      <c r="B136" s="13"/>
      <c r="C136" s="13"/>
      <c r="D136" s="14"/>
      <c r="E136" s="15"/>
      <c r="F136" s="14"/>
      <c r="G136" s="12"/>
      <c r="H136" s="16" t="str">
        <f aca="true">IF(A136="","",IF(F136="","Belirsiz",IF(F136&lt;TODAY(),"Bitti",IF(F136&lt;=TODAY()+30,"30 gün içinde","Sürüyor"))))</f>
        <v/>
      </c>
      <c r="I136" s="17" t="str">
        <f aca="true">IF(OR(A136="",D136=""),"",(TODAY()-D136)/365.25)</f>
        <v/>
      </c>
      <c r="J136" s="16" t="str">
        <f aca="true">IF(AND(A136&lt;&gt;"",F136&lt;&gt;"",F136&gt;=TODAY()),F136+ROW()/1000000,"")</f>
        <v/>
      </c>
    </row>
    <row r="137" customFormat="false" ht="15" hidden="false" customHeight="false" outlineLevel="0" collapsed="false">
      <c r="A137" s="12"/>
      <c r="B137" s="13"/>
      <c r="C137" s="13"/>
      <c r="D137" s="14"/>
      <c r="E137" s="15"/>
      <c r="F137" s="14"/>
      <c r="G137" s="12"/>
      <c r="H137" s="16" t="str">
        <f aca="true">IF(A137="","",IF(F137="","Belirsiz",IF(F137&lt;TODAY(),"Bitti",IF(F137&lt;=TODAY()+30,"30 gün içinde","Sürüyor"))))</f>
        <v/>
      </c>
      <c r="I137" s="17" t="str">
        <f aca="true">IF(OR(A137="",D137=""),"",(TODAY()-D137)/365.25)</f>
        <v/>
      </c>
      <c r="J137" s="16" t="str">
        <f aca="true">IF(AND(A137&lt;&gt;"",F137&lt;&gt;"",F137&gt;=TODAY()),F137+ROW()/1000000,"")</f>
        <v/>
      </c>
    </row>
    <row r="138" customFormat="false" ht="15" hidden="false" customHeight="false" outlineLevel="0" collapsed="false">
      <c r="A138" s="12"/>
      <c r="B138" s="13"/>
      <c r="C138" s="13"/>
      <c r="D138" s="14"/>
      <c r="E138" s="15"/>
      <c r="F138" s="14"/>
      <c r="G138" s="12"/>
      <c r="H138" s="16" t="str">
        <f aca="true">IF(A138="","",IF(F138="","Belirsiz",IF(F138&lt;TODAY(),"Bitti",IF(F138&lt;=TODAY()+30,"30 gün içinde","Sürüyor"))))</f>
        <v/>
      </c>
      <c r="I138" s="17" t="str">
        <f aca="true">IF(OR(A138="",D138=""),"",(TODAY()-D138)/365.25)</f>
        <v/>
      </c>
      <c r="J138" s="16" t="str">
        <f aca="true">IF(AND(A138&lt;&gt;"",F138&lt;&gt;"",F138&gt;=TODAY()),F138+ROW()/1000000,"")</f>
        <v/>
      </c>
    </row>
    <row r="139" customFormat="false" ht="15" hidden="false" customHeight="false" outlineLevel="0" collapsed="false">
      <c r="A139" s="12"/>
      <c r="B139" s="13"/>
      <c r="C139" s="13"/>
      <c r="D139" s="14"/>
      <c r="E139" s="15"/>
      <c r="F139" s="14"/>
      <c r="G139" s="12"/>
      <c r="H139" s="16" t="str">
        <f aca="true">IF(A139="","",IF(F139="","Belirsiz",IF(F139&lt;TODAY(),"Bitti",IF(F139&lt;=TODAY()+30,"30 gün içinde","Sürüyor"))))</f>
        <v/>
      </c>
      <c r="I139" s="17" t="str">
        <f aca="true">IF(OR(A139="",D139=""),"",(TODAY()-D139)/365.25)</f>
        <v/>
      </c>
      <c r="J139" s="16" t="str">
        <f aca="true">IF(AND(A139&lt;&gt;"",F139&lt;&gt;"",F139&gt;=TODAY()),F139+ROW()/1000000,"")</f>
        <v/>
      </c>
    </row>
    <row r="140" customFormat="false" ht="15" hidden="false" customHeight="false" outlineLevel="0" collapsed="false">
      <c r="A140" s="12"/>
      <c r="B140" s="13"/>
      <c r="C140" s="13"/>
      <c r="D140" s="14"/>
      <c r="E140" s="15"/>
      <c r="F140" s="14"/>
      <c r="G140" s="12"/>
      <c r="H140" s="16" t="str">
        <f aca="true">IF(A140="","",IF(F140="","Belirsiz",IF(F140&lt;TODAY(),"Bitti",IF(F140&lt;=TODAY()+30,"30 gün içinde","Sürüyor"))))</f>
        <v/>
      </c>
      <c r="I140" s="17" t="str">
        <f aca="true">IF(OR(A140="",D140=""),"",(TODAY()-D140)/365.25)</f>
        <v/>
      </c>
      <c r="J140" s="16" t="str">
        <f aca="true">IF(AND(A140&lt;&gt;"",F140&lt;&gt;"",F140&gt;=TODAY()),F140+ROW()/1000000,"")</f>
        <v/>
      </c>
    </row>
    <row r="141" customFormat="false" ht="15" hidden="false" customHeight="false" outlineLevel="0" collapsed="false">
      <c r="A141" s="12"/>
      <c r="B141" s="13"/>
      <c r="C141" s="13"/>
      <c r="D141" s="14"/>
      <c r="E141" s="15"/>
      <c r="F141" s="14"/>
      <c r="G141" s="12"/>
      <c r="H141" s="16" t="str">
        <f aca="true">IF(A141="","",IF(F141="","Belirsiz",IF(F141&lt;TODAY(),"Bitti",IF(F141&lt;=TODAY()+30,"30 gün içinde","Sürüyor"))))</f>
        <v/>
      </c>
      <c r="I141" s="17" t="str">
        <f aca="true">IF(OR(A141="",D141=""),"",(TODAY()-D141)/365.25)</f>
        <v/>
      </c>
      <c r="J141" s="16" t="str">
        <f aca="true">IF(AND(A141&lt;&gt;"",F141&lt;&gt;"",F141&gt;=TODAY()),F141+ROW()/1000000,"")</f>
        <v/>
      </c>
    </row>
    <row r="142" customFormat="false" ht="15" hidden="false" customHeight="false" outlineLevel="0" collapsed="false">
      <c r="A142" s="12"/>
      <c r="B142" s="13"/>
      <c r="C142" s="13"/>
      <c r="D142" s="14"/>
      <c r="E142" s="15"/>
      <c r="F142" s="14"/>
      <c r="G142" s="12"/>
      <c r="H142" s="16" t="str">
        <f aca="true">IF(A142="","",IF(F142="","Belirsiz",IF(F142&lt;TODAY(),"Bitti",IF(F142&lt;=TODAY()+30,"30 gün içinde","Sürüyor"))))</f>
        <v/>
      </c>
      <c r="I142" s="17" t="str">
        <f aca="true">IF(OR(A142="",D142=""),"",(TODAY()-D142)/365.25)</f>
        <v/>
      </c>
      <c r="J142" s="16" t="str">
        <f aca="true">IF(AND(A142&lt;&gt;"",F142&lt;&gt;"",F142&gt;=TODAY()),F142+ROW()/1000000,"")</f>
        <v/>
      </c>
    </row>
    <row r="143" customFormat="false" ht="15" hidden="false" customHeight="false" outlineLevel="0" collapsed="false">
      <c r="A143" s="12"/>
      <c r="B143" s="13"/>
      <c r="C143" s="13"/>
      <c r="D143" s="14"/>
      <c r="E143" s="15"/>
      <c r="F143" s="14"/>
      <c r="G143" s="12"/>
      <c r="H143" s="16" t="str">
        <f aca="true">IF(A143="","",IF(F143="","Belirsiz",IF(F143&lt;TODAY(),"Bitti",IF(F143&lt;=TODAY()+30,"30 gün içinde","Sürüyor"))))</f>
        <v/>
      </c>
      <c r="I143" s="17" t="str">
        <f aca="true">IF(OR(A143="",D143=""),"",(TODAY()-D143)/365.25)</f>
        <v/>
      </c>
      <c r="J143" s="16" t="str">
        <f aca="true">IF(AND(A143&lt;&gt;"",F143&lt;&gt;"",F143&gt;=TODAY()),F143+ROW()/1000000,"")</f>
        <v/>
      </c>
    </row>
    <row r="144" customFormat="false" ht="15" hidden="false" customHeight="false" outlineLevel="0" collapsed="false">
      <c r="A144" s="12"/>
      <c r="B144" s="13"/>
      <c r="C144" s="13"/>
      <c r="D144" s="14"/>
      <c r="E144" s="15"/>
      <c r="F144" s="14"/>
      <c r="G144" s="12"/>
      <c r="H144" s="16" t="str">
        <f aca="true">IF(A144="","",IF(F144="","Belirsiz",IF(F144&lt;TODAY(),"Bitti",IF(F144&lt;=TODAY()+30,"30 gün içinde","Sürüyor"))))</f>
        <v/>
      </c>
      <c r="I144" s="17" t="str">
        <f aca="true">IF(OR(A144="",D144=""),"",(TODAY()-D144)/365.25)</f>
        <v/>
      </c>
      <c r="J144" s="16" t="str">
        <f aca="true">IF(AND(A144&lt;&gt;"",F144&lt;&gt;"",F144&gt;=TODAY()),F144+ROW()/1000000,"")</f>
        <v/>
      </c>
    </row>
    <row r="145" customFormat="false" ht="15" hidden="false" customHeight="false" outlineLevel="0" collapsed="false">
      <c r="A145" s="12"/>
      <c r="B145" s="13"/>
      <c r="C145" s="13"/>
      <c r="D145" s="14"/>
      <c r="E145" s="15"/>
      <c r="F145" s="14"/>
      <c r="G145" s="12"/>
      <c r="H145" s="16" t="str">
        <f aca="true">IF(A145="","",IF(F145="","Belirsiz",IF(F145&lt;TODAY(),"Bitti",IF(F145&lt;=TODAY()+30,"30 gün içinde","Sürüyor"))))</f>
        <v/>
      </c>
      <c r="I145" s="17" t="str">
        <f aca="true">IF(OR(A145="",D145=""),"",(TODAY()-D145)/365.25)</f>
        <v/>
      </c>
      <c r="J145" s="16" t="str">
        <f aca="true">IF(AND(A145&lt;&gt;"",F145&lt;&gt;"",F145&gt;=TODAY()),F145+ROW()/1000000,"")</f>
        <v/>
      </c>
    </row>
    <row r="146" customFormat="false" ht="15" hidden="false" customHeight="false" outlineLevel="0" collapsed="false">
      <c r="A146" s="12"/>
      <c r="B146" s="13"/>
      <c r="C146" s="13"/>
      <c r="D146" s="14"/>
      <c r="E146" s="15"/>
      <c r="F146" s="14"/>
      <c r="G146" s="12"/>
      <c r="H146" s="16" t="str">
        <f aca="true">IF(A146="","",IF(F146="","Belirsiz",IF(F146&lt;TODAY(),"Bitti",IF(F146&lt;=TODAY()+30,"30 gün içinde","Sürüyor"))))</f>
        <v/>
      </c>
      <c r="I146" s="17" t="str">
        <f aca="true">IF(OR(A146="",D146=""),"",(TODAY()-D146)/365.25)</f>
        <v/>
      </c>
      <c r="J146" s="16" t="str">
        <f aca="true">IF(AND(A146&lt;&gt;"",F146&lt;&gt;"",F146&gt;=TODAY()),F146+ROW()/1000000,"")</f>
        <v/>
      </c>
    </row>
    <row r="147" customFormat="false" ht="15" hidden="false" customHeight="false" outlineLevel="0" collapsed="false">
      <c r="A147" s="12"/>
      <c r="B147" s="13"/>
      <c r="C147" s="13"/>
      <c r="D147" s="14"/>
      <c r="E147" s="15"/>
      <c r="F147" s="14"/>
      <c r="G147" s="12"/>
      <c r="H147" s="16" t="str">
        <f aca="true">IF(A147="","",IF(F147="","Belirsiz",IF(F147&lt;TODAY(),"Bitti",IF(F147&lt;=TODAY()+30,"30 gün içinde","Sürüyor"))))</f>
        <v/>
      </c>
      <c r="I147" s="17" t="str">
        <f aca="true">IF(OR(A147="",D147=""),"",(TODAY()-D147)/365.25)</f>
        <v/>
      </c>
      <c r="J147" s="16" t="str">
        <f aca="true">IF(AND(A147&lt;&gt;"",F147&lt;&gt;"",F147&gt;=TODAY()),F147+ROW()/1000000,"")</f>
        <v/>
      </c>
    </row>
    <row r="148" customFormat="false" ht="15" hidden="false" customHeight="false" outlineLevel="0" collapsed="false">
      <c r="A148" s="12"/>
      <c r="B148" s="13"/>
      <c r="C148" s="13"/>
      <c r="D148" s="14"/>
      <c r="E148" s="15"/>
      <c r="F148" s="14"/>
      <c r="G148" s="12"/>
      <c r="H148" s="16" t="str">
        <f aca="true">IF(A148="","",IF(F148="","Belirsiz",IF(F148&lt;TODAY(),"Bitti",IF(F148&lt;=TODAY()+30,"30 gün içinde","Sürüyor"))))</f>
        <v/>
      </c>
      <c r="I148" s="17" t="str">
        <f aca="true">IF(OR(A148="",D148=""),"",(TODAY()-D148)/365.25)</f>
        <v/>
      </c>
      <c r="J148" s="16" t="str">
        <f aca="true">IF(AND(A148&lt;&gt;"",F148&lt;&gt;"",F148&gt;=TODAY()),F148+ROW()/1000000,"")</f>
        <v/>
      </c>
    </row>
    <row r="149" customFormat="false" ht="15" hidden="false" customHeight="false" outlineLevel="0" collapsed="false">
      <c r="A149" s="12"/>
      <c r="B149" s="13"/>
      <c r="C149" s="13"/>
      <c r="D149" s="14"/>
      <c r="E149" s="15"/>
      <c r="F149" s="14"/>
      <c r="G149" s="12"/>
      <c r="H149" s="16" t="str">
        <f aca="true">IF(A149="","",IF(F149="","Belirsiz",IF(F149&lt;TODAY(),"Bitti",IF(F149&lt;=TODAY()+30,"30 gün içinde","Sürüyor"))))</f>
        <v/>
      </c>
      <c r="I149" s="17" t="str">
        <f aca="true">IF(OR(A149="",D149=""),"",(TODAY()-D149)/365.25)</f>
        <v/>
      </c>
      <c r="J149" s="16" t="str">
        <f aca="true">IF(AND(A149&lt;&gt;"",F149&lt;&gt;"",F149&gt;=TODAY()),F149+ROW()/1000000,"")</f>
        <v/>
      </c>
    </row>
    <row r="150" customFormat="false" ht="15" hidden="false" customHeight="false" outlineLevel="0" collapsed="false">
      <c r="A150" s="12"/>
      <c r="B150" s="13"/>
      <c r="C150" s="13"/>
      <c r="D150" s="14"/>
      <c r="E150" s="15"/>
      <c r="F150" s="14"/>
      <c r="G150" s="12"/>
      <c r="H150" s="16" t="str">
        <f aca="true">IF(A150="","",IF(F150="","Belirsiz",IF(F150&lt;TODAY(),"Bitti",IF(F150&lt;=TODAY()+30,"30 gün içinde","Sürüyor"))))</f>
        <v/>
      </c>
      <c r="I150" s="17" t="str">
        <f aca="true">IF(OR(A150="",D150=""),"",(TODAY()-D150)/365.25)</f>
        <v/>
      </c>
      <c r="J150" s="16" t="str">
        <f aca="true">IF(AND(A150&lt;&gt;"",F150&lt;&gt;"",F150&gt;=TODAY()),F150+ROW()/1000000,"")</f>
        <v/>
      </c>
    </row>
    <row r="151" customFormat="false" ht="15" hidden="false" customHeight="false" outlineLevel="0" collapsed="false">
      <c r="A151" s="12"/>
      <c r="B151" s="13"/>
      <c r="C151" s="13"/>
      <c r="D151" s="14"/>
      <c r="E151" s="15"/>
      <c r="F151" s="14"/>
      <c r="G151" s="12"/>
      <c r="H151" s="16" t="str">
        <f aca="true">IF(A151="","",IF(F151="","Belirsiz",IF(F151&lt;TODAY(),"Bitti",IF(F151&lt;=TODAY()+30,"30 gün içinde","Sürüyor"))))</f>
        <v/>
      </c>
      <c r="I151" s="17" t="str">
        <f aca="true">IF(OR(A151="",D151=""),"",(TODAY()-D151)/365.25)</f>
        <v/>
      </c>
      <c r="J151" s="16" t="str">
        <f aca="true">IF(AND(A151&lt;&gt;"",F151&lt;&gt;"",F151&gt;=TODAY()),F151+ROW()/1000000,"")</f>
        <v/>
      </c>
    </row>
    <row r="152" customFormat="false" ht="15" hidden="false" customHeight="false" outlineLevel="0" collapsed="false">
      <c r="A152" s="12"/>
      <c r="B152" s="13"/>
      <c r="C152" s="13"/>
      <c r="D152" s="14"/>
      <c r="E152" s="15"/>
      <c r="F152" s="14"/>
      <c r="G152" s="12"/>
      <c r="H152" s="16" t="str">
        <f aca="true">IF(A152="","",IF(F152="","Belirsiz",IF(F152&lt;TODAY(),"Bitti",IF(F152&lt;=TODAY()+30,"30 gün içinde","Sürüyor"))))</f>
        <v/>
      </c>
      <c r="I152" s="17" t="str">
        <f aca="true">IF(OR(A152="",D152=""),"",(TODAY()-D152)/365.25)</f>
        <v/>
      </c>
      <c r="J152" s="16" t="str">
        <f aca="true">IF(AND(A152&lt;&gt;"",F152&lt;&gt;"",F152&gt;=TODAY()),F152+ROW()/1000000,"")</f>
        <v/>
      </c>
    </row>
    <row r="153" customFormat="false" ht="15" hidden="false" customHeight="false" outlineLevel="0" collapsed="false">
      <c r="A153" s="12"/>
      <c r="B153" s="13"/>
      <c r="C153" s="13"/>
      <c r="D153" s="14"/>
      <c r="E153" s="15"/>
      <c r="F153" s="14"/>
      <c r="G153" s="12"/>
      <c r="H153" s="16" t="str">
        <f aca="true">IF(A153="","",IF(F153="","Belirsiz",IF(F153&lt;TODAY(),"Bitti",IF(F153&lt;=TODAY()+30,"30 gün içinde","Sürüyor"))))</f>
        <v/>
      </c>
      <c r="I153" s="17" t="str">
        <f aca="true">IF(OR(A153="",D153=""),"",(TODAY()-D153)/365.25)</f>
        <v/>
      </c>
      <c r="J153" s="16" t="str">
        <f aca="true">IF(AND(A153&lt;&gt;"",F153&lt;&gt;"",F153&gt;=TODAY()),F153+ROW()/1000000,"")</f>
        <v/>
      </c>
    </row>
    <row r="154" customFormat="false" ht="15" hidden="false" customHeight="false" outlineLevel="0" collapsed="false">
      <c r="A154" s="12"/>
      <c r="B154" s="13"/>
      <c r="C154" s="13"/>
      <c r="D154" s="14"/>
      <c r="E154" s="15"/>
      <c r="F154" s="14"/>
      <c r="G154" s="12"/>
      <c r="H154" s="16" t="str">
        <f aca="true">IF(A154="","",IF(F154="","Belirsiz",IF(F154&lt;TODAY(),"Bitti",IF(F154&lt;=TODAY()+30,"30 gün içinde","Sürüyor"))))</f>
        <v/>
      </c>
      <c r="I154" s="17" t="str">
        <f aca="true">IF(OR(A154="",D154=""),"",(TODAY()-D154)/365.25)</f>
        <v/>
      </c>
      <c r="J154" s="16" t="str">
        <f aca="true">IF(AND(A154&lt;&gt;"",F154&lt;&gt;"",F154&gt;=TODAY()),F154+ROW()/1000000,"")</f>
        <v/>
      </c>
    </row>
    <row r="155" customFormat="false" ht="15" hidden="false" customHeight="false" outlineLevel="0" collapsed="false">
      <c r="A155" s="12"/>
      <c r="B155" s="13"/>
      <c r="C155" s="13"/>
      <c r="D155" s="14"/>
      <c r="E155" s="15"/>
      <c r="F155" s="14"/>
      <c r="G155" s="12"/>
      <c r="H155" s="16" t="str">
        <f aca="true">IF(A155="","",IF(F155="","Belirsiz",IF(F155&lt;TODAY(),"Bitti",IF(F155&lt;=TODAY()+30,"30 gün içinde","Sürüyor"))))</f>
        <v/>
      </c>
      <c r="I155" s="17" t="str">
        <f aca="true">IF(OR(A155="",D155=""),"",(TODAY()-D155)/365.25)</f>
        <v/>
      </c>
      <c r="J155" s="16" t="str">
        <f aca="true">IF(AND(A155&lt;&gt;"",F155&lt;&gt;"",F155&gt;=TODAY()),F155+ROW()/1000000,"")</f>
        <v/>
      </c>
    </row>
    <row r="156" customFormat="false" ht="15" hidden="false" customHeight="false" outlineLevel="0" collapsed="false">
      <c r="A156" s="12"/>
      <c r="B156" s="13"/>
      <c r="C156" s="13"/>
      <c r="D156" s="14"/>
      <c r="E156" s="15"/>
      <c r="F156" s="14"/>
      <c r="G156" s="12"/>
      <c r="H156" s="16" t="str">
        <f aca="true">IF(A156="","",IF(F156="","Belirsiz",IF(F156&lt;TODAY(),"Bitti",IF(F156&lt;=TODAY()+30,"30 gün içinde","Sürüyor"))))</f>
        <v/>
      </c>
      <c r="I156" s="17" t="str">
        <f aca="true">IF(OR(A156="",D156=""),"",(TODAY()-D156)/365.25)</f>
        <v/>
      </c>
      <c r="J156" s="16" t="str">
        <f aca="true">IF(AND(A156&lt;&gt;"",F156&lt;&gt;"",F156&gt;=TODAY()),F156+ROW()/1000000,"")</f>
        <v/>
      </c>
    </row>
    <row r="157" customFormat="false" ht="15" hidden="false" customHeight="false" outlineLevel="0" collapsed="false">
      <c r="A157" s="12"/>
      <c r="B157" s="13"/>
      <c r="C157" s="13"/>
      <c r="D157" s="14"/>
      <c r="E157" s="15"/>
      <c r="F157" s="14"/>
      <c r="G157" s="12"/>
      <c r="H157" s="16" t="str">
        <f aca="true">IF(A157="","",IF(F157="","Belirsiz",IF(F157&lt;TODAY(),"Bitti",IF(F157&lt;=TODAY()+30,"30 gün içinde","Sürüyor"))))</f>
        <v/>
      </c>
      <c r="I157" s="17" t="str">
        <f aca="true">IF(OR(A157="",D157=""),"",(TODAY()-D157)/365.25)</f>
        <v/>
      </c>
      <c r="J157" s="16" t="str">
        <f aca="true">IF(AND(A157&lt;&gt;"",F157&lt;&gt;"",F157&gt;=TODAY()),F157+ROW()/1000000,"")</f>
        <v/>
      </c>
    </row>
    <row r="158" customFormat="false" ht="15" hidden="false" customHeight="false" outlineLevel="0" collapsed="false">
      <c r="A158" s="12"/>
      <c r="B158" s="13"/>
      <c r="C158" s="13"/>
      <c r="D158" s="14"/>
      <c r="E158" s="15"/>
      <c r="F158" s="14"/>
      <c r="G158" s="12"/>
      <c r="H158" s="16" t="str">
        <f aca="true">IF(A158="","",IF(F158="","Belirsiz",IF(F158&lt;TODAY(),"Bitti",IF(F158&lt;=TODAY()+30,"30 gün içinde","Sürüyor"))))</f>
        <v/>
      </c>
      <c r="I158" s="17" t="str">
        <f aca="true">IF(OR(A158="",D158=""),"",(TODAY()-D158)/365.25)</f>
        <v/>
      </c>
      <c r="J158" s="16" t="str">
        <f aca="true">IF(AND(A158&lt;&gt;"",F158&lt;&gt;"",F158&gt;=TODAY()),F158+ROW()/1000000,"")</f>
        <v/>
      </c>
    </row>
    <row r="159" customFormat="false" ht="15" hidden="false" customHeight="false" outlineLevel="0" collapsed="false">
      <c r="A159" s="12"/>
      <c r="B159" s="13"/>
      <c r="C159" s="13"/>
      <c r="D159" s="14"/>
      <c r="E159" s="15"/>
      <c r="F159" s="14"/>
      <c r="G159" s="12"/>
      <c r="H159" s="16" t="str">
        <f aca="true">IF(A159="","",IF(F159="","Belirsiz",IF(F159&lt;TODAY(),"Bitti",IF(F159&lt;=TODAY()+30,"30 gün içinde","Sürüyor"))))</f>
        <v/>
      </c>
      <c r="I159" s="17" t="str">
        <f aca="true">IF(OR(A159="",D159=""),"",(TODAY()-D159)/365.25)</f>
        <v/>
      </c>
      <c r="J159" s="16" t="str">
        <f aca="true">IF(AND(A159&lt;&gt;"",F159&lt;&gt;"",F159&gt;=TODAY()),F159+ROW()/1000000,"")</f>
        <v/>
      </c>
    </row>
    <row r="160" customFormat="false" ht="15" hidden="false" customHeight="false" outlineLevel="0" collapsed="false">
      <c r="A160" s="12"/>
      <c r="B160" s="13"/>
      <c r="C160" s="13"/>
      <c r="D160" s="14"/>
      <c r="E160" s="15"/>
      <c r="F160" s="14"/>
      <c r="G160" s="12"/>
      <c r="H160" s="16" t="str">
        <f aca="true">IF(A160="","",IF(F160="","Belirsiz",IF(F160&lt;TODAY(),"Bitti",IF(F160&lt;=TODAY()+30,"30 gün içinde","Sürüyor"))))</f>
        <v/>
      </c>
      <c r="I160" s="17" t="str">
        <f aca="true">IF(OR(A160="",D160=""),"",(TODAY()-D160)/365.25)</f>
        <v/>
      </c>
      <c r="J160" s="16" t="str">
        <f aca="true">IF(AND(A160&lt;&gt;"",F160&lt;&gt;"",F160&gt;=TODAY()),F160+ROW()/1000000,"")</f>
        <v/>
      </c>
    </row>
    <row r="161" customFormat="false" ht="15" hidden="false" customHeight="false" outlineLevel="0" collapsed="false">
      <c r="A161" s="12"/>
      <c r="B161" s="13"/>
      <c r="C161" s="13"/>
      <c r="D161" s="14"/>
      <c r="E161" s="15"/>
      <c r="F161" s="14"/>
      <c r="G161" s="12"/>
      <c r="H161" s="16" t="str">
        <f aca="true">IF(A161="","",IF(F161="","Belirsiz",IF(F161&lt;TODAY(),"Bitti",IF(F161&lt;=TODAY()+30,"30 gün içinde","Sürüyor"))))</f>
        <v/>
      </c>
      <c r="I161" s="17" t="str">
        <f aca="true">IF(OR(A161="",D161=""),"",(TODAY()-D161)/365.25)</f>
        <v/>
      </c>
      <c r="J161" s="16" t="str">
        <f aca="true">IF(AND(A161&lt;&gt;"",F161&lt;&gt;"",F161&gt;=TODAY()),F161+ROW()/1000000,"")</f>
        <v/>
      </c>
    </row>
    <row r="162" customFormat="false" ht="15" hidden="false" customHeight="false" outlineLevel="0" collapsed="false">
      <c r="A162" s="12"/>
      <c r="B162" s="13"/>
      <c r="C162" s="13"/>
      <c r="D162" s="14"/>
      <c r="E162" s="15"/>
      <c r="F162" s="14"/>
      <c r="G162" s="12"/>
      <c r="H162" s="16" t="str">
        <f aca="true">IF(A162="","",IF(F162="","Belirsiz",IF(F162&lt;TODAY(),"Bitti",IF(F162&lt;=TODAY()+30,"30 gün içinde","Sürüyor"))))</f>
        <v/>
      </c>
      <c r="I162" s="17" t="str">
        <f aca="true">IF(OR(A162="",D162=""),"",(TODAY()-D162)/365.25)</f>
        <v/>
      </c>
      <c r="J162" s="16" t="str">
        <f aca="true">IF(AND(A162&lt;&gt;"",F162&lt;&gt;"",F162&gt;=TODAY()),F162+ROW()/1000000,"")</f>
        <v/>
      </c>
    </row>
    <row r="163" customFormat="false" ht="15" hidden="false" customHeight="false" outlineLevel="0" collapsed="false">
      <c r="A163" s="12"/>
      <c r="B163" s="13"/>
      <c r="C163" s="13"/>
      <c r="D163" s="14"/>
      <c r="E163" s="15"/>
      <c r="F163" s="14"/>
      <c r="G163" s="12"/>
      <c r="H163" s="16" t="str">
        <f aca="true">IF(A163="","",IF(F163="","Belirsiz",IF(F163&lt;TODAY(),"Bitti",IF(F163&lt;=TODAY()+30,"30 gün içinde","Sürüyor"))))</f>
        <v/>
      </c>
      <c r="I163" s="17" t="str">
        <f aca="true">IF(OR(A163="",D163=""),"",(TODAY()-D163)/365.25)</f>
        <v/>
      </c>
      <c r="J163" s="16" t="str">
        <f aca="true">IF(AND(A163&lt;&gt;"",F163&lt;&gt;"",F163&gt;=TODAY()),F163+ROW()/1000000,"")</f>
        <v/>
      </c>
    </row>
    <row r="164" customFormat="false" ht="15" hidden="false" customHeight="false" outlineLevel="0" collapsed="false">
      <c r="A164" s="12"/>
      <c r="B164" s="13"/>
      <c r="C164" s="13"/>
      <c r="D164" s="14"/>
      <c r="E164" s="15"/>
      <c r="F164" s="14"/>
      <c r="G164" s="12"/>
      <c r="H164" s="16" t="str">
        <f aca="true">IF(A164="","",IF(F164="","Belirsiz",IF(F164&lt;TODAY(),"Bitti",IF(F164&lt;=TODAY()+30,"30 gün içinde","Sürüyor"))))</f>
        <v/>
      </c>
      <c r="I164" s="17" t="str">
        <f aca="true">IF(OR(A164="",D164=""),"",(TODAY()-D164)/365.25)</f>
        <v/>
      </c>
      <c r="J164" s="16" t="str">
        <f aca="true">IF(AND(A164&lt;&gt;"",F164&lt;&gt;"",F164&gt;=TODAY()),F164+ROW()/1000000,"")</f>
        <v/>
      </c>
    </row>
    <row r="165" customFormat="false" ht="15" hidden="false" customHeight="false" outlineLevel="0" collapsed="false">
      <c r="A165" s="12"/>
      <c r="B165" s="13"/>
      <c r="C165" s="13"/>
      <c r="D165" s="14"/>
      <c r="E165" s="15"/>
      <c r="F165" s="14"/>
      <c r="G165" s="12"/>
      <c r="H165" s="16" t="str">
        <f aca="true">IF(A165="","",IF(F165="","Belirsiz",IF(F165&lt;TODAY(),"Bitti",IF(F165&lt;=TODAY()+30,"30 gün içinde","Sürüyor"))))</f>
        <v/>
      </c>
      <c r="I165" s="17" t="str">
        <f aca="true">IF(OR(A165="",D165=""),"",(TODAY()-D165)/365.25)</f>
        <v/>
      </c>
      <c r="J165" s="16" t="str">
        <f aca="true">IF(AND(A165&lt;&gt;"",F165&lt;&gt;"",F165&gt;=TODAY()),F165+ROW()/1000000,"")</f>
        <v/>
      </c>
    </row>
    <row r="166" customFormat="false" ht="15" hidden="false" customHeight="false" outlineLevel="0" collapsed="false">
      <c r="A166" s="12"/>
      <c r="B166" s="13"/>
      <c r="C166" s="13"/>
      <c r="D166" s="14"/>
      <c r="E166" s="15"/>
      <c r="F166" s="14"/>
      <c r="G166" s="12"/>
      <c r="H166" s="16" t="str">
        <f aca="true">IF(A166="","",IF(F166="","Belirsiz",IF(F166&lt;TODAY(),"Bitti",IF(F166&lt;=TODAY()+30,"30 gün içinde","Sürüyor"))))</f>
        <v/>
      </c>
      <c r="I166" s="17" t="str">
        <f aca="true">IF(OR(A166="",D166=""),"",(TODAY()-D166)/365.25)</f>
        <v/>
      </c>
      <c r="J166" s="16" t="str">
        <f aca="true">IF(AND(A166&lt;&gt;"",F166&lt;&gt;"",F166&gt;=TODAY()),F166+ROW()/1000000,"")</f>
        <v/>
      </c>
    </row>
    <row r="167" customFormat="false" ht="15" hidden="false" customHeight="false" outlineLevel="0" collapsed="false">
      <c r="A167" s="12"/>
      <c r="B167" s="13"/>
      <c r="C167" s="13"/>
      <c r="D167" s="14"/>
      <c r="E167" s="15"/>
      <c r="F167" s="14"/>
      <c r="G167" s="12"/>
      <c r="H167" s="16" t="str">
        <f aca="true">IF(A167="","",IF(F167="","Belirsiz",IF(F167&lt;TODAY(),"Bitti",IF(F167&lt;=TODAY()+30,"30 gün içinde","Sürüyor"))))</f>
        <v/>
      </c>
      <c r="I167" s="17" t="str">
        <f aca="true">IF(OR(A167="",D167=""),"",(TODAY()-D167)/365.25)</f>
        <v/>
      </c>
      <c r="J167" s="16" t="str">
        <f aca="true">IF(AND(A167&lt;&gt;"",F167&lt;&gt;"",F167&gt;=TODAY()),F167+ROW()/1000000,"")</f>
        <v/>
      </c>
    </row>
    <row r="168" customFormat="false" ht="15" hidden="false" customHeight="false" outlineLevel="0" collapsed="false">
      <c r="A168" s="12"/>
      <c r="B168" s="13"/>
      <c r="C168" s="13"/>
      <c r="D168" s="14"/>
      <c r="E168" s="15"/>
      <c r="F168" s="14"/>
      <c r="G168" s="12"/>
      <c r="H168" s="16" t="str">
        <f aca="true">IF(A168="","",IF(F168="","Belirsiz",IF(F168&lt;TODAY(),"Bitti",IF(F168&lt;=TODAY()+30,"30 gün içinde","Sürüyor"))))</f>
        <v/>
      </c>
      <c r="I168" s="17" t="str">
        <f aca="true">IF(OR(A168="",D168=""),"",(TODAY()-D168)/365.25)</f>
        <v/>
      </c>
      <c r="J168" s="16" t="str">
        <f aca="true">IF(AND(A168&lt;&gt;"",F168&lt;&gt;"",F168&gt;=TODAY()),F168+ROW()/1000000,"")</f>
        <v/>
      </c>
    </row>
    <row r="169" customFormat="false" ht="15" hidden="false" customHeight="false" outlineLevel="0" collapsed="false">
      <c r="A169" s="12"/>
      <c r="B169" s="13"/>
      <c r="C169" s="13"/>
      <c r="D169" s="14"/>
      <c r="E169" s="15"/>
      <c r="F169" s="14"/>
      <c r="G169" s="12"/>
      <c r="H169" s="16" t="str">
        <f aca="true">IF(A169="","",IF(F169="","Belirsiz",IF(F169&lt;TODAY(),"Bitti",IF(F169&lt;=TODAY()+30,"30 gün içinde","Sürüyor"))))</f>
        <v/>
      </c>
      <c r="I169" s="17" t="str">
        <f aca="true">IF(OR(A169="",D169=""),"",(TODAY()-D169)/365.25)</f>
        <v/>
      </c>
      <c r="J169" s="16" t="str">
        <f aca="true">IF(AND(A169&lt;&gt;"",F169&lt;&gt;"",F169&gt;=TODAY()),F169+ROW()/1000000,"")</f>
        <v/>
      </c>
    </row>
    <row r="170" customFormat="false" ht="15" hidden="false" customHeight="false" outlineLevel="0" collapsed="false">
      <c r="A170" s="12"/>
      <c r="B170" s="13"/>
      <c r="C170" s="13"/>
      <c r="D170" s="14"/>
      <c r="E170" s="15"/>
      <c r="F170" s="14"/>
      <c r="G170" s="12"/>
      <c r="H170" s="16" t="str">
        <f aca="true">IF(A170="","",IF(F170="","Belirsiz",IF(F170&lt;TODAY(),"Bitti",IF(F170&lt;=TODAY()+30,"30 gün içinde","Sürüyor"))))</f>
        <v/>
      </c>
      <c r="I170" s="17" t="str">
        <f aca="true">IF(OR(A170="",D170=""),"",(TODAY()-D170)/365.25)</f>
        <v/>
      </c>
      <c r="J170" s="16" t="str">
        <f aca="true">IF(AND(A170&lt;&gt;"",F170&lt;&gt;"",F170&gt;=TODAY()),F170+ROW()/1000000,"")</f>
        <v/>
      </c>
    </row>
    <row r="171" customFormat="false" ht="15" hidden="false" customHeight="false" outlineLevel="0" collapsed="false">
      <c r="A171" s="12"/>
      <c r="B171" s="13"/>
      <c r="C171" s="13"/>
      <c r="D171" s="14"/>
      <c r="E171" s="15"/>
      <c r="F171" s="14"/>
      <c r="G171" s="12"/>
      <c r="H171" s="16" t="str">
        <f aca="true">IF(A171="","",IF(F171="","Belirsiz",IF(F171&lt;TODAY(),"Bitti",IF(F171&lt;=TODAY()+30,"30 gün içinde","Sürüyor"))))</f>
        <v/>
      </c>
      <c r="I171" s="17" t="str">
        <f aca="true">IF(OR(A171="",D171=""),"",(TODAY()-D171)/365.25)</f>
        <v/>
      </c>
      <c r="J171" s="16" t="str">
        <f aca="true">IF(AND(A171&lt;&gt;"",F171&lt;&gt;"",F171&gt;=TODAY()),F171+ROW()/1000000,"")</f>
        <v/>
      </c>
    </row>
    <row r="172" customFormat="false" ht="15" hidden="false" customHeight="false" outlineLevel="0" collapsed="false">
      <c r="A172" s="12"/>
      <c r="B172" s="13"/>
      <c r="C172" s="13"/>
      <c r="D172" s="14"/>
      <c r="E172" s="15"/>
      <c r="F172" s="14"/>
      <c r="G172" s="12"/>
      <c r="H172" s="16" t="str">
        <f aca="true">IF(A172="","",IF(F172="","Belirsiz",IF(F172&lt;TODAY(),"Bitti",IF(F172&lt;=TODAY()+30,"30 gün içinde","Sürüyor"))))</f>
        <v/>
      </c>
      <c r="I172" s="17" t="str">
        <f aca="true">IF(OR(A172="",D172=""),"",(TODAY()-D172)/365.25)</f>
        <v/>
      </c>
      <c r="J172" s="16" t="str">
        <f aca="true">IF(AND(A172&lt;&gt;"",F172&lt;&gt;"",F172&gt;=TODAY()),F172+ROW()/1000000,"")</f>
        <v/>
      </c>
    </row>
    <row r="173" customFormat="false" ht="15" hidden="false" customHeight="false" outlineLevel="0" collapsed="false">
      <c r="A173" s="12"/>
      <c r="B173" s="13"/>
      <c r="C173" s="13"/>
      <c r="D173" s="14"/>
      <c r="E173" s="15"/>
      <c r="F173" s="14"/>
      <c r="G173" s="12"/>
      <c r="H173" s="16" t="str">
        <f aca="true">IF(A173="","",IF(F173="","Belirsiz",IF(F173&lt;TODAY(),"Bitti",IF(F173&lt;=TODAY()+30,"30 gün içinde","Sürüyor"))))</f>
        <v/>
      </c>
      <c r="I173" s="17" t="str">
        <f aca="true">IF(OR(A173="",D173=""),"",(TODAY()-D173)/365.25)</f>
        <v/>
      </c>
      <c r="J173" s="16" t="str">
        <f aca="true">IF(AND(A173&lt;&gt;"",F173&lt;&gt;"",F173&gt;=TODAY()),F173+ROW()/1000000,"")</f>
        <v/>
      </c>
    </row>
    <row r="174" customFormat="false" ht="15" hidden="false" customHeight="false" outlineLevel="0" collapsed="false">
      <c r="A174" s="12"/>
      <c r="B174" s="13"/>
      <c r="C174" s="13"/>
      <c r="D174" s="14"/>
      <c r="E174" s="15"/>
      <c r="F174" s="14"/>
      <c r="G174" s="12"/>
      <c r="H174" s="16" t="str">
        <f aca="true">IF(A174="","",IF(F174="","Belirsiz",IF(F174&lt;TODAY(),"Bitti",IF(F174&lt;=TODAY()+30,"30 gün içinde","Sürüyor"))))</f>
        <v/>
      </c>
      <c r="I174" s="17" t="str">
        <f aca="true">IF(OR(A174="",D174=""),"",(TODAY()-D174)/365.25)</f>
        <v/>
      </c>
      <c r="J174" s="16" t="str">
        <f aca="true">IF(AND(A174&lt;&gt;"",F174&lt;&gt;"",F174&gt;=TODAY()),F174+ROW()/1000000,"")</f>
        <v/>
      </c>
    </row>
    <row r="175" customFormat="false" ht="15" hidden="false" customHeight="false" outlineLevel="0" collapsed="false">
      <c r="A175" s="12"/>
      <c r="B175" s="13"/>
      <c r="C175" s="13"/>
      <c r="D175" s="14"/>
      <c r="E175" s="15"/>
      <c r="F175" s="14"/>
      <c r="G175" s="12"/>
      <c r="H175" s="16" t="str">
        <f aca="true">IF(A175="","",IF(F175="","Belirsiz",IF(F175&lt;TODAY(),"Bitti",IF(F175&lt;=TODAY()+30,"30 gün içinde","Sürüyor"))))</f>
        <v/>
      </c>
      <c r="I175" s="17" t="str">
        <f aca="true">IF(OR(A175="",D175=""),"",(TODAY()-D175)/365.25)</f>
        <v/>
      </c>
      <c r="J175" s="16" t="str">
        <f aca="true">IF(AND(A175&lt;&gt;"",F175&lt;&gt;"",F175&gt;=TODAY()),F175+ROW()/1000000,"")</f>
        <v/>
      </c>
    </row>
    <row r="176" customFormat="false" ht="15" hidden="false" customHeight="false" outlineLevel="0" collapsed="false">
      <c r="A176" s="12"/>
      <c r="B176" s="13"/>
      <c r="C176" s="13"/>
      <c r="D176" s="14"/>
      <c r="E176" s="15"/>
      <c r="F176" s="14"/>
      <c r="G176" s="12"/>
      <c r="H176" s="16" t="str">
        <f aca="true">IF(A176="","",IF(F176="","Belirsiz",IF(F176&lt;TODAY(),"Bitti",IF(F176&lt;=TODAY()+30,"30 gün içinde","Sürüyor"))))</f>
        <v/>
      </c>
      <c r="I176" s="17" t="str">
        <f aca="true">IF(OR(A176="",D176=""),"",(TODAY()-D176)/365.25)</f>
        <v/>
      </c>
      <c r="J176" s="16" t="str">
        <f aca="true">IF(AND(A176&lt;&gt;"",F176&lt;&gt;"",F176&gt;=TODAY()),F176+ROW()/1000000,"")</f>
        <v/>
      </c>
    </row>
    <row r="177" customFormat="false" ht="15" hidden="false" customHeight="false" outlineLevel="0" collapsed="false">
      <c r="A177" s="12"/>
      <c r="B177" s="13"/>
      <c r="C177" s="13"/>
      <c r="D177" s="14"/>
      <c r="E177" s="15"/>
      <c r="F177" s="14"/>
      <c r="G177" s="12"/>
      <c r="H177" s="16" t="str">
        <f aca="true">IF(A177="","",IF(F177="","Belirsiz",IF(F177&lt;TODAY(),"Bitti",IF(F177&lt;=TODAY()+30,"30 gün içinde","Sürüyor"))))</f>
        <v/>
      </c>
      <c r="I177" s="17" t="str">
        <f aca="true">IF(OR(A177="",D177=""),"",(TODAY()-D177)/365.25)</f>
        <v/>
      </c>
      <c r="J177" s="16" t="str">
        <f aca="true">IF(AND(A177&lt;&gt;"",F177&lt;&gt;"",F177&gt;=TODAY()),F177+ROW()/1000000,"")</f>
        <v/>
      </c>
    </row>
    <row r="178" customFormat="false" ht="15" hidden="false" customHeight="false" outlineLevel="0" collapsed="false">
      <c r="A178" s="12"/>
      <c r="B178" s="13"/>
      <c r="C178" s="13"/>
      <c r="D178" s="14"/>
      <c r="E178" s="15"/>
      <c r="F178" s="14"/>
      <c r="G178" s="12"/>
      <c r="H178" s="16" t="str">
        <f aca="true">IF(A178="","",IF(F178="","Belirsiz",IF(F178&lt;TODAY(),"Bitti",IF(F178&lt;=TODAY()+30,"30 gün içinde","Sürüyor"))))</f>
        <v/>
      </c>
      <c r="I178" s="17" t="str">
        <f aca="true">IF(OR(A178="",D178=""),"",(TODAY()-D178)/365.25)</f>
        <v/>
      </c>
      <c r="J178" s="16" t="str">
        <f aca="true">IF(AND(A178&lt;&gt;"",F178&lt;&gt;"",F178&gt;=TODAY()),F178+ROW()/1000000,"")</f>
        <v/>
      </c>
    </row>
    <row r="179" customFormat="false" ht="15" hidden="false" customHeight="false" outlineLevel="0" collapsed="false">
      <c r="A179" s="12"/>
      <c r="B179" s="13"/>
      <c r="C179" s="13"/>
      <c r="D179" s="14"/>
      <c r="E179" s="15"/>
      <c r="F179" s="14"/>
      <c r="G179" s="12"/>
      <c r="H179" s="16" t="str">
        <f aca="true">IF(A179="","",IF(F179="","Belirsiz",IF(F179&lt;TODAY(),"Bitti",IF(F179&lt;=TODAY()+30,"30 gün içinde","Sürüyor"))))</f>
        <v/>
      </c>
      <c r="I179" s="17" t="str">
        <f aca="true">IF(OR(A179="",D179=""),"",(TODAY()-D179)/365.25)</f>
        <v/>
      </c>
      <c r="J179" s="16" t="str">
        <f aca="true">IF(AND(A179&lt;&gt;"",F179&lt;&gt;"",F179&gt;=TODAY()),F179+ROW()/1000000,"")</f>
        <v/>
      </c>
    </row>
    <row r="180" customFormat="false" ht="15" hidden="false" customHeight="false" outlineLevel="0" collapsed="false">
      <c r="A180" s="12"/>
      <c r="B180" s="13"/>
      <c r="C180" s="13"/>
      <c r="D180" s="14"/>
      <c r="E180" s="15"/>
      <c r="F180" s="14"/>
      <c r="G180" s="12"/>
      <c r="H180" s="16" t="str">
        <f aca="true">IF(A180="","",IF(F180="","Belirsiz",IF(F180&lt;TODAY(),"Bitti",IF(F180&lt;=TODAY()+30,"30 gün içinde","Sürüyor"))))</f>
        <v/>
      </c>
      <c r="I180" s="17" t="str">
        <f aca="true">IF(OR(A180="",D180=""),"",(TODAY()-D180)/365.25)</f>
        <v/>
      </c>
      <c r="J180" s="16" t="str">
        <f aca="true">IF(AND(A180&lt;&gt;"",F180&lt;&gt;"",F180&gt;=TODAY()),F180+ROW()/1000000,"")</f>
        <v/>
      </c>
    </row>
    <row r="181" customFormat="false" ht="15" hidden="false" customHeight="false" outlineLevel="0" collapsed="false">
      <c r="A181" s="12"/>
      <c r="B181" s="13"/>
      <c r="C181" s="13"/>
      <c r="D181" s="14"/>
      <c r="E181" s="15"/>
      <c r="F181" s="14"/>
      <c r="G181" s="12"/>
      <c r="H181" s="16" t="str">
        <f aca="true">IF(A181="","",IF(F181="","Belirsiz",IF(F181&lt;TODAY(),"Bitti",IF(F181&lt;=TODAY()+30,"30 gün içinde","Sürüyor"))))</f>
        <v/>
      </c>
      <c r="I181" s="17" t="str">
        <f aca="true">IF(OR(A181="",D181=""),"",(TODAY()-D181)/365.25)</f>
        <v/>
      </c>
      <c r="J181" s="16" t="str">
        <f aca="true">IF(AND(A181&lt;&gt;"",F181&lt;&gt;"",F181&gt;=TODAY()),F181+ROW()/1000000,"")</f>
        <v/>
      </c>
    </row>
    <row r="182" customFormat="false" ht="15" hidden="false" customHeight="false" outlineLevel="0" collapsed="false">
      <c r="A182" s="12"/>
      <c r="B182" s="13"/>
      <c r="C182" s="13"/>
      <c r="D182" s="14"/>
      <c r="E182" s="15"/>
      <c r="F182" s="14"/>
      <c r="G182" s="12"/>
      <c r="H182" s="16" t="str">
        <f aca="true">IF(A182="","",IF(F182="","Belirsiz",IF(F182&lt;TODAY(),"Bitti",IF(F182&lt;=TODAY()+30,"30 gün içinde","Sürüyor"))))</f>
        <v/>
      </c>
      <c r="I182" s="17" t="str">
        <f aca="true">IF(OR(A182="",D182=""),"",(TODAY()-D182)/365.25)</f>
        <v/>
      </c>
      <c r="J182" s="16" t="str">
        <f aca="true">IF(AND(A182&lt;&gt;"",F182&lt;&gt;"",F182&gt;=TODAY()),F182+ROW()/1000000,"")</f>
        <v/>
      </c>
    </row>
    <row r="183" customFormat="false" ht="15" hidden="false" customHeight="false" outlineLevel="0" collapsed="false">
      <c r="A183" s="12"/>
      <c r="B183" s="13"/>
      <c r="C183" s="13"/>
      <c r="D183" s="14"/>
      <c r="E183" s="15"/>
      <c r="F183" s="14"/>
      <c r="G183" s="12"/>
      <c r="H183" s="16" t="str">
        <f aca="true">IF(A183="","",IF(F183="","Belirsiz",IF(F183&lt;TODAY(),"Bitti",IF(F183&lt;=TODAY()+30,"30 gün içinde","Sürüyor"))))</f>
        <v/>
      </c>
      <c r="I183" s="17" t="str">
        <f aca="true">IF(OR(A183="",D183=""),"",(TODAY()-D183)/365.25)</f>
        <v/>
      </c>
      <c r="J183" s="16" t="str">
        <f aca="true">IF(AND(A183&lt;&gt;"",F183&lt;&gt;"",F183&gt;=TODAY()),F183+ROW()/1000000,"")</f>
        <v/>
      </c>
    </row>
    <row r="184" customFormat="false" ht="15" hidden="false" customHeight="false" outlineLevel="0" collapsed="false">
      <c r="A184" s="12"/>
      <c r="B184" s="13"/>
      <c r="C184" s="13"/>
      <c r="D184" s="14"/>
      <c r="E184" s="15"/>
      <c r="F184" s="14"/>
      <c r="G184" s="12"/>
      <c r="H184" s="16" t="str">
        <f aca="true">IF(A184="","",IF(F184="","Belirsiz",IF(F184&lt;TODAY(),"Bitti",IF(F184&lt;=TODAY()+30,"30 gün içinde","Sürüyor"))))</f>
        <v/>
      </c>
      <c r="I184" s="17" t="str">
        <f aca="true">IF(OR(A184="",D184=""),"",(TODAY()-D184)/365.25)</f>
        <v/>
      </c>
      <c r="J184" s="16" t="str">
        <f aca="true">IF(AND(A184&lt;&gt;"",F184&lt;&gt;"",F184&gt;=TODAY()),F184+ROW()/1000000,"")</f>
        <v/>
      </c>
    </row>
    <row r="185" customFormat="false" ht="15" hidden="false" customHeight="false" outlineLevel="0" collapsed="false">
      <c r="A185" s="12"/>
      <c r="B185" s="13"/>
      <c r="C185" s="13"/>
      <c r="D185" s="14"/>
      <c r="E185" s="15"/>
      <c r="F185" s="14"/>
      <c r="G185" s="12"/>
      <c r="H185" s="16" t="str">
        <f aca="true">IF(A185="","",IF(F185="","Belirsiz",IF(F185&lt;TODAY(),"Bitti",IF(F185&lt;=TODAY()+30,"30 gün içinde","Sürüyor"))))</f>
        <v/>
      </c>
      <c r="I185" s="17" t="str">
        <f aca="true">IF(OR(A185="",D185=""),"",(TODAY()-D185)/365.25)</f>
        <v/>
      </c>
      <c r="J185" s="16" t="str">
        <f aca="true">IF(AND(A185&lt;&gt;"",F185&lt;&gt;"",F185&gt;=TODAY()),F185+ROW()/1000000,"")</f>
        <v/>
      </c>
    </row>
    <row r="186" customFormat="false" ht="15" hidden="false" customHeight="false" outlineLevel="0" collapsed="false">
      <c r="A186" s="12"/>
      <c r="B186" s="13"/>
      <c r="C186" s="13"/>
      <c r="D186" s="14"/>
      <c r="E186" s="15"/>
      <c r="F186" s="14"/>
      <c r="G186" s="12"/>
      <c r="H186" s="16" t="str">
        <f aca="true">IF(A186="","",IF(F186="","Belirsiz",IF(F186&lt;TODAY(),"Bitti",IF(F186&lt;=TODAY()+30,"30 gün içinde","Sürüyor"))))</f>
        <v/>
      </c>
      <c r="I186" s="17" t="str">
        <f aca="true">IF(OR(A186="",D186=""),"",(TODAY()-D186)/365.25)</f>
        <v/>
      </c>
      <c r="J186" s="16" t="str">
        <f aca="true">IF(AND(A186&lt;&gt;"",F186&lt;&gt;"",F186&gt;=TODAY()),F186+ROW()/1000000,"")</f>
        <v/>
      </c>
    </row>
    <row r="187" customFormat="false" ht="15" hidden="false" customHeight="false" outlineLevel="0" collapsed="false">
      <c r="A187" s="12"/>
      <c r="B187" s="13"/>
      <c r="C187" s="13"/>
      <c r="D187" s="14"/>
      <c r="E187" s="15"/>
      <c r="F187" s="14"/>
      <c r="G187" s="12"/>
      <c r="H187" s="16" t="str">
        <f aca="true">IF(A187="","",IF(F187="","Belirsiz",IF(F187&lt;TODAY(),"Bitti",IF(F187&lt;=TODAY()+30,"30 gün içinde","Sürüyor"))))</f>
        <v/>
      </c>
      <c r="I187" s="17" t="str">
        <f aca="true">IF(OR(A187="",D187=""),"",(TODAY()-D187)/365.25)</f>
        <v/>
      </c>
      <c r="J187" s="16" t="str">
        <f aca="true">IF(AND(A187&lt;&gt;"",F187&lt;&gt;"",F187&gt;=TODAY()),F187+ROW()/1000000,"")</f>
        <v/>
      </c>
    </row>
    <row r="188" customFormat="false" ht="15" hidden="false" customHeight="false" outlineLevel="0" collapsed="false">
      <c r="A188" s="12"/>
      <c r="B188" s="13"/>
      <c r="C188" s="13"/>
      <c r="D188" s="14"/>
      <c r="E188" s="15"/>
      <c r="F188" s="14"/>
      <c r="G188" s="12"/>
      <c r="H188" s="16" t="str">
        <f aca="true">IF(A188="","",IF(F188="","Belirsiz",IF(F188&lt;TODAY(),"Bitti",IF(F188&lt;=TODAY()+30,"30 gün içinde","Sürüyor"))))</f>
        <v/>
      </c>
      <c r="I188" s="17" t="str">
        <f aca="true">IF(OR(A188="",D188=""),"",(TODAY()-D188)/365.25)</f>
        <v/>
      </c>
      <c r="J188" s="16" t="str">
        <f aca="true">IF(AND(A188&lt;&gt;"",F188&lt;&gt;"",F188&gt;=TODAY()),F188+ROW()/1000000,"")</f>
        <v/>
      </c>
    </row>
    <row r="189" customFormat="false" ht="15" hidden="false" customHeight="false" outlineLevel="0" collapsed="false">
      <c r="A189" s="12"/>
      <c r="B189" s="13"/>
      <c r="C189" s="13"/>
      <c r="D189" s="14"/>
      <c r="E189" s="15"/>
      <c r="F189" s="14"/>
      <c r="G189" s="12"/>
      <c r="H189" s="16" t="str">
        <f aca="true">IF(A189="","",IF(F189="","Belirsiz",IF(F189&lt;TODAY(),"Bitti",IF(F189&lt;=TODAY()+30,"30 gün içinde","Sürüyor"))))</f>
        <v/>
      </c>
      <c r="I189" s="17" t="str">
        <f aca="true">IF(OR(A189="",D189=""),"",(TODAY()-D189)/365.25)</f>
        <v/>
      </c>
      <c r="J189" s="16" t="str">
        <f aca="true">IF(AND(A189&lt;&gt;"",F189&lt;&gt;"",F189&gt;=TODAY()),F189+ROW()/1000000,"")</f>
        <v/>
      </c>
    </row>
    <row r="190" customFormat="false" ht="15" hidden="false" customHeight="false" outlineLevel="0" collapsed="false">
      <c r="A190" s="12"/>
      <c r="B190" s="13"/>
      <c r="C190" s="13"/>
      <c r="D190" s="14"/>
      <c r="E190" s="15"/>
      <c r="F190" s="14"/>
      <c r="G190" s="12"/>
      <c r="H190" s="16" t="str">
        <f aca="true">IF(A190="","",IF(F190="","Belirsiz",IF(F190&lt;TODAY(),"Bitti",IF(F190&lt;=TODAY()+30,"30 gün içinde","Sürüyor"))))</f>
        <v/>
      </c>
      <c r="I190" s="17" t="str">
        <f aca="true">IF(OR(A190="",D190=""),"",(TODAY()-D190)/365.25)</f>
        <v/>
      </c>
      <c r="J190" s="16" t="str">
        <f aca="true">IF(AND(A190&lt;&gt;"",F190&lt;&gt;"",F190&gt;=TODAY()),F190+ROW()/1000000,"")</f>
        <v/>
      </c>
    </row>
    <row r="191" customFormat="false" ht="15" hidden="false" customHeight="false" outlineLevel="0" collapsed="false">
      <c r="A191" s="12"/>
      <c r="B191" s="13"/>
      <c r="C191" s="13"/>
      <c r="D191" s="14"/>
      <c r="E191" s="15"/>
      <c r="F191" s="14"/>
      <c r="G191" s="12"/>
      <c r="H191" s="16" t="str">
        <f aca="true">IF(A191="","",IF(F191="","Belirsiz",IF(F191&lt;TODAY(),"Bitti",IF(F191&lt;=TODAY()+30,"30 gün içinde","Sürüyor"))))</f>
        <v/>
      </c>
      <c r="I191" s="17" t="str">
        <f aca="true">IF(OR(A191="",D191=""),"",(TODAY()-D191)/365.25)</f>
        <v/>
      </c>
      <c r="J191" s="16" t="str">
        <f aca="true">IF(AND(A191&lt;&gt;"",F191&lt;&gt;"",F191&gt;=TODAY()),F191+ROW()/1000000,"")</f>
        <v/>
      </c>
    </row>
    <row r="192" customFormat="false" ht="15" hidden="false" customHeight="false" outlineLevel="0" collapsed="false">
      <c r="A192" s="12"/>
      <c r="B192" s="13"/>
      <c r="C192" s="13"/>
      <c r="D192" s="14"/>
      <c r="E192" s="15"/>
      <c r="F192" s="14"/>
      <c r="G192" s="12"/>
      <c r="H192" s="16" t="str">
        <f aca="true">IF(A192="","",IF(F192="","Belirsiz",IF(F192&lt;TODAY(),"Bitti",IF(F192&lt;=TODAY()+30,"30 gün içinde","Sürüyor"))))</f>
        <v/>
      </c>
      <c r="I192" s="17" t="str">
        <f aca="true">IF(OR(A192="",D192=""),"",(TODAY()-D192)/365.25)</f>
        <v/>
      </c>
      <c r="J192" s="16" t="str">
        <f aca="true">IF(AND(A192&lt;&gt;"",F192&lt;&gt;"",F192&gt;=TODAY()),F192+ROW()/1000000,"")</f>
        <v/>
      </c>
    </row>
    <row r="193" customFormat="false" ht="15" hidden="false" customHeight="false" outlineLevel="0" collapsed="false">
      <c r="A193" s="12"/>
      <c r="B193" s="13"/>
      <c r="C193" s="13"/>
      <c r="D193" s="14"/>
      <c r="E193" s="15"/>
      <c r="F193" s="14"/>
      <c r="G193" s="12"/>
      <c r="H193" s="16" t="str">
        <f aca="true">IF(A193="","",IF(F193="","Belirsiz",IF(F193&lt;TODAY(),"Bitti",IF(F193&lt;=TODAY()+30,"30 gün içinde","Sürüyor"))))</f>
        <v/>
      </c>
      <c r="I193" s="17" t="str">
        <f aca="true">IF(OR(A193="",D193=""),"",(TODAY()-D193)/365.25)</f>
        <v/>
      </c>
      <c r="J193" s="16" t="str">
        <f aca="true">IF(AND(A193&lt;&gt;"",F193&lt;&gt;"",F193&gt;=TODAY()),F193+ROW()/1000000,"")</f>
        <v/>
      </c>
    </row>
    <row r="194" customFormat="false" ht="15" hidden="false" customHeight="false" outlineLevel="0" collapsed="false">
      <c r="A194" s="12"/>
      <c r="B194" s="13"/>
      <c r="C194" s="13"/>
      <c r="D194" s="14"/>
      <c r="E194" s="15"/>
      <c r="F194" s="14"/>
      <c r="G194" s="12"/>
      <c r="H194" s="16" t="str">
        <f aca="true">IF(A194="","",IF(F194="","Belirsiz",IF(F194&lt;TODAY(),"Bitti",IF(F194&lt;=TODAY()+30,"30 gün içinde","Sürüyor"))))</f>
        <v/>
      </c>
      <c r="I194" s="17" t="str">
        <f aca="true">IF(OR(A194="",D194=""),"",(TODAY()-D194)/365.25)</f>
        <v/>
      </c>
      <c r="J194" s="16" t="str">
        <f aca="true">IF(AND(A194&lt;&gt;"",F194&lt;&gt;"",F194&gt;=TODAY()),F194+ROW()/1000000,"")</f>
        <v/>
      </c>
    </row>
    <row r="195" customFormat="false" ht="15" hidden="false" customHeight="false" outlineLevel="0" collapsed="false">
      <c r="A195" s="12"/>
      <c r="B195" s="13"/>
      <c r="C195" s="13"/>
      <c r="D195" s="14"/>
      <c r="E195" s="15"/>
      <c r="F195" s="14"/>
      <c r="G195" s="12"/>
      <c r="H195" s="16" t="str">
        <f aca="true">IF(A195="","",IF(F195="","Belirsiz",IF(F195&lt;TODAY(),"Bitti",IF(F195&lt;=TODAY()+30,"30 gün içinde","Sürüyor"))))</f>
        <v/>
      </c>
      <c r="I195" s="17" t="str">
        <f aca="true">IF(OR(A195="",D195=""),"",(TODAY()-D195)/365.25)</f>
        <v/>
      </c>
      <c r="J195" s="16" t="str">
        <f aca="true">IF(AND(A195&lt;&gt;"",F195&lt;&gt;"",F195&gt;=TODAY()),F195+ROW()/1000000,"")</f>
        <v/>
      </c>
    </row>
    <row r="196" customFormat="false" ht="15" hidden="false" customHeight="false" outlineLevel="0" collapsed="false">
      <c r="A196" s="12"/>
      <c r="B196" s="13"/>
      <c r="C196" s="13"/>
      <c r="D196" s="14"/>
      <c r="E196" s="15"/>
      <c r="F196" s="14"/>
      <c r="G196" s="12"/>
      <c r="H196" s="16" t="str">
        <f aca="true">IF(A196="","",IF(F196="","Belirsiz",IF(F196&lt;TODAY(),"Bitti",IF(F196&lt;=TODAY()+30,"30 gün içinde","Sürüyor"))))</f>
        <v/>
      </c>
      <c r="I196" s="17" t="str">
        <f aca="true">IF(OR(A196="",D196=""),"",(TODAY()-D196)/365.25)</f>
        <v/>
      </c>
      <c r="J196" s="16" t="str">
        <f aca="true">IF(AND(A196&lt;&gt;"",F196&lt;&gt;"",F196&gt;=TODAY()),F196+ROW()/1000000,"")</f>
        <v/>
      </c>
    </row>
    <row r="197" customFormat="false" ht="15" hidden="false" customHeight="false" outlineLevel="0" collapsed="false">
      <c r="A197" s="12"/>
      <c r="B197" s="13"/>
      <c r="C197" s="13"/>
      <c r="D197" s="14"/>
      <c r="E197" s="15"/>
      <c r="F197" s="14"/>
      <c r="G197" s="12"/>
      <c r="H197" s="16" t="str">
        <f aca="true">IF(A197="","",IF(F197="","Belirsiz",IF(F197&lt;TODAY(),"Bitti",IF(F197&lt;=TODAY()+30,"30 gün içinde","Sürüyor"))))</f>
        <v/>
      </c>
      <c r="I197" s="17" t="str">
        <f aca="true">IF(OR(A197="",D197=""),"",(TODAY()-D197)/365.25)</f>
        <v/>
      </c>
      <c r="J197" s="16" t="str">
        <f aca="true">IF(AND(A197&lt;&gt;"",F197&lt;&gt;"",F197&gt;=TODAY()),F197+ROW()/1000000,"")</f>
        <v/>
      </c>
    </row>
    <row r="198" customFormat="false" ht="15" hidden="false" customHeight="false" outlineLevel="0" collapsed="false">
      <c r="A198" s="12"/>
      <c r="B198" s="13"/>
      <c r="C198" s="13"/>
      <c r="D198" s="14"/>
      <c r="E198" s="15"/>
      <c r="F198" s="14"/>
      <c r="G198" s="12"/>
      <c r="H198" s="16" t="str">
        <f aca="true">IF(A198="","",IF(F198="","Belirsiz",IF(F198&lt;TODAY(),"Bitti",IF(F198&lt;=TODAY()+30,"30 gün içinde","Sürüyor"))))</f>
        <v/>
      </c>
      <c r="I198" s="17" t="str">
        <f aca="true">IF(OR(A198="",D198=""),"",(TODAY()-D198)/365.25)</f>
        <v/>
      </c>
      <c r="J198" s="16" t="str">
        <f aca="true">IF(AND(A198&lt;&gt;"",F198&lt;&gt;"",F198&gt;=TODAY()),F198+ROW()/1000000,"")</f>
        <v/>
      </c>
    </row>
    <row r="199" customFormat="false" ht="15" hidden="false" customHeight="false" outlineLevel="0" collapsed="false">
      <c r="A199" s="12"/>
      <c r="B199" s="13"/>
      <c r="C199" s="13"/>
      <c r="D199" s="14"/>
      <c r="E199" s="15"/>
      <c r="F199" s="14"/>
      <c r="G199" s="12"/>
      <c r="H199" s="16" t="str">
        <f aca="true">IF(A199="","",IF(F199="","Belirsiz",IF(F199&lt;TODAY(),"Bitti",IF(F199&lt;=TODAY()+30,"30 gün içinde","Sürüyor"))))</f>
        <v/>
      </c>
      <c r="I199" s="17" t="str">
        <f aca="true">IF(OR(A199="",D199=""),"",(TODAY()-D199)/365.25)</f>
        <v/>
      </c>
      <c r="J199" s="16" t="str">
        <f aca="true">IF(AND(A199&lt;&gt;"",F199&lt;&gt;"",F199&gt;=TODAY()),F199+ROW()/1000000,"")</f>
        <v/>
      </c>
    </row>
    <row r="200" customFormat="false" ht="15" hidden="false" customHeight="false" outlineLevel="0" collapsed="false">
      <c r="A200" s="12"/>
      <c r="B200" s="13"/>
      <c r="C200" s="13"/>
      <c r="D200" s="14"/>
      <c r="E200" s="15"/>
      <c r="F200" s="14"/>
      <c r="G200" s="12"/>
      <c r="H200" s="16" t="str">
        <f aca="true">IF(A200="","",IF(F200="","Belirsiz",IF(F200&lt;TODAY(),"Bitti",IF(F200&lt;=TODAY()+30,"30 gün içinde","Sürüyor"))))</f>
        <v/>
      </c>
      <c r="I200" s="17" t="str">
        <f aca="true">IF(OR(A200="",D200=""),"",(TODAY()-D200)/365.25)</f>
        <v/>
      </c>
      <c r="J200" s="16" t="str">
        <f aca="true">IF(AND(A200&lt;&gt;"",F200&lt;&gt;"",F200&gt;=TODAY()),F200+ROW()/1000000,"")</f>
        <v/>
      </c>
    </row>
    <row r="201" customFormat="false" ht="15" hidden="false" customHeight="false" outlineLevel="0" collapsed="false">
      <c r="A201" s="12"/>
      <c r="B201" s="13"/>
      <c r="C201" s="13"/>
      <c r="D201" s="14"/>
      <c r="E201" s="15"/>
      <c r="F201" s="14"/>
      <c r="G201" s="12"/>
      <c r="H201" s="16" t="str">
        <f aca="true">IF(A201="","",IF(F201="","Belirsiz",IF(F201&lt;TODAY(),"Bitti",IF(F201&lt;=TODAY()+30,"30 gün içinde","Sürüyor"))))</f>
        <v/>
      </c>
      <c r="I201" s="17" t="str">
        <f aca="true">IF(OR(A201="",D201=""),"",(TODAY()-D201)/365.25)</f>
        <v/>
      </c>
      <c r="J201" s="16" t="str">
        <f aca="true">IF(AND(A201&lt;&gt;"",F201&lt;&gt;"",F201&gt;=TODAY()),F201+ROW()/1000000,"")</f>
        <v/>
      </c>
    </row>
    <row r="202" customFormat="false" ht="15" hidden="false" customHeight="false" outlineLevel="0" collapsed="false">
      <c r="A202" s="12"/>
      <c r="B202" s="13"/>
      <c r="C202" s="13"/>
      <c r="D202" s="14"/>
      <c r="E202" s="15"/>
      <c r="F202" s="14"/>
      <c r="G202" s="12"/>
      <c r="H202" s="16" t="str">
        <f aca="true">IF(A202="","",IF(F202="","Belirsiz",IF(F202&lt;TODAY(),"Bitti",IF(F202&lt;=TODAY()+30,"30 gün içinde","Sürüyor"))))</f>
        <v/>
      </c>
      <c r="I202" s="17" t="str">
        <f aca="true">IF(OR(A202="",D202=""),"",(TODAY()-D202)/365.25)</f>
        <v/>
      </c>
      <c r="J202" s="16" t="str">
        <f aca="true">IF(AND(A202&lt;&gt;"",F202&lt;&gt;"",F202&gt;=TODAY()),F202+ROW()/1000000,"")</f>
        <v/>
      </c>
    </row>
    <row r="203" customFormat="false" ht="15" hidden="false" customHeight="false" outlineLevel="0" collapsed="false">
      <c r="A203" s="12"/>
      <c r="B203" s="13"/>
      <c r="C203" s="13"/>
      <c r="D203" s="14"/>
      <c r="E203" s="15"/>
      <c r="F203" s="14"/>
      <c r="G203" s="12"/>
      <c r="H203" s="16" t="str">
        <f aca="true">IF(A203="","",IF(F203="","Belirsiz",IF(F203&lt;TODAY(),"Bitti",IF(F203&lt;=TODAY()+30,"30 gün içinde","Sürüyor"))))</f>
        <v/>
      </c>
      <c r="I203" s="17" t="str">
        <f aca="true">IF(OR(A203="",D203=""),"",(TODAY()-D203)/365.25)</f>
        <v/>
      </c>
      <c r="J203" s="16" t="str">
        <f aca="true">IF(AND(A203&lt;&gt;"",F203&lt;&gt;"",F203&gt;=TODAY()),F203+ROW()/1000000,"")</f>
        <v/>
      </c>
    </row>
    <row r="204" customFormat="false" ht="15" hidden="false" customHeight="false" outlineLevel="0" collapsed="false">
      <c r="A204" s="12"/>
      <c r="B204" s="13"/>
      <c r="C204" s="13"/>
      <c r="D204" s="14"/>
      <c r="E204" s="15"/>
      <c r="F204" s="14"/>
      <c r="G204" s="12"/>
      <c r="H204" s="16" t="str">
        <f aca="true">IF(A204="","",IF(F204="","Belirsiz",IF(F204&lt;TODAY(),"Bitti",IF(F204&lt;=TODAY()+30,"30 gün içinde","Sürüyor"))))</f>
        <v/>
      </c>
      <c r="I204" s="17" t="str">
        <f aca="true">IF(OR(A204="",D204=""),"",(TODAY()-D204)/365.25)</f>
        <v/>
      </c>
      <c r="J204" s="16" t="str">
        <f aca="true">IF(AND(A204&lt;&gt;"",F204&lt;&gt;"",F204&gt;=TODAY()),F204+ROW()/1000000,"")</f>
        <v/>
      </c>
    </row>
    <row r="205" customFormat="false" ht="15" hidden="false" customHeight="false" outlineLevel="0" collapsed="false">
      <c r="A205" s="12"/>
      <c r="B205" s="13"/>
      <c r="C205" s="13"/>
      <c r="D205" s="14"/>
      <c r="E205" s="15"/>
      <c r="F205" s="14"/>
      <c r="G205" s="12"/>
      <c r="H205" s="16" t="str">
        <f aca="true">IF(A205="","",IF(F205="","Belirsiz",IF(F205&lt;TODAY(),"Bitti",IF(F205&lt;=TODAY()+30,"30 gün içinde","Sürüyor"))))</f>
        <v/>
      </c>
      <c r="I205" s="17" t="str">
        <f aca="true">IF(OR(A205="",D205=""),"",(TODAY()-D205)/365.25)</f>
        <v/>
      </c>
      <c r="J205" s="16" t="str">
        <f aca="true">IF(AND(A205&lt;&gt;"",F205&lt;&gt;"",F205&gt;=TODAY()),F205+ROW()/1000000,"")</f>
        <v/>
      </c>
    </row>
    <row r="206" customFormat="false" ht="15" hidden="false" customHeight="false" outlineLevel="0" collapsed="false">
      <c r="A206" s="12"/>
      <c r="B206" s="13"/>
      <c r="C206" s="13"/>
      <c r="D206" s="14"/>
      <c r="E206" s="15"/>
      <c r="F206" s="14"/>
      <c r="G206" s="12"/>
      <c r="H206" s="16" t="str">
        <f aca="true">IF(A206="","",IF(F206="","Belirsiz",IF(F206&lt;TODAY(),"Bitti",IF(F206&lt;=TODAY()+30,"30 gün içinde","Sürüyor"))))</f>
        <v/>
      </c>
      <c r="I206" s="17" t="str">
        <f aca="true">IF(OR(A206="",D206=""),"",(TODAY()-D206)/365.25)</f>
        <v/>
      </c>
      <c r="J206" s="16" t="str">
        <f aca="true">IF(AND(A206&lt;&gt;"",F206&lt;&gt;"",F206&gt;=TODAY()),F206+ROW()/1000000,"")</f>
        <v/>
      </c>
    </row>
    <row r="207" customFormat="false" ht="15" hidden="false" customHeight="false" outlineLevel="0" collapsed="false">
      <c r="A207" s="12"/>
      <c r="B207" s="13"/>
      <c r="C207" s="13"/>
      <c r="D207" s="14"/>
      <c r="E207" s="15"/>
      <c r="F207" s="14"/>
      <c r="G207" s="12"/>
      <c r="H207" s="16" t="str">
        <f aca="true">IF(A207="","",IF(F207="","Belirsiz",IF(F207&lt;TODAY(),"Bitti",IF(F207&lt;=TODAY()+30,"30 gün içinde","Sürüyor"))))</f>
        <v/>
      </c>
      <c r="I207" s="17" t="str">
        <f aca="true">IF(OR(A207="",D207=""),"",(TODAY()-D207)/365.25)</f>
        <v/>
      </c>
      <c r="J207" s="16" t="str">
        <f aca="true">IF(AND(A207&lt;&gt;"",F207&lt;&gt;"",F207&gt;=TODAY()),F207+ROW()/1000000,"")</f>
        <v/>
      </c>
    </row>
    <row r="208" customFormat="false" ht="15" hidden="false" customHeight="false" outlineLevel="0" collapsed="false">
      <c r="A208" s="12"/>
      <c r="B208" s="13"/>
      <c r="C208" s="13"/>
      <c r="D208" s="14"/>
      <c r="E208" s="15"/>
      <c r="F208" s="14"/>
      <c r="G208" s="12"/>
      <c r="H208" s="16" t="str">
        <f aca="true">IF(A208="","",IF(F208="","Belirsiz",IF(F208&lt;TODAY(),"Bitti",IF(F208&lt;=TODAY()+30,"30 gün içinde","Sürüyor"))))</f>
        <v/>
      </c>
      <c r="I208" s="17" t="str">
        <f aca="true">IF(OR(A208="",D208=""),"",(TODAY()-D208)/365.25)</f>
        <v/>
      </c>
      <c r="J208" s="16" t="str">
        <f aca="true">IF(AND(A208&lt;&gt;"",F208&lt;&gt;"",F208&gt;=TODAY()),F208+ROW()/1000000,"")</f>
        <v/>
      </c>
    </row>
    <row r="209" customFormat="false" ht="15" hidden="false" customHeight="false" outlineLevel="0" collapsed="false">
      <c r="A209" s="12"/>
      <c r="B209" s="13"/>
      <c r="C209" s="13"/>
      <c r="D209" s="14"/>
      <c r="E209" s="15"/>
      <c r="F209" s="14"/>
      <c r="G209" s="12"/>
      <c r="H209" s="16" t="str">
        <f aca="true">IF(A209="","",IF(F209="","Belirsiz",IF(F209&lt;TODAY(),"Bitti",IF(F209&lt;=TODAY()+30,"30 gün içinde","Sürüyor"))))</f>
        <v/>
      </c>
      <c r="I209" s="17" t="str">
        <f aca="true">IF(OR(A209="",D209=""),"",(TODAY()-D209)/365.25)</f>
        <v/>
      </c>
      <c r="J209" s="16" t="str">
        <f aca="true">IF(AND(A209&lt;&gt;"",F209&lt;&gt;"",F209&gt;=TODAY()),F209+ROW()/1000000,"")</f>
        <v/>
      </c>
    </row>
    <row r="210" customFormat="false" ht="15" hidden="false" customHeight="false" outlineLevel="0" collapsed="false">
      <c r="A210" s="12"/>
      <c r="B210" s="13"/>
      <c r="C210" s="13"/>
      <c r="D210" s="14"/>
      <c r="E210" s="15"/>
      <c r="F210" s="14"/>
      <c r="G210" s="12"/>
      <c r="H210" s="16" t="str">
        <f aca="true">IF(A210="","",IF(F210="","Belirsiz",IF(F210&lt;TODAY(),"Bitti",IF(F210&lt;=TODAY()+30,"30 gün içinde","Sürüyor"))))</f>
        <v/>
      </c>
      <c r="I210" s="17" t="str">
        <f aca="true">IF(OR(A210="",D210=""),"",(TODAY()-D210)/365.25)</f>
        <v/>
      </c>
      <c r="J210" s="16" t="str">
        <f aca="true">IF(AND(A210&lt;&gt;"",F210&lt;&gt;"",F210&gt;=TODAY()),F210+ROW()/1000000,"")</f>
        <v/>
      </c>
    </row>
    <row r="211" customFormat="false" ht="15" hidden="false" customHeight="false" outlineLevel="0" collapsed="false">
      <c r="A211" s="12"/>
      <c r="B211" s="13"/>
      <c r="C211" s="13"/>
      <c r="D211" s="14"/>
      <c r="E211" s="15"/>
      <c r="F211" s="14"/>
      <c r="G211" s="12"/>
      <c r="H211" s="16" t="str">
        <f aca="true">IF(A211="","",IF(F211="","Belirsiz",IF(F211&lt;TODAY(),"Bitti",IF(F211&lt;=TODAY()+30,"30 gün içinde","Sürüyor"))))</f>
        <v/>
      </c>
      <c r="I211" s="17" t="str">
        <f aca="true">IF(OR(A211="",D211=""),"",(TODAY()-D211)/365.25)</f>
        <v/>
      </c>
      <c r="J211" s="16" t="str">
        <f aca="true">IF(AND(A211&lt;&gt;"",F211&lt;&gt;"",F211&gt;=TODAY()),F211+ROW()/1000000,"")</f>
        <v/>
      </c>
    </row>
    <row r="212" customFormat="false" ht="15" hidden="false" customHeight="false" outlineLevel="0" collapsed="false">
      <c r="A212" s="12"/>
      <c r="B212" s="13"/>
      <c r="C212" s="13"/>
      <c r="D212" s="14"/>
      <c r="E212" s="15"/>
      <c r="F212" s="14"/>
      <c r="G212" s="12"/>
      <c r="H212" s="16" t="str">
        <f aca="true">IF(A212="","",IF(F212="","Belirsiz",IF(F212&lt;TODAY(),"Bitti",IF(F212&lt;=TODAY()+30,"30 gün içinde","Sürüyor"))))</f>
        <v/>
      </c>
      <c r="I212" s="17" t="str">
        <f aca="true">IF(OR(A212="",D212=""),"",(TODAY()-D212)/365.25)</f>
        <v/>
      </c>
      <c r="J212" s="16" t="str">
        <f aca="true">IF(AND(A212&lt;&gt;"",F212&lt;&gt;"",F212&gt;=TODAY()),F212+ROW()/1000000,"")</f>
        <v/>
      </c>
    </row>
    <row r="213" customFormat="false" ht="15" hidden="false" customHeight="false" outlineLevel="0" collapsed="false">
      <c r="A213" s="12"/>
      <c r="B213" s="13"/>
      <c r="C213" s="13"/>
      <c r="D213" s="14"/>
      <c r="E213" s="15"/>
      <c r="F213" s="14"/>
      <c r="G213" s="12"/>
      <c r="H213" s="16" t="str">
        <f aca="true">IF(A213="","",IF(F213="","Belirsiz",IF(F213&lt;TODAY(),"Bitti",IF(F213&lt;=TODAY()+30,"30 gün içinde","Sürüyor"))))</f>
        <v/>
      </c>
      <c r="I213" s="17" t="str">
        <f aca="true">IF(OR(A213="",D213=""),"",(TODAY()-D213)/365.25)</f>
        <v/>
      </c>
      <c r="J213" s="16" t="str">
        <f aca="true">IF(AND(A213&lt;&gt;"",F213&lt;&gt;"",F213&gt;=TODAY()),F213+ROW()/1000000,"")</f>
        <v/>
      </c>
    </row>
    <row r="214" customFormat="false" ht="15" hidden="false" customHeight="false" outlineLevel="0" collapsed="false">
      <c r="A214" s="12"/>
      <c r="B214" s="13"/>
      <c r="C214" s="13"/>
      <c r="D214" s="14"/>
      <c r="E214" s="15"/>
      <c r="F214" s="14"/>
      <c r="G214" s="12"/>
      <c r="H214" s="16" t="str">
        <f aca="true">IF(A214="","",IF(F214="","Belirsiz",IF(F214&lt;TODAY(),"Bitti",IF(F214&lt;=TODAY()+30,"30 gün içinde","Sürüyor"))))</f>
        <v/>
      </c>
      <c r="I214" s="17" t="str">
        <f aca="true">IF(OR(A214="",D214=""),"",(TODAY()-D214)/365.25)</f>
        <v/>
      </c>
      <c r="J214" s="16" t="str">
        <f aca="true">IF(AND(A214&lt;&gt;"",F214&lt;&gt;"",F214&gt;=TODAY()),F214+ROW()/1000000,"")</f>
        <v/>
      </c>
    </row>
    <row r="215" customFormat="false" ht="15" hidden="false" customHeight="false" outlineLevel="0" collapsed="false">
      <c r="A215" s="12"/>
      <c r="B215" s="13"/>
      <c r="C215" s="13"/>
      <c r="D215" s="14"/>
      <c r="E215" s="15"/>
      <c r="F215" s="14"/>
      <c r="G215" s="12"/>
      <c r="H215" s="16" t="str">
        <f aca="true">IF(A215="","",IF(F215="","Belirsiz",IF(F215&lt;TODAY(),"Bitti",IF(F215&lt;=TODAY()+30,"30 gün içinde","Sürüyor"))))</f>
        <v/>
      </c>
      <c r="I215" s="17" t="str">
        <f aca="true">IF(OR(A215="",D215=""),"",(TODAY()-D215)/365.25)</f>
        <v/>
      </c>
      <c r="J215" s="16" t="str">
        <f aca="true">IF(AND(A215&lt;&gt;"",F215&lt;&gt;"",F215&gt;=TODAY()),F215+ROW()/1000000,"")</f>
        <v/>
      </c>
    </row>
    <row r="216" customFormat="false" ht="15" hidden="false" customHeight="false" outlineLevel="0" collapsed="false">
      <c r="A216" s="12"/>
      <c r="B216" s="13"/>
      <c r="C216" s="13"/>
      <c r="D216" s="14"/>
      <c r="E216" s="15"/>
      <c r="F216" s="14"/>
      <c r="G216" s="12"/>
      <c r="H216" s="16" t="str">
        <f aca="true">IF(A216="","",IF(F216="","Belirsiz",IF(F216&lt;TODAY(),"Bitti",IF(F216&lt;=TODAY()+30,"30 gün içinde","Sürüyor"))))</f>
        <v/>
      </c>
      <c r="I216" s="17" t="str">
        <f aca="true">IF(OR(A216="",D216=""),"",(TODAY()-D216)/365.25)</f>
        <v/>
      </c>
      <c r="J216" s="16" t="str">
        <f aca="true">IF(AND(A216&lt;&gt;"",F216&lt;&gt;"",F216&gt;=TODAY()),F216+ROW()/1000000,"")</f>
        <v/>
      </c>
    </row>
    <row r="217" customFormat="false" ht="15" hidden="false" customHeight="false" outlineLevel="0" collapsed="false">
      <c r="A217" s="12"/>
      <c r="B217" s="13"/>
      <c r="C217" s="13"/>
      <c r="D217" s="14"/>
      <c r="E217" s="15"/>
      <c r="F217" s="14"/>
      <c r="G217" s="12"/>
      <c r="H217" s="16" t="str">
        <f aca="true">IF(A217="","",IF(F217="","Belirsiz",IF(F217&lt;TODAY(),"Bitti",IF(F217&lt;=TODAY()+30,"30 gün içinde","Sürüyor"))))</f>
        <v/>
      </c>
      <c r="I217" s="17" t="str">
        <f aca="true">IF(OR(A217="",D217=""),"",(TODAY()-D217)/365.25)</f>
        <v/>
      </c>
      <c r="J217" s="16" t="str">
        <f aca="true">IF(AND(A217&lt;&gt;"",F217&lt;&gt;"",F217&gt;=TODAY()),F217+ROW()/1000000,"")</f>
        <v/>
      </c>
    </row>
    <row r="218" customFormat="false" ht="15" hidden="false" customHeight="false" outlineLevel="0" collapsed="false">
      <c r="A218" s="12"/>
      <c r="B218" s="13"/>
      <c r="C218" s="13"/>
      <c r="D218" s="14"/>
      <c r="E218" s="15"/>
      <c r="F218" s="14"/>
      <c r="G218" s="12"/>
      <c r="H218" s="16" t="str">
        <f aca="true">IF(A218="","",IF(F218="","Belirsiz",IF(F218&lt;TODAY(),"Bitti",IF(F218&lt;=TODAY()+30,"30 gün içinde","Sürüyor"))))</f>
        <v/>
      </c>
      <c r="I218" s="17" t="str">
        <f aca="true">IF(OR(A218="",D218=""),"",(TODAY()-D218)/365.25)</f>
        <v/>
      </c>
      <c r="J218" s="16" t="str">
        <f aca="true">IF(AND(A218&lt;&gt;"",F218&lt;&gt;"",F218&gt;=TODAY()),F218+ROW()/1000000,"")</f>
        <v/>
      </c>
    </row>
    <row r="219" customFormat="false" ht="15" hidden="false" customHeight="false" outlineLevel="0" collapsed="false">
      <c r="A219" s="12"/>
      <c r="B219" s="13"/>
      <c r="C219" s="13"/>
      <c r="D219" s="14"/>
      <c r="E219" s="15"/>
      <c r="F219" s="14"/>
      <c r="G219" s="12"/>
      <c r="H219" s="16" t="str">
        <f aca="true">IF(A219="","",IF(F219="","Belirsiz",IF(F219&lt;TODAY(),"Bitti",IF(F219&lt;=TODAY()+30,"30 gün içinde","Sürüyor"))))</f>
        <v/>
      </c>
      <c r="I219" s="17" t="str">
        <f aca="true">IF(OR(A219="",D219=""),"",(TODAY()-D219)/365.25)</f>
        <v/>
      </c>
      <c r="J219" s="16" t="str">
        <f aca="true">IF(AND(A219&lt;&gt;"",F219&lt;&gt;"",F219&gt;=TODAY()),F219+ROW()/1000000,"")</f>
        <v/>
      </c>
    </row>
    <row r="220" customFormat="false" ht="15" hidden="false" customHeight="false" outlineLevel="0" collapsed="false">
      <c r="A220" s="12"/>
      <c r="B220" s="13"/>
      <c r="C220" s="13"/>
      <c r="D220" s="14"/>
      <c r="E220" s="15"/>
      <c r="F220" s="14"/>
      <c r="G220" s="12"/>
      <c r="H220" s="16" t="str">
        <f aca="true">IF(A220="","",IF(F220="","Belirsiz",IF(F220&lt;TODAY(),"Bitti",IF(F220&lt;=TODAY()+30,"30 gün içinde","Sürüyor"))))</f>
        <v/>
      </c>
      <c r="I220" s="17" t="str">
        <f aca="true">IF(OR(A220="",D220=""),"",(TODAY()-D220)/365.25)</f>
        <v/>
      </c>
      <c r="J220" s="16" t="str">
        <f aca="true">IF(AND(A220&lt;&gt;"",F220&lt;&gt;"",F220&gt;=TODAY()),F220+ROW()/1000000,"")</f>
        <v/>
      </c>
    </row>
    <row r="221" customFormat="false" ht="15" hidden="false" customHeight="false" outlineLevel="0" collapsed="false">
      <c r="A221" s="12"/>
      <c r="B221" s="13"/>
      <c r="C221" s="13"/>
      <c r="D221" s="14"/>
      <c r="E221" s="15"/>
      <c r="F221" s="14"/>
      <c r="G221" s="12"/>
      <c r="H221" s="16" t="str">
        <f aca="true">IF(A221="","",IF(F221="","Belirsiz",IF(F221&lt;TODAY(),"Bitti",IF(F221&lt;=TODAY()+30,"30 gün içinde","Sürüyor"))))</f>
        <v/>
      </c>
      <c r="I221" s="17" t="str">
        <f aca="true">IF(OR(A221="",D221=""),"",(TODAY()-D221)/365.25)</f>
        <v/>
      </c>
      <c r="J221" s="16" t="str">
        <f aca="true">IF(AND(A221&lt;&gt;"",F221&lt;&gt;"",F221&gt;=TODAY()),F221+ROW()/1000000,"")</f>
        <v/>
      </c>
    </row>
    <row r="222" customFormat="false" ht="15" hidden="false" customHeight="false" outlineLevel="0" collapsed="false">
      <c r="A222" s="12"/>
      <c r="B222" s="13"/>
      <c r="C222" s="13"/>
      <c r="D222" s="14"/>
      <c r="E222" s="15"/>
      <c r="F222" s="14"/>
      <c r="G222" s="12"/>
      <c r="H222" s="16" t="str">
        <f aca="true">IF(A222="","",IF(F222="","Belirsiz",IF(F222&lt;TODAY(),"Bitti",IF(F222&lt;=TODAY()+30,"30 gün içinde","Sürüyor"))))</f>
        <v/>
      </c>
      <c r="I222" s="17" t="str">
        <f aca="true">IF(OR(A222="",D222=""),"",(TODAY()-D222)/365.25)</f>
        <v/>
      </c>
      <c r="J222" s="16" t="str">
        <f aca="true">IF(AND(A222&lt;&gt;"",F222&lt;&gt;"",F222&gt;=TODAY()),F222+ROW()/1000000,"")</f>
        <v/>
      </c>
    </row>
    <row r="223" customFormat="false" ht="15" hidden="false" customHeight="false" outlineLevel="0" collapsed="false">
      <c r="A223" s="12"/>
      <c r="B223" s="13"/>
      <c r="C223" s="13"/>
      <c r="D223" s="14"/>
      <c r="E223" s="15"/>
      <c r="F223" s="14"/>
      <c r="G223" s="12"/>
      <c r="H223" s="16" t="str">
        <f aca="true">IF(A223="","",IF(F223="","Belirsiz",IF(F223&lt;TODAY(),"Bitti",IF(F223&lt;=TODAY()+30,"30 gün içinde","Sürüyor"))))</f>
        <v/>
      </c>
      <c r="I223" s="17" t="str">
        <f aca="true">IF(OR(A223="",D223=""),"",(TODAY()-D223)/365.25)</f>
        <v/>
      </c>
      <c r="J223" s="16" t="str">
        <f aca="true">IF(AND(A223&lt;&gt;"",F223&lt;&gt;"",F223&gt;=TODAY()),F223+ROW()/1000000,"")</f>
        <v/>
      </c>
    </row>
    <row r="224" customFormat="false" ht="15" hidden="false" customHeight="false" outlineLevel="0" collapsed="false">
      <c r="A224" s="12"/>
      <c r="B224" s="13"/>
      <c r="C224" s="13"/>
      <c r="D224" s="14"/>
      <c r="E224" s="15"/>
      <c r="F224" s="14"/>
      <c r="G224" s="12"/>
      <c r="H224" s="16" t="str">
        <f aca="true">IF(A224="","",IF(F224="","Belirsiz",IF(F224&lt;TODAY(),"Bitti",IF(F224&lt;=TODAY()+30,"30 gün içinde","Sürüyor"))))</f>
        <v/>
      </c>
      <c r="I224" s="17" t="str">
        <f aca="true">IF(OR(A224="",D224=""),"",(TODAY()-D224)/365.25)</f>
        <v/>
      </c>
      <c r="J224" s="16" t="str">
        <f aca="true">IF(AND(A224&lt;&gt;"",F224&lt;&gt;"",F224&gt;=TODAY()),F224+ROW()/1000000,"")</f>
        <v/>
      </c>
    </row>
    <row r="225" customFormat="false" ht="15" hidden="false" customHeight="false" outlineLevel="0" collapsed="false">
      <c r="A225" s="12"/>
      <c r="B225" s="13"/>
      <c r="C225" s="13"/>
      <c r="D225" s="14"/>
      <c r="E225" s="15"/>
      <c r="F225" s="14"/>
      <c r="G225" s="12"/>
      <c r="H225" s="16" t="str">
        <f aca="true">IF(A225="","",IF(F225="","Belirsiz",IF(F225&lt;TODAY(),"Bitti",IF(F225&lt;=TODAY()+30,"30 gün içinde","Sürüyor"))))</f>
        <v/>
      </c>
      <c r="I225" s="17" t="str">
        <f aca="true">IF(OR(A225="",D225=""),"",(TODAY()-D225)/365.25)</f>
        <v/>
      </c>
      <c r="J225" s="16" t="str">
        <f aca="true">IF(AND(A225&lt;&gt;"",F225&lt;&gt;"",F225&gt;=TODAY()),F225+ROW()/1000000,"")</f>
        <v/>
      </c>
    </row>
    <row r="226" customFormat="false" ht="15" hidden="false" customHeight="false" outlineLevel="0" collapsed="false">
      <c r="A226" s="12"/>
      <c r="B226" s="13"/>
      <c r="C226" s="13"/>
      <c r="D226" s="14"/>
      <c r="E226" s="15"/>
      <c r="F226" s="14"/>
      <c r="G226" s="12"/>
      <c r="H226" s="16" t="str">
        <f aca="true">IF(A226="","",IF(F226="","Belirsiz",IF(F226&lt;TODAY(),"Bitti",IF(F226&lt;=TODAY()+30,"30 gün içinde","Sürüyor"))))</f>
        <v/>
      </c>
      <c r="I226" s="17" t="str">
        <f aca="true">IF(OR(A226="",D226=""),"",(TODAY()-D226)/365.25)</f>
        <v/>
      </c>
      <c r="J226" s="16" t="str">
        <f aca="true">IF(AND(A226&lt;&gt;"",F226&lt;&gt;"",F226&gt;=TODAY()),F226+ROW()/1000000,"")</f>
        <v/>
      </c>
    </row>
    <row r="227" customFormat="false" ht="15" hidden="false" customHeight="false" outlineLevel="0" collapsed="false">
      <c r="A227" s="12"/>
      <c r="B227" s="13"/>
      <c r="C227" s="13"/>
      <c r="D227" s="14"/>
      <c r="E227" s="15"/>
      <c r="F227" s="14"/>
      <c r="G227" s="12"/>
      <c r="H227" s="16" t="str">
        <f aca="true">IF(A227="","",IF(F227="","Belirsiz",IF(F227&lt;TODAY(),"Bitti",IF(F227&lt;=TODAY()+30,"30 gün içinde","Sürüyor"))))</f>
        <v/>
      </c>
      <c r="I227" s="17" t="str">
        <f aca="true">IF(OR(A227="",D227=""),"",(TODAY()-D227)/365.25)</f>
        <v/>
      </c>
      <c r="J227" s="16" t="str">
        <f aca="true">IF(AND(A227&lt;&gt;"",F227&lt;&gt;"",F227&gt;=TODAY()),F227+ROW()/1000000,"")</f>
        <v/>
      </c>
    </row>
    <row r="228" customFormat="false" ht="15" hidden="false" customHeight="false" outlineLevel="0" collapsed="false">
      <c r="A228" s="12"/>
      <c r="B228" s="13"/>
      <c r="C228" s="13"/>
      <c r="D228" s="14"/>
      <c r="E228" s="15"/>
      <c r="F228" s="14"/>
      <c r="G228" s="12"/>
      <c r="H228" s="16" t="str">
        <f aca="true">IF(A228="","",IF(F228="","Belirsiz",IF(F228&lt;TODAY(),"Bitti",IF(F228&lt;=TODAY()+30,"30 gün içinde","Sürüyor"))))</f>
        <v/>
      </c>
      <c r="I228" s="17" t="str">
        <f aca="true">IF(OR(A228="",D228=""),"",(TODAY()-D228)/365.25)</f>
        <v/>
      </c>
      <c r="J228" s="16" t="str">
        <f aca="true">IF(AND(A228&lt;&gt;"",F228&lt;&gt;"",F228&gt;=TODAY()),F228+ROW()/1000000,"")</f>
        <v/>
      </c>
    </row>
    <row r="229" customFormat="false" ht="15" hidden="false" customHeight="false" outlineLevel="0" collapsed="false">
      <c r="A229" s="12"/>
      <c r="B229" s="13"/>
      <c r="C229" s="13"/>
      <c r="D229" s="14"/>
      <c r="E229" s="15"/>
      <c r="F229" s="14"/>
      <c r="G229" s="12"/>
      <c r="H229" s="16" t="str">
        <f aca="true">IF(A229="","",IF(F229="","Belirsiz",IF(F229&lt;TODAY(),"Bitti",IF(F229&lt;=TODAY()+30,"30 gün içinde","Sürüyor"))))</f>
        <v/>
      </c>
      <c r="I229" s="17" t="str">
        <f aca="true">IF(OR(A229="",D229=""),"",(TODAY()-D229)/365.25)</f>
        <v/>
      </c>
      <c r="J229" s="16" t="str">
        <f aca="true">IF(AND(A229&lt;&gt;"",F229&lt;&gt;"",F229&gt;=TODAY()),F229+ROW()/1000000,"")</f>
        <v/>
      </c>
    </row>
    <row r="230" customFormat="false" ht="15" hidden="false" customHeight="false" outlineLevel="0" collapsed="false">
      <c r="A230" s="12"/>
      <c r="B230" s="13"/>
      <c r="C230" s="13"/>
      <c r="D230" s="14"/>
      <c r="E230" s="15"/>
      <c r="F230" s="14"/>
      <c r="G230" s="12"/>
      <c r="H230" s="16" t="str">
        <f aca="true">IF(A230="","",IF(F230="","Belirsiz",IF(F230&lt;TODAY(),"Bitti",IF(F230&lt;=TODAY()+30,"30 gün içinde","Sürüyor"))))</f>
        <v/>
      </c>
      <c r="I230" s="17" t="str">
        <f aca="true">IF(OR(A230="",D230=""),"",(TODAY()-D230)/365.25)</f>
        <v/>
      </c>
      <c r="J230" s="16" t="str">
        <f aca="true">IF(AND(A230&lt;&gt;"",F230&lt;&gt;"",F230&gt;=TODAY()),F230+ROW()/1000000,"")</f>
        <v/>
      </c>
    </row>
    <row r="231" customFormat="false" ht="15" hidden="false" customHeight="false" outlineLevel="0" collapsed="false">
      <c r="A231" s="12"/>
      <c r="B231" s="13"/>
      <c r="C231" s="13"/>
      <c r="D231" s="14"/>
      <c r="E231" s="15"/>
      <c r="F231" s="14"/>
      <c r="G231" s="12"/>
      <c r="H231" s="16" t="str">
        <f aca="true">IF(A231="","",IF(F231="","Belirsiz",IF(F231&lt;TODAY(),"Bitti",IF(F231&lt;=TODAY()+30,"30 gün içinde","Sürüyor"))))</f>
        <v/>
      </c>
      <c r="I231" s="17" t="str">
        <f aca="true">IF(OR(A231="",D231=""),"",(TODAY()-D231)/365.25)</f>
        <v/>
      </c>
      <c r="J231" s="16" t="str">
        <f aca="true">IF(AND(A231&lt;&gt;"",F231&lt;&gt;"",F231&gt;=TODAY()),F231+ROW()/1000000,"")</f>
        <v/>
      </c>
    </row>
    <row r="232" customFormat="false" ht="15" hidden="false" customHeight="false" outlineLevel="0" collapsed="false">
      <c r="A232" s="12"/>
      <c r="B232" s="13"/>
      <c r="C232" s="13"/>
      <c r="D232" s="14"/>
      <c r="E232" s="15"/>
      <c r="F232" s="14"/>
      <c r="G232" s="12"/>
      <c r="H232" s="16" t="str">
        <f aca="true">IF(A232="","",IF(F232="","Belirsiz",IF(F232&lt;TODAY(),"Bitti",IF(F232&lt;=TODAY()+30,"30 gün içinde","Sürüyor"))))</f>
        <v/>
      </c>
      <c r="I232" s="17" t="str">
        <f aca="true">IF(OR(A232="",D232=""),"",(TODAY()-D232)/365.25)</f>
        <v/>
      </c>
      <c r="J232" s="16" t="str">
        <f aca="true">IF(AND(A232&lt;&gt;"",F232&lt;&gt;"",F232&gt;=TODAY()),F232+ROW()/1000000,"")</f>
        <v/>
      </c>
    </row>
    <row r="233" customFormat="false" ht="15" hidden="false" customHeight="false" outlineLevel="0" collapsed="false">
      <c r="A233" s="12"/>
      <c r="B233" s="13"/>
      <c r="C233" s="13"/>
      <c r="D233" s="14"/>
      <c r="E233" s="15"/>
      <c r="F233" s="14"/>
      <c r="G233" s="12"/>
      <c r="H233" s="16" t="str">
        <f aca="true">IF(A233="","",IF(F233="","Belirsiz",IF(F233&lt;TODAY(),"Bitti",IF(F233&lt;=TODAY()+30,"30 gün içinde","Sürüyor"))))</f>
        <v/>
      </c>
      <c r="I233" s="17" t="str">
        <f aca="true">IF(OR(A233="",D233=""),"",(TODAY()-D233)/365.25)</f>
        <v/>
      </c>
      <c r="J233" s="16" t="str">
        <f aca="true">IF(AND(A233&lt;&gt;"",F233&lt;&gt;"",F233&gt;=TODAY()),F233+ROW()/1000000,"")</f>
        <v/>
      </c>
    </row>
    <row r="234" customFormat="false" ht="15" hidden="false" customHeight="false" outlineLevel="0" collapsed="false">
      <c r="A234" s="12"/>
      <c r="B234" s="13"/>
      <c r="C234" s="13"/>
      <c r="D234" s="14"/>
      <c r="E234" s="15"/>
      <c r="F234" s="14"/>
      <c r="G234" s="12"/>
      <c r="H234" s="16" t="str">
        <f aca="true">IF(A234="","",IF(F234="","Belirsiz",IF(F234&lt;TODAY(),"Bitti",IF(F234&lt;=TODAY()+30,"30 gün içinde","Sürüyor"))))</f>
        <v/>
      </c>
      <c r="I234" s="17" t="str">
        <f aca="true">IF(OR(A234="",D234=""),"",(TODAY()-D234)/365.25)</f>
        <v/>
      </c>
      <c r="J234" s="16" t="str">
        <f aca="true">IF(AND(A234&lt;&gt;"",F234&lt;&gt;"",F234&gt;=TODAY()),F234+ROW()/1000000,"")</f>
        <v/>
      </c>
    </row>
    <row r="235" customFormat="false" ht="15" hidden="false" customHeight="false" outlineLevel="0" collapsed="false">
      <c r="A235" s="12"/>
      <c r="B235" s="13"/>
      <c r="C235" s="13"/>
      <c r="D235" s="14"/>
      <c r="E235" s="15"/>
      <c r="F235" s="14"/>
      <c r="G235" s="12"/>
      <c r="H235" s="16" t="str">
        <f aca="true">IF(A235="","",IF(F235="","Belirsiz",IF(F235&lt;TODAY(),"Bitti",IF(F235&lt;=TODAY()+30,"30 gün içinde","Sürüyor"))))</f>
        <v/>
      </c>
      <c r="I235" s="17" t="str">
        <f aca="true">IF(OR(A235="",D235=""),"",(TODAY()-D235)/365.25)</f>
        <v/>
      </c>
      <c r="J235" s="16" t="str">
        <f aca="true">IF(AND(A235&lt;&gt;"",F235&lt;&gt;"",F235&gt;=TODAY()),F235+ROW()/1000000,"")</f>
        <v/>
      </c>
    </row>
    <row r="236" customFormat="false" ht="15" hidden="false" customHeight="false" outlineLevel="0" collapsed="false">
      <c r="A236" s="12"/>
      <c r="B236" s="13"/>
      <c r="C236" s="13"/>
      <c r="D236" s="14"/>
      <c r="E236" s="15"/>
      <c r="F236" s="14"/>
      <c r="G236" s="12"/>
      <c r="H236" s="16" t="str">
        <f aca="true">IF(A236="","",IF(F236="","Belirsiz",IF(F236&lt;TODAY(),"Bitti",IF(F236&lt;=TODAY()+30,"30 gün içinde","Sürüyor"))))</f>
        <v/>
      </c>
      <c r="I236" s="17" t="str">
        <f aca="true">IF(OR(A236="",D236=""),"",(TODAY()-D236)/365.25)</f>
        <v/>
      </c>
      <c r="J236" s="16" t="str">
        <f aca="true">IF(AND(A236&lt;&gt;"",F236&lt;&gt;"",F236&gt;=TODAY()),F236+ROW()/1000000,"")</f>
        <v/>
      </c>
    </row>
    <row r="237" customFormat="false" ht="15" hidden="false" customHeight="false" outlineLevel="0" collapsed="false">
      <c r="A237" s="12"/>
      <c r="B237" s="13"/>
      <c r="C237" s="13"/>
      <c r="D237" s="14"/>
      <c r="E237" s="15"/>
      <c r="F237" s="14"/>
      <c r="G237" s="12"/>
      <c r="H237" s="16" t="str">
        <f aca="true">IF(A237="","",IF(F237="","Belirsiz",IF(F237&lt;TODAY(),"Bitti",IF(F237&lt;=TODAY()+30,"30 gün içinde","Sürüyor"))))</f>
        <v/>
      </c>
      <c r="I237" s="17" t="str">
        <f aca="true">IF(OR(A237="",D237=""),"",(TODAY()-D237)/365.25)</f>
        <v/>
      </c>
      <c r="J237" s="16" t="str">
        <f aca="true">IF(AND(A237&lt;&gt;"",F237&lt;&gt;"",F237&gt;=TODAY()),F237+ROW()/1000000,"")</f>
        <v/>
      </c>
    </row>
    <row r="238" customFormat="false" ht="15" hidden="false" customHeight="false" outlineLevel="0" collapsed="false">
      <c r="A238" s="12"/>
      <c r="B238" s="13"/>
      <c r="C238" s="13"/>
      <c r="D238" s="14"/>
      <c r="E238" s="15"/>
      <c r="F238" s="14"/>
      <c r="G238" s="12"/>
      <c r="H238" s="16" t="str">
        <f aca="true">IF(A238="","",IF(F238="","Belirsiz",IF(F238&lt;TODAY(),"Bitti",IF(F238&lt;=TODAY()+30,"30 gün içinde","Sürüyor"))))</f>
        <v/>
      </c>
      <c r="I238" s="17" t="str">
        <f aca="true">IF(OR(A238="",D238=""),"",(TODAY()-D238)/365.25)</f>
        <v/>
      </c>
      <c r="J238" s="16" t="str">
        <f aca="true">IF(AND(A238&lt;&gt;"",F238&lt;&gt;"",F238&gt;=TODAY()),F238+ROW()/1000000,"")</f>
        <v/>
      </c>
    </row>
    <row r="239" customFormat="false" ht="15" hidden="false" customHeight="false" outlineLevel="0" collapsed="false">
      <c r="A239" s="12"/>
      <c r="B239" s="13"/>
      <c r="C239" s="13"/>
      <c r="D239" s="14"/>
      <c r="E239" s="15"/>
      <c r="F239" s="14"/>
      <c r="G239" s="12"/>
      <c r="H239" s="16" t="str">
        <f aca="true">IF(A239="","",IF(F239="","Belirsiz",IF(F239&lt;TODAY(),"Bitti",IF(F239&lt;=TODAY()+30,"30 gün içinde","Sürüyor"))))</f>
        <v/>
      </c>
      <c r="I239" s="17" t="str">
        <f aca="true">IF(OR(A239="",D239=""),"",(TODAY()-D239)/365.25)</f>
        <v/>
      </c>
      <c r="J239" s="16" t="str">
        <f aca="true">IF(AND(A239&lt;&gt;"",F239&lt;&gt;"",F239&gt;=TODAY()),F239+ROW()/1000000,"")</f>
        <v/>
      </c>
    </row>
    <row r="240" customFormat="false" ht="15" hidden="false" customHeight="false" outlineLevel="0" collapsed="false">
      <c r="A240" s="12"/>
      <c r="B240" s="13"/>
      <c r="C240" s="13"/>
      <c r="D240" s="14"/>
      <c r="E240" s="15"/>
      <c r="F240" s="14"/>
      <c r="G240" s="12"/>
      <c r="H240" s="16" t="str">
        <f aca="true">IF(A240="","",IF(F240="","Belirsiz",IF(F240&lt;TODAY(),"Bitti",IF(F240&lt;=TODAY()+30,"30 gün içinde","Sürüyor"))))</f>
        <v/>
      </c>
      <c r="I240" s="17" t="str">
        <f aca="true">IF(OR(A240="",D240=""),"",(TODAY()-D240)/365.25)</f>
        <v/>
      </c>
      <c r="J240" s="16" t="str">
        <f aca="true">IF(AND(A240&lt;&gt;"",F240&lt;&gt;"",F240&gt;=TODAY()),F240+ROW()/1000000,"")</f>
        <v/>
      </c>
    </row>
    <row r="241" customFormat="false" ht="15" hidden="false" customHeight="false" outlineLevel="0" collapsed="false">
      <c r="A241" s="12"/>
      <c r="B241" s="13"/>
      <c r="C241" s="13"/>
      <c r="D241" s="14"/>
      <c r="E241" s="15"/>
      <c r="F241" s="14"/>
      <c r="G241" s="12"/>
      <c r="H241" s="16" t="str">
        <f aca="true">IF(A241="","",IF(F241="","Belirsiz",IF(F241&lt;TODAY(),"Bitti",IF(F241&lt;=TODAY()+30,"30 gün içinde","Sürüyor"))))</f>
        <v/>
      </c>
      <c r="I241" s="17" t="str">
        <f aca="true">IF(OR(A241="",D241=""),"",(TODAY()-D241)/365.25)</f>
        <v/>
      </c>
      <c r="J241" s="16" t="str">
        <f aca="true">IF(AND(A241&lt;&gt;"",F241&lt;&gt;"",F241&gt;=TODAY()),F241+ROW()/1000000,"")</f>
        <v/>
      </c>
    </row>
    <row r="242" customFormat="false" ht="15" hidden="false" customHeight="false" outlineLevel="0" collapsed="false">
      <c r="A242" s="12"/>
      <c r="B242" s="13"/>
      <c r="C242" s="13"/>
      <c r="D242" s="14"/>
      <c r="E242" s="15"/>
      <c r="F242" s="14"/>
      <c r="G242" s="12"/>
      <c r="H242" s="16" t="str">
        <f aca="true">IF(A242="","",IF(F242="","Belirsiz",IF(F242&lt;TODAY(),"Bitti",IF(F242&lt;=TODAY()+30,"30 gün içinde","Sürüyor"))))</f>
        <v/>
      </c>
      <c r="I242" s="17" t="str">
        <f aca="true">IF(OR(A242="",D242=""),"",(TODAY()-D242)/365.25)</f>
        <v/>
      </c>
      <c r="J242" s="16" t="str">
        <f aca="true">IF(AND(A242&lt;&gt;"",F242&lt;&gt;"",F242&gt;=TODAY()),F242+ROW()/1000000,"")</f>
        <v/>
      </c>
    </row>
    <row r="243" customFormat="false" ht="15" hidden="false" customHeight="false" outlineLevel="0" collapsed="false">
      <c r="A243" s="12"/>
      <c r="B243" s="13"/>
      <c r="C243" s="13"/>
      <c r="D243" s="14"/>
      <c r="E243" s="15"/>
      <c r="F243" s="14"/>
      <c r="G243" s="12"/>
      <c r="H243" s="16" t="str">
        <f aca="true">IF(A243="","",IF(F243="","Belirsiz",IF(F243&lt;TODAY(),"Bitti",IF(F243&lt;=TODAY()+30,"30 gün içinde","Sürüyor"))))</f>
        <v/>
      </c>
      <c r="I243" s="17" t="str">
        <f aca="true">IF(OR(A243="",D243=""),"",(TODAY()-D243)/365.25)</f>
        <v/>
      </c>
      <c r="J243" s="16" t="str">
        <f aca="true">IF(AND(A243&lt;&gt;"",F243&lt;&gt;"",F243&gt;=TODAY()),F243+ROW()/1000000,"")</f>
        <v/>
      </c>
    </row>
    <row r="244" customFormat="false" ht="15" hidden="false" customHeight="false" outlineLevel="0" collapsed="false">
      <c r="A244" s="12"/>
      <c r="B244" s="13"/>
      <c r="C244" s="13"/>
      <c r="D244" s="14"/>
      <c r="E244" s="15"/>
      <c r="F244" s="14"/>
      <c r="G244" s="12"/>
      <c r="H244" s="16" t="str">
        <f aca="true">IF(A244="","",IF(F244="","Belirsiz",IF(F244&lt;TODAY(),"Bitti",IF(F244&lt;=TODAY()+30,"30 gün içinde","Sürüyor"))))</f>
        <v/>
      </c>
      <c r="I244" s="17" t="str">
        <f aca="true">IF(OR(A244="",D244=""),"",(TODAY()-D244)/365.25)</f>
        <v/>
      </c>
      <c r="J244" s="16" t="str">
        <f aca="true">IF(AND(A244&lt;&gt;"",F244&lt;&gt;"",F244&gt;=TODAY()),F244+ROW()/1000000,"")</f>
        <v/>
      </c>
    </row>
    <row r="245" customFormat="false" ht="15" hidden="false" customHeight="false" outlineLevel="0" collapsed="false">
      <c r="A245" s="12"/>
      <c r="B245" s="13"/>
      <c r="C245" s="13"/>
      <c r="D245" s="14"/>
      <c r="E245" s="15"/>
      <c r="F245" s="14"/>
      <c r="G245" s="12"/>
      <c r="H245" s="16" t="str">
        <f aca="true">IF(A245="","",IF(F245="","Belirsiz",IF(F245&lt;TODAY(),"Bitti",IF(F245&lt;=TODAY()+30,"30 gün içinde","Sürüyor"))))</f>
        <v/>
      </c>
      <c r="I245" s="17" t="str">
        <f aca="true">IF(OR(A245="",D245=""),"",(TODAY()-D245)/365.25)</f>
        <v/>
      </c>
      <c r="J245" s="16" t="str">
        <f aca="true">IF(AND(A245&lt;&gt;"",F245&lt;&gt;"",F245&gt;=TODAY()),F245+ROW()/1000000,"")</f>
        <v/>
      </c>
    </row>
    <row r="246" customFormat="false" ht="15" hidden="false" customHeight="false" outlineLevel="0" collapsed="false">
      <c r="A246" s="12"/>
      <c r="B246" s="13"/>
      <c r="C246" s="13"/>
      <c r="D246" s="14"/>
      <c r="E246" s="15"/>
      <c r="F246" s="14"/>
      <c r="G246" s="12"/>
      <c r="H246" s="16" t="str">
        <f aca="true">IF(A246="","",IF(F246="","Belirsiz",IF(F246&lt;TODAY(),"Bitti",IF(F246&lt;=TODAY()+30,"30 gün içinde","Sürüyor"))))</f>
        <v/>
      </c>
      <c r="I246" s="17" t="str">
        <f aca="true">IF(OR(A246="",D246=""),"",(TODAY()-D246)/365.25)</f>
        <v/>
      </c>
      <c r="J246" s="16" t="str">
        <f aca="true">IF(AND(A246&lt;&gt;"",F246&lt;&gt;"",F246&gt;=TODAY()),F246+ROW()/1000000,"")</f>
        <v/>
      </c>
    </row>
    <row r="247" customFormat="false" ht="15" hidden="false" customHeight="false" outlineLevel="0" collapsed="false">
      <c r="A247" s="12"/>
      <c r="B247" s="13"/>
      <c r="C247" s="13"/>
      <c r="D247" s="14"/>
      <c r="E247" s="15"/>
      <c r="F247" s="14"/>
      <c r="G247" s="12"/>
      <c r="H247" s="16" t="str">
        <f aca="true">IF(A247="","",IF(F247="","Belirsiz",IF(F247&lt;TODAY(),"Bitti",IF(F247&lt;=TODAY()+30,"30 gün içinde","Sürüyor"))))</f>
        <v/>
      </c>
      <c r="I247" s="17" t="str">
        <f aca="true">IF(OR(A247="",D247=""),"",(TODAY()-D247)/365.25)</f>
        <v/>
      </c>
      <c r="J247" s="16" t="str">
        <f aca="true">IF(AND(A247&lt;&gt;"",F247&lt;&gt;"",F247&gt;=TODAY()),F247+ROW()/1000000,"")</f>
        <v/>
      </c>
    </row>
    <row r="248" customFormat="false" ht="15" hidden="false" customHeight="false" outlineLevel="0" collapsed="false">
      <c r="A248" s="12"/>
      <c r="B248" s="13"/>
      <c r="C248" s="13"/>
      <c r="D248" s="14"/>
      <c r="E248" s="15"/>
      <c r="F248" s="14"/>
      <c r="G248" s="12"/>
      <c r="H248" s="16" t="str">
        <f aca="true">IF(A248="","",IF(F248="","Belirsiz",IF(F248&lt;TODAY(),"Bitti",IF(F248&lt;=TODAY()+30,"30 gün içinde","Sürüyor"))))</f>
        <v/>
      </c>
      <c r="I248" s="17" t="str">
        <f aca="true">IF(OR(A248="",D248=""),"",(TODAY()-D248)/365.25)</f>
        <v/>
      </c>
      <c r="J248" s="16" t="str">
        <f aca="true">IF(AND(A248&lt;&gt;"",F248&lt;&gt;"",F248&gt;=TODAY()),F248+ROW()/1000000,"")</f>
        <v/>
      </c>
    </row>
    <row r="249" customFormat="false" ht="15" hidden="false" customHeight="false" outlineLevel="0" collapsed="false">
      <c r="A249" s="12"/>
      <c r="B249" s="13"/>
      <c r="C249" s="13"/>
      <c r="D249" s="14"/>
      <c r="E249" s="15"/>
      <c r="F249" s="14"/>
      <c r="G249" s="12"/>
      <c r="H249" s="16" t="str">
        <f aca="true">IF(A249="","",IF(F249="","Belirsiz",IF(F249&lt;TODAY(),"Bitti",IF(F249&lt;=TODAY()+30,"30 gün içinde","Sürüyor"))))</f>
        <v/>
      </c>
      <c r="I249" s="17" t="str">
        <f aca="true">IF(OR(A249="",D249=""),"",(TODAY()-D249)/365.25)</f>
        <v/>
      </c>
      <c r="J249" s="16" t="str">
        <f aca="true">IF(AND(A249&lt;&gt;"",F249&lt;&gt;"",F249&gt;=TODAY()),F249+ROW()/1000000,"")</f>
        <v/>
      </c>
    </row>
    <row r="250" customFormat="false" ht="15" hidden="false" customHeight="false" outlineLevel="0" collapsed="false">
      <c r="A250" s="12"/>
      <c r="B250" s="13"/>
      <c r="C250" s="13"/>
      <c r="D250" s="14"/>
      <c r="E250" s="15"/>
      <c r="F250" s="14"/>
      <c r="G250" s="12"/>
      <c r="H250" s="16" t="str">
        <f aca="true">IF(A250="","",IF(F250="","Belirsiz",IF(F250&lt;TODAY(),"Bitti",IF(F250&lt;=TODAY()+30,"30 gün içinde","Sürüyor"))))</f>
        <v/>
      </c>
      <c r="I250" s="17" t="str">
        <f aca="true">IF(OR(A250="",D250=""),"",(TODAY()-D250)/365.25)</f>
        <v/>
      </c>
      <c r="J250" s="16" t="str">
        <f aca="true">IF(AND(A250&lt;&gt;"",F250&lt;&gt;"",F250&gt;=TODAY()),F250+ROW()/1000000,"")</f>
        <v/>
      </c>
    </row>
    <row r="251" customFormat="false" ht="15" hidden="false" customHeight="false" outlineLevel="0" collapsed="false">
      <c r="A251" s="12"/>
      <c r="B251" s="13"/>
      <c r="C251" s="13"/>
      <c r="D251" s="14"/>
      <c r="E251" s="15"/>
      <c r="F251" s="14"/>
      <c r="G251" s="12"/>
      <c r="H251" s="16" t="str">
        <f aca="true">IF(A251="","",IF(F251="","Belirsiz",IF(F251&lt;TODAY(),"Bitti",IF(F251&lt;=TODAY()+30,"30 gün içinde","Sürüyor"))))</f>
        <v/>
      </c>
      <c r="I251" s="17" t="str">
        <f aca="true">IF(OR(A251="",D251=""),"",(TODAY()-D251)/365.25)</f>
        <v/>
      </c>
      <c r="J251" s="16" t="str">
        <f aca="true">IF(AND(A251&lt;&gt;"",F251&lt;&gt;"",F251&gt;=TODAY()),F251+ROW()/1000000,"")</f>
        <v/>
      </c>
    </row>
    <row r="252" customFormat="false" ht="15" hidden="false" customHeight="false" outlineLevel="0" collapsed="false">
      <c r="A252" s="12"/>
      <c r="B252" s="13"/>
      <c r="C252" s="13"/>
      <c r="D252" s="14"/>
      <c r="E252" s="15"/>
      <c r="F252" s="14"/>
      <c r="G252" s="12"/>
      <c r="H252" s="16" t="str">
        <f aca="true">IF(A252="","",IF(F252="","Belirsiz",IF(F252&lt;TODAY(),"Bitti",IF(F252&lt;=TODAY()+30,"30 gün içinde","Sürüyor"))))</f>
        <v/>
      </c>
      <c r="I252" s="17" t="str">
        <f aca="true">IF(OR(A252="",D252=""),"",(TODAY()-D252)/365.25)</f>
        <v/>
      </c>
      <c r="J252" s="16" t="str">
        <f aca="true">IF(AND(A252&lt;&gt;"",F252&lt;&gt;"",F252&gt;=TODAY()),F252+ROW()/1000000,"")</f>
        <v/>
      </c>
    </row>
    <row r="253" customFormat="false" ht="15" hidden="false" customHeight="false" outlineLevel="0" collapsed="false">
      <c r="A253" s="12"/>
      <c r="B253" s="13"/>
      <c r="C253" s="13"/>
      <c r="D253" s="14"/>
      <c r="E253" s="15"/>
      <c r="F253" s="14"/>
      <c r="G253" s="12"/>
      <c r="H253" s="16" t="str">
        <f aca="true">IF(A253="","",IF(F253="","Belirsiz",IF(F253&lt;TODAY(),"Bitti",IF(F253&lt;=TODAY()+30,"30 gün içinde","Sürüyor"))))</f>
        <v/>
      </c>
      <c r="I253" s="17" t="str">
        <f aca="true">IF(OR(A253="",D253=""),"",(TODAY()-D253)/365.25)</f>
        <v/>
      </c>
      <c r="J253" s="16" t="str">
        <f aca="true">IF(AND(A253&lt;&gt;"",F253&lt;&gt;"",F253&gt;=TODAY()),F253+ROW()/1000000,"")</f>
        <v/>
      </c>
    </row>
    <row r="254" customFormat="false" ht="15" hidden="false" customHeight="false" outlineLevel="0" collapsed="false">
      <c r="A254" s="12"/>
      <c r="B254" s="13"/>
      <c r="C254" s="13"/>
      <c r="D254" s="14"/>
      <c r="E254" s="15"/>
      <c r="F254" s="14"/>
      <c r="G254" s="12"/>
      <c r="H254" s="16" t="str">
        <f aca="true">IF(A254="","",IF(F254="","Belirsiz",IF(F254&lt;TODAY(),"Bitti",IF(F254&lt;=TODAY()+30,"30 gün içinde","Sürüyor"))))</f>
        <v/>
      </c>
      <c r="I254" s="17" t="str">
        <f aca="true">IF(OR(A254="",D254=""),"",(TODAY()-D254)/365.25)</f>
        <v/>
      </c>
      <c r="J254" s="16" t="str">
        <f aca="true">IF(AND(A254&lt;&gt;"",F254&lt;&gt;"",F254&gt;=TODAY()),F254+ROW()/1000000,"")</f>
        <v/>
      </c>
    </row>
    <row r="255" customFormat="false" ht="15" hidden="false" customHeight="false" outlineLevel="0" collapsed="false">
      <c r="A255" s="12"/>
      <c r="B255" s="13"/>
      <c r="C255" s="13"/>
      <c r="D255" s="14"/>
      <c r="E255" s="15"/>
      <c r="F255" s="14"/>
      <c r="G255" s="12"/>
      <c r="H255" s="16" t="str">
        <f aca="true">IF(A255="","",IF(F255="","Belirsiz",IF(F255&lt;TODAY(),"Bitti",IF(F255&lt;=TODAY()+30,"30 gün içinde","Sürüyor"))))</f>
        <v/>
      </c>
      <c r="I255" s="17" t="str">
        <f aca="true">IF(OR(A255="",D255=""),"",(TODAY()-D255)/365.25)</f>
        <v/>
      </c>
      <c r="J255" s="16" t="str">
        <f aca="true">IF(AND(A255&lt;&gt;"",F255&lt;&gt;"",F255&gt;=TODAY()),F255+ROW()/1000000,"")</f>
        <v/>
      </c>
    </row>
    <row r="256" customFormat="false" ht="15" hidden="false" customHeight="false" outlineLevel="0" collapsed="false">
      <c r="A256" s="12"/>
      <c r="B256" s="13"/>
      <c r="C256" s="13"/>
      <c r="D256" s="14"/>
      <c r="E256" s="15"/>
      <c r="F256" s="14"/>
      <c r="G256" s="12"/>
      <c r="H256" s="16" t="str">
        <f aca="true">IF(A256="","",IF(F256="","Belirsiz",IF(F256&lt;TODAY(),"Bitti",IF(F256&lt;=TODAY()+30,"30 gün içinde","Sürüyor"))))</f>
        <v/>
      </c>
      <c r="I256" s="17" t="str">
        <f aca="true">IF(OR(A256="",D256=""),"",(TODAY()-D256)/365.25)</f>
        <v/>
      </c>
      <c r="J256" s="16" t="str">
        <f aca="true">IF(AND(A256&lt;&gt;"",F256&lt;&gt;"",F256&gt;=TODAY()),F256+ROW()/1000000,"")</f>
        <v/>
      </c>
    </row>
    <row r="257" customFormat="false" ht="15" hidden="false" customHeight="false" outlineLevel="0" collapsed="false">
      <c r="A257" s="12"/>
      <c r="B257" s="13"/>
      <c r="C257" s="13"/>
      <c r="D257" s="14"/>
      <c r="E257" s="15"/>
      <c r="F257" s="14"/>
      <c r="G257" s="12"/>
      <c r="H257" s="16" t="str">
        <f aca="true">IF(A257="","",IF(F257="","Belirsiz",IF(F257&lt;TODAY(),"Bitti",IF(F257&lt;=TODAY()+30,"30 gün içinde","Sürüyor"))))</f>
        <v/>
      </c>
      <c r="I257" s="17" t="str">
        <f aca="true">IF(OR(A257="",D257=""),"",(TODAY()-D257)/365.25)</f>
        <v/>
      </c>
      <c r="J257" s="16" t="str">
        <f aca="true">IF(AND(A257&lt;&gt;"",F257&lt;&gt;"",F257&gt;=TODAY()),F257+ROW()/1000000,"")</f>
        <v/>
      </c>
    </row>
    <row r="258" customFormat="false" ht="15" hidden="false" customHeight="false" outlineLevel="0" collapsed="false">
      <c r="A258" s="12"/>
      <c r="B258" s="13"/>
      <c r="C258" s="13"/>
      <c r="D258" s="14"/>
      <c r="E258" s="15"/>
      <c r="F258" s="14"/>
      <c r="G258" s="12"/>
      <c r="H258" s="16" t="str">
        <f aca="true">IF(A258="","",IF(F258="","Belirsiz",IF(F258&lt;TODAY(),"Bitti",IF(F258&lt;=TODAY()+30,"30 gün içinde","Sürüyor"))))</f>
        <v/>
      </c>
      <c r="I258" s="17" t="str">
        <f aca="true">IF(OR(A258="",D258=""),"",(TODAY()-D258)/365.25)</f>
        <v/>
      </c>
      <c r="J258" s="16" t="str">
        <f aca="true">IF(AND(A258&lt;&gt;"",F258&lt;&gt;"",F258&gt;=TODAY()),F258+ROW()/1000000,"")</f>
        <v/>
      </c>
    </row>
    <row r="259" customFormat="false" ht="15" hidden="false" customHeight="false" outlineLevel="0" collapsed="false">
      <c r="A259" s="12"/>
      <c r="B259" s="13"/>
      <c r="C259" s="13"/>
      <c r="D259" s="14"/>
      <c r="E259" s="15"/>
      <c r="F259" s="14"/>
      <c r="G259" s="12"/>
      <c r="H259" s="16" t="str">
        <f aca="true">IF(A259="","",IF(F259="","Belirsiz",IF(F259&lt;TODAY(),"Bitti",IF(F259&lt;=TODAY()+30,"30 gün içinde","Sürüyor"))))</f>
        <v/>
      </c>
      <c r="I259" s="17" t="str">
        <f aca="true">IF(OR(A259="",D259=""),"",(TODAY()-D259)/365.25)</f>
        <v/>
      </c>
      <c r="J259" s="16" t="str">
        <f aca="true">IF(AND(A259&lt;&gt;"",F259&lt;&gt;"",F259&gt;=TODAY()),F259+ROW()/1000000,"")</f>
        <v/>
      </c>
    </row>
    <row r="260" customFormat="false" ht="15" hidden="false" customHeight="false" outlineLevel="0" collapsed="false">
      <c r="A260" s="12"/>
      <c r="B260" s="13"/>
      <c r="C260" s="13"/>
      <c r="D260" s="14"/>
      <c r="E260" s="15"/>
      <c r="F260" s="14"/>
      <c r="G260" s="12"/>
      <c r="H260" s="16" t="str">
        <f aca="true">IF(A260="","",IF(F260="","Belirsiz",IF(F260&lt;TODAY(),"Bitti",IF(F260&lt;=TODAY()+30,"30 gün içinde","Sürüyor"))))</f>
        <v/>
      </c>
      <c r="I260" s="17" t="str">
        <f aca="true">IF(OR(A260="",D260=""),"",(TODAY()-D260)/365.25)</f>
        <v/>
      </c>
      <c r="J260" s="16" t="str">
        <f aca="true">IF(AND(A260&lt;&gt;"",F260&lt;&gt;"",F260&gt;=TODAY()),F260+ROW()/1000000,"")</f>
        <v/>
      </c>
    </row>
    <row r="261" customFormat="false" ht="15" hidden="false" customHeight="false" outlineLevel="0" collapsed="false">
      <c r="A261" s="12"/>
      <c r="B261" s="13"/>
      <c r="C261" s="13"/>
      <c r="D261" s="14"/>
      <c r="E261" s="15"/>
      <c r="F261" s="14"/>
      <c r="G261" s="12"/>
      <c r="H261" s="16" t="str">
        <f aca="true">IF(A261="","",IF(F261="","Belirsiz",IF(F261&lt;TODAY(),"Bitti",IF(F261&lt;=TODAY()+30,"30 gün içinde","Sürüyor"))))</f>
        <v/>
      </c>
      <c r="I261" s="17" t="str">
        <f aca="true">IF(OR(A261="",D261=""),"",(TODAY()-D261)/365.25)</f>
        <v/>
      </c>
      <c r="J261" s="16" t="str">
        <f aca="true">IF(AND(A261&lt;&gt;"",F261&lt;&gt;"",F261&gt;=TODAY()),F261+ROW()/1000000,"")</f>
        <v/>
      </c>
    </row>
    <row r="262" customFormat="false" ht="15" hidden="false" customHeight="false" outlineLevel="0" collapsed="false">
      <c r="A262" s="12"/>
      <c r="B262" s="13"/>
      <c r="C262" s="13"/>
      <c r="D262" s="14"/>
      <c r="E262" s="15"/>
      <c r="F262" s="14"/>
      <c r="G262" s="12"/>
      <c r="H262" s="16" t="str">
        <f aca="true">IF(A262="","",IF(F262="","Belirsiz",IF(F262&lt;TODAY(),"Bitti",IF(F262&lt;=TODAY()+30,"30 gün içinde","Sürüyor"))))</f>
        <v/>
      </c>
      <c r="I262" s="17" t="str">
        <f aca="true">IF(OR(A262="",D262=""),"",(TODAY()-D262)/365.25)</f>
        <v/>
      </c>
      <c r="J262" s="16" t="str">
        <f aca="true">IF(AND(A262&lt;&gt;"",F262&lt;&gt;"",F262&gt;=TODAY()),F262+ROW()/1000000,"")</f>
        <v/>
      </c>
    </row>
    <row r="263" customFormat="false" ht="15" hidden="false" customHeight="false" outlineLevel="0" collapsed="false">
      <c r="A263" s="12"/>
      <c r="B263" s="13"/>
      <c r="C263" s="13"/>
      <c r="D263" s="14"/>
      <c r="E263" s="15"/>
      <c r="F263" s="14"/>
      <c r="G263" s="12"/>
      <c r="H263" s="16" t="str">
        <f aca="true">IF(A263="","",IF(F263="","Belirsiz",IF(F263&lt;TODAY(),"Bitti",IF(F263&lt;=TODAY()+30,"30 gün içinde","Sürüyor"))))</f>
        <v/>
      </c>
      <c r="I263" s="17" t="str">
        <f aca="true">IF(OR(A263="",D263=""),"",(TODAY()-D263)/365.25)</f>
        <v/>
      </c>
      <c r="J263" s="16" t="str">
        <f aca="true">IF(AND(A263&lt;&gt;"",F263&lt;&gt;"",F263&gt;=TODAY()),F263+ROW()/1000000,"")</f>
        <v/>
      </c>
    </row>
    <row r="264" customFormat="false" ht="15" hidden="false" customHeight="false" outlineLevel="0" collapsed="false">
      <c r="A264" s="12"/>
      <c r="B264" s="13"/>
      <c r="C264" s="13"/>
      <c r="D264" s="14"/>
      <c r="E264" s="15"/>
      <c r="F264" s="14"/>
      <c r="G264" s="12"/>
      <c r="H264" s="16" t="str">
        <f aca="true">IF(A264="","",IF(F264="","Belirsiz",IF(F264&lt;TODAY(),"Bitti",IF(F264&lt;=TODAY()+30,"30 gün içinde","Sürüyor"))))</f>
        <v/>
      </c>
      <c r="I264" s="17" t="str">
        <f aca="true">IF(OR(A264="",D264=""),"",(TODAY()-D264)/365.25)</f>
        <v/>
      </c>
      <c r="J264" s="16" t="str">
        <f aca="true">IF(AND(A264&lt;&gt;"",F264&lt;&gt;"",F264&gt;=TODAY()),F264+ROW()/1000000,"")</f>
        <v/>
      </c>
    </row>
    <row r="265" customFormat="false" ht="15" hidden="false" customHeight="false" outlineLevel="0" collapsed="false">
      <c r="A265" s="12"/>
      <c r="B265" s="13"/>
      <c r="C265" s="13"/>
      <c r="D265" s="14"/>
      <c r="E265" s="15"/>
      <c r="F265" s="14"/>
      <c r="G265" s="12"/>
      <c r="H265" s="16" t="str">
        <f aca="true">IF(A265="","",IF(F265="","Belirsiz",IF(F265&lt;TODAY(),"Bitti",IF(F265&lt;=TODAY()+30,"30 gün içinde","Sürüyor"))))</f>
        <v/>
      </c>
      <c r="I265" s="17" t="str">
        <f aca="true">IF(OR(A265="",D265=""),"",(TODAY()-D265)/365.25)</f>
        <v/>
      </c>
      <c r="J265" s="16" t="str">
        <f aca="true">IF(AND(A265&lt;&gt;"",F265&lt;&gt;"",F265&gt;=TODAY()),F265+ROW()/1000000,"")</f>
        <v/>
      </c>
    </row>
    <row r="266" customFormat="false" ht="15" hidden="false" customHeight="false" outlineLevel="0" collapsed="false">
      <c r="A266" s="12"/>
      <c r="B266" s="13"/>
      <c r="C266" s="13"/>
      <c r="D266" s="14"/>
      <c r="E266" s="15"/>
      <c r="F266" s="14"/>
      <c r="G266" s="12"/>
      <c r="H266" s="16" t="str">
        <f aca="true">IF(A266="","",IF(F266="","Belirsiz",IF(F266&lt;TODAY(),"Bitti",IF(F266&lt;=TODAY()+30,"30 gün içinde","Sürüyor"))))</f>
        <v/>
      </c>
      <c r="I266" s="17" t="str">
        <f aca="true">IF(OR(A266="",D266=""),"",(TODAY()-D266)/365.25)</f>
        <v/>
      </c>
      <c r="J266" s="16" t="str">
        <f aca="true">IF(AND(A266&lt;&gt;"",F266&lt;&gt;"",F266&gt;=TODAY()),F266+ROW()/1000000,"")</f>
        <v/>
      </c>
    </row>
    <row r="267" customFormat="false" ht="15" hidden="false" customHeight="false" outlineLevel="0" collapsed="false">
      <c r="A267" s="12"/>
      <c r="B267" s="13"/>
      <c r="C267" s="13"/>
      <c r="D267" s="14"/>
      <c r="E267" s="15"/>
      <c r="F267" s="14"/>
      <c r="G267" s="12"/>
      <c r="H267" s="16" t="str">
        <f aca="true">IF(A267="","",IF(F267="","Belirsiz",IF(F267&lt;TODAY(),"Bitti",IF(F267&lt;=TODAY()+30,"30 gün içinde","Sürüyor"))))</f>
        <v/>
      </c>
      <c r="I267" s="17" t="str">
        <f aca="true">IF(OR(A267="",D267=""),"",(TODAY()-D267)/365.25)</f>
        <v/>
      </c>
      <c r="J267" s="16" t="str">
        <f aca="true">IF(AND(A267&lt;&gt;"",F267&lt;&gt;"",F267&gt;=TODAY()),F267+ROW()/1000000,"")</f>
        <v/>
      </c>
    </row>
    <row r="268" customFormat="false" ht="15" hidden="false" customHeight="false" outlineLevel="0" collapsed="false">
      <c r="A268" s="12"/>
      <c r="B268" s="13"/>
      <c r="C268" s="13"/>
      <c r="D268" s="14"/>
      <c r="E268" s="15"/>
      <c r="F268" s="14"/>
      <c r="G268" s="12"/>
      <c r="H268" s="16" t="str">
        <f aca="true">IF(A268="","",IF(F268="","Belirsiz",IF(F268&lt;TODAY(),"Bitti",IF(F268&lt;=TODAY()+30,"30 gün içinde","Sürüyor"))))</f>
        <v/>
      </c>
      <c r="I268" s="17" t="str">
        <f aca="true">IF(OR(A268="",D268=""),"",(TODAY()-D268)/365.25)</f>
        <v/>
      </c>
      <c r="J268" s="16" t="str">
        <f aca="true">IF(AND(A268&lt;&gt;"",F268&lt;&gt;"",F268&gt;=TODAY()),F268+ROW()/1000000,"")</f>
        <v/>
      </c>
    </row>
    <row r="269" customFormat="false" ht="15" hidden="false" customHeight="false" outlineLevel="0" collapsed="false">
      <c r="A269" s="12"/>
      <c r="B269" s="13"/>
      <c r="C269" s="13"/>
      <c r="D269" s="14"/>
      <c r="E269" s="15"/>
      <c r="F269" s="14"/>
      <c r="G269" s="12"/>
      <c r="H269" s="16" t="str">
        <f aca="true">IF(A269="","",IF(F269="","Belirsiz",IF(F269&lt;TODAY(),"Bitti",IF(F269&lt;=TODAY()+30,"30 gün içinde","Sürüyor"))))</f>
        <v/>
      </c>
      <c r="I269" s="17" t="str">
        <f aca="true">IF(OR(A269="",D269=""),"",(TODAY()-D269)/365.25)</f>
        <v/>
      </c>
      <c r="J269" s="16" t="str">
        <f aca="true">IF(AND(A269&lt;&gt;"",F269&lt;&gt;"",F269&gt;=TODAY()),F269+ROW()/1000000,"")</f>
        <v/>
      </c>
    </row>
    <row r="270" customFormat="false" ht="15" hidden="false" customHeight="false" outlineLevel="0" collapsed="false">
      <c r="A270" s="12"/>
      <c r="B270" s="13"/>
      <c r="C270" s="13"/>
      <c r="D270" s="14"/>
      <c r="E270" s="15"/>
      <c r="F270" s="14"/>
      <c r="G270" s="12"/>
      <c r="H270" s="16" t="str">
        <f aca="true">IF(A270="","",IF(F270="","Belirsiz",IF(F270&lt;TODAY(),"Bitti",IF(F270&lt;=TODAY()+30,"30 gün içinde","Sürüyor"))))</f>
        <v/>
      </c>
      <c r="I270" s="17" t="str">
        <f aca="true">IF(OR(A270="",D270=""),"",(TODAY()-D270)/365.25)</f>
        <v/>
      </c>
      <c r="J270" s="16" t="str">
        <f aca="true">IF(AND(A270&lt;&gt;"",F270&lt;&gt;"",F270&gt;=TODAY()),F270+ROW()/1000000,"")</f>
        <v/>
      </c>
    </row>
    <row r="271" customFormat="false" ht="15" hidden="false" customHeight="false" outlineLevel="0" collapsed="false">
      <c r="A271" s="12"/>
      <c r="B271" s="13"/>
      <c r="C271" s="13"/>
      <c r="D271" s="14"/>
      <c r="E271" s="15"/>
      <c r="F271" s="14"/>
      <c r="G271" s="12"/>
      <c r="H271" s="16" t="str">
        <f aca="true">IF(A271="","",IF(F271="","Belirsiz",IF(F271&lt;TODAY(),"Bitti",IF(F271&lt;=TODAY()+30,"30 gün içinde","Sürüyor"))))</f>
        <v/>
      </c>
      <c r="I271" s="17" t="str">
        <f aca="true">IF(OR(A271="",D271=""),"",(TODAY()-D271)/365.25)</f>
        <v/>
      </c>
      <c r="J271" s="16" t="str">
        <f aca="true">IF(AND(A271&lt;&gt;"",F271&lt;&gt;"",F271&gt;=TODAY()),F271+ROW()/1000000,"")</f>
        <v/>
      </c>
    </row>
    <row r="272" customFormat="false" ht="15" hidden="false" customHeight="false" outlineLevel="0" collapsed="false">
      <c r="A272" s="12"/>
      <c r="B272" s="13"/>
      <c r="C272" s="13"/>
      <c r="D272" s="14"/>
      <c r="E272" s="15"/>
      <c r="F272" s="14"/>
      <c r="G272" s="12"/>
      <c r="H272" s="16" t="str">
        <f aca="true">IF(A272="","",IF(F272="","Belirsiz",IF(F272&lt;TODAY(),"Bitti",IF(F272&lt;=TODAY()+30,"30 gün içinde","Sürüyor"))))</f>
        <v/>
      </c>
      <c r="I272" s="17" t="str">
        <f aca="true">IF(OR(A272="",D272=""),"",(TODAY()-D272)/365.25)</f>
        <v/>
      </c>
      <c r="J272" s="16" t="str">
        <f aca="true">IF(AND(A272&lt;&gt;"",F272&lt;&gt;"",F272&gt;=TODAY()),F272+ROW()/1000000,"")</f>
        <v/>
      </c>
    </row>
    <row r="273" customFormat="false" ht="15" hidden="false" customHeight="false" outlineLevel="0" collapsed="false">
      <c r="A273" s="12"/>
      <c r="B273" s="13"/>
      <c r="C273" s="13"/>
      <c r="D273" s="14"/>
      <c r="E273" s="15"/>
      <c r="F273" s="14"/>
      <c r="G273" s="12"/>
      <c r="H273" s="16" t="str">
        <f aca="true">IF(A273="","",IF(F273="","Belirsiz",IF(F273&lt;TODAY(),"Bitti",IF(F273&lt;=TODAY()+30,"30 gün içinde","Sürüyor"))))</f>
        <v/>
      </c>
      <c r="I273" s="17" t="str">
        <f aca="true">IF(OR(A273="",D273=""),"",(TODAY()-D273)/365.25)</f>
        <v/>
      </c>
      <c r="J273" s="16" t="str">
        <f aca="true">IF(AND(A273&lt;&gt;"",F273&lt;&gt;"",F273&gt;=TODAY()),F273+ROW()/1000000,"")</f>
        <v/>
      </c>
    </row>
    <row r="274" customFormat="false" ht="15" hidden="false" customHeight="false" outlineLevel="0" collapsed="false">
      <c r="A274" s="12"/>
      <c r="B274" s="13"/>
      <c r="C274" s="13"/>
      <c r="D274" s="14"/>
      <c r="E274" s="15"/>
      <c r="F274" s="14"/>
      <c r="G274" s="12"/>
      <c r="H274" s="16" t="str">
        <f aca="true">IF(A274="","",IF(F274="","Belirsiz",IF(F274&lt;TODAY(),"Bitti",IF(F274&lt;=TODAY()+30,"30 gün içinde","Sürüyor"))))</f>
        <v/>
      </c>
      <c r="I274" s="17" t="str">
        <f aca="true">IF(OR(A274="",D274=""),"",(TODAY()-D274)/365.25)</f>
        <v/>
      </c>
      <c r="J274" s="16" t="str">
        <f aca="true">IF(AND(A274&lt;&gt;"",F274&lt;&gt;"",F274&gt;=TODAY()),F274+ROW()/1000000,"")</f>
        <v/>
      </c>
    </row>
    <row r="275" customFormat="false" ht="15" hidden="false" customHeight="false" outlineLevel="0" collapsed="false">
      <c r="A275" s="12"/>
      <c r="B275" s="13"/>
      <c r="C275" s="13"/>
      <c r="D275" s="14"/>
      <c r="E275" s="15"/>
      <c r="F275" s="14"/>
      <c r="G275" s="12"/>
      <c r="H275" s="16" t="str">
        <f aca="true">IF(A275="","",IF(F275="","Belirsiz",IF(F275&lt;TODAY(),"Bitti",IF(F275&lt;=TODAY()+30,"30 gün içinde","Sürüyor"))))</f>
        <v/>
      </c>
      <c r="I275" s="17" t="str">
        <f aca="true">IF(OR(A275="",D275=""),"",(TODAY()-D275)/365.25)</f>
        <v/>
      </c>
      <c r="J275" s="16" t="str">
        <f aca="true">IF(AND(A275&lt;&gt;"",F275&lt;&gt;"",F275&gt;=TODAY()),F275+ROW()/1000000,"")</f>
        <v/>
      </c>
    </row>
    <row r="276" customFormat="false" ht="15" hidden="false" customHeight="false" outlineLevel="0" collapsed="false">
      <c r="A276" s="12"/>
      <c r="B276" s="13"/>
      <c r="C276" s="13"/>
      <c r="D276" s="14"/>
      <c r="E276" s="15"/>
      <c r="F276" s="14"/>
      <c r="G276" s="12"/>
      <c r="H276" s="16" t="str">
        <f aca="true">IF(A276="","",IF(F276="","Belirsiz",IF(F276&lt;TODAY(),"Bitti",IF(F276&lt;=TODAY()+30,"30 gün içinde","Sürüyor"))))</f>
        <v/>
      </c>
      <c r="I276" s="17" t="str">
        <f aca="true">IF(OR(A276="",D276=""),"",(TODAY()-D276)/365.25)</f>
        <v/>
      </c>
      <c r="J276" s="16" t="str">
        <f aca="true">IF(AND(A276&lt;&gt;"",F276&lt;&gt;"",F276&gt;=TODAY()),F276+ROW()/1000000,"")</f>
        <v/>
      </c>
    </row>
    <row r="277" customFormat="false" ht="15" hidden="false" customHeight="false" outlineLevel="0" collapsed="false">
      <c r="A277" s="12"/>
      <c r="B277" s="13"/>
      <c r="C277" s="13"/>
      <c r="D277" s="14"/>
      <c r="E277" s="15"/>
      <c r="F277" s="14"/>
      <c r="G277" s="12"/>
      <c r="H277" s="16" t="str">
        <f aca="true">IF(A277="","",IF(F277="","Belirsiz",IF(F277&lt;TODAY(),"Bitti",IF(F277&lt;=TODAY()+30,"30 gün içinde","Sürüyor"))))</f>
        <v/>
      </c>
      <c r="I277" s="17" t="str">
        <f aca="true">IF(OR(A277="",D277=""),"",(TODAY()-D277)/365.25)</f>
        <v/>
      </c>
      <c r="J277" s="16" t="str">
        <f aca="true">IF(AND(A277&lt;&gt;"",F277&lt;&gt;"",F277&gt;=TODAY()),F277+ROW()/1000000,"")</f>
        <v/>
      </c>
    </row>
    <row r="278" customFormat="false" ht="15" hidden="false" customHeight="false" outlineLevel="0" collapsed="false">
      <c r="A278" s="12"/>
      <c r="B278" s="13"/>
      <c r="C278" s="13"/>
      <c r="D278" s="14"/>
      <c r="E278" s="15"/>
      <c r="F278" s="14"/>
      <c r="G278" s="12"/>
      <c r="H278" s="16" t="str">
        <f aca="true">IF(A278="","",IF(F278="","Belirsiz",IF(F278&lt;TODAY(),"Bitti",IF(F278&lt;=TODAY()+30,"30 gün içinde","Sürüyor"))))</f>
        <v/>
      </c>
      <c r="I278" s="17" t="str">
        <f aca="true">IF(OR(A278="",D278=""),"",(TODAY()-D278)/365.25)</f>
        <v/>
      </c>
      <c r="J278" s="16" t="str">
        <f aca="true">IF(AND(A278&lt;&gt;"",F278&lt;&gt;"",F278&gt;=TODAY()),F278+ROW()/1000000,"")</f>
        <v/>
      </c>
    </row>
    <row r="279" customFormat="false" ht="15" hidden="false" customHeight="false" outlineLevel="0" collapsed="false">
      <c r="A279" s="12"/>
      <c r="B279" s="13"/>
      <c r="C279" s="13"/>
      <c r="D279" s="14"/>
      <c r="E279" s="15"/>
      <c r="F279" s="14"/>
      <c r="G279" s="12"/>
      <c r="H279" s="16" t="str">
        <f aca="true">IF(A279="","",IF(F279="","Belirsiz",IF(F279&lt;TODAY(),"Bitti",IF(F279&lt;=TODAY()+30,"30 gün içinde","Sürüyor"))))</f>
        <v/>
      </c>
      <c r="I279" s="17" t="str">
        <f aca="true">IF(OR(A279="",D279=""),"",(TODAY()-D279)/365.25)</f>
        <v/>
      </c>
      <c r="J279" s="16" t="str">
        <f aca="true">IF(AND(A279&lt;&gt;"",F279&lt;&gt;"",F279&gt;=TODAY()),F279+ROW()/1000000,"")</f>
        <v/>
      </c>
    </row>
    <row r="280" customFormat="false" ht="15" hidden="false" customHeight="false" outlineLevel="0" collapsed="false">
      <c r="A280" s="12"/>
      <c r="B280" s="13"/>
      <c r="C280" s="13"/>
      <c r="D280" s="14"/>
      <c r="E280" s="15"/>
      <c r="F280" s="14"/>
      <c r="G280" s="12"/>
      <c r="H280" s="16" t="str">
        <f aca="true">IF(A280="","",IF(F280="","Belirsiz",IF(F280&lt;TODAY(),"Bitti",IF(F280&lt;=TODAY()+30,"30 gün içinde","Sürüyor"))))</f>
        <v/>
      </c>
      <c r="I280" s="17" t="str">
        <f aca="true">IF(OR(A280="",D280=""),"",(TODAY()-D280)/365.25)</f>
        <v/>
      </c>
      <c r="J280" s="16" t="str">
        <f aca="true">IF(AND(A280&lt;&gt;"",F280&lt;&gt;"",F280&gt;=TODAY()),F280+ROW()/1000000,"")</f>
        <v/>
      </c>
    </row>
    <row r="281" customFormat="false" ht="15" hidden="false" customHeight="false" outlineLevel="0" collapsed="false">
      <c r="A281" s="12"/>
      <c r="B281" s="13"/>
      <c r="C281" s="13"/>
      <c r="D281" s="14"/>
      <c r="E281" s="15"/>
      <c r="F281" s="14"/>
      <c r="G281" s="12"/>
      <c r="H281" s="16" t="str">
        <f aca="true">IF(A281="","",IF(F281="","Belirsiz",IF(F281&lt;TODAY(),"Bitti",IF(F281&lt;=TODAY()+30,"30 gün içinde","Sürüyor"))))</f>
        <v/>
      </c>
      <c r="I281" s="17" t="str">
        <f aca="true">IF(OR(A281="",D281=""),"",(TODAY()-D281)/365.25)</f>
        <v/>
      </c>
      <c r="J281" s="16" t="str">
        <f aca="true">IF(AND(A281&lt;&gt;"",F281&lt;&gt;"",F281&gt;=TODAY()),F281+ROW()/1000000,"")</f>
        <v/>
      </c>
    </row>
    <row r="282" customFormat="false" ht="15" hidden="false" customHeight="false" outlineLevel="0" collapsed="false">
      <c r="A282" s="12"/>
      <c r="B282" s="13"/>
      <c r="C282" s="13"/>
      <c r="D282" s="14"/>
      <c r="E282" s="15"/>
      <c r="F282" s="14"/>
      <c r="G282" s="12"/>
      <c r="H282" s="16" t="str">
        <f aca="true">IF(A282="","",IF(F282="","Belirsiz",IF(F282&lt;TODAY(),"Bitti",IF(F282&lt;=TODAY()+30,"30 gün içinde","Sürüyor"))))</f>
        <v/>
      </c>
      <c r="I282" s="17" t="str">
        <f aca="true">IF(OR(A282="",D282=""),"",(TODAY()-D282)/365.25)</f>
        <v/>
      </c>
      <c r="J282" s="16" t="str">
        <f aca="true">IF(AND(A282&lt;&gt;"",F282&lt;&gt;"",F282&gt;=TODAY()),F282+ROW()/1000000,"")</f>
        <v/>
      </c>
    </row>
    <row r="283" customFormat="false" ht="15" hidden="false" customHeight="false" outlineLevel="0" collapsed="false">
      <c r="A283" s="12"/>
      <c r="B283" s="13"/>
      <c r="C283" s="13"/>
      <c r="D283" s="14"/>
      <c r="E283" s="15"/>
      <c r="F283" s="14"/>
      <c r="G283" s="12"/>
      <c r="H283" s="16" t="str">
        <f aca="true">IF(A283="","",IF(F283="","Belirsiz",IF(F283&lt;TODAY(),"Bitti",IF(F283&lt;=TODAY()+30,"30 gün içinde","Sürüyor"))))</f>
        <v/>
      </c>
      <c r="I283" s="17" t="str">
        <f aca="true">IF(OR(A283="",D283=""),"",(TODAY()-D283)/365.25)</f>
        <v/>
      </c>
      <c r="J283" s="16" t="str">
        <f aca="true">IF(AND(A283&lt;&gt;"",F283&lt;&gt;"",F283&gt;=TODAY()),F283+ROW()/1000000,"")</f>
        <v/>
      </c>
    </row>
    <row r="284" customFormat="false" ht="15" hidden="false" customHeight="false" outlineLevel="0" collapsed="false">
      <c r="A284" s="12"/>
      <c r="B284" s="13"/>
      <c r="C284" s="13"/>
      <c r="D284" s="14"/>
      <c r="E284" s="15"/>
      <c r="F284" s="14"/>
      <c r="G284" s="12"/>
      <c r="H284" s="16" t="str">
        <f aca="true">IF(A284="","",IF(F284="","Belirsiz",IF(F284&lt;TODAY(),"Bitti",IF(F284&lt;=TODAY()+30,"30 gün içinde","Sürüyor"))))</f>
        <v/>
      </c>
      <c r="I284" s="17" t="str">
        <f aca="true">IF(OR(A284="",D284=""),"",(TODAY()-D284)/365.25)</f>
        <v/>
      </c>
      <c r="J284" s="16" t="str">
        <f aca="true">IF(AND(A284&lt;&gt;"",F284&lt;&gt;"",F284&gt;=TODAY()),F284+ROW()/1000000,"")</f>
        <v/>
      </c>
    </row>
    <row r="285" customFormat="false" ht="15" hidden="false" customHeight="false" outlineLevel="0" collapsed="false">
      <c r="A285" s="12"/>
      <c r="B285" s="13"/>
      <c r="C285" s="13"/>
      <c r="D285" s="14"/>
      <c r="E285" s="15"/>
      <c r="F285" s="14"/>
      <c r="G285" s="12"/>
      <c r="H285" s="16" t="str">
        <f aca="true">IF(A285="","",IF(F285="","Belirsiz",IF(F285&lt;TODAY(),"Bitti",IF(F285&lt;=TODAY()+30,"30 gün içinde","Sürüyor"))))</f>
        <v/>
      </c>
      <c r="I285" s="17" t="str">
        <f aca="true">IF(OR(A285="",D285=""),"",(TODAY()-D285)/365.25)</f>
        <v/>
      </c>
      <c r="J285" s="16" t="str">
        <f aca="true">IF(AND(A285&lt;&gt;"",F285&lt;&gt;"",F285&gt;=TODAY()),F285+ROW()/1000000,"")</f>
        <v/>
      </c>
    </row>
    <row r="286" customFormat="false" ht="15" hidden="false" customHeight="false" outlineLevel="0" collapsed="false">
      <c r="A286" s="12"/>
      <c r="B286" s="13"/>
      <c r="C286" s="13"/>
      <c r="D286" s="14"/>
      <c r="E286" s="15"/>
      <c r="F286" s="14"/>
      <c r="G286" s="12"/>
      <c r="H286" s="16" t="str">
        <f aca="true">IF(A286="","",IF(F286="","Belirsiz",IF(F286&lt;TODAY(),"Bitti",IF(F286&lt;=TODAY()+30,"30 gün içinde","Sürüyor"))))</f>
        <v/>
      </c>
      <c r="I286" s="17" t="str">
        <f aca="true">IF(OR(A286="",D286=""),"",(TODAY()-D286)/365.25)</f>
        <v/>
      </c>
      <c r="J286" s="16" t="str">
        <f aca="true">IF(AND(A286&lt;&gt;"",F286&lt;&gt;"",F286&gt;=TODAY()),F286+ROW()/1000000,"")</f>
        <v/>
      </c>
    </row>
    <row r="287" customFormat="false" ht="15" hidden="false" customHeight="false" outlineLevel="0" collapsed="false">
      <c r="A287" s="12"/>
      <c r="B287" s="13"/>
      <c r="C287" s="13"/>
      <c r="D287" s="14"/>
      <c r="E287" s="15"/>
      <c r="F287" s="14"/>
      <c r="G287" s="12"/>
      <c r="H287" s="16" t="str">
        <f aca="true">IF(A287="","",IF(F287="","Belirsiz",IF(F287&lt;TODAY(),"Bitti",IF(F287&lt;=TODAY()+30,"30 gün içinde","Sürüyor"))))</f>
        <v/>
      </c>
      <c r="I287" s="17" t="str">
        <f aca="true">IF(OR(A287="",D287=""),"",(TODAY()-D287)/365.25)</f>
        <v/>
      </c>
      <c r="J287" s="16" t="str">
        <f aca="true">IF(AND(A287&lt;&gt;"",F287&lt;&gt;"",F287&gt;=TODAY()),F287+ROW()/1000000,"")</f>
        <v/>
      </c>
    </row>
    <row r="288" customFormat="false" ht="15" hidden="false" customHeight="false" outlineLevel="0" collapsed="false">
      <c r="A288" s="12"/>
      <c r="B288" s="13"/>
      <c r="C288" s="13"/>
      <c r="D288" s="14"/>
      <c r="E288" s="15"/>
      <c r="F288" s="14"/>
      <c r="G288" s="12"/>
      <c r="H288" s="16" t="str">
        <f aca="true">IF(A288="","",IF(F288="","Belirsiz",IF(F288&lt;TODAY(),"Bitti",IF(F288&lt;=TODAY()+30,"30 gün içinde","Sürüyor"))))</f>
        <v/>
      </c>
      <c r="I288" s="17" t="str">
        <f aca="true">IF(OR(A288="",D288=""),"",(TODAY()-D288)/365.25)</f>
        <v/>
      </c>
      <c r="J288" s="16" t="str">
        <f aca="true">IF(AND(A288&lt;&gt;"",F288&lt;&gt;"",F288&gt;=TODAY()),F288+ROW()/1000000,"")</f>
        <v/>
      </c>
    </row>
    <row r="289" customFormat="false" ht="15" hidden="false" customHeight="false" outlineLevel="0" collapsed="false">
      <c r="A289" s="12"/>
      <c r="B289" s="13"/>
      <c r="C289" s="13"/>
      <c r="D289" s="14"/>
      <c r="E289" s="15"/>
      <c r="F289" s="14"/>
      <c r="G289" s="12"/>
      <c r="H289" s="16" t="str">
        <f aca="true">IF(A289="","",IF(F289="","Belirsiz",IF(F289&lt;TODAY(),"Bitti",IF(F289&lt;=TODAY()+30,"30 gün içinde","Sürüyor"))))</f>
        <v/>
      </c>
      <c r="I289" s="17" t="str">
        <f aca="true">IF(OR(A289="",D289=""),"",(TODAY()-D289)/365.25)</f>
        <v/>
      </c>
      <c r="J289" s="16" t="str">
        <f aca="true">IF(AND(A289&lt;&gt;"",F289&lt;&gt;"",F289&gt;=TODAY()),F289+ROW()/1000000,"")</f>
        <v/>
      </c>
    </row>
    <row r="290" customFormat="false" ht="15" hidden="false" customHeight="false" outlineLevel="0" collapsed="false">
      <c r="A290" s="12"/>
      <c r="B290" s="13"/>
      <c r="C290" s="13"/>
      <c r="D290" s="14"/>
      <c r="E290" s="15"/>
      <c r="F290" s="14"/>
      <c r="G290" s="12"/>
      <c r="H290" s="16" t="str">
        <f aca="true">IF(A290="","",IF(F290="","Belirsiz",IF(F290&lt;TODAY(),"Bitti",IF(F290&lt;=TODAY()+30,"30 gün içinde","Sürüyor"))))</f>
        <v/>
      </c>
      <c r="I290" s="17" t="str">
        <f aca="true">IF(OR(A290="",D290=""),"",(TODAY()-D290)/365.25)</f>
        <v/>
      </c>
      <c r="J290" s="16" t="str">
        <f aca="true">IF(AND(A290&lt;&gt;"",F290&lt;&gt;"",F290&gt;=TODAY()),F290+ROW()/1000000,"")</f>
        <v/>
      </c>
    </row>
    <row r="291" customFormat="false" ht="15" hidden="false" customHeight="false" outlineLevel="0" collapsed="false">
      <c r="A291" s="12"/>
      <c r="B291" s="13"/>
      <c r="C291" s="13"/>
      <c r="D291" s="14"/>
      <c r="E291" s="15"/>
      <c r="F291" s="14"/>
      <c r="G291" s="12"/>
      <c r="H291" s="16" t="str">
        <f aca="true">IF(A291="","",IF(F291="","Belirsiz",IF(F291&lt;TODAY(),"Bitti",IF(F291&lt;=TODAY()+30,"30 gün içinde","Sürüyor"))))</f>
        <v/>
      </c>
      <c r="I291" s="17" t="str">
        <f aca="true">IF(OR(A291="",D291=""),"",(TODAY()-D291)/365.25)</f>
        <v/>
      </c>
      <c r="J291" s="16" t="str">
        <f aca="true">IF(AND(A291&lt;&gt;"",F291&lt;&gt;"",F291&gt;=TODAY()),F291+ROW()/1000000,"")</f>
        <v/>
      </c>
    </row>
    <row r="292" customFormat="false" ht="15" hidden="false" customHeight="false" outlineLevel="0" collapsed="false">
      <c r="A292" s="12"/>
      <c r="B292" s="13"/>
      <c r="C292" s="13"/>
      <c r="D292" s="14"/>
      <c r="E292" s="15"/>
      <c r="F292" s="14"/>
      <c r="G292" s="12"/>
      <c r="H292" s="16" t="str">
        <f aca="true">IF(A292="","",IF(F292="","Belirsiz",IF(F292&lt;TODAY(),"Bitti",IF(F292&lt;=TODAY()+30,"30 gün içinde","Sürüyor"))))</f>
        <v/>
      </c>
      <c r="I292" s="17" t="str">
        <f aca="true">IF(OR(A292="",D292=""),"",(TODAY()-D292)/365.25)</f>
        <v/>
      </c>
      <c r="J292" s="16" t="str">
        <f aca="true">IF(AND(A292&lt;&gt;"",F292&lt;&gt;"",F292&gt;=TODAY()),F292+ROW()/1000000,"")</f>
        <v/>
      </c>
    </row>
    <row r="293" customFormat="false" ht="15" hidden="false" customHeight="false" outlineLevel="0" collapsed="false">
      <c r="A293" s="12"/>
      <c r="B293" s="13"/>
      <c r="C293" s="13"/>
      <c r="D293" s="14"/>
      <c r="E293" s="15"/>
      <c r="F293" s="14"/>
      <c r="G293" s="12"/>
      <c r="H293" s="16" t="str">
        <f aca="true">IF(A293="","",IF(F293="","Belirsiz",IF(F293&lt;TODAY(),"Bitti",IF(F293&lt;=TODAY()+30,"30 gün içinde","Sürüyor"))))</f>
        <v/>
      </c>
      <c r="I293" s="17" t="str">
        <f aca="true">IF(OR(A293="",D293=""),"",(TODAY()-D293)/365.25)</f>
        <v/>
      </c>
      <c r="J293" s="16" t="str">
        <f aca="true">IF(AND(A293&lt;&gt;"",F293&lt;&gt;"",F293&gt;=TODAY()),F293+ROW()/1000000,"")</f>
        <v/>
      </c>
    </row>
    <row r="294" customFormat="false" ht="15" hidden="false" customHeight="false" outlineLevel="0" collapsed="false">
      <c r="A294" s="12"/>
      <c r="B294" s="13"/>
      <c r="C294" s="13"/>
      <c r="D294" s="14"/>
      <c r="E294" s="15"/>
      <c r="F294" s="14"/>
      <c r="G294" s="12"/>
      <c r="H294" s="16" t="str">
        <f aca="true">IF(A294="","",IF(F294="","Belirsiz",IF(F294&lt;TODAY(),"Bitti",IF(F294&lt;=TODAY()+30,"30 gün içinde","Sürüyor"))))</f>
        <v/>
      </c>
      <c r="I294" s="17" t="str">
        <f aca="true">IF(OR(A294="",D294=""),"",(TODAY()-D294)/365.25)</f>
        <v/>
      </c>
      <c r="J294" s="16" t="str">
        <f aca="true">IF(AND(A294&lt;&gt;"",F294&lt;&gt;"",F294&gt;=TODAY()),F294+ROW()/1000000,"")</f>
        <v/>
      </c>
    </row>
    <row r="295" customFormat="false" ht="15" hidden="false" customHeight="false" outlineLevel="0" collapsed="false">
      <c r="A295" s="12"/>
      <c r="B295" s="13"/>
      <c r="C295" s="13"/>
      <c r="D295" s="14"/>
      <c r="E295" s="15"/>
      <c r="F295" s="14"/>
      <c r="G295" s="12"/>
      <c r="H295" s="16" t="str">
        <f aca="true">IF(A295="","",IF(F295="","Belirsiz",IF(F295&lt;TODAY(),"Bitti",IF(F295&lt;=TODAY()+30,"30 gün içinde","Sürüyor"))))</f>
        <v/>
      </c>
      <c r="I295" s="17" t="str">
        <f aca="true">IF(OR(A295="",D295=""),"",(TODAY()-D295)/365.25)</f>
        <v/>
      </c>
      <c r="J295" s="16" t="str">
        <f aca="true">IF(AND(A295&lt;&gt;"",F295&lt;&gt;"",F295&gt;=TODAY()),F295+ROW()/1000000,"")</f>
        <v/>
      </c>
    </row>
    <row r="296" customFormat="false" ht="15" hidden="false" customHeight="false" outlineLevel="0" collapsed="false">
      <c r="A296" s="12"/>
      <c r="B296" s="13"/>
      <c r="C296" s="13"/>
      <c r="D296" s="14"/>
      <c r="E296" s="15"/>
      <c r="F296" s="14"/>
      <c r="G296" s="12"/>
      <c r="H296" s="16" t="str">
        <f aca="true">IF(A296="","",IF(F296="","Belirsiz",IF(F296&lt;TODAY(),"Bitti",IF(F296&lt;=TODAY()+30,"30 gün içinde","Sürüyor"))))</f>
        <v/>
      </c>
      <c r="I296" s="17" t="str">
        <f aca="true">IF(OR(A296="",D296=""),"",(TODAY()-D296)/365.25)</f>
        <v/>
      </c>
      <c r="J296" s="16" t="str">
        <f aca="true">IF(AND(A296&lt;&gt;"",F296&lt;&gt;"",F296&gt;=TODAY()),F296+ROW()/1000000,"")</f>
        <v/>
      </c>
    </row>
    <row r="297" customFormat="false" ht="15" hidden="false" customHeight="false" outlineLevel="0" collapsed="false">
      <c r="A297" s="12"/>
      <c r="B297" s="13"/>
      <c r="C297" s="13"/>
      <c r="D297" s="14"/>
      <c r="E297" s="15"/>
      <c r="F297" s="14"/>
      <c r="G297" s="12"/>
      <c r="H297" s="16" t="str">
        <f aca="true">IF(A297="","",IF(F297="","Belirsiz",IF(F297&lt;TODAY(),"Bitti",IF(F297&lt;=TODAY()+30,"30 gün içinde","Sürüyor"))))</f>
        <v/>
      </c>
      <c r="I297" s="17" t="str">
        <f aca="true">IF(OR(A297="",D297=""),"",(TODAY()-D297)/365.25)</f>
        <v/>
      </c>
      <c r="J297" s="16" t="str">
        <f aca="true">IF(AND(A297&lt;&gt;"",F297&lt;&gt;"",F297&gt;=TODAY()),F297+ROW()/1000000,"")</f>
        <v/>
      </c>
    </row>
    <row r="298" customFormat="false" ht="15" hidden="false" customHeight="false" outlineLevel="0" collapsed="false">
      <c r="A298" s="12"/>
      <c r="B298" s="13"/>
      <c r="C298" s="13"/>
      <c r="D298" s="14"/>
      <c r="E298" s="15"/>
      <c r="F298" s="14"/>
      <c r="G298" s="12"/>
      <c r="H298" s="16" t="str">
        <f aca="true">IF(A298="","",IF(F298="","Belirsiz",IF(F298&lt;TODAY(),"Bitti",IF(F298&lt;=TODAY()+30,"30 gün içinde","Sürüyor"))))</f>
        <v/>
      </c>
      <c r="I298" s="17" t="str">
        <f aca="true">IF(OR(A298="",D298=""),"",(TODAY()-D298)/365.25)</f>
        <v/>
      </c>
      <c r="J298" s="16" t="str">
        <f aca="true">IF(AND(A298&lt;&gt;"",F298&lt;&gt;"",F298&gt;=TODAY()),F298+ROW()/1000000,"")</f>
        <v/>
      </c>
    </row>
    <row r="299" customFormat="false" ht="15" hidden="false" customHeight="false" outlineLevel="0" collapsed="false">
      <c r="A299" s="12"/>
      <c r="B299" s="13"/>
      <c r="C299" s="13"/>
      <c r="D299" s="14"/>
      <c r="E299" s="15"/>
      <c r="F299" s="14"/>
      <c r="G299" s="12"/>
      <c r="H299" s="16" t="str">
        <f aca="true">IF(A299="","",IF(F299="","Belirsiz",IF(F299&lt;TODAY(),"Bitti",IF(F299&lt;=TODAY()+30,"30 gün içinde","Sürüyor"))))</f>
        <v/>
      </c>
      <c r="I299" s="17" t="str">
        <f aca="true">IF(OR(A299="",D299=""),"",(TODAY()-D299)/365.25)</f>
        <v/>
      </c>
      <c r="J299" s="16" t="str">
        <f aca="true">IF(AND(A299&lt;&gt;"",F299&lt;&gt;"",F299&gt;=TODAY()),F299+ROW()/1000000,"")</f>
        <v/>
      </c>
    </row>
    <row r="300" customFormat="false" ht="15" hidden="false" customHeight="false" outlineLevel="0" collapsed="false">
      <c r="A300" s="12"/>
      <c r="B300" s="13"/>
      <c r="C300" s="13"/>
      <c r="D300" s="14"/>
      <c r="E300" s="15"/>
      <c r="F300" s="14"/>
      <c r="G300" s="12"/>
      <c r="H300" s="16" t="str">
        <f aca="true">IF(A300="","",IF(F300="","Belirsiz",IF(F300&lt;TODAY(),"Bitti",IF(F300&lt;=TODAY()+30,"30 gün içinde","Sürüyor"))))</f>
        <v/>
      </c>
      <c r="I300" s="17" t="str">
        <f aca="true">IF(OR(A300="",D300=""),"",(TODAY()-D300)/365.25)</f>
        <v/>
      </c>
      <c r="J300" s="16" t="str">
        <f aca="true">IF(AND(A300&lt;&gt;"",F300&lt;&gt;"",F300&gt;=TODAY()),F300+ROW()/1000000,"")</f>
        <v/>
      </c>
    </row>
    <row r="301" customFormat="false" ht="15" hidden="false" customHeight="false" outlineLevel="0" collapsed="false">
      <c r="A301" s="12"/>
      <c r="B301" s="13"/>
      <c r="C301" s="13"/>
      <c r="D301" s="14"/>
      <c r="E301" s="15"/>
      <c r="F301" s="14"/>
      <c r="G301" s="12"/>
      <c r="H301" s="16" t="str">
        <f aca="true">IF(A301="","",IF(F301="","Belirsiz",IF(F301&lt;TODAY(),"Bitti",IF(F301&lt;=TODAY()+30,"30 gün içinde","Sürüyor"))))</f>
        <v/>
      </c>
      <c r="I301" s="17" t="str">
        <f aca="true">IF(OR(A301="",D301=""),"",(TODAY()-D301)/365.25)</f>
        <v/>
      </c>
      <c r="J301" s="16" t="str">
        <f aca="true">IF(AND(A301&lt;&gt;"",F301&lt;&gt;"",F301&gt;=TODAY()),F301+ROW()/1000000,"")</f>
        <v/>
      </c>
    </row>
    <row r="302" customFormat="false" ht="15" hidden="false" customHeight="false" outlineLevel="0" collapsed="false">
      <c r="A302" s="12"/>
      <c r="B302" s="13"/>
      <c r="C302" s="13"/>
      <c r="D302" s="14"/>
      <c r="E302" s="15"/>
      <c r="F302" s="14"/>
      <c r="G302" s="12"/>
      <c r="H302" s="16" t="str">
        <f aca="true">IF(A302="","",IF(F302="","Belirsiz",IF(F302&lt;TODAY(),"Bitti",IF(F302&lt;=TODAY()+30,"30 gün içinde","Sürüyor"))))</f>
        <v/>
      </c>
      <c r="I302" s="17" t="str">
        <f aca="true">IF(OR(A302="",D302=""),"",(TODAY()-D302)/365.25)</f>
        <v/>
      </c>
      <c r="J302" s="16" t="str">
        <f aca="true">IF(AND(A302&lt;&gt;"",F302&lt;&gt;"",F302&gt;=TODAY()),F302+ROW()/1000000,"")</f>
        <v/>
      </c>
    </row>
    <row r="303" customFormat="false" ht="15" hidden="false" customHeight="false" outlineLevel="0" collapsed="false">
      <c r="A303" s="12"/>
      <c r="B303" s="13"/>
      <c r="C303" s="13"/>
      <c r="D303" s="14"/>
      <c r="E303" s="15"/>
      <c r="F303" s="14"/>
      <c r="G303" s="12"/>
      <c r="H303" s="16" t="str">
        <f aca="true">IF(A303="","",IF(F303="","Belirsiz",IF(F303&lt;TODAY(),"Bitti",IF(F303&lt;=TODAY()+30,"30 gün içinde","Sürüyor"))))</f>
        <v/>
      </c>
      <c r="I303" s="17" t="str">
        <f aca="true">IF(OR(A303="",D303=""),"",(TODAY()-D303)/365.25)</f>
        <v/>
      </c>
      <c r="J303" s="16" t="str">
        <f aca="true">IF(AND(A303&lt;&gt;"",F303&lt;&gt;"",F303&gt;=TODAY()),F303+ROW()/1000000,"")</f>
        <v/>
      </c>
    </row>
    <row r="304" customFormat="false" ht="15" hidden="false" customHeight="false" outlineLevel="0" collapsed="false">
      <c r="A304" s="12"/>
      <c r="B304" s="13"/>
      <c r="C304" s="13"/>
      <c r="D304" s="14"/>
      <c r="E304" s="15"/>
      <c r="F304" s="14"/>
      <c r="G304" s="12"/>
      <c r="H304" s="16" t="str">
        <f aca="true">IF(A304="","",IF(F304="","Belirsiz",IF(F304&lt;TODAY(),"Bitti",IF(F304&lt;=TODAY()+30,"30 gün içinde","Sürüyor"))))</f>
        <v/>
      </c>
      <c r="I304" s="17" t="str">
        <f aca="true">IF(OR(A304="",D304=""),"",(TODAY()-D304)/365.25)</f>
        <v/>
      </c>
      <c r="J304" s="16" t="str">
        <f aca="true">IF(AND(A304&lt;&gt;"",F304&lt;&gt;"",F304&gt;=TODAY()),F304+ROW()/1000000,"")</f>
        <v/>
      </c>
    </row>
    <row r="305" customFormat="false" ht="15" hidden="false" customHeight="false" outlineLevel="0" collapsed="false">
      <c r="A305" s="12"/>
      <c r="B305" s="13"/>
      <c r="C305" s="13"/>
      <c r="D305" s="14"/>
      <c r="E305" s="15"/>
      <c r="F305" s="14"/>
      <c r="G305" s="12"/>
      <c r="H305" s="16" t="str">
        <f aca="true">IF(A305="","",IF(F305="","Belirsiz",IF(F305&lt;TODAY(),"Bitti",IF(F305&lt;=TODAY()+30,"30 gün içinde","Sürüyor"))))</f>
        <v/>
      </c>
      <c r="I305" s="17" t="str">
        <f aca="true">IF(OR(A305="",D305=""),"",(TODAY()-D305)/365.25)</f>
        <v/>
      </c>
      <c r="J305" s="16" t="str">
        <f aca="true">IF(AND(A305&lt;&gt;"",F305&lt;&gt;"",F305&gt;=TODAY()),F305+ROW()/1000000,"")</f>
        <v/>
      </c>
    </row>
    <row r="306" customFormat="false" ht="15" hidden="false" customHeight="false" outlineLevel="0" collapsed="false">
      <c r="A306" s="12"/>
      <c r="B306" s="13"/>
      <c r="C306" s="13"/>
      <c r="D306" s="14"/>
      <c r="E306" s="15"/>
      <c r="F306" s="14"/>
      <c r="G306" s="12"/>
      <c r="H306" s="16" t="str">
        <f aca="true">IF(A306="","",IF(F306="","Belirsiz",IF(F306&lt;TODAY(),"Bitti",IF(F306&lt;=TODAY()+30,"30 gün içinde","Sürüyor"))))</f>
        <v/>
      </c>
      <c r="I306" s="17" t="str">
        <f aca="true">IF(OR(A306="",D306=""),"",(TODAY()-D306)/365.25)</f>
        <v/>
      </c>
      <c r="J306" s="16" t="str">
        <f aca="true">IF(AND(A306&lt;&gt;"",F306&lt;&gt;"",F306&gt;=TODAY()),F306+ROW()/1000000,"")</f>
        <v/>
      </c>
    </row>
    <row r="307" customFormat="false" ht="15" hidden="false" customHeight="false" outlineLevel="0" collapsed="false">
      <c r="A307" s="12"/>
      <c r="B307" s="13"/>
      <c r="C307" s="13"/>
      <c r="D307" s="14"/>
      <c r="E307" s="15"/>
      <c r="F307" s="14"/>
      <c r="G307" s="12"/>
      <c r="H307" s="16" t="str">
        <f aca="true">IF(A307="","",IF(F307="","Belirsiz",IF(F307&lt;TODAY(),"Bitti",IF(F307&lt;=TODAY()+30,"30 gün içinde","Sürüyor"))))</f>
        <v/>
      </c>
      <c r="I307" s="17" t="str">
        <f aca="true">IF(OR(A307="",D307=""),"",(TODAY()-D307)/365.25)</f>
        <v/>
      </c>
      <c r="J307" s="16" t="str">
        <f aca="true">IF(AND(A307&lt;&gt;"",F307&lt;&gt;"",F307&gt;=TODAY()),F307+ROW()/1000000,"")</f>
        <v/>
      </c>
    </row>
    <row r="308" customFormat="false" ht="15" hidden="false" customHeight="false" outlineLevel="0" collapsed="false">
      <c r="A308" s="12"/>
      <c r="B308" s="13"/>
      <c r="C308" s="13"/>
      <c r="D308" s="14"/>
      <c r="E308" s="15"/>
      <c r="F308" s="14"/>
      <c r="G308" s="12"/>
      <c r="H308" s="16" t="str">
        <f aca="true">IF(A308="","",IF(F308="","Belirsiz",IF(F308&lt;TODAY(),"Bitti",IF(F308&lt;=TODAY()+30,"30 gün içinde","Sürüyor"))))</f>
        <v/>
      </c>
      <c r="I308" s="17" t="str">
        <f aca="true">IF(OR(A308="",D308=""),"",(TODAY()-D308)/365.25)</f>
        <v/>
      </c>
      <c r="J308" s="16" t="str">
        <f aca="true">IF(AND(A308&lt;&gt;"",F308&lt;&gt;"",F308&gt;=TODAY()),F308+ROW()/1000000,"")</f>
        <v/>
      </c>
    </row>
    <row r="309" customFormat="false" ht="15" hidden="false" customHeight="false" outlineLevel="0" collapsed="false">
      <c r="A309" s="12"/>
      <c r="B309" s="13"/>
      <c r="C309" s="13"/>
      <c r="D309" s="14"/>
      <c r="E309" s="15"/>
      <c r="F309" s="14"/>
      <c r="G309" s="12"/>
      <c r="H309" s="16" t="str">
        <f aca="true">IF(A309="","",IF(F309="","Belirsiz",IF(F309&lt;TODAY(),"Bitti",IF(F309&lt;=TODAY()+30,"30 gün içinde","Sürüyor"))))</f>
        <v/>
      </c>
      <c r="I309" s="17" t="str">
        <f aca="true">IF(OR(A309="",D309=""),"",(TODAY()-D309)/365.25)</f>
        <v/>
      </c>
      <c r="J309" s="16" t="str">
        <f aca="true">IF(AND(A309&lt;&gt;"",F309&lt;&gt;"",F309&gt;=TODAY()),F309+ROW()/1000000,"")</f>
        <v/>
      </c>
    </row>
    <row r="310" customFormat="false" ht="15" hidden="false" customHeight="false" outlineLevel="0" collapsed="false">
      <c r="A310" s="12"/>
      <c r="B310" s="13"/>
      <c r="C310" s="13"/>
      <c r="D310" s="14"/>
      <c r="E310" s="15"/>
      <c r="F310" s="14"/>
      <c r="G310" s="12"/>
      <c r="H310" s="16" t="str">
        <f aca="true">IF(A310="","",IF(F310="","Belirsiz",IF(F310&lt;TODAY(),"Bitti",IF(F310&lt;=TODAY()+30,"30 gün içinde","Sürüyor"))))</f>
        <v/>
      </c>
      <c r="I310" s="17" t="str">
        <f aca="true">IF(OR(A310="",D310=""),"",(TODAY()-D310)/365.25)</f>
        <v/>
      </c>
      <c r="J310" s="16" t="str">
        <f aca="true">IF(AND(A310&lt;&gt;"",F310&lt;&gt;"",F310&gt;=TODAY()),F310+ROW()/1000000,"")</f>
        <v/>
      </c>
    </row>
    <row r="311" customFormat="false" ht="15" hidden="false" customHeight="false" outlineLevel="0" collapsed="false">
      <c r="A311" s="12"/>
      <c r="B311" s="13"/>
      <c r="C311" s="13"/>
      <c r="D311" s="14"/>
      <c r="E311" s="15"/>
      <c r="F311" s="14"/>
      <c r="G311" s="12"/>
      <c r="H311" s="16" t="str">
        <f aca="true">IF(A311="","",IF(F311="","Belirsiz",IF(F311&lt;TODAY(),"Bitti",IF(F311&lt;=TODAY()+30,"30 gün içinde","Sürüyor"))))</f>
        <v/>
      </c>
      <c r="I311" s="17" t="str">
        <f aca="true">IF(OR(A311="",D311=""),"",(TODAY()-D311)/365.25)</f>
        <v/>
      </c>
      <c r="J311" s="16" t="str">
        <f aca="true">IF(AND(A311&lt;&gt;"",F311&lt;&gt;"",F311&gt;=TODAY()),F311+ROW()/1000000,"")</f>
        <v/>
      </c>
    </row>
    <row r="312" customFormat="false" ht="15" hidden="false" customHeight="false" outlineLevel="0" collapsed="false">
      <c r="A312" s="12"/>
      <c r="B312" s="13"/>
      <c r="C312" s="13"/>
      <c r="D312" s="14"/>
      <c r="E312" s="15"/>
      <c r="F312" s="14"/>
      <c r="G312" s="12"/>
      <c r="H312" s="16" t="str">
        <f aca="true">IF(A312="","",IF(F312="","Belirsiz",IF(F312&lt;TODAY(),"Bitti",IF(F312&lt;=TODAY()+30,"30 gün içinde","Sürüyor"))))</f>
        <v/>
      </c>
      <c r="I312" s="17" t="str">
        <f aca="true">IF(OR(A312="",D312=""),"",(TODAY()-D312)/365.25)</f>
        <v/>
      </c>
      <c r="J312" s="16" t="str">
        <f aca="true">IF(AND(A312&lt;&gt;"",F312&lt;&gt;"",F312&gt;=TODAY()),F312+ROW()/1000000,"")</f>
        <v/>
      </c>
    </row>
    <row r="313" customFormat="false" ht="15" hidden="false" customHeight="false" outlineLevel="0" collapsed="false">
      <c r="A313" s="12"/>
      <c r="B313" s="13"/>
      <c r="C313" s="13"/>
      <c r="D313" s="14"/>
      <c r="E313" s="15"/>
      <c r="F313" s="14"/>
      <c r="G313" s="12"/>
      <c r="H313" s="16" t="str">
        <f aca="true">IF(A313="","",IF(F313="","Belirsiz",IF(F313&lt;TODAY(),"Bitti",IF(F313&lt;=TODAY()+30,"30 gün içinde","Sürüyor"))))</f>
        <v/>
      </c>
      <c r="I313" s="17" t="str">
        <f aca="true">IF(OR(A313="",D313=""),"",(TODAY()-D313)/365.25)</f>
        <v/>
      </c>
      <c r="J313" s="16" t="str">
        <f aca="true">IF(AND(A313&lt;&gt;"",F313&lt;&gt;"",F313&gt;=TODAY()),F313+ROW()/1000000,"")</f>
        <v/>
      </c>
    </row>
    <row r="314" customFormat="false" ht="15" hidden="false" customHeight="false" outlineLevel="0" collapsed="false">
      <c r="A314" s="12"/>
      <c r="B314" s="13"/>
      <c r="C314" s="13"/>
      <c r="D314" s="14"/>
      <c r="E314" s="15"/>
      <c r="F314" s="14"/>
      <c r="G314" s="12"/>
      <c r="H314" s="16" t="str">
        <f aca="true">IF(A314="","",IF(F314="","Belirsiz",IF(F314&lt;TODAY(),"Bitti",IF(F314&lt;=TODAY()+30,"30 gün içinde","Sürüyor"))))</f>
        <v/>
      </c>
      <c r="I314" s="17" t="str">
        <f aca="true">IF(OR(A314="",D314=""),"",(TODAY()-D314)/365.25)</f>
        <v/>
      </c>
      <c r="J314" s="16" t="str">
        <f aca="true">IF(AND(A314&lt;&gt;"",F314&lt;&gt;"",F314&gt;=TODAY()),F314+ROW()/1000000,"")</f>
        <v/>
      </c>
    </row>
    <row r="315" customFormat="false" ht="15" hidden="false" customHeight="false" outlineLevel="0" collapsed="false">
      <c r="A315" s="12"/>
      <c r="B315" s="13"/>
      <c r="C315" s="13"/>
      <c r="D315" s="14"/>
      <c r="E315" s="15"/>
      <c r="F315" s="14"/>
      <c r="G315" s="12"/>
      <c r="H315" s="16" t="str">
        <f aca="true">IF(A315="","",IF(F315="","Belirsiz",IF(F315&lt;TODAY(),"Bitti",IF(F315&lt;=TODAY()+30,"30 gün içinde","Sürüyor"))))</f>
        <v/>
      </c>
      <c r="I315" s="17" t="str">
        <f aca="true">IF(OR(A315="",D315=""),"",(TODAY()-D315)/365.25)</f>
        <v/>
      </c>
      <c r="J315" s="16" t="str">
        <f aca="true">IF(AND(A315&lt;&gt;"",F315&lt;&gt;"",F315&gt;=TODAY()),F315+ROW()/1000000,"")</f>
        <v/>
      </c>
    </row>
    <row r="316" customFormat="false" ht="15" hidden="false" customHeight="false" outlineLevel="0" collapsed="false">
      <c r="A316" s="12"/>
      <c r="B316" s="13"/>
      <c r="C316" s="13"/>
      <c r="D316" s="14"/>
      <c r="E316" s="15"/>
      <c r="F316" s="14"/>
      <c r="G316" s="12"/>
      <c r="H316" s="16" t="str">
        <f aca="true">IF(A316="","",IF(F316="","Belirsiz",IF(F316&lt;TODAY(),"Bitti",IF(F316&lt;=TODAY()+30,"30 gün içinde","Sürüyor"))))</f>
        <v/>
      </c>
      <c r="I316" s="17" t="str">
        <f aca="true">IF(OR(A316="",D316=""),"",(TODAY()-D316)/365.25)</f>
        <v/>
      </c>
      <c r="J316" s="16" t="str">
        <f aca="true">IF(AND(A316&lt;&gt;"",F316&lt;&gt;"",F316&gt;=TODAY()),F316+ROW()/1000000,"")</f>
        <v/>
      </c>
    </row>
    <row r="317" customFormat="false" ht="15" hidden="false" customHeight="false" outlineLevel="0" collapsed="false">
      <c r="A317" s="12"/>
      <c r="B317" s="13"/>
      <c r="C317" s="13"/>
      <c r="D317" s="14"/>
      <c r="E317" s="15"/>
      <c r="F317" s="14"/>
      <c r="G317" s="12"/>
      <c r="H317" s="16" t="str">
        <f aca="true">IF(A317="","",IF(F317="","Belirsiz",IF(F317&lt;TODAY(),"Bitti",IF(F317&lt;=TODAY()+30,"30 gün içinde","Sürüyor"))))</f>
        <v/>
      </c>
      <c r="I317" s="17" t="str">
        <f aca="true">IF(OR(A317="",D317=""),"",(TODAY()-D317)/365.25)</f>
        <v/>
      </c>
      <c r="J317" s="16" t="str">
        <f aca="true">IF(AND(A317&lt;&gt;"",F317&lt;&gt;"",F317&gt;=TODAY()),F317+ROW()/1000000,"")</f>
        <v/>
      </c>
    </row>
    <row r="318" customFormat="false" ht="15" hidden="false" customHeight="false" outlineLevel="0" collapsed="false">
      <c r="A318" s="12"/>
      <c r="B318" s="13"/>
      <c r="C318" s="13"/>
      <c r="D318" s="14"/>
      <c r="E318" s="15"/>
      <c r="F318" s="14"/>
      <c r="G318" s="12"/>
      <c r="H318" s="16" t="str">
        <f aca="true">IF(A318="","",IF(F318="","Belirsiz",IF(F318&lt;TODAY(),"Bitti",IF(F318&lt;=TODAY()+30,"30 gün içinde","Sürüyor"))))</f>
        <v/>
      </c>
      <c r="I318" s="17" t="str">
        <f aca="true">IF(OR(A318="",D318=""),"",(TODAY()-D318)/365.25)</f>
        <v/>
      </c>
      <c r="J318" s="16" t="str">
        <f aca="true">IF(AND(A318&lt;&gt;"",F318&lt;&gt;"",F318&gt;=TODAY()),F318+ROW()/1000000,"")</f>
        <v/>
      </c>
    </row>
    <row r="319" customFormat="false" ht="15" hidden="false" customHeight="false" outlineLevel="0" collapsed="false">
      <c r="A319" s="12"/>
      <c r="B319" s="13"/>
      <c r="C319" s="13"/>
      <c r="D319" s="14"/>
      <c r="E319" s="15"/>
      <c r="F319" s="14"/>
      <c r="G319" s="12"/>
      <c r="H319" s="16" t="str">
        <f aca="true">IF(A319="","",IF(F319="","Belirsiz",IF(F319&lt;TODAY(),"Bitti",IF(F319&lt;=TODAY()+30,"30 gün içinde","Sürüyor"))))</f>
        <v/>
      </c>
      <c r="I319" s="17" t="str">
        <f aca="true">IF(OR(A319="",D319=""),"",(TODAY()-D319)/365.25)</f>
        <v/>
      </c>
      <c r="J319" s="16" t="str">
        <f aca="true">IF(AND(A319&lt;&gt;"",F319&lt;&gt;"",F319&gt;=TODAY()),F319+ROW()/1000000,"")</f>
        <v/>
      </c>
    </row>
    <row r="320" customFormat="false" ht="15" hidden="false" customHeight="false" outlineLevel="0" collapsed="false">
      <c r="A320" s="12"/>
      <c r="B320" s="13"/>
      <c r="C320" s="13"/>
      <c r="D320" s="14"/>
      <c r="E320" s="15"/>
      <c r="F320" s="14"/>
      <c r="G320" s="12"/>
      <c r="H320" s="16" t="str">
        <f aca="true">IF(A320="","",IF(F320="","Belirsiz",IF(F320&lt;TODAY(),"Bitti",IF(F320&lt;=TODAY()+30,"30 gün içinde","Sürüyor"))))</f>
        <v/>
      </c>
      <c r="I320" s="17" t="str">
        <f aca="true">IF(OR(A320="",D320=""),"",(TODAY()-D320)/365.25)</f>
        <v/>
      </c>
      <c r="J320" s="16" t="str">
        <f aca="true">IF(AND(A320&lt;&gt;"",F320&lt;&gt;"",F320&gt;=TODAY()),F320+ROW()/1000000,"")</f>
        <v/>
      </c>
    </row>
    <row r="321" customFormat="false" ht="15" hidden="false" customHeight="false" outlineLevel="0" collapsed="false">
      <c r="A321" s="12"/>
      <c r="B321" s="13"/>
      <c r="C321" s="13"/>
      <c r="D321" s="14"/>
      <c r="E321" s="15"/>
      <c r="F321" s="14"/>
      <c r="G321" s="12"/>
      <c r="H321" s="16" t="str">
        <f aca="true">IF(A321="","",IF(F321="","Belirsiz",IF(F321&lt;TODAY(),"Bitti",IF(F321&lt;=TODAY()+30,"30 gün içinde","Sürüyor"))))</f>
        <v/>
      </c>
      <c r="I321" s="17" t="str">
        <f aca="true">IF(OR(A321="",D321=""),"",(TODAY()-D321)/365.25)</f>
        <v/>
      </c>
      <c r="J321" s="16" t="str">
        <f aca="true">IF(AND(A321&lt;&gt;"",F321&lt;&gt;"",F321&gt;=TODAY()),F321+ROW()/1000000,"")</f>
        <v/>
      </c>
    </row>
    <row r="322" customFormat="false" ht="15" hidden="false" customHeight="false" outlineLevel="0" collapsed="false">
      <c r="A322" s="12"/>
      <c r="B322" s="13"/>
      <c r="C322" s="13"/>
      <c r="D322" s="14"/>
      <c r="E322" s="15"/>
      <c r="F322" s="14"/>
      <c r="G322" s="12"/>
      <c r="H322" s="16" t="str">
        <f aca="true">IF(A322="","",IF(F322="","Belirsiz",IF(F322&lt;TODAY(),"Bitti",IF(F322&lt;=TODAY()+30,"30 gün içinde","Sürüyor"))))</f>
        <v/>
      </c>
      <c r="I322" s="17" t="str">
        <f aca="true">IF(OR(A322="",D322=""),"",(TODAY()-D322)/365.25)</f>
        <v/>
      </c>
      <c r="J322" s="16" t="str">
        <f aca="true">IF(AND(A322&lt;&gt;"",F322&lt;&gt;"",F322&gt;=TODAY()),F322+ROW()/1000000,"")</f>
        <v/>
      </c>
    </row>
    <row r="323" customFormat="false" ht="15" hidden="false" customHeight="false" outlineLevel="0" collapsed="false">
      <c r="A323" s="12"/>
      <c r="B323" s="13"/>
      <c r="C323" s="13"/>
      <c r="D323" s="14"/>
      <c r="E323" s="15"/>
      <c r="F323" s="14"/>
      <c r="G323" s="12"/>
      <c r="H323" s="16" t="str">
        <f aca="true">IF(A323="","",IF(F323="","Belirsiz",IF(F323&lt;TODAY(),"Bitti",IF(F323&lt;=TODAY()+30,"30 gün içinde","Sürüyor"))))</f>
        <v/>
      </c>
      <c r="I323" s="17" t="str">
        <f aca="true">IF(OR(A323="",D323=""),"",(TODAY()-D323)/365.25)</f>
        <v/>
      </c>
      <c r="J323" s="16" t="str">
        <f aca="true">IF(AND(A323&lt;&gt;"",F323&lt;&gt;"",F323&gt;=TODAY()),F323+ROW()/1000000,"")</f>
        <v/>
      </c>
    </row>
    <row r="324" customFormat="false" ht="15" hidden="false" customHeight="false" outlineLevel="0" collapsed="false">
      <c r="A324" s="12"/>
      <c r="B324" s="13"/>
      <c r="C324" s="13"/>
      <c r="D324" s="14"/>
      <c r="E324" s="15"/>
      <c r="F324" s="14"/>
      <c r="G324" s="12"/>
      <c r="H324" s="16" t="str">
        <f aca="true">IF(A324="","",IF(F324="","Belirsiz",IF(F324&lt;TODAY(),"Bitti",IF(F324&lt;=TODAY()+30,"30 gün içinde","Sürüyor"))))</f>
        <v/>
      </c>
      <c r="I324" s="17" t="str">
        <f aca="true">IF(OR(A324="",D324=""),"",(TODAY()-D324)/365.25)</f>
        <v/>
      </c>
      <c r="J324" s="16" t="str">
        <f aca="true">IF(AND(A324&lt;&gt;"",F324&lt;&gt;"",F324&gt;=TODAY()),F324+ROW()/1000000,"")</f>
        <v/>
      </c>
    </row>
    <row r="325" customFormat="false" ht="15" hidden="false" customHeight="false" outlineLevel="0" collapsed="false">
      <c r="A325" s="12"/>
      <c r="B325" s="13"/>
      <c r="C325" s="13"/>
      <c r="D325" s="14"/>
      <c r="E325" s="15"/>
      <c r="F325" s="14"/>
      <c r="G325" s="12"/>
      <c r="H325" s="16" t="str">
        <f aca="true">IF(A325="","",IF(F325="","Belirsiz",IF(F325&lt;TODAY(),"Bitti",IF(F325&lt;=TODAY()+30,"30 gün içinde","Sürüyor"))))</f>
        <v/>
      </c>
      <c r="I325" s="17" t="str">
        <f aca="true">IF(OR(A325="",D325=""),"",(TODAY()-D325)/365.25)</f>
        <v/>
      </c>
      <c r="J325" s="16" t="str">
        <f aca="true">IF(AND(A325&lt;&gt;"",F325&lt;&gt;"",F325&gt;=TODAY()),F325+ROW()/1000000,"")</f>
        <v/>
      </c>
    </row>
    <row r="326" customFormat="false" ht="15" hidden="false" customHeight="false" outlineLevel="0" collapsed="false">
      <c r="A326" s="12"/>
      <c r="B326" s="13"/>
      <c r="C326" s="13"/>
      <c r="D326" s="14"/>
      <c r="E326" s="15"/>
      <c r="F326" s="14"/>
      <c r="G326" s="12"/>
      <c r="H326" s="16" t="str">
        <f aca="true">IF(A326="","",IF(F326="","Belirsiz",IF(F326&lt;TODAY(),"Bitti",IF(F326&lt;=TODAY()+30,"30 gün içinde","Sürüyor"))))</f>
        <v/>
      </c>
      <c r="I326" s="17" t="str">
        <f aca="true">IF(OR(A326="",D326=""),"",(TODAY()-D326)/365.25)</f>
        <v/>
      </c>
      <c r="J326" s="16" t="str">
        <f aca="true">IF(AND(A326&lt;&gt;"",F326&lt;&gt;"",F326&gt;=TODAY()),F326+ROW()/1000000,"")</f>
        <v/>
      </c>
    </row>
    <row r="327" customFormat="false" ht="15" hidden="false" customHeight="false" outlineLevel="0" collapsed="false">
      <c r="A327" s="12"/>
      <c r="B327" s="13"/>
      <c r="C327" s="13"/>
      <c r="D327" s="14"/>
      <c r="E327" s="15"/>
      <c r="F327" s="14"/>
      <c r="G327" s="12"/>
      <c r="H327" s="16" t="str">
        <f aca="true">IF(A327="","",IF(F327="","Belirsiz",IF(F327&lt;TODAY(),"Bitti",IF(F327&lt;=TODAY()+30,"30 gün içinde","Sürüyor"))))</f>
        <v/>
      </c>
      <c r="I327" s="17" t="str">
        <f aca="true">IF(OR(A327="",D327=""),"",(TODAY()-D327)/365.25)</f>
        <v/>
      </c>
      <c r="J327" s="16" t="str">
        <f aca="true">IF(AND(A327&lt;&gt;"",F327&lt;&gt;"",F327&gt;=TODAY()),F327+ROW()/1000000,"")</f>
        <v/>
      </c>
    </row>
    <row r="328" customFormat="false" ht="15" hidden="false" customHeight="false" outlineLevel="0" collapsed="false">
      <c r="A328" s="12"/>
      <c r="B328" s="13"/>
      <c r="C328" s="13"/>
      <c r="D328" s="14"/>
      <c r="E328" s="15"/>
      <c r="F328" s="14"/>
      <c r="G328" s="12"/>
      <c r="H328" s="16" t="str">
        <f aca="true">IF(A328="","",IF(F328="","Belirsiz",IF(F328&lt;TODAY(),"Bitti",IF(F328&lt;=TODAY()+30,"30 gün içinde","Sürüyor"))))</f>
        <v/>
      </c>
      <c r="I328" s="17" t="str">
        <f aca="true">IF(OR(A328="",D328=""),"",(TODAY()-D328)/365.25)</f>
        <v/>
      </c>
      <c r="J328" s="16" t="str">
        <f aca="true">IF(AND(A328&lt;&gt;"",F328&lt;&gt;"",F328&gt;=TODAY()),F328+ROW()/1000000,"")</f>
        <v/>
      </c>
    </row>
    <row r="329" customFormat="false" ht="15" hidden="false" customHeight="false" outlineLevel="0" collapsed="false">
      <c r="A329" s="12"/>
      <c r="B329" s="13"/>
      <c r="C329" s="13"/>
      <c r="D329" s="14"/>
      <c r="E329" s="15"/>
      <c r="F329" s="14"/>
      <c r="G329" s="12"/>
      <c r="H329" s="16" t="str">
        <f aca="true">IF(A329="","",IF(F329="","Belirsiz",IF(F329&lt;TODAY(),"Bitti",IF(F329&lt;=TODAY()+30,"30 gün içinde","Sürüyor"))))</f>
        <v/>
      </c>
      <c r="I329" s="17" t="str">
        <f aca="true">IF(OR(A329="",D329=""),"",(TODAY()-D329)/365.25)</f>
        <v/>
      </c>
      <c r="J329" s="16" t="str">
        <f aca="true">IF(AND(A329&lt;&gt;"",F329&lt;&gt;"",F329&gt;=TODAY()),F329+ROW()/1000000,"")</f>
        <v/>
      </c>
    </row>
    <row r="330" customFormat="false" ht="15" hidden="false" customHeight="false" outlineLevel="0" collapsed="false">
      <c r="A330" s="12"/>
      <c r="B330" s="13"/>
      <c r="C330" s="13"/>
      <c r="D330" s="14"/>
      <c r="E330" s="15"/>
      <c r="F330" s="14"/>
      <c r="G330" s="12"/>
      <c r="H330" s="16" t="str">
        <f aca="true">IF(A330="","",IF(F330="","Belirsiz",IF(F330&lt;TODAY(),"Bitti",IF(F330&lt;=TODAY()+30,"30 gün içinde","Sürüyor"))))</f>
        <v/>
      </c>
      <c r="I330" s="17" t="str">
        <f aca="true">IF(OR(A330="",D330=""),"",(TODAY()-D330)/365.25)</f>
        <v/>
      </c>
      <c r="J330" s="16" t="str">
        <f aca="true">IF(AND(A330&lt;&gt;"",F330&lt;&gt;"",F330&gt;=TODAY()),F330+ROW()/1000000,"")</f>
        <v/>
      </c>
    </row>
    <row r="331" customFormat="false" ht="15" hidden="false" customHeight="false" outlineLevel="0" collapsed="false">
      <c r="A331" s="12"/>
      <c r="B331" s="13"/>
      <c r="C331" s="13"/>
      <c r="D331" s="14"/>
      <c r="E331" s="15"/>
      <c r="F331" s="14"/>
      <c r="G331" s="12"/>
      <c r="H331" s="16" t="str">
        <f aca="true">IF(A331="","",IF(F331="","Belirsiz",IF(F331&lt;TODAY(),"Bitti",IF(F331&lt;=TODAY()+30,"30 gün içinde","Sürüyor"))))</f>
        <v/>
      </c>
      <c r="I331" s="17" t="str">
        <f aca="true">IF(OR(A331="",D331=""),"",(TODAY()-D331)/365.25)</f>
        <v/>
      </c>
      <c r="J331" s="16" t="str">
        <f aca="true">IF(AND(A331&lt;&gt;"",F331&lt;&gt;"",F331&gt;=TODAY()),F331+ROW()/1000000,"")</f>
        <v/>
      </c>
    </row>
    <row r="332" customFormat="false" ht="15" hidden="false" customHeight="false" outlineLevel="0" collapsed="false">
      <c r="A332" s="12"/>
      <c r="B332" s="13"/>
      <c r="C332" s="13"/>
      <c r="D332" s="14"/>
      <c r="E332" s="15"/>
      <c r="F332" s="14"/>
      <c r="G332" s="12"/>
      <c r="H332" s="16" t="str">
        <f aca="true">IF(A332="","",IF(F332="","Belirsiz",IF(F332&lt;TODAY(),"Bitti",IF(F332&lt;=TODAY()+30,"30 gün içinde","Sürüyor"))))</f>
        <v/>
      </c>
      <c r="I332" s="17" t="str">
        <f aca="true">IF(OR(A332="",D332=""),"",(TODAY()-D332)/365.25)</f>
        <v/>
      </c>
      <c r="J332" s="16" t="str">
        <f aca="true">IF(AND(A332&lt;&gt;"",F332&lt;&gt;"",F332&gt;=TODAY()),F332+ROW()/1000000,"")</f>
        <v/>
      </c>
    </row>
    <row r="333" customFormat="false" ht="15" hidden="false" customHeight="false" outlineLevel="0" collapsed="false">
      <c r="A333" s="12"/>
      <c r="B333" s="13"/>
      <c r="C333" s="13"/>
      <c r="D333" s="14"/>
      <c r="E333" s="15"/>
      <c r="F333" s="14"/>
      <c r="G333" s="12"/>
      <c r="H333" s="16" t="str">
        <f aca="true">IF(A333="","",IF(F333="","Belirsiz",IF(F333&lt;TODAY(),"Bitti",IF(F333&lt;=TODAY()+30,"30 gün içinde","Sürüyor"))))</f>
        <v/>
      </c>
      <c r="I333" s="17" t="str">
        <f aca="true">IF(OR(A333="",D333=""),"",(TODAY()-D333)/365.25)</f>
        <v/>
      </c>
      <c r="J333" s="16" t="str">
        <f aca="true">IF(AND(A333&lt;&gt;"",F333&lt;&gt;"",F333&gt;=TODAY()),F333+ROW()/1000000,"")</f>
        <v/>
      </c>
    </row>
    <row r="334" customFormat="false" ht="15" hidden="false" customHeight="false" outlineLevel="0" collapsed="false">
      <c r="A334" s="12"/>
      <c r="B334" s="13"/>
      <c r="C334" s="13"/>
      <c r="D334" s="14"/>
      <c r="E334" s="15"/>
      <c r="F334" s="14"/>
      <c r="G334" s="12"/>
      <c r="H334" s="16" t="str">
        <f aca="true">IF(A334="","",IF(F334="","Belirsiz",IF(F334&lt;TODAY(),"Bitti",IF(F334&lt;=TODAY()+30,"30 gün içinde","Sürüyor"))))</f>
        <v/>
      </c>
      <c r="I334" s="17" t="str">
        <f aca="true">IF(OR(A334="",D334=""),"",(TODAY()-D334)/365.25)</f>
        <v/>
      </c>
      <c r="J334" s="16" t="str">
        <f aca="true">IF(AND(A334&lt;&gt;"",F334&lt;&gt;"",F334&gt;=TODAY()),F334+ROW()/1000000,"")</f>
        <v/>
      </c>
    </row>
    <row r="335" customFormat="false" ht="15" hidden="false" customHeight="false" outlineLevel="0" collapsed="false">
      <c r="A335" s="12"/>
      <c r="B335" s="13"/>
      <c r="C335" s="13"/>
      <c r="D335" s="14"/>
      <c r="E335" s="15"/>
      <c r="F335" s="14"/>
      <c r="G335" s="12"/>
      <c r="H335" s="16" t="str">
        <f aca="true">IF(A335="","",IF(F335="","Belirsiz",IF(F335&lt;TODAY(),"Bitti",IF(F335&lt;=TODAY()+30,"30 gün içinde","Sürüyor"))))</f>
        <v/>
      </c>
      <c r="I335" s="17" t="str">
        <f aca="true">IF(OR(A335="",D335=""),"",(TODAY()-D335)/365.25)</f>
        <v/>
      </c>
      <c r="J335" s="16" t="str">
        <f aca="true">IF(AND(A335&lt;&gt;"",F335&lt;&gt;"",F335&gt;=TODAY()),F335+ROW()/1000000,"")</f>
        <v/>
      </c>
    </row>
    <row r="336" customFormat="false" ht="15" hidden="false" customHeight="false" outlineLevel="0" collapsed="false">
      <c r="A336" s="12"/>
      <c r="B336" s="13"/>
      <c r="C336" s="13"/>
      <c r="D336" s="14"/>
      <c r="E336" s="15"/>
      <c r="F336" s="14"/>
      <c r="G336" s="12"/>
      <c r="H336" s="16" t="str">
        <f aca="true">IF(A336="","",IF(F336="","Belirsiz",IF(F336&lt;TODAY(),"Bitti",IF(F336&lt;=TODAY()+30,"30 gün içinde","Sürüyor"))))</f>
        <v/>
      </c>
      <c r="I336" s="17" t="str">
        <f aca="true">IF(OR(A336="",D336=""),"",(TODAY()-D336)/365.25)</f>
        <v/>
      </c>
      <c r="J336" s="16" t="str">
        <f aca="true">IF(AND(A336&lt;&gt;"",F336&lt;&gt;"",F336&gt;=TODAY()),F336+ROW()/1000000,"")</f>
        <v/>
      </c>
    </row>
    <row r="337" customFormat="false" ht="15" hidden="false" customHeight="false" outlineLevel="0" collapsed="false">
      <c r="A337" s="12"/>
      <c r="B337" s="13"/>
      <c r="C337" s="13"/>
      <c r="D337" s="14"/>
      <c r="E337" s="15"/>
      <c r="F337" s="14"/>
      <c r="G337" s="12"/>
      <c r="H337" s="16" t="str">
        <f aca="true">IF(A337="","",IF(F337="","Belirsiz",IF(F337&lt;TODAY(),"Bitti",IF(F337&lt;=TODAY()+30,"30 gün içinde","Sürüyor"))))</f>
        <v/>
      </c>
      <c r="I337" s="17" t="str">
        <f aca="true">IF(OR(A337="",D337=""),"",(TODAY()-D337)/365.25)</f>
        <v/>
      </c>
      <c r="J337" s="16" t="str">
        <f aca="true">IF(AND(A337&lt;&gt;"",F337&lt;&gt;"",F337&gt;=TODAY()),F337+ROW()/1000000,"")</f>
        <v/>
      </c>
    </row>
    <row r="338" customFormat="false" ht="15" hidden="false" customHeight="false" outlineLevel="0" collapsed="false">
      <c r="A338" s="12"/>
      <c r="B338" s="13"/>
      <c r="C338" s="13"/>
      <c r="D338" s="14"/>
      <c r="E338" s="15"/>
      <c r="F338" s="14"/>
      <c r="G338" s="12"/>
      <c r="H338" s="16" t="str">
        <f aca="true">IF(A338="","",IF(F338="","Belirsiz",IF(F338&lt;TODAY(),"Bitti",IF(F338&lt;=TODAY()+30,"30 gün içinde","Sürüyor"))))</f>
        <v/>
      </c>
      <c r="I338" s="17" t="str">
        <f aca="true">IF(OR(A338="",D338=""),"",(TODAY()-D338)/365.25)</f>
        <v/>
      </c>
      <c r="J338" s="16" t="str">
        <f aca="true">IF(AND(A338&lt;&gt;"",F338&lt;&gt;"",F338&gt;=TODAY()),F338+ROW()/1000000,"")</f>
        <v/>
      </c>
    </row>
    <row r="339" customFormat="false" ht="15" hidden="false" customHeight="false" outlineLevel="0" collapsed="false">
      <c r="A339" s="12"/>
      <c r="B339" s="13"/>
      <c r="C339" s="13"/>
      <c r="D339" s="14"/>
      <c r="E339" s="15"/>
      <c r="F339" s="14"/>
      <c r="G339" s="12"/>
      <c r="H339" s="16" t="str">
        <f aca="true">IF(A339="","",IF(F339="","Belirsiz",IF(F339&lt;TODAY(),"Bitti",IF(F339&lt;=TODAY()+30,"30 gün içinde","Sürüyor"))))</f>
        <v/>
      </c>
      <c r="I339" s="17" t="str">
        <f aca="true">IF(OR(A339="",D339=""),"",(TODAY()-D339)/365.25)</f>
        <v/>
      </c>
      <c r="J339" s="16" t="str">
        <f aca="true">IF(AND(A339&lt;&gt;"",F339&lt;&gt;"",F339&gt;=TODAY()),F339+ROW()/1000000,"")</f>
        <v/>
      </c>
    </row>
    <row r="340" customFormat="false" ht="15" hidden="false" customHeight="false" outlineLevel="0" collapsed="false">
      <c r="A340" s="12"/>
      <c r="B340" s="13"/>
      <c r="C340" s="13"/>
      <c r="D340" s="14"/>
      <c r="E340" s="15"/>
      <c r="F340" s="14"/>
      <c r="G340" s="12"/>
      <c r="H340" s="16" t="str">
        <f aca="true">IF(A340="","",IF(F340="","Belirsiz",IF(F340&lt;TODAY(),"Bitti",IF(F340&lt;=TODAY()+30,"30 gün içinde","Sürüyor"))))</f>
        <v/>
      </c>
      <c r="I340" s="17" t="str">
        <f aca="true">IF(OR(A340="",D340=""),"",(TODAY()-D340)/365.25)</f>
        <v/>
      </c>
      <c r="J340" s="16" t="str">
        <f aca="true">IF(AND(A340&lt;&gt;"",F340&lt;&gt;"",F340&gt;=TODAY()),F340+ROW()/1000000,"")</f>
        <v/>
      </c>
    </row>
    <row r="341" customFormat="false" ht="15" hidden="false" customHeight="false" outlineLevel="0" collapsed="false">
      <c r="A341" s="12"/>
      <c r="B341" s="13"/>
      <c r="C341" s="13"/>
      <c r="D341" s="14"/>
      <c r="E341" s="15"/>
      <c r="F341" s="14"/>
      <c r="G341" s="12"/>
      <c r="H341" s="16" t="str">
        <f aca="true">IF(A341="","",IF(F341="","Belirsiz",IF(F341&lt;TODAY(),"Bitti",IF(F341&lt;=TODAY()+30,"30 gün içinde","Sürüyor"))))</f>
        <v/>
      </c>
      <c r="I341" s="17" t="str">
        <f aca="true">IF(OR(A341="",D341=""),"",(TODAY()-D341)/365.25)</f>
        <v/>
      </c>
      <c r="J341" s="16" t="str">
        <f aca="true">IF(AND(A341&lt;&gt;"",F341&lt;&gt;"",F341&gt;=TODAY()),F341+ROW()/1000000,"")</f>
        <v/>
      </c>
    </row>
    <row r="342" customFormat="false" ht="15" hidden="false" customHeight="false" outlineLevel="0" collapsed="false">
      <c r="A342" s="12"/>
      <c r="B342" s="13"/>
      <c r="C342" s="13"/>
      <c r="D342" s="14"/>
      <c r="E342" s="15"/>
      <c r="F342" s="14"/>
      <c r="G342" s="12"/>
      <c r="H342" s="16" t="str">
        <f aca="true">IF(A342="","",IF(F342="","Belirsiz",IF(F342&lt;TODAY(),"Bitti",IF(F342&lt;=TODAY()+30,"30 gün içinde","Sürüyor"))))</f>
        <v/>
      </c>
      <c r="I342" s="17" t="str">
        <f aca="true">IF(OR(A342="",D342=""),"",(TODAY()-D342)/365.25)</f>
        <v/>
      </c>
      <c r="J342" s="16" t="str">
        <f aca="true">IF(AND(A342&lt;&gt;"",F342&lt;&gt;"",F342&gt;=TODAY()),F342+ROW()/1000000,"")</f>
        <v/>
      </c>
    </row>
    <row r="343" customFormat="false" ht="15" hidden="false" customHeight="false" outlineLevel="0" collapsed="false">
      <c r="A343" s="12"/>
      <c r="B343" s="13"/>
      <c r="C343" s="13"/>
      <c r="D343" s="14"/>
      <c r="E343" s="15"/>
      <c r="F343" s="14"/>
      <c r="G343" s="12"/>
      <c r="H343" s="16" t="str">
        <f aca="true">IF(A343="","",IF(F343="","Belirsiz",IF(F343&lt;TODAY(),"Bitti",IF(F343&lt;=TODAY()+30,"30 gün içinde","Sürüyor"))))</f>
        <v/>
      </c>
      <c r="I343" s="17" t="str">
        <f aca="true">IF(OR(A343="",D343=""),"",(TODAY()-D343)/365.25)</f>
        <v/>
      </c>
      <c r="J343" s="16" t="str">
        <f aca="true">IF(AND(A343&lt;&gt;"",F343&lt;&gt;"",F343&gt;=TODAY()),F343+ROW()/1000000,"")</f>
        <v/>
      </c>
    </row>
    <row r="344" customFormat="false" ht="15" hidden="false" customHeight="false" outlineLevel="0" collapsed="false">
      <c r="A344" s="12"/>
      <c r="B344" s="13"/>
      <c r="C344" s="13"/>
      <c r="D344" s="14"/>
      <c r="E344" s="15"/>
      <c r="F344" s="14"/>
      <c r="G344" s="12"/>
      <c r="H344" s="16" t="str">
        <f aca="true">IF(A344="","",IF(F344="","Belirsiz",IF(F344&lt;TODAY(),"Bitti",IF(F344&lt;=TODAY()+30,"30 gün içinde","Sürüyor"))))</f>
        <v/>
      </c>
      <c r="I344" s="17" t="str">
        <f aca="true">IF(OR(A344="",D344=""),"",(TODAY()-D344)/365.25)</f>
        <v/>
      </c>
      <c r="J344" s="16" t="str">
        <f aca="true">IF(AND(A344&lt;&gt;"",F344&lt;&gt;"",F344&gt;=TODAY()),F344+ROW()/1000000,"")</f>
        <v/>
      </c>
    </row>
    <row r="345" customFormat="false" ht="15" hidden="false" customHeight="false" outlineLevel="0" collapsed="false">
      <c r="A345" s="12"/>
      <c r="B345" s="13"/>
      <c r="C345" s="13"/>
      <c r="D345" s="14"/>
      <c r="E345" s="15"/>
      <c r="F345" s="14"/>
      <c r="G345" s="12"/>
      <c r="H345" s="16" t="str">
        <f aca="true">IF(A345="","",IF(F345="","Belirsiz",IF(F345&lt;TODAY(),"Bitti",IF(F345&lt;=TODAY()+30,"30 gün içinde","Sürüyor"))))</f>
        <v/>
      </c>
      <c r="I345" s="17" t="str">
        <f aca="true">IF(OR(A345="",D345=""),"",(TODAY()-D345)/365.25)</f>
        <v/>
      </c>
      <c r="J345" s="16" t="str">
        <f aca="true">IF(AND(A345&lt;&gt;"",F345&lt;&gt;"",F345&gt;=TODAY()),F345+ROW()/1000000,"")</f>
        <v/>
      </c>
    </row>
    <row r="346" customFormat="false" ht="15" hidden="false" customHeight="false" outlineLevel="0" collapsed="false">
      <c r="A346" s="12"/>
      <c r="B346" s="13"/>
      <c r="C346" s="13"/>
      <c r="D346" s="14"/>
      <c r="E346" s="15"/>
      <c r="F346" s="14"/>
      <c r="G346" s="12"/>
      <c r="H346" s="16" t="str">
        <f aca="true">IF(A346="","",IF(F346="","Belirsiz",IF(F346&lt;TODAY(),"Bitti",IF(F346&lt;=TODAY()+30,"30 gün içinde","Sürüyor"))))</f>
        <v/>
      </c>
      <c r="I346" s="17" t="str">
        <f aca="true">IF(OR(A346="",D346=""),"",(TODAY()-D346)/365.25)</f>
        <v/>
      </c>
      <c r="J346" s="16" t="str">
        <f aca="true">IF(AND(A346&lt;&gt;"",F346&lt;&gt;"",F346&gt;=TODAY()),F346+ROW()/1000000,"")</f>
        <v/>
      </c>
    </row>
    <row r="347" customFormat="false" ht="15" hidden="false" customHeight="false" outlineLevel="0" collapsed="false">
      <c r="A347" s="12"/>
      <c r="B347" s="13"/>
      <c r="C347" s="13"/>
      <c r="D347" s="14"/>
      <c r="E347" s="15"/>
      <c r="F347" s="14"/>
      <c r="G347" s="12"/>
      <c r="H347" s="16" t="str">
        <f aca="true">IF(A347="","",IF(F347="","Belirsiz",IF(F347&lt;TODAY(),"Bitti",IF(F347&lt;=TODAY()+30,"30 gün içinde","Sürüyor"))))</f>
        <v/>
      </c>
      <c r="I347" s="17" t="str">
        <f aca="true">IF(OR(A347="",D347=""),"",(TODAY()-D347)/365.25)</f>
        <v/>
      </c>
      <c r="J347" s="16" t="str">
        <f aca="true">IF(AND(A347&lt;&gt;"",F347&lt;&gt;"",F347&gt;=TODAY()),F347+ROW()/1000000,"")</f>
        <v/>
      </c>
    </row>
    <row r="348" customFormat="false" ht="15" hidden="false" customHeight="false" outlineLevel="0" collapsed="false">
      <c r="A348" s="12"/>
      <c r="B348" s="13"/>
      <c r="C348" s="13"/>
      <c r="D348" s="14"/>
      <c r="E348" s="15"/>
      <c r="F348" s="14"/>
      <c r="G348" s="12"/>
      <c r="H348" s="16" t="str">
        <f aca="true">IF(A348="","",IF(F348="","Belirsiz",IF(F348&lt;TODAY(),"Bitti",IF(F348&lt;=TODAY()+30,"30 gün içinde","Sürüyor"))))</f>
        <v/>
      </c>
      <c r="I348" s="17" t="str">
        <f aca="true">IF(OR(A348="",D348=""),"",(TODAY()-D348)/365.25)</f>
        <v/>
      </c>
      <c r="J348" s="16" t="str">
        <f aca="true">IF(AND(A348&lt;&gt;"",F348&lt;&gt;"",F348&gt;=TODAY()),F348+ROW()/1000000,"")</f>
        <v/>
      </c>
    </row>
    <row r="349" customFormat="false" ht="15" hidden="false" customHeight="false" outlineLevel="0" collapsed="false">
      <c r="A349" s="12"/>
      <c r="B349" s="13"/>
      <c r="C349" s="13"/>
      <c r="D349" s="14"/>
      <c r="E349" s="15"/>
      <c r="F349" s="14"/>
      <c r="G349" s="12"/>
      <c r="H349" s="16" t="str">
        <f aca="true">IF(A349="","",IF(F349="","Belirsiz",IF(F349&lt;TODAY(),"Bitti",IF(F349&lt;=TODAY()+30,"30 gün içinde","Sürüyor"))))</f>
        <v/>
      </c>
      <c r="I349" s="17" t="str">
        <f aca="true">IF(OR(A349="",D349=""),"",(TODAY()-D349)/365.25)</f>
        <v/>
      </c>
      <c r="J349" s="16" t="str">
        <f aca="true">IF(AND(A349&lt;&gt;"",F349&lt;&gt;"",F349&gt;=TODAY()),F349+ROW()/1000000,"")</f>
        <v/>
      </c>
    </row>
    <row r="350" customFormat="false" ht="15" hidden="false" customHeight="false" outlineLevel="0" collapsed="false">
      <c r="A350" s="12"/>
      <c r="B350" s="13"/>
      <c r="C350" s="13"/>
      <c r="D350" s="14"/>
      <c r="E350" s="15"/>
      <c r="F350" s="14"/>
      <c r="G350" s="12"/>
      <c r="H350" s="16" t="str">
        <f aca="true">IF(A350="","",IF(F350="","Belirsiz",IF(F350&lt;TODAY(),"Bitti",IF(F350&lt;=TODAY()+30,"30 gün içinde","Sürüyor"))))</f>
        <v/>
      </c>
      <c r="I350" s="17" t="str">
        <f aca="true">IF(OR(A350="",D350=""),"",(TODAY()-D350)/365.25)</f>
        <v/>
      </c>
      <c r="J350" s="16" t="str">
        <f aca="true">IF(AND(A350&lt;&gt;"",F350&lt;&gt;"",F350&gt;=TODAY()),F350+ROW()/1000000,"")</f>
        <v/>
      </c>
    </row>
    <row r="351" customFormat="false" ht="15" hidden="false" customHeight="false" outlineLevel="0" collapsed="false">
      <c r="A351" s="12"/>
      <c r="B351" s="13"/>
      <c r="C351" s="13"/>
      <c r="D351" s="14"/>
      <c r="E351" s="15"/>
      <c r="F351" s="14"/>
      <c r="G351" s="12"/>
      <c r="H351" s="16" t="str">
        <f aca="true">IF(A351="","",IF(F351="","Belirsiz",IF(F351&lt;TODAY(),"Bitti",IF(F351&lt;=TODAY()+30,"30 gün içinde","Sürüyor"))))</f>
        <v/>
      </c>
      <c r="I351" s="17" t="str">
        <f aca="true">IF(OR(A351="",D351=""),"",(TODAY()-D351)/365.25)</f>
        <v/>
      </c>
      <c r="J351" s="16" t="str">
        <f aca="true">IF(AND(A351&lt;&gt;"",F351&lt;&gt;"",F351&gt;=TODAY()),F351+ROW()/1000000,"")</f>
        <v/>
      </c>
    </row>
    <row r="352" customFormat="false" ht="15" hidden="false" customHeight="false" outlineLevel="0" collapsed="false">
      <c r="A352" s="12"/>
      <c r="B352" s="13"/>
      <c r="C352" s="13"/>
      <c r="D352" s="14"/>
      <c r="E352" s="15"/>
      <c r="F352" s="14"/>
      <c r="G352" s="12"/>
      <c r="H352" s="16" t="str">
        <f aca="true">IF(A352="","",IF(F352="","Belirsiz",IF(F352&lt;TODAY(),"Bitti",IF(F352&lt;=TODAY()+30,"30 gün içinde","Sürüyor"))))</f>
        <v/>
      </c>
      <c r="I352" s="17" t="str">
        <f aca="true">IF(OR(A352="",D352=""),"",(TODAY()-D352)/365.25)</f>
        <v/>
      </c>
      <c r="J352" s="16" t="str">
        <f aca="true">IF(AND(A352&lt;&gt;"",F352&lt;&gt;"",F352&gt;=TODAY()),F352+ROW()/1000000,"")</f>
        <v/>
      </c>
    </row>
    <row r="353" customFormat="false" ht="15" hidden="false" customHeight="false" outlineLevel="0" collapsed="false">
      <c r="A353" s="12"/>
      <c r="B353" s="13"/>
      <c r="C353" s="13"/>
      <c r="D353" s="14"/>
      <c r="E353" s="15"/>
      <c r="F353" s="14"/>
      <c r="G353" s="12"/>
      <c r="H353" s="16" t="str">
        <f aca="true">IF(A353="","",IF(F353="","Belirsiz",IF(F353&lt;TODAY(),"Bitti",IF(F353&lt;=TODAY()+30,"30 gün içinde","Sürüyor"))))</f>
        <v/>
      </c>
      <c r="I353" s="17" t="str">
        <f aca="true">IF(OR(A353="",D353=""),"",(TODAY()-D353)/365.25)</f>
        <v/>
      </c>
      <c r="J353" s="16" t="str">
        <f aca="true">IF(AND(A353&lt;&gt;"",F353&lt;&gt;"",F353&gt;=TODAY()),F353+ROW()/1000000,"")</f>
        <v/>
      </c>
    </row>
    <row r="354" customFormat="false" ht="15" hidden="false" customHeight="false" outlineLevel="0" collapsed="false">
      <c r="A354" s="12"/>
      <c r="B354" s="13"/>
      <c r="C354" s="13"/>
      <c r="D354" s="14"/>
      <c r="E354" s="15"/>
      <c r="F354" s="14"/>
      <c r="G354" s="12"/>
      <c r="H354" s="16" t="str">
        <f aca="true">IF(A354="","",IF(F354="","Belirsiz",IF(F354&lt;TODAY(),"Bitti",IF(F354&lt;=TODAY()+30,"30 gün içinde","Sürüyor"))))</f>
        <v/>
      </c>
      <c r="I354" s="17" t="str">
        <f aca="true">IF(OR(A354="",D354=""),"",(TODAY()-D354)/365.25)</f>
        <v/>
      </c>
      <c r="J354" s="16" t="str">
        <f aca="true">IF(AND(A354&lt;&gt;"",F354&lt;&gt;"",F354&gt;=TODAY()),F354+ROW()/1000000,"")</f>
        <v/>
      </c>
    </row>
    <row r="355" customFormat="false" ht="15" hidden="false" customHeight="false" outlineLevel="0" collapsed="false">
      <c r="A355" s="12"/>
      <c r="B355" s="13"/>
      <c r="C355" s="13"/>
      <c r="D355" s="14"/>
      <c r="E355" s="15"/>
      <c r="F355" s="14"/>
      <c r="G355" s="12"/>
      <c r="H355" s="16" t="str">
        <f aca="true">IF(A355="","",IF(F355="","Belirsiz",IF(F355&lt;TODAY(),"Bitti",IF(F355&lt;=TODAY()+30,"30 gün içinde","Sürüyor"))))</f>
        <v/>
      </c>
      <c r="I355" s="17" t="str">
        <f aca="true">IF(OR(A355="",D355=""),"",(TODAY()-D355)/365.25)</f>
        <v/>
      </c>
      <c r="J355" s="16" t="str">
        <f aca="true">IF(AND(A355&lt;&gt;"",F355&lt;&gt;"",F355&gt;=TODAY()),F355+ROW()/1000000,"")</f>
        <v/>
      </c>
    </row>
    <row r="356" customFormat="false" ht="15" hidden="false" customHeight="false" outlineLevel="0" collapsed="false">
      <c r="A356" s="12"/>
      <c r="B356" s="13"/>
      <c r="C356" s="13"/>
      <c r="D356" s="14"/>
      <c r="E356" s="15"/>
      <c r="F356" s="14"/>
      <c r="G356" s="12"/>
      <c r="H356" s="16" t="str">
        <f aca="true">IF(A356="","",IF(F356="","Belirsiz",IF(F356&lt;TODAY(),"Bitti",IF(F356&lt;=TODAY()+30,"30 gün içinde","Sürüyor"))))</f>
        <v/>
      </c>
      <c r="I356" s="17" t="str">
        <f aca="true">IF(OR(A356="",D356=""),"",(TODAY()-D356)/365.25)</f>
        <v/>
      </c>
      <c r="J356" s="16" t="str">
        <f aca="true">IF(AND(A356&lt;&gt;"",F356&lt;&gt;"",F356&gt;=TODAY()),F356+ROW()/1000000,"")</f>
        <v/>
      </c>
    </row>
    <row r="357" customFormat="false" ht="15" hidden="false" customHeight="false" outlineLevel="0" collapsed="false">
      <c r="A357" s="12"/>
      <c r="B357" s="13"/>
      <c r="C357" s="13"/>
      <c r="D357" s="14"/>
      <c r="E357" s="15"/>
      <c r="F357" s="14"/>
      <c r="G357" s="12"/>
      <c r="H357" s="16" t="str">
        <f aca="true">IF(A357="","",IF(F357="","Belirsiz",IF(F357&lt;TODAY(),"Bitti",IF(F357&lt;=TODAY()+30,"30 gün içinde","Sürüyor"))))</f>
        <v/>
      </c>
      <c r="I357" s="17" t="str">
        <f aca="true">IF(OR(A357="",D357=""),"",(TODAY()-D357)/365.25)</f>
        <v/>
      </c>
      <c r="J357" s="16" t="str">
        <f aca="true">IF(AND(A357&lt;&gt;"",F357&lt;&gt;"",F357&gt;=TODAY()),F357+ROW()/1000000,"")</f>
        <v/>
      </c>
    </row>
    <row r="358" customFormat="false" ht="15" hidden="false" customHeight="false" outlineLevel="0" collapsed="false">
      <c r="A358" s="12"/>
      <c r="B358" s="13"/>
      <c r="C358" s="13"/>
      <c r="D358" s="14"/>
      <c r="E358" s="15"/>
      <c r="F358" s="14"/>
      <c r="G358" s="12"/>
      <c r="H358" s="16" t="str">
        <f aca="true">IF(A358="","",IF(F358="","Belirsiz",IF(F358&lt;TODAY(),"Bitti",IF(F358&lt;=TODAY()+30,"30 gün içinde","Sürüyor"))))</f>
        <v/>
      </c>
      <c r="I358" s="17" t="str">
        <f aca="true">IF(OR(A358="",D358=""),"",(TODAY()-D358)/365.25)</f>
        <v/>
      </c>
      <c r="J358" s="16" t="str">
        <f aca="true">IF(AND(A358&lt;&gt;"",F358&lt;&gt;"",F358&gt;=TODAY()),F358+ROW()/1000000,"")</f>
        <v/>
      </c>
    </row>
    <row r="359" customFormat="false" ht="15" hidden="false" customHeight="false" outlineLevel="0" collapsed="false">
      <c r="A359" s="12"/>
      <c r="B359" s="13"/>
      <c r="C359" s="13"/>
      <c r="D359" s="14"/>
      <c r="E359" s="15"/>
      <c r="F359" s="14"/>
      <c r="G359" s="12"/>
      <c r="H359" s="16" t="str">
        <f aca="true">IF(A359="","",IF(F359="","Belirsiz",IF(F359&lt;TODAY(),"Bitti",IF(F359&lt;=TODAY()+30,"30 gün içinde","Sürüyor"))))</f>
        <v/>
      </c>
      <c r="I359" s="17" t="str">
        <f aca="true">IF(OR(A359="",D359=""),"",(TODAY()-D359)/365.25)</f>
        <v/>
      </c>
      <c r="J359" s="16" t="str">
        <f aca="true">IF(AND(A359&lt;&gt;"",F359&lt;&gt;"",F359&gt;=TODAY()),F359+ROW()/1000000,"")</f>
        <v/>
      </c>
    </row>
    <row r="360" customFormat="false" ht="15" hidden="false" customHeight="false" outlineLevel="0" collapsed="false">
      <c r="A360" s="12"/>
      <c r="B360" s="13"/>
      <c r="C360" s="13"/>
      <c r="D360" s="14"/>
      <c r="E360" s="15"/>
      <c r="F360" s="14"/>
      <c r="G360" s="12"/>
      <c r="H360" s="16" t="str">
        <f aca="true">IF(A360="","",IF(F360="","Belirsiz",IF(F360&lt;TODAY(),"Bitti",IF(F360&lt;=TODAY()+30,"30 gün içinde","Sürüyor"))))</f>
        <v/>
      </c>
      <c r="I360" s="17" t="str">
        <f aca="true">IF(OR(A360="",D360=""),"",(TODAY()-D360)/365.25)</f>
        <v/>
      </c>
      <c r="J360" s="16" t="str">
        <f aca="true">IF(AND(A360&lt;&gt;"",F360&lt;&gt;"",F360&gt;=TODAY()),F360+ROW()/1000000,"")</f>
        <v/>
      </c>
    </row>
    <row r="361" customFormat="false" ht="15" hidden="false" customHeight="false" outlineLevel="0" collapsed="false">
      <c r="A361" s="12"/>
      <c r="B361" s="13"/>
      <c r="C361" s="13"/>
      <c r="D361" s="14"/>
      <c r="E361" s="15"/>
      <c r="F361" s="14"/>
      <c r="G361" s="12"/>
      <c r="H361" s="16" t="str">
        <f aca="true">IF(A361="","",IF(F361="","Belirsiz",IF(F361&lt;TODAY(),"Bitti",IF(F361&lt;=TODAY()+30,"30 gün içinde","Sürüyor"))))</f>
        <v/>
      </c>
      <c r="I361" s="17" t="str">
        <f aca="true">IF(OR(A361="",D361=""),"",(TODAY()-D361)/365.25)</f>
        <v/>
      </c>
      <c r="J361" s="16" t="str">
        <f aca="true">IF(AND(A361&lt;&gt;"",F361&lt;&gt;"",F361&gt;=TODAY()),F361+ROW()/1000000,"")</f>
        <v/>
      </c>
    </row>
    <row r="362" customFormat="false" ht="15" hidden="false" customHeight="false" outlineLevel="0" collapsed="false">
      <c r="A362" s="12"/>
      <c r="B362" s="13"/>
      <c r="C362" s="13"/>
      <c r="D362" s="14"/>
      <c r="E362" s="15"/>
      <c r="F362" s="14"/>
      <c r="G362" s="12"/>
      <c r="H362" s="16" t="str">
        <f aca="true">IF(A362="","",IF(F362="","Belirsiz",IF(F362&lt;TODAY(),"Bitti",IF(F362&lt;=TODAY()+30,"30 gün içinde","Sürüyor"))))</f>
        <v/>
      </c>
      <c r="I362" s="17" t="str">
        <f aca="true">IF(OR(A362="",D362=""),"",(TODAY()-D362)/365.25)</f>
        <v/>
      </c>
      <c r="J362" s="16" t="str">
        <f aca="true">IF(AND(A362&lt;&gt;"",F362&lt;&gt;"",F362&gt;=TODAY()),F362+ROW()/1000000,"")</f>
        <v/>
      </c>
    </row>
    <row r="363" customFormat="false" ht="15" hidden="false" customHeight="false" outlineLevel="0" collapsed="false">
      <c r="A363" s="12"/>
      <c r="B363" s="13"/>
      <c r="C363" s="13"/>
      <c r="D363" s="14"/>
      <c r="E363" s="15"/>
      <c r="F363" s="14"/>
      <c r="G363" s="12"/>
      <c r="H363" s="16" t="str">
        <f aca="true">IF(A363="","",IF(F363="","Belirsiz",IF(F363&lt;TODAY(),"Bitti",IF(F363&lt;=TODAY()+30,"30 gün içinde","Sürüyor"))))</f>
        <v/>
      </c>
      <c r="I363" s="17" t="str">
        <f aca="true">IF(OR(A363="",D363=""),"",(TODAY()-D363)/365.25)</f>
        <v/>
      </c>
      <c r="J363" s="16" t="str">
        <f aca="true">IF(AND(A363&lt;&gt;"",F363&lt;&gt;"",F363&gt;=TODAY()),F363+ROW()/1000000,"")</f>
        <v/>
      </c>
    </row>
    <row r="364" customFormat="false" ht="15" hidden="false" customHeight="false" outlineLevel="0" collapsed="false">
      <c r="A364" s="12"/>
      <c r="B364" s="13"/>
      <c r="C364" s="13"/>
      <c r="D364" s="14"/>
      <c r="E364" s="15"/>
      <c r="F364" s="14"/>
      <c r="G364" s="12"/>
      <c r="H364" s="16" t="str">
        <f aca="true">IF(A364="","",IF(F364="","Belirsiz",IF(F364&lt;TODAY(),"Bitti",IF(F364&lt;=TODAY()+30,"30 gün içinde","Sürüyor"))))</f>
        <v/>
      </c>
      <c r="I364" s="17" t="str">
        <f aca="true">IF(OR(A364="",D364=""),"",(TODAY()-D364)/365.25)</f>
        <v/>
      </c>
      <c r="J364" s="16" t="str">
        <f aca="true">IF(AND(A364&lt;&gt;"",F364&lt;&gt;"",F364&gt;=TODAY()),F364+ROW()/1000000,"")</f>
        <v/>
      </c>
    </row>
    <row r="365" customFormat="false" ht="15" hidden="false" customHeight="false" outlineLevel="0" collapsed="false">
      <c r="A365" s="12"/>
      <c r="B365" s="13"/>
      <c r="C365" s="13"/>
      <c r="D365" s="14"/>
      <c r="E365" s="15"/>
      <c r="F365" s="14"/>
      <c r="G365" s="12"/>
      <c r="H365" s="16" t="str">
        <f aca="true">IF(A365="","",IF(F365="","Belirsiz",IF(F365&lt;TODAY(),"Bitti",IF(F365&lt;=TODAY()+30,"30 gün içinde","Sürüyor"))))</f>
        <v/>
      </c>
      <c r="I365" s="17" t="str">
        <f aca="true">IF(OR(A365="",D365=""),"",(TODAY()-D365)/365.25)</f>
        <v/>
      </c>
      <c r="J365" s="16" t="str">
        <f aca="true">IF(AND(A365&lt;&gt;"",F365&lt;&gt;"",F365&gt;=TODAY()),F365+ROW()/1000000,"")</f>
        <v/>
      </c>
    </row>
    <row r="366" customFormat="false" ht="15" hidden="false" customHeight="false" outlineLevel="0" collapsed="false">
      <c r="A366" s="12"/>
      <c r="B366" s="13"/>
      <c r="C366" s="13"/>
      <c r="D366" s="14"/>
      <c r="E366" s="15"/>
      <c r="F366" s="14"/>
      <c r="G366" s="12"/>
      <c r="H366" s="16" t="str">
        <f aca="true">IF(A366="","",IF(F366="","Belirsiz",IF(F366&lt;TODAY(),"Bitti",IF(F366&lt;=TODAY()+30,"30 gün içinde","Sürüyor"))))</f>
        <v/>
      </c>
      <c r="I366" s="17" t="str">
        <f aca="true">IF(OR(A366="",D366=""),"",(TODAY()-D366)/365.25)</f>
        <v/>
      </c>
      <c r="J366" s="16" t="str">
        <f aca="true">IF(AND(A366&lt;&gt;"",F366&lt;&gt;"",F366&gt;=TODAY()),F366+ROW()/1000000,"")</f>
        <v/>
      </c>
    </row>
    <row r="367" customFormat="false" ht="15" hidden="false" customHeight="false" outlineLevel="0" collapsed="false">
      <c r="A367" s="12"/>
      <c r="B367" s="13"/>
      <c r="C367" s="13"/>
      <c r="D367" s="14"/>
      <c r="E367" s="15"/>
      <c r="F367" s="14"/>
      <c r="G367" s="12"/>
      <c r="H367" s="16" t="str">
        <f aca="true">IF(A367="","",IF(F367="","Belirsiz",IF(F367&lt;TODAY(),"Bitti",IF(F367&lt;=TODAY()+30,"30 gün içinde","Sürüyor"))))</f>
        <v/>
      </c>
      <c r="I367" s="17" t="str">
        <f aca="true">IF(OR(A367="",D367=""),"",(TODAY()-D367)/365.25)</f>
        <v/>
      </c>
      <c r="J367" s="16" t="str">
        <f aca="true">IF(AND(A367&lt;&gt;"",F367&lt;&gt;"",F367&gt;=TODAY()),F367+ROW()/1000000,"")</f>
        <v/>
      </c>
    </row>
    <row r="368" customFormat="false" ht="15" hidden="false" customHeight="false" outlineLevel="0" collapsed="false">
      <c r="A368" s="12"/>
      <c r="B368" s="13"/>
      <c r="C368" s="13"/>
      <c r="D368" s="14"/>
      <c r="E368" s="15"/>
      <c r="F368" s="14"/>
      <c r="G368" s="12"/>
      <c r="H368" s="16" t="str">
        <f aca="true">IF(A368="","",IF(F368="","Belirsiz",IF(F368&lt;TODAY(),"Bitti",IF(F368&lt;=TODAY()+30,"30 gün içinde","Sürüyor"))))</f>
        <v/>
      </c>
      <c r="I368" s="17" t="str">
        <f aca="true">IF(OR(A368="",D368=""),"",(TODAY()-D368)/365.25)</f>
        <v/>
      </c>
      <c r="J368" s="16" t="str">
        <f aca="true">IF(AND(A368&lt;&gt;"",F368&lt;&gt;"",F368&gt;=TODAY()),F368+ROW()/1000000,"")</f>
        <v/>
      </c>
    </row>
    <row r="369" customFormat="false" ht="15" hidden="false" customHeight="false" outlineLevel="0" collapsed="false">
      <c r="A369" s="12"/>
      <c r="B369" s="13"/>
      <c r="C369" s="13"/>
      <c r="D369" s="14"/>
      <c r="E369" s="15"/>
      <c r="F369" s="14"/>
      <c r="G369" s="12"/>
      <c r="H369" s="16" t="str">
        <f aca="true">IF(A369="","",IF(F369="","Belirsiz",IF(F369&lt;TODAY(),"Bitti",IF(F369&lt;=TODAY()+30,"30 gün içinde","Sürüyor"))))</f>
        <v/>
      </c>
      <c r="I369" s="17" t="str">
        <f aca="true">IF(OR(A369="",D369=""),"",(TODAY()-D369)/365.25)</f>
        <v/>
      </c>
      <c r="J369" s="16" t="str">
        <f aca="true">IF(AND(A369&lt;&gt;"",F369&lt;&gt;"",F369&gt;=TODAY()),F369+ROW()/1000000,"")</f>
        <v/>
      </c>
    </row>
    <row r="370" customFormat="false" ht="15" hidden="false" customHeight="false" outlineLevel="0" collapsed="false">
      <c r="A370" s="12"/>
      <c r="B370" s="13"/>
      <c r="C370" s="13"/>
      <c r="D370" s="14"/>
      <c r="E370" s="15"/>
      <c r="F370" s="14"/>
      <c r="G370" s="12"/>
      <c r="H370" s="16" t="str">
        <f aca="true">IF(A370="","",IF(F370="","Belirsiz",IF(F370&lt;TODAY(),"Bitti",IF(F370&lt;=TODAY()+30,"30 gün içinde","Sürüyor"))))</f>
        <v/>
      </c>
      <c r="I370" s="17" t="str">
        <f aca="true">IF(OR(A370="",D370=""),"",(TODAY()-D370)/365.25)</f>
        <v/>
      </c>
      <c r="J370" s="16" t="str">
        <f aca="true">IF(AND(A370&lt;&gt;"",F370&lt;&gt;"",F370&gt;=TODAY()),F370+ROW()/1000000,"")</f>
        <v/>
      </c>
    </row>
    <row r="371" customFormat="false" ht="15" hidden="false" customHeight="false" outlineLevel="0" collapsed="false">
      <c r="A371" s="12"/>
      <c r="B371" s="13"/>
      <c r="C371" s="13"/>
      <c r="D371" s="14"/>
      <c r="E371" s="15"/>
      <c r="F371" s="14"/>
      <c r="G371" s="12"/>
      <c r="H371" s="16" t="str">
        <f aca="true">IF(A371="","",IF(F371="","Belirsiz",IF(F371&lt;TODAY(),"Bitti",IF(F371&lt;=TODAY()+30,"30 gün içinde","Sürüyor"))))</f>
        <v/>
      </c>
      <c r="I371" s="17" t="str">
        <f aca="true">IF(OR(A371="",D371=""),"",(TODAY()-D371)/365.25)</f>
        <v/>
      </c>
      <c r="J371" s="16" t="str">
        <f aca="true">IF(AND(A371&lt;&gt;"",F371&lt;&gt;"",F371&gt;=TODAY()),F371+ROW()/1000000,"")</f>
        <v/>
      </c>
    </row>
    <row r="372" customFormat="false" ht="15" hidden="false" customHeight="false" outlineLevel="0" collapsed="false">
      <c r="A372" s="12"/>
      <c r="B372" s="13"/>
      <c r="C372" s="13"/>
      <c r="D372" s="14"/>
      <c r="E372" s="15"/>
      <c r="F372" s="14"/>
      <c r="G372" s="12"/>
      <c r="H372" s="16" t="str">
        <f aca="true">IF(A372="","",IF(F372="","Belirsiz",IF(F372&lt;TODAY(),"Bitti",IF(F372&lt;=TODAY()+30,"30 gün içinde","Sürüyor"))))</f>
        <v/>
      </c>
      <c r="I372" s="17" t="str">
        <f aca="true">IF(OR(A372="",D372=""),"",(TODAY()-D372)/365.25)</f>
        <v/>
      </c>
      <c r="J372" s="16" t="str">
        <f aca="true">IF(AND(A372&lt;&gt;"",F372&lt;&gt;"",F372&gt;=TODAY()),F372+ROW()/1000000,"")</f>
        <v/>
      </c>
    </row>
    <row r="373" customFormat="false" ht="15" hidden="false" customHeight="false" outlineLevel="0" collapsed="false">
      <c r="A373" s="12"/>
      <c r="B373" s="13"/>
      <c r="C373" s="13"/>
      <c r="D373" s="14"/>
      <c r="E373" s="15"/>
      <c r="F373" s="14"/>
      <c r="G373" s="12"/>
      <c r="H373" s="16" t="str">
        <f aca="true">IF(A373="","",IF(F373="","Belirsiz",IF(F373&lt;TODAY(),"Bitti",IF(F373&lt;=TODAY()+30,"30 gün içinde","Sürüyor"))))</f>
        <v/>
      </c>
      <c r="I373" s="17" t="str">
        <f aca="true">IF(OR(A373="",D373=""),"",(TODAY()-D373)/365.25)</f>
        <v/>
      </c>
      <c r="J373" s="16" t="str">
        <f aca="true">IF(AND(A373&lt;&gt;"",F373&lt;&gt;"",F373&gt;=TODAY()),F373+ROW()/1000000,"")</f>
        <v/>
      </c>
    </row>
    <row r="374" customFormat="false" ht="15" hidden="false" customHeight="false" outlineLevel="0" collapsed="false">
      <c r="A374" s="12"/>
      <c r="B374" s="13"/>
      <c r="C374" s="13"/>
      <c r="D374" s="14"/>
      <c r="E374" s="15"/>
      <c r="F374" s="14"/>
      <c r="G374" s="12"/>
      <c r="H374" s="16" t="str">
        <f aca="true">IF(A374="","",IF(F374="","Belirsiz",IF(F374&lt;TODAY(),"Bitti",IF(F374&lt;=TODAY()+30,"30 gün içinde","Sürüyor"))))</f>
        <v/>
      </c>
      <c r="I374" s="17" t="str">
        <f aca="true">IF(OR(A374="",D374=""),"",(TODAY()-D374)/365.25)</f>
        <v/>
      </c>
      <c r="J374" s="16" t="str">
        <f aca="true">IF(AND(A374&lt;&gt;"",F374&lt;&gt;"",F374&gt;=TODAY()),F374+ROW()/1000000,"")</f>
        <v/>
      </c>
    </row>
    <row r="375" customFormat="false" ht="15" hidden="false" customHeight="false" outlineLevel="0" collapsed="false">
      <c r="A375" s="12"/>
      <c r="B375" s="13"/>
      <c r="C375" s="13"/>
      <c r="D375" s="14"/>
      <c r="E375" s="15"/>
      <c r="F375" s="14"/>
      <c r="G375" s="12"/>
      <c r="H375" s="16" t="str">
        <f aca="true">IF(A375="","",IF(F375="","Belirsiz",IF(F375&lt;TODAY(),"Bitti",IF(F375&lt;=TODAY()+30,"30 gün içinde","Sürüyor"))))</f>
        <v/>
      </c>
      <c r="I375" s="17" t="str">
        <f aca="true">IF(OR(A375="",D375=""),"",(TODAY()-D375)/365.25)</f>
        <v/>
      </c>
      <c r="J375" s="16" t="str">
        <f aca="true">IF(AND(A375&lt;&gt;"",F375&lt;&gt;"",F375&gt;=TODAY()),F375+ROW()/1000000,"")</f>
        <v/>
      </c>
    </row>
    <row r="376" customFormat="false" ht="15" hidden="false" customHeight="false" outlineLevel="0" collapsed="false">
      <c r="A376" s="12"/>
      <c r="B376" s="13"/>
      <c r="C376" s="13"/>
      <c r="D376" s="14"/>
      <c r="E376" s="15"/>
      <c r="F376" s="14"/>
      <c r="G376" s="12"/>
      <c r="H376" s="16" t="str">
        <f aca="true">IF(A376="","",IF(F376="","Belirsiz",IF(F376&lt;TODAY(),"Bitti",IF(F376&lt;=TODAY()+30,"30 gün içinde","Sürüyor"))))</f>
        <v/>
      </c>
      <c r="I376" s="17" t="str">
        <f aca="true">IF(OR(A376="",D376=""),"",(TODAY()-D376)/365.25)</f>
        <v/>
      </c>
      <c r="J376" s="16" t="str">
        <f aca="true">IF(AND(A376&lt;&gt;"",F376&lt;&gt;"",F376&gt;=TODAY()),F376+ROW()/1000000,"")</f>
        <v/>
      </c>
    </row>
    <row r="377" customFormat="false" ht="15" hidden="false" customHeight="false" outlineLevel="0" collapsed="false">
      <c r="A377" s="12"/>
      <c r="B377" s="13"/>
      <c r="C377" s="13"/>
      <c r="D377" s="14"/>
      <c r="E377" s="15"/>
      <c r="F377" s="14"/>
      <c r="G377" s="12"/>
      <c r="H377" s="16" t="str">
        <f aca="true">IF(A377="","",IF(F377="","Belirsiz",IF(F377&lt;TODAY(),"Bitti",IF(F377&lt;=TODAY()+30,"30 gün içinde","Sürüyor"))))</f>
        <v/>
      </c>
      <c r="I377" s="17" t="str">
        <f aca="true">IF(OR(A377="",D377=""),"",(TODAY()-D377)/365.25)</f>
        <v/>
      </c>
      <c r="J377" s="16" t="str">
        <f aca="true">IF(AND(A377&lt;&gt;"",F377&lt;&gt;"",F377&gt;=TODAY()),F377+ROW()/1000000,"")</f>
        <v/>
      </c>
    </row>
    <row r="378" customFormat="false" ht="15" hidden="false" customHeight="false" outlineLevel="0" collapsed="false">
      <c r="A378" s="12"/>
      <c r="B378" s="13"/>
      <c r="C378" s="13"/>
      <c r="D378" s="14"/>
      <c r="E378" s="15"/>
      <c r="F378" s="14"/>
      <c r="G378" s="12"/>
      <c r="H378" s="16" t="str">
        <f aca="true">IF(A378="","",IF(F378="","Belirsiz",IF(F378&lt;TODAY(),"Bitti",IF(F378&lt;=TODAY()+30,"30 gün içinde","Sürüyor"))))</f>
        <v/>
      </c>
      <c r="I378" s="17" t="str">
        <f aca="true">IF(OR(A378="",D378=""),"",(TODAY()-D378)/365.25)</f>
        <v/>
      </c>
      <c r="J378" s="16" t="str">
        <f aca="true">IF(AND(A378&lt;&gt;"",F378&lt;&gt;"",F378&gt;=TODAY()),F378+ROW()/1000000,"")</f>
        <v/>
      </c>
    </row>
    <row r="379" customFormat="false" ht="15" hidden="false" customHeight="false" outlineLevel="0" collapsed="false">
      <c r="A379" s="12"/>
      <c r="B379" s="13"/>
      <c r="C379" s="13"/>
      <c r="D379" s="14"/>
      <c r="E379" s="15"/>
      <c r="F379" s="14"/>
      <c r="G379" s="12"/>
      <c r="H379" s="16" t="str">
        <f aca="true">IF(A379="","",IF(F379="","Belirsiz",IF(F379&lt;TODAY(),"Bitti",IF(F379&lt;=TODAY()+30,"30 gün içinde","Sürüyor"))))</f>
        <v/>
      </c>
      <c r="I379" s="17" t="str">
        <f aca="true">IF(OR(A379="",D379=""),"",(TODAY()-D379)/365.25)</f>
        <v/>
      </c>
      <c r="J379" s="16" t="str">
        <f aca="true">IF(AND(A379&lt;&gt;"",F379&lt;&gt;"",F379&gt;=TODAY()),F379+ROW()/1000000,"")</f>
        <v/>
      </c>
    </row>
    <row r="380" customFormat="false" ht="15" hidden="false" customHeight="false" outlineLevel="0" collapsed="false">
      <c r="A380" s="12"/>
      <c r="B380" s="13"/>
      <c r="C380" s="13"/>
      <c r="D380" s="14"/>
      <c r="E380" s="15"/>
      <c r="F380" s="14"/>
      <c r="G380" s="12"/>
      <c r="H380" s="16" t="str">
        <f aca="true">IF(A380="","",IF(F380="","Belirsiz",IF(F380&lt;TODAY(),"Bitti",IF(F380&lt;=TODAY()+30,"30 gün içinde","Sürüyor"))))</f>
        <v/>
      </c>
      <c r="I380" s="17" t="str">
        <f aca="true">IF(OR(A380="",D380=""),"",(TODAY()-D380)/365.25)</f>
        <v/>
      </c>
      <c r="J380" s="16" t="str">
        <f aca="true">IF(AND(A380&lt;&gt;"",F380&lt;&gt;"",F380&gt;=TODAY()),F380+ROW()/1000000,"")</f>
        <v/>
      </c>
    </row>
    <row r="381" customFormat="false" ht="15" hidden="false" customHeight="false" outlineLevel="0" collapsed="false">
      <c r="A381" s="12"/>
      <c r="B381" s="13"/>
      <c r="C381" s="13"/>
      <c r="D381" s="14"/>
      <c r="E381" s="15"/>
      <c r="F381" s="14"/>
      <c r="G381" s="12"/>
      <c r="H381" s="16" t="str">
        <f aca="true">IF(A381="","",IF(F381="","Belirsiz",IF(F381&lt;TODAY(),"Bitti",IF(F381&lt;=TODAY()+30,"30 gün içinde","Sürüyor"))))</f>
        <v/>
      </c>
      <c r="I381" s="17" t="str">
        <f aca="true">IF(OR(A381="",D381=""),"",(TODAY()-D381)/365.25)</f>
        <v/>
      </c>
      <c r="J381" s="16" t="str">
        <f aca="true">IF(AND(A381&lt;&gt;"",F381&lt;&gt;"",F381&gt;=TODAY()),F381+ROW()/1000000,"")</f>
        <v/>
      </c>
    </row>
    <row r="382" customFormat="false" ht="15" hidden="false" customHeight="false" outlineLevel="0" collapsed="false">
      <c r="A382" s="12"/>
      <c r="B382" s="13"/>
      <c r="C382" s="13"/>
      <c r="D382" s="14"/>
      <c r="E382" s="15"/>
      <c r="F382" s="14"/>
      <c r="G382" s="12"/>
      <c r="H382" s="16" t="str">
        <f aca="true">IF(A382="","",IF(F382="","Belirsiz",IF(F382&lt;TODAY(),"Bitti",IF(F382&lt;=TODAY()+30,"30 gün içinde","Sürüyor"))))</f>
        <v/>
      </c>
      <c r="I382" s="17" t="str">
        <f aca="true">IF(OR(A382="",D382=""),"",(TODAY()-D382)/365.25)</f>
        <v/>
      </c>
      <c r="J382" s="16" t="str">
        <f aca="true">IF(AND(A382&lt;&gt;"",F382&lt;&gt;"",F382&gt;=TODAY()),F382+ROW()/1000000,"")</f>
        <v/>
      </c>
    </row>
    <row r="383" customFormat="false" ht="15" hidden="false" customHeight="false" outlineLevel="0" collapsed="false">
      <c r="A383" s="12"/>
      <c r="B383" s="13"/>
      <c r="C383" s="13"/>
      <c r="D383" s="14"/>
      <c r="E383" s="15"/>
      <c r="F383" s="14"/>
      <c r="G383" s="12"/>
      <c r="H383" s="16" t="str">
        <f aca="true">IF(A383="","",IF(F383="","Belirsiz",IF(F383&lt;TODAY(),"Bitti",IF(F383&lt;=TODAY()+30,"30 gün içinde","Sürüyor"))))</f>
        <v/>
      </c>
      <c r="I383" s="17" t="str">
        <f aca="true">IF(OR(A383="",D383=""),"",(TODAY()-D383)/365.25)</f>
        <v/>
      </c>
      <c r="J383" s="16" t="str">
        <f aca="true">IF(AND(A383&lt;&gt;"",F383&lt;&gt;"",F383&gt;=TODAY()),F383+ROW()/1000000,"")</f>
        <v/>
      </c>
    </row>
    <row r="384" customFormat="false" ht="15" hidden="false" customHeight="false" outlineLevel="0" collapsed="false">
      <c r="A384" s="12"/>
      <c r="B384" s="13"/>
      <c r="C384" s="13"/>
      <c r="D384" s="14"/>
      <c r="E384" s="15"/>
      <c r="F384" s="14"/>
      <c r="G384" s="12"/>
      <c r="H384" s="16" t="str">
        <f aca="true">IF(A384="","",IF(F384="","Belirsiz",IF(F384&lt;TODAY(),"Bitti",IF(F384&lt;=TODAY()+30,"30 gün içinde","Sürüyor"))))</f>
        <v/>
      </c>
      <c r="I384" s="17" t="str">
        <f aca="true">IF(OR(A384="",D384=""),"",(TODAY()-D384)/365.25)</f>
        <v/>
      </c>
      <c r="J384" s="16" t="str">
        <f aca="true">IF(AND(A384&lt;&gt;"",F384&lt;&gt;"",F384&gt;=TODAY()),F384+ROW()/1000000,"")</f>
        <v/>
      </c>
    </row>
    <row r="385" customFormat="false" ht="15" hidden="false" customHeight="false" outlineLevel="0" collapsed="false">
      <c r="A385" s="12"/>
      <c r="B385" s="13"/>
      <c r="C385" s="13"/>
      <c r="D385" s="14"/>
      <c r="E385" s="15"/>
      <c r="F385" s="14"/>
      <c r="G385" s="12"/>
      <c r="H385" s="16" t="str">
        <f aca="true">IF(A385="","",IF(F385="","Belirsiz",IF(F385&lt;TODAY(),"Bitti",IF(F385&lt;=TODAY()+30,"30 gün içinde","Sürüyor"))))</f>
        <v/>
      </c>
      <c r="I385" s="17" t="str">
        <f aca="true">IF(OR(A385="",D385=""),"",(TODAY()-D385)/365.25)</f>
        <v/>
      </c>
      <c r="J385" s="16" t="str">
        <f aca="true">IF(AND(A385&lt;&gt;"",F385&lt;&gt;"",F385&gt;=TODAY()),F385+ROW()/1000000,"")</f>
        <v/>
      </c>
    </row>
    <row r="386" customFormat="false" ht="15" hidden="false" customHeight="false" outlineLevel="0" collapsed="false">
      <c r="A386" s="12"/>
      <c r="B386" s="13"/>
      <c r="C386" s="13"/>
      <c r="D386" s="14"/>
      <c r="E386" s="15"/>
      <c r="F386" s="14"/>
      <c r="G386" s="12"/>
      <c r="H386" s="16" t="str">
        <f aca="true">IF(A386="","",IF(F386="","Belirsiz",IF(F386&lt;TODAY(),"Bitti",IF(F386&lt;=TODAY()+30,"30 gün içinde","Sürüyor"))))</f>
        <v/>
      </c>
      <c r="I386" s="17" t="str">
        <f aca="true">IF(OR(A386="",D386=""),"",(TODAY()-D386)/365.25)</f>
        <v/>
      </c>
      <c r="J386" s="16" t="str">
        <f aca="true">IF(AND(A386&lt;&gt;"",F386&lt;&gt;"",F386&gt;=TODAY()),F386+ROW()/1000000,"")</f>
        <v/>
      </c>
    </row>
    <row r="387" customFormat="false" ht="15" hidden="false" customHeight="false" outlineLevel="0" collapsed="false">
      <c r="A387" s="12"/>
      <c r="B387" s="13"/>
      <c r="C387" s="13"/>
      <c r="D387" s="14"/>
      <c r="E387" s="15"/>
      <c r="F387" s="14"/>
      <c r="G387" s="12"/>
      <c r="H387" s="16" t="str">
        <f aca="true">IF(A387="","",IF(F387="","Belirsiz",IF(F387&lt;TODAY(),"Bitti",IF(F387&lt;=TODAY()+30,"30 gün içinde","Sürüyor"))))</f>
        <v/>
      </c>
      <c r="I387" s="17" t="str">
        <f aca="true">IF(OR(A387="",D387=""),"",(TODAY()-D387)/365.25)</f>
        <v/>
      </c>
      <c r="J387" s="16" t="str">
        <f aca="true">IF(AND(A387&lt;&gt;"",F387&lt;&gt;"",F387&gt;=TODAY()),F387+ROW()/1000000,"")</f>
        <v/>
      </c>
    </row>
    <row r="388" customFormat="false" ht="15" hidden="false" customHeight="false" outlineLevel="0" collapsed="false">
      <c r="A388" s="12"/>
      <c r="B388" s="13"/>
      <c r="C388" s="13"/>
      <c r="D388" s="14"/>
      <c r="E388" s="15"/>
      <c r="F388" s="14"/>
      <c r="G388" s="12"/>
      <c r="H388" s="16" t="str">
        <f aca="true">IF(A388="","",IF(F388="","Belirsiz",IF(F388&lt;TODAY(),"Bitti",IF(F388&lt;=TODAY()+30,"30 gün içinde","Sürüyor"))))</f>
        <v/>
      </c>
      <c r="I388" s="17" t="str">
        <f aca="true">IF(OR(A388="",D388=""),"",(TODAY()-D388)/365.25)</f>
        <v/>
      </c>
      <c r="J388" s="16" t="str">
        <f aca="true">IF(AND(A388&lt;&gt;"",F388&lt;&gt;"",F388&gt;=TODAY()),F388+ROW()/1000000,"")</f>
        <v/>
      </c>
    </row>
    <row r="389" customFormat="false" ht="15" hidden="false" customHeight="false" outlineLevel="0" collapsed="false">
      <c r="A389" s="12"/>
      <c r="B389" s="13"/>
      <c r="C389" s="13"/>
      <c r="D389" s="14"/>
      <c r="E389" s="15"/>
      <c r="F389" s="14"/>
      <c r="G389" s="12"/>
      <c r="H389" s="16" t="str">
        <f aca="true">IF(A389="","",IF(F389="","Belirsiz",IF(F389&lt;TODAY(),"Bitti",IF(F389&lt;=TODAY()+30,"30 gün içinde","Sürüyor"))))</f>
        <v/>
      </c>
      <c r="I389" s="17" t="str">
        <f aca="true">IF(OR(A389="",D389=""),"",(TODAY()-D389)/365.25)</f>
        <v/>
      </c>
      <c r="J389" s="16" t="str">
        <f aca="true">IF(AND(A389&lt;&gt;"",F389&lt;&gt;"",F389&gt;=TODAY()),F389+ROW()/1000000,"")</f>
        <v/>
      </c>
    </row>
    <row r="390" customFormat="false" ht="15" hidden="false" customHeight="false" outlineLevel="0" collapsed="false">
      <c r="A390" s="12"/>
      <c r="B390" s="13"/>
      <c r="C390" s="13"/>
      <c r="D390" s="14"/>
      <c r="E390" s="15"/>
      <c r="F390" s="14"/>
      <c r="G390" s="12"/>
      <c r="H390" s="16" t="str">
        <f aca="true">IF(A390="","",IF(F390="","Belirsiz",IF(F390&lt;TODAY(),"Bitti",IF(F390&lt;=TODAY()+30,"30 gün içinde","Sürüyor"))))</f>
        <v/>
      </c>
      <c r="I390" s="17" t="str">
        <f aca="true">IF(OR(A390="",D390=""),"",(TODAY()-D390)/365.25)</f>
        <v/>
      </c>
      <c r="J390" s="16" t="str">
        <f aca="true">IF(AND(A390&lt;&gt;"",F390&lt;&gt;"",F390&gt;=TODAY()),F390+ROW()/1000000,"")</f>
        <v/>
      </c>
    </row>
    <row r="391" customFormat="false" ht="15" hidden="false" customHeight="false" outlineLevel="0" collapsed="false">
      <c r="A391" s="12"/>
      <c r="B391" s="13"/>
      <c r="C391" s="13"/>
      <c r="D391" s="14"/>
      <c r="E391" s="15"/>
      <c r="F391" s="14"/>
      <c r="G391" s="12"/>
      <c r="H391" s="16" t="str">
        <f aca="true">IF(A391="","",IF(F391="","Belirsiz",IF(F391&lt;TODAY(),"Bitti",IF(F391&lt;=TODAY()+30,"30 gün içinde","Sürüyor"))))</f>
        <v/>
      </c>
      <c r="I391" s="17" t="str">
        <f aca="true">IF(OR(A391="",D391=""),"",(TODAY()-D391)/365.25)</f>
        <v/>
      </c>
      <c r="J391" s="16" t="str">
        <f aca="true">IF(AND(A391&lt;&gt;"",F391&lt;&gt;"",F391&gt;=TODAY()),F391+ROW()/1000000,"")</f>
        <v/>
      </c>
    </row>
    <row r="392" customFormat="false" ht="15" hidden="false" customHeight="false" outlineLevel="0" collapsed="false">
      <c r="A392" s="12"/>
      <c r="B392" s="13"/>
      <c r="C392" s="13"/>
      <c r="D392" s="14"/>
      <c r="E392" s="15"/>
      <c r="F392" s="14"/>
      <c r="G392" s="12"/>
      <c r="H392" s="16" t="str">
        <f aca="true">IF(A392="","",IF(F392="","Belirsiz",IF(F392&lt;TODAY(),"Bitti",IF(F392&lt;=TODAY()+30,"30 gün içinde","Sürüyor"))))</f>
        <v/>
      </c>
      <c r="I392" s="17" t="str">
        <f aca="true">IF(OR(A392="",D392=""),"",(TODAY()-D392)/365.25)</f>
        <v/>
      </c>
      <c r="J392" s="16" t="str">
        <f aca="true">IF(AND(A392&lt;&gt;"",F392&lt;&gt;"",F392&gt;=TODAY()),F392+ROW()/1000000,"")</f>
        <v/>
      </c>
    </row>
    <row r="393" customFormat="false" ht="15" hidden="false" customHeight="false" outlineLevel="0" collapsed="false">
      <c r="A393" s="12"/>
      <c r="B393" s="13"/>
      <c r="C393" s="13"/>
      <c r="D393" s="14"/>
      <c r="E393" s="15"/>
      <c r="F393" s="14"/>
      <c r="G393" s="12"/>
      <c r="H393" s="16" t="str">
        <f aca="true">IF(A393="","",IF(F393="","Belirsiz",IF(F393&lt;TODAY(),"Bitti",IF(F393&lt;=TODAY()+30,"30 gün içinde","Sürüyor"))))</f>
        <v/>
      </c>
      <c r="I393" s="17" t="str">
        <f aca="true">IF(OR(A393="",D393=""),"",(TODAY()-D393)/365.25)</f>
        <v/>
      </c>
      <c r="J393" s="16" t="str">
        <f aca="true">IF(AND(A393&lt;&gt;"",F393&lt;&gt;"",F393&gt;=TODAY()),F393+ROW()/1000000,"")</f>
        <v/>
      </c>
    </row>
    <row r="394" customFormat="false" ht="15" hidden="false" customHeight="false" outlineLevel="0" collapsed="false">
      <c r="A394" s="12"/>
      <c r="B394" s="13"/>
      <c r="C394" s="13"/>
      <c r="D394" s="14"/>
      <c r="E394" s="15"/>
      <c r="F394" s="14"/>
      <c r="G394" s="12"/>
      <c r="H394" s="16" t="str">
        <f aca="true">IF(A394="","",IF(F394="","Belirsiz",IF(F394&lt;TODAY(),"Bitti",IF(F394&lt;=TODAY()+30,"30 gün içinde","Sürüyor"))))</f>
        <v/>
      </c>
      <c r="I394" s="17" t="str">
        <f aca="true">IF(OR(A394="",D394=""),"",(TODAY()-D394)/365.25)</f>
        <v/>
      </c>
      <c r="J394" s="16" t="str">
        <f aca="true">IF(AND(A394&lt;&gt;"",F394&lt;&gt;"",F394&gt;=TODAY()),F394+ROW()/1000000,"")</f>
        <v/>
      </c>
    </row>
    <row r="395" customFormat="false" ht="15" hidden="false" customHeight="false" outlineLevel="0" collapsed="false">
      <c r="A395" s="12"/>
      <c r="B395" s="13"/>
      <c r="C395" s="13"/>
      <c r="D395" s="14"/>
      <c r="E395" s="15"/>
      <c r="F395" s="14"/>
      <c r="G395" s="12"/>
      <c r="H395" s="16" t="str">
        <f aca="true">IF(A395="","",IF(F395="","Belirsiz",IF(F395&lt;TODAY(),"Bitti",IF(F395&lt;=TODAY()+30,"30 gün içinde","Sürüyor"))))</f>
        <v/>
      </c>
      <c r="I395" s="17" t="str">
        <f aca="true">IF(OR(A395="",D395=""),"",(TODAY()-D395)/365.25)</f>
        <v/>
      </c>
      <c r="J395" s="16" t="str">
        <f aca="true">IF(AND(A395&lt;&gt;"",F395&lt;&gt;"",F395&gt;=TODAY()),F395+ROW()/1000000,"")</f>
        <v/>
      </c>
    </row>
    <row r="396" customFormat="false" ht="15" hidden="false" customHeight="false" outlineLevel="0" collapsed="false">
      <c r="A396" s="12"/>
      <c r="B396" s="13"/>
      <c r="C396" s="13"/>
      <c r="D396" s="14"/>
      <c r="E396" s="15"/>
      <c r="F396" s="14"/>
      <c r="G396" s="12"/>
      <c r="H396" s="16" t="str">
        <f aca="true">IF(A396="","",IF(F396="","Belirsiz",IF(F396&lt;TODAY(),"Bitti",IF(F396&lt;=TODAY()+30,"30 gün içinde","Sürüyor"))))</f>
        <v/>
      </c>
      <c r="I396" s="17" t="str">
        <f aca="true">IF(OR(A396="",D396=""),"",(TODAY()-D396)/365.25)</f>
        <v/>
      </c>
      <c r="J396" s="16" t="str">
        <f aca="true">IF(AND(A396&lt;&gt;"",F396&lt;&gt;"",F396&gt;=TODAY()),F396+ROW()/1000000,"")</f>
        <v/>
      </c>
    </row>
    <row r="397" customFormat="false" ht="15" hidden="false" customHeight="false" outlineLevel="0" collapsed="false">
      <c r="A397" s="12"/>
      <c r="B397" s="13"/>
      <c r="C397" s="13"/>
      <c r="D397" s="14"/>
      <c r="E397" s="15"/>
      <c r="F397" s="14"/>
      <c r="G397" s="12"/>
      <c r="H397" s="16" t="str">
        <f aca="true">IF(A397="","",IF(F397="","Belirsiz",IF(F397&lt;TODAY(),"Bitti",IF(F397&lt;=TODAY()+30,"30 gün içinde","Sürüyor"))))</f>
        <v/>
      </c>
      <c r="I397" s="17" t="str">
        <f aca="true">IF(OR(A397="",D397=""),"",(TODAY()-D397)/365.25)</f>
        <v/>
      </c>
      <c r="J397" s="16" t="str">
        <f aca="true">IF(AND(A397&lt;&gt;"",F397&lt;&gt;"",F397&gt;=TODAY()),F397+ROW()/1000000,"")</f>
        <v/>
      </c>
    </row>
    <row r="398" customFormat="false" ht="15" hidden="false" customHeight="false" outlineLevel="0" collapsed="false">
      <c r="A398" s="12"/>
      <c r="B398" s="13"/>
      <c r="C398" s="13"/>
      <c r="D398" s="14"/>
      <c r="E398" s="15"/>
      <c r="F398" s="14"/>
      <c r="G398" s="12"/>
      <c r="H398" s="16" t="str">
        <f aca="true">IF(A398="","",IF(F398="","Belirsiz",IF(F398&lt;TODAY(),"Bitti",IF(F398&lt;=TODAY()+30,"30 gün içinde","Sürüyor"))))</f>
        <v/>
      </c>
      <c r="I398" s="17" t="str">
        <f aca="true">IF(OR(A398="",D398=""),"",(TODAY()-D398)/365.25)</f>
        <v/>
      </c>
      <c r="J398" s="16" t="str">
        <f aca="true">IF(AND(A398&lt;&gt;"",F398&lt;&gt;"",F398&gt;=TODAY()),F398+ROW()/1000000,"")</f>
        <v/>
      </c>
    </row>
    <row r="399" customFormat="false" ht="15" hidden="false" customHeight="false" outlineLevel="0" collapsed="false">
      <c r="A399" s="12"/>
      <c r="B399" s="13"/>
      <c r="C399" s="13"/>
      <c r="D399" s="14"/>
      <c r="E399" s="15"/>
      <c r="F399" s="14"/>
      <c r="G399" s="12"/>
      <c r="H399" s="16" t="str">
        <f aca="true">IF(A399="","",IF(F399="","Belirsiz",IF(F399&lt;TODAY(),"Bitti",IF(F399&lt;=TODAY()+30,"30 gün içinde","Sürüyor"))))</f>
        <v/>
      </c>
      <c r="I399" s="17" t="str">
        <f aca="true">IF(OR(A399="",D399=""),"",(TODAY()-D399)/365.25)</f>
        <v/>
      </c>
      <c r="J399" s="16" t="str">
        <f aca="true">IF(AND(A399&lt;&gt;"",F399&lt;&gt;"",F399&gt;=TODAY()),F399+ROW()/1000000,"")</f>
        <v/>
      </c>
    </row>
    <row r="400" customFormat="false" ht="15" hidden="false" customHeight="false" outlineLevel="0" collapsed="false">
      <c r="A400" s="12"/>
      <c r="B400" s="13"/>
      <c r="C400" s="13"/>
      <c r="D400" s="14"/>
      <c r="E400" s="15"/>
      <c r="F400" s="14"/>
      <c r="G400" s="12"/>
      <c r="H400" s="16" t="str">
        <f aca="true">IF(A400="","",IF(F400="","Belirsiz",IF(F400&lt;TODAY(),"Bitti",IF(F400&lt;=TODAY()+30,"30 gün içinde","Sürüyor"))))</f>
        <v/>
      </c>
      <c r="I400" s="17" t="str">
        <f aca="true">IF(OR(A400="",D400=""),"",(TODAY()-D400)/365.25)</f>
        <v/>
      </c>
      <c r="J400" s="16" t="str">
        <f aca="true">IF(AND(A400&lt;&gt;"",F400&lt;&gt;"",F400&gt;=TODAY()),F400+ROW()/1000000,"")</f>
        <v/>
      </c>
    </row>
    <row r="401" customFormat="false" ht="15" hidden="false" customHeight="false" outlineLevel="0" collapsed="false">
      <c r="A401" s="12"/>
      <c r="B401" s="13"/>
      <c r="C401" s="13"/>
      <c r="D401" s="14"/>
      <c r="E401" s="15"/>
      <c r="F401" s="14"/>
      <c r="G401" s="12"/>
      <c r="H401" s="16" t="str">
        <f aca="true">IF(A401="","",IF(F401="","Belirsiz",IF(F401&lt;TODAY(),"Bitti",IF(F401&lt;=TODAY()+30,"30 gün içinde","Sürüyor"))))</f>
        <v/>
      </c>
      <c r="I401" s="17" t="str">
        <f aca="true">IF(OR(A401="",D401=""),"",(TODAY()-D401)/365.25)</f>
        <v/>
      </c>
      <c r="J401" s="16" t="str">
        <f aca="true">IF(AND(A401&lt;&gt;"",F401&lt;&gt;"",F401&gt;=TODAY()),F401+ROW()/1000000,"")</f>
        <v/>
      </c>
    </row>
    <row r="402" customFormat="false" ht="15" hidden="false" customHeight="false" outlineLevel="0" collapsed="false">
      <c r="A402" s="12"/>
      <c r="B402" s="13"/>
      <c r="C402" s="13"/>
      <c r="D402" s="14"/>
      <c r="E402" s="15"/>
      <c r="F402" s="14"/>
      <c r="G402" s="12"/>
      <c r="H402" s="16" t="str">
        <f aca="true">IF(A402="","",IF(F402="","Belirsiz",IF(F402&lt;TODAY(),"Bitti",IF(F402&lt;=TODAY()+30,"30 gün içinde","Sürüyor"))))</f>
        <v/>
      </c>
      <c r="I402" s="17" t="str">
        <f aca="true">IF(OR(A402="",D402=""),"",(TODAY()-D402)/365.25)</f>
        <v/>
      </c>
      <c r="J402" s="16" t="str">
        <f aca="true">IF(AND(A402&lt;&gt;"",F402&lt;&gt;"",F402&gt;=TODAY()),F402+ROW()/1000000,"")</f>
        <v/>
      </c>
    </row>
    <row r="403" customFormat="false" ht="15" hidden="false" customHeight="false" outlineLevel="0" collapsed="false">
      <c r="A403" s="12"/>
      <c r="B403" s="13"/>
      <c r="C403" s="13"/>
      <c r="D403" s="14"/>
      <c r="E403" s="15"/>
      <c r="F403" s="14"/>
      <c r="G403" s="12"/>
      <c r="H403" s="16" t="str">
        <f aca="true">IF(A403="","",IF(F403="","Belirsiz",IF(F403&lt;TODAY(),"Bitti",IF(F403&lt;=TODAY()+30,"30 gün içinde","Sürüyor"))))</f>
        <v/>
      </c>
      <c r="I403" s="17" t="str">
        <f aca="true">IF(OR(A403="",D403=""),"",(TODAY()-D403)/365.25)</f>
        <v/>
      </c>
      <c r="J403" s="16" t="str">
        <f aca="true">IF(AND(A403&lt;&gt;"",F403&lt;&gt;"",F403&gt;=TODAY()),F403+ROW()/1000000,"")</f>
        <v/>
      </c>
    </row>
    <row r="404" customFormat="false" ht="15" hidden="false" customHeight="false" outlineLevel="0" collapsed="false">
      <c r="A404" s="12"/>
      <c r="B404" s="13"/>
      <c r="C404" s="13"/>
      <c r="D404" s="14"/>
      <c r="E404" s="15"/>
      <c r="F404" s="14"/>
      <c r="G404" s="12"/>
      <c r="H404" s="16" t="str">
        <f aca="true">IF(A404="","",IF(F404="","Belirsiz",IF(F404&lt;TODAY(),"Bitti",IF(F404&lt;=TODAY()+30,"30 gün içinde","Sürüyor"))))</f>
        <v/>
      </c>
      <c r="I404" s="17" t="str">
        <f aca="true">IF(OR(A404="",D404=""),"",(TODAY()-D404)/365.25)</f>
        <v/>
      </c>
      <c r="J404" s="16" t="str">
        <f aca="true">IF(AND(A404&lt;&gt;"",F404&lt;&gt;"",F404&gt;=TODAY()),F404+ROW()/1000000,"")</f>
        <v/>
      </c>
    </row>
  </sheetData>
  <conditionalFormatting sqref="H5:H404">
    <cfRule type="cellIs" priority="2" operator="equal" aboveAverage="0" equalAverage="0" bottom="0" percent="0" rank="0" text="" dxfId="0">
      <formula>"Bitti"</formula>
    </cfRule>
    <cfRule type="cellIs" priority="3" operator="equal" aboveAverage="0" equalAverage="0" bottom="0" percent="0" rank="0" text="" dxfId="1">
      <formula>"30 gün içinde"</formula>
    </cfRule>
  </conditionalFormatting>
  <dataValidations count="4">
    <dataValidation allowBlank="true" error="Listeden seç." errorStyle="stop" errorTitle="Kontrol" operator="between" showDropDown="false" showErrorMessage="true" showInputMessage="false" sqref="B5:B404" type="list">
      <formula1>Listeler!$A$5:$A$34</formula1>
      <formula2>0</formula2>
    </dataValidation>
    <dataValidation allowBlank="true" error="Listeden seç." errorStyle="stop" errorTitle="Kontrol" operator="between" showDropDown="false" showErrorMessage="true" showInputMessage="false" sqref="C5:C404" type="list">
      <formula1>Listeler!$B$5:$B$34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D5:D404 F5:F404" type="date">
      <formula1>36526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E5:E4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47</v>
      </c>
    </row>
    <row r="2" customFormat="false" ht="15" hidden="false" customHeight="false" outlineLevel="0" collapsed="false">
      <c r="A2" s="9" t="s">
        <v>48</v>
      </c>
    </row>
    <row r="5" customFormat="false" ht="30" hidden="false" customHeight="true" outlineLevel="0" collapsed="false">
      <c r="B5" s="19" t="s">
        <v>24</v>
      </c>
      <c r="C5" s="19" t="s">
        <v>49</v>
      </c>
      <c r="D5" s="19" t="s">
        <v>50</v>
      </c>
      <c r="E5" s="19" t="s">
        <v>51</v>
      </c>
    </row>
    <row r="6" customFormat="false" ht="27.75" hidden="false" customHeight="true" outlineLevel="0" collapsed="false">
      <c r="B6" s="20" t="n">
        <f aca="false">COUNTA(Eşyalar!$A$5:$A$404)</f>
        <v>5</v>
      </c>
      <c r="C6" s="21" t="n">
        <f aca="false">SUM(Eşyalar!$E$5:$E$404)</f>
        <v>202000</v>
      </c>
      <c r="D6" s="20" t="n">
        <f aca="false">COUNTIF(Eşyalar!$H$5:$H$404,"Sürüyor")+COUNTIF(Eşyalar!$H$5:$H$404,"30 gün içinde")</f>
        <v>3</v>
      </c>
      <c r="E6" s="22" t="n">
        <f aca="false">COUNTIF(Eşyalar!$H$5:$H$404,"30 gün içinde")</f>
        <v>1</v>
      </c>
    </row>
    <row r="8" customFormat="false" ht="15" hidden="false" customHeight="false" outlineLevel="0" collapsed="false">
      <c r="B8" s="23" t="s">
        <v>52</v>
      </c>
      <c r="I8" s="23" t="s">
        <v>53</v>
      </c>
    </row>
    <row r="9" customFormat="false" ht="21.75" hidden="false" customHeight="true" outlineLevel="0" collapsed="false">
      <c r="B9" s="10" t="s">
        <v>25</v>
      </c>
      <c r="C9" s="10" t="s">
        <v>54</v>
      </c>
      <c r="D9" s="10" t="s">
        <v>28</v>
      </c>
      <c r="I9" s="10" t="s">
        <v>24</v>
      </c>
      <c r="J9" s="10" t="s">
        <v>29</v>
      </c>
    </row>
    <row r="10" customFormat="false" ht="15" hidden="false" customHeight="false" outlineLevel="0" collapsed="false">
      <c r="B10" s="24" t="str">
        <f aca="false">IF(Listeler!A5="","",Listeler!A5)</f>
        <v>Salon</v>
      </c>
      <c r="C10" s="25" t="n">
        <f aca="false">IF(B10="","",COUNTIF(Eşyalar!$B$5:$B$404,B10))</f>
        <v>2</v>
      </c>
      <c r="D10" s="26" t="n">
        <f aca="false">IF(B10="","",SUMIFS(Eşyalar!$E$5:$E$404,Eşyalar!$B$5:$B$404,B10))</f>
        <v>98000</v>
      </c>
      <c r="I10" s="24" t="str">
        <f aca="false">IFERROR(INDEX(Eşyalar!$A$5:$A$404,MATCH(SMALL(Eşyalar!$J$5:$J$404,1),Eşyalar!$J$5:$J$404,0))&amp;"","")</f>
        <v>Televizyon</v>
      </c>
      <c r="J10" s="27" t="n">
        <f aca="false">IF(I10="","",INDEX(Eşyalar!$F$5:$F$404,MATCH(SMALL(Eşyalar!$J$5:$J$404,1),Eşyalar!$J$5:$J$404,0)))</f>
        <v>46319</v>
      </c>
    </row>
    <row r="11" customFormat="false" ht="15" hidden="false" customHeight="false" outlineLevel="0" collapsed="false">
      <c r="B11" s="28" t="str">
        <f aca="false">IF(Listeler!A6="","",Listeler!A6)</f>
        <v>Mutfak</v>
      </c>
      <c r="C11" s="29" t="n">
        <f aca="false">IF(B11="","",COUNTIF(Eşyalar!$B$5:$B$404,B11))</f>
        <v>2</v>
      </c>
      <c r="D11" s="30" t="n">
        <f aca="false">IF(B11="","",SUMIFS(Eşyalar!$E$5:$E$404,Eşyalar!$B$5:$B$404,B11))</f>
        <v>52000</v>
      </c>
      <c r="I11" s="28" t="str">
        <f aca="false">IFERROR(INDEX(Eşyalar!$A$5:$A$404,MATCH(SMALL(Eşyalar!$J$5:$J$404,2),Eşyalar!$J$5:$J$404,0))&amp;"","")</f>
        <v>Dizüstü bilgisayar</v>
      </c>
      <c r="J11" s="31" t="n">
        <f aca="false">IF(I11="","",INDEX(Eşyalar!$F$5:$F$404,MATCH(SMALL(Eşyalar!$J$5:$J$404,2),Eşyalar!$J$5:$J$404,0)))</f>
        <v>46432</v>
      </c>
    </row>
    <row r="12" customFormat="false" ht="15" hidden="false" customHeight="false" outlineLevel="0" collapsed="false">
      <c r="B12" s="24" t="str">
        <f aca="false">IF(Listeler!A7="","",Listeler!A7)</f>
        <v>Yatak odası</v>
      </c>
      <c r="C12" s="25" t="n">
        <f aca="false">IF(B12="","",COUNTIF(Eşyalar!$B$5:$B$404,B12))</f>
        <v>1</v>
      </c>
      <c r="D12" s="26" t="n">
        <f aca="false">IF(B12="","",SUMIFS(Eşyalar!$E$5:$E$404,Eşyalar!$B$5:$B$404,B12))</f>
        <v>52000</v>
      </c>
      <c r="I12" s="24" t="str">
        <f aca="false">IFERROR(INDEX(Eşyalar!$A$5:$A$404,MATCH(SMALL(Eşyalar!$J$5:$J$404,3),Eşyalar!$J$5:$J$404,0))&amp;"","")</f>
        <v>Buzdolabı</v>
      </c>
      <c r="J12" s="27" t="n">
        <f aca="false">IF(I12="","",INDEX(Eşyalar!$F$5:$F$404,MATCH(SMALL(Eşyalar!$J$5:$J$404,3),Eşyalar!$J$5:$J$404,0)))</f>
        <v>46517</v>
      </c>
    </row>
    <row r="13" customFormat="false" ht="15" hidden="false" customHeight="false" outlineLevel="0" collapsed="false">
      <c r="B13" s="28" t="str">
        <f aca="false">IF(Listeler!A8="","",Listeler!A8)</f>
        <v>Çocuk odası</v>
      </c>
      <c r="C13" s="29" t="n">
        <f aca="false">IF(B13="","",COUNTIF(Eşyalar!$B$5:$B$404,B13))</f>
        <v>0</v>
      </c>
      <c r="D13" s="30" t="n">
        <f aca="false">IF(B13="","",SUMIFS(Eşyalar!$E$5:$E$404,Eşyalar!$B$5:$B$404,B13))</f>
        <v>0</v>
      </c>
      <c r="I13" s="28" t="str">
        <f aca="false">IFERROR(INDEX(Eşyalar!$A$5:$A$404,MATCH(SMALL(Eşyalar!$J$5:$J$404,4),Eşyalar!$J$5:$J$404,0))&amp;"","")</f>
        <v/>
      </c>
      <c r="J13" s="31" t="str">
        <f aca="false">IF(I13="","",INDEX(Eşyalar!$F$5:$F$404,MATCH(SMALL(Eşyalar!$J$5:$J$404,4),Eşyalar!$J$5:$J$404,0)))</f>
        <v/>
      </c>
    </row>
    <row r="14" customFormat="false" ht="15" hidden="false" customHeight="false" outlineLevel="0" collapsed="false">
      <c r="B14" s="24" t="str">
        <f aca="false">IF(Listeler!A9="","",Listeler!A9)</f>
        <v>Banyo</v>
      </c>
      <c r="C14" s="25" t="n">
        <f aca="false">IF(B14="","",COUNTIF(Eşyalar!$B$5:$B$404,B14))</f>
        <v>0</v>
      </c>
      <c r="D14" s="26" t="n">
        <f aca="false">IF(B14="","",SUMIFS(Eşyalar!$E$5:$E$404,Eşyalar!$B$5:$B$404,B14))</f>
        <v>0</v>
      </c>
      <c r="I14" s="24" t="str">
        <f aca="false">IFERROR(INDEX(Eşyalar!$A$5:$A$404,MATCH(SMALL(Eşyalar!$J$5:$J$404,5),Eşyalar!$J$5:$J$404,0))&amp;"","")</f>
        <v/>
      </c>
      <c r="J14" s="27" t="str">
        <f aca="false">IF(I14="","",INDEX(Eşyalar!$F$5:$F$404,MATCH(SMALL(Eşyalar!$J$5:$J$404,5),Eşyalar!$J$5:$J$404,0)))</f>
        <v/>
      </c>
    </row>
    <row r="15" customFormat="false" ht="15" hidden="false" customHeight="false" outlineLevel="0" collapsed="false">
      <c r="B15" s="28" t="str">
        <f aca="false">IF(Listeler!A10="","",Listeler!A10)</f>
        <v>Balkon</v>
      </c>
      <c r="C15" s="29" t="n">
        <f aca="false">IF(B15="","",COUNTIF(Eşyalar!$B$5:$B$404,B15))</f>
        <v>0</v>
      </c>
      <c r="D15" s="30" t="n">
        <f aca="false">IF(B15="","",SUMIFS(Eşyalar!$E$5:$E$404,Eşyalar!$B$5:$B$404,B15))</f>
        <v>0</v>
      </c>
      <c r="I15" s="28" t="str">
        <f aca="false">IFERROR(INDEX(Eşyalar!$A$5:$A$404,MATCH(SMALL(Eşyalar!$J$5:$J$404,6),Eşyalar!$J$5:$J$404,0))&amp;"","")</f>
        <v/>
      </c>
      <c r="J15" s="31" t="str">
        <f aca="false">IF(I15="","",INDEX(Eşyalar!$F$5:$F$404,MATCH(SMALL(Eşyalar!$J$5:$J$404,6),Eşyalar!$J$5:$J$404,0)))</f>
        <v/>
      </c>
    </row>
    <row r="16" customFormat="false" ht="15" hidden="false" customHeight="false" outlineLevel="0" collapsed="false">
      <c r="B16" s="24" t="str">
        <f aca="false">IF(Listeler!A11="","",Listeler!A11)</f>
        <v>Depo</v>
      </c>
      <c r="C16" s="25" t="n">
        <f aca="false">IF(B16="","",COUNTIF(Eşyalar!$B$5:$B$404,B16))</f>
        <v>0</v>
      </c>
      <c r="D16" s="26" t="n">
        <f aca="false">IF(B16="","",SUMIFS(Eşyalar!$E$5:$E$404,Eşyalar!$B$5:$B$404,B16))</f>
        <v>0</v>
      </c>
      <c r="I16" s="24" t="str">
        <f aca="false">IFERROR(INDEX(Eşyalar!$A$5:$A$404,MATCH(SMALL(Eşyalar!$J$5:$J$404,7),Eşyalar!$J$5:$J$404,0))&amp;"","")</f>
        <v/>
      </c>
      <c r="J16" s="27" t="str">
        <f aca="false">IF(I16="","",INDEX(Eşyalar!$F$5:$F$404,MATCH(SMALL(Eşyalar!$J$5:$J$404,7),Eşyalar!$J$5:$J$404,0)))</f>
        <v/>
      </c>
    </row>
    <row r="17" customFormat="false" ht="15" hidden="false" customHeight="false" outlineLevel="0" collapsed="false">
      <c r="B17" s="28" t="str">
        <f aca="false">IF(Listeler!A12="","",Listeler!A12)</f>
        <v/>
      </c>
      <c r="C17" s="29" t="str">
        <f aca="false">IF(B17="","",COUNTIF(Eşyalar!$B$5:$B$404,B17))</f>
        <v/>
      </c>
      <c r="D17" s="30" t="str">
        <f aca="false">IF(B17="","",SUMIFS(Eşyalar!$E$5:$E$404,Eşyalar!$B$5:$B$404,B17))</f>
        <v/>
      </c>
      <c r="I17" s="28" t="str">
        <f aca="false">IFERROR(INDEX(Eşyalar!$A$5:$A$404,MATCH(SMALL(Eşyalar!$J$5:$J$404,8),Eşyalar!$J$5:$J$404,0))&amp;"","")</f>
        <v/>
      </c>
      <c r="J17" s="31" t="str">
        <f aca="false">IF(I17="","",INDEX(Eşyalar!$F$5:$F$404,MATCH(SMALL(Eşyalar!$J$5:$J$404,8),Eşyalar!$J$5:$J$404,0)))</f>
        <v/>
      </c>
    </row>
    <row r="18" customFormat="false" ht="15" hidden="false" customHeight="false" outlineLevel="0" collapsed="false">
      <c r="B18" s="24" t="str">
        <f aca="false">IF(Listeler!A13="","",Listeler!A13)</f>
        <v/>
      </c>
      <c r="C18" s="25" t="str">
        <f aca="false">IF(B18="","",COUNTIF(Eşyalar!$B$5:$B$404,B18))</f>
        <v/>
      </c>
      <c r="D18" s="26" t="str">
        <f aca="false">IF(B18="","",SUMIFS(Eşyalar!$E$5:$E$404,Eşyalar!$B$5:$B$404,B18))</f>
        <v/>
      </c>
      <c r="I18" s="24" t="str">
        <f aca="false">IFERROR(INDEX(Eşyalar!$A$5:$A$404,MATCH(SMALL(Eşyalar!$J$5:$J$404,9),Eşyalar!$J$5:$J$404,0))&amp;"","")</f>
        <v/>
      </c>
      <c r="J18" s="27" t="str">
        <f aca="false">IF(I18="","",INDEX(Eşyalar!$F$5:$F$404,MATCH(SMALL(Eşyalar!$J$5:$J$404,9),Eşyalar!$J$5:$J$404,0)))</f>
        <v/>
      </c>
    </row>
    <row r="19" customFormat="false" ht="15" hidden="false" customHeight="false" outlineLevel="0" collapsed="false">
      <c r="B19" s="28" t="str">
        <f aca="false">IF(Listeler!A14="","",Listeler!A14)</f>
        <v/>
      </c>
      <c r="C19" s="29" t="str">
        <f aca="false">IF(B19="","",COUNTIF(Eşyalar!$B$5:$B$404,B19))</f>
        <v/>
      </c>
      <c r="D19" s="30" t="str">
        <f aca="false">IF(B19="","",SUMIFS(Eşyalar!$E$5:$E$404,Eşyalar!$B$5:$B$404,B19))</f>
        <v/>
      </c>
      <c r="I19" s="28" t="str">
        <f aca="false">IFERROR(INDEX(Eşyalar!$A$5:$A$404,MATCH(SMALL(Eşyalar!$J$5:$J$404,10),Eşyalar!$J$5:$J$404,0))&amp;"","")</f>
        <v/>
      </c>
      <c r="J19" s="31" t="str">
        <f aca="false">IF(I19="","",INDEX(Eşyalar!$F$5:$F$404,MATCH(SMALL(Eşyalar!$J$5:$J$404,10),Eşyalar!$J$5:$J$404,0)))</f>
        <v/>
      </c>
    </row>
    <row r="21" customFormat="false" ht="15" hidden="false" customHeight="false" outlineLevel="0" collapsed="false">
      <c r="B21" s="23" t="s">
        <v>55</v>
      </c>
    </row>
    <row r="22" customFormat="false" ht="21.75" hidden="false" customHeight="true" outlineLevel="0" collapsed="false">
      <c r="B22" s="10" t="s">
        <v>26</v>
      </c>
      <c r="C22" s="10" t="s">
        <v>54</v>
      </c>
      <c r="D22" s="10" t="s">
        <v>28</v>
      </c>
    </row>
    <row r="23" customFormat="false" ht="15" hidden="false" customHeight="false" outlineLevel="0" collapsed="false">
      <c r="B23" s="24" t="str">
        <f aca="false">IF(Listeler!B5="","",Listeler!B5)</f>
        <v>Beyaz eşya</v>
      </c>
      <c r="C23" s="25" t="n">
        <f aca="false">IF(B23="","",COUNTIF(Eşyalar!$C$5:$C$404,B23))</f>
        <v>1</v>
      </c>
      <c r="D23" s="26" t="n">
        <f aca="false">IF(B23="","",SUMIFS(Eşyalar!$E$5:$E$404,Eşyalar!$C$5:$C$404,B23))</f>
        <v>45000</v>
      </c>
    </row>
    <row r="24" customFormat="false" ht="15" hidden="false" customHeight="false" outlineLevel="0" collapsed="false">
      <c r="B24" s="28" t="str">
        <f aca="false">IF(Listeler!B6="","",Listeler!B6)</f>
        <v>Elektronik</v>
      </c>
      <c r="C24" s="29" t="n">
        <f aca="false">IF(B24="","",COUNTIF(Eşyalar!$C$5:$C$404,B24))</f>
        <v>2</v>
      </c>
      <c r="D24" s="30" t="n">
        <f aca="false">IF(B24="","",SUMIFS(Eşyalar!$E$5:$E$404,Eşyalar!$C$5:$C$404,B24))</f>
        <v>90000</v>
      </c>
    </row>
    <row r="25" customFormat="false" ht="15" hidden="false" customHeight="false" outlineLevel="0" collapsed="false">
      <c r="B25" s="24" t="str">
        <f aca="false">IF(Listeler!B7="","",Listeler!B7)</f>
        <v>Mobilya</v>
      </c>
      <c r="C25" s="25" t="n">
        <f aca="false">IF(B25="","",COUNTIF(Eşyalar!$C$5:$C$404,B25))</f>
        <v>1</v>
      </c>
      <c r="D25" s="26" t="n">
        <f aca="false">IF(B25="","",SUMIFS(Eşyalar!$E$5:$E$404,Eşyalar!$C$5:$C$404,B25))</f>
        <v>60000</v>
      </c>
    </row>
    <row r="26" customFormat="false" ht="15" hidden="false" customHeight="false" outlineLevel="0" collapsed="false">
      <c r="B26" s="28" t="str">
        <f aca="false">IF(Listeler!B8="","",Listeler!B8)</f>
        <v>Küçük ev aleti</v>
      </c>
      <c r="C26" s="29" t="n">
        <f aca="false">IF(B26="","",COUNTIF(Eşyalar!$C$5:$C$404,B26))</f>
        <v>1</v>
      </c>
      <c r="D26" s="30" t="n">
        <f aca="false">IF(B26="","",SUMIFS(Eşyalar!$E$5:$E$404,Eşyalar!$C$5:$C$404,B26))</f>
        <v>7000</v>
      </c>
    </row>
    <row r="27" customFormat="false" ht="15" hidden="false" customHeight="false" outlineLevel="0" collapsed="false">
      <c r="B27" s="24" t="str">
        <f aca="false">IF(Listeler!B9="","",Listeler!B9)</f>
        <v>Değerli eşya</v>
      </c>
      <c r="C27" s="25" t="n">
        <f aca="false">IF(B27="","",COUNTIF(Eşyalar!$C$5:$C$404,B27))</f>
        <v>0</v>
      </c>
      <c r="D27" s="26" t="n">
        <f aca="false">IF(B27="","",SUMIFS(Eşyalar!$E$5:$E$404,Eşyalar!$C$5:$C$404,B27))</f>
        <v>0</v>
      </c>
    </row>
    <row r="28" customFormat="false" ht="15" hidden="false" customHeight="false" outlineLevel="0" collapsed="false">
      <c r="B28" s="28" t="str">
        <f aca="false">IF(Listeler!B10="","",Listeler!B10)</f>
        <v>Diğer</v>
      </c>
      <c r="C28" s="29" t="n">
        <f aca="false">IF(B28="","",COUNTIF(Eşyalar!$C$5:$C$404,B28))</f>
        <v>0</v>
      </c>
      <c r="D28" s="30" t="n">
        <f aca="false">IF(B28="","",SUMIFS(Eşyalar!$E$5:$E$404,Eşyalar!$C$5:$C$404,B28))</f>
        <v>0</v>
      </c>
    </row>
    <row r="29" customFormat="false" ht="15" hidden="false" customHeight="false" outlineLevel="0" collapsed="false">
      <c r="B29" s="24" t="str">
        <f aca="false">IF(Listeler!B11="","",Listeler!B11)</f>
        <v/>
      </c>
      <c r="C29" s="25" t="str">
        <f aca="false">IF(B29="","",COUNTIF(Eşyalar!$C$5:$C$404,B29))</f>
        <v/>
      </c>
      <c r="D29" s="26" t="str">
        <f aca="false">IF(B29="","",SUMIFS(Eşyalar!$E$5:$E$404,Eşyalar!$C$5:$C$404,B29))</f>
        <v/>
      </c>
    </row>
    <row r="30" customFormat="false" ht="15" hidden="false" customHeight="false" outlineLevel="0" collapsed="false">
      <c r="B30" s="28" t="str">
        <f aca="false">IF(Listeler!B12="","",Listeler!B12)</f>
        <v/>
      </c>
      <c r="C30" s="29" t="str">
        <f aca="false">IF(B30="","",COUNTIF(Eşyalar!$C$5:$C$404,B30))</f>
        <v/>
      </c>
      <c r="D30" s="30" t="str">
        <f aca="false">IF(B30="","",SUMIFS(Eşyalar!$E$5:$E$404,Eşyalar!$C$5:$C$404,B30))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</cols>
  <sheetData>
    <row r="1" customFormat="false" ht="19.7" hidden="false" customHeight="false" outlineLevel="0" collapsed="false">
      <c r="A1" s="8" t="s">
        <v>56</v>
      </c>
    </row>
    <row r="2" customFormat="false" ht="15" hidden="false" customHeight="false" outlineLevel="0" collapsed="false">
      <c r="A2" s="9" t="s">
        <v>57</v>
      </c>
    </row>
    <row r="4" customFormat="false" ht="21.75" hidden="false" customHeight="true" outlineLevel="0" collapsed="false">
      <c r="A4" s="10" t="s">
        <v>25</v>
      </c>
      <c r="B4" s="10" t="s">
        <v>26</v>
      </c>
    </row>
    <row r="5" customFormat="false" ht="15" hidden="false" customHeight="false" outlineLevel="0" collapsed="false">
      <c r="A5" s="12" t="s">
        <v>39</v>
      </c>
      <c r="B5" s="12" t="s">
        <v>36</v>
      </c>
    </row>
    <row r="6" customFormat="false" ht="15" hidden="false" customHeight="false" outlineLevel="0" collapsed="false">
      <c r="A6" s="12" t="s">
        <v>35</v>
      </c>
      <c r="B6" s="12" t="s">
        <v>40</v>
      </c>
    </row>
    <row r="7" customFormat="false" ht="15" hidden="false" customHeight="false" outlineLevel="0" collapsed="false">
      <c r="A7" s="12" t="s">
        <v>44</v>
      </c>
      <c r="B7" s="12" t="s">
        <v>42</v>
      </c>
    </row>
    <row r="8" customFormat="false" ht="15" hidden="false" customHeight="false" outlineLevel="0" collapsed="false">
      <c r="A8" s="12" t="s">
        <v>58</v>
      </c>
      <c r="B8" s="12" t="s">
        <v>46</v>
      </c>
    </row>
    <row r="9" customFormat="false" ht="15" hidden="false" customHeight="false" outlineLevel="0" collapsed="false">
      <c r="A9" s="12" t="s">
        <v>59</v>
      </c>
      <c r="B9" s="12" t="s">
        <v>60</v>
      </c>
    </row>
    <row r="10" customFormat="false" ht="15" hidden="false" customHeight="false" outlineLevel="0" collapsed="false">
      <c r="A10" s="12" t="s">
        <v>61</v>
      </c>
      <c r="B10" s="12" t="s">
        <v>62</v>
      </c>
    </row>
    <row r="11" customFormat="false" ht="15" hidden="false" customHeight="false" outlineLevel="0" collapsed="false">
      <c r="A11" s="12" t="s">
        <v>63</v>
      </c>
      <c r="B11" s="12"/>
    </row>
    <row r="12" customFormat="false" ht="15" hidden="false" customHeight="false" outlineLevel="0" collapsed="false">
      <c r="A12" s="12"/>
      <c r="B12" s="12"/>
    </row>
    <row r="13" customFormat="false" ht="15" hidden="false" customHeight="false" outlineLevel="0" collapsed="false">
      <c r="A13" s="12"/>
      <c r="B13" s="12"/>
    </row>
    <row r="14" customFormat="false" ht="15" hidden="false" customHeight="false" outlineLevel="0" collapsed="false">
      <c r="A14" s="12"/>
      <c r="B14" s="12"/>
    </row>
    <row r="15" customFormat="false" ht="15" hidden="false" customHeight="false" outlineLevel="0" collapsed="false">
      <c r="A15" s="12"/>
      <c r="B15" s="12"/>
    </row>
    <row r="16" customFormat="false" ht="15" hidden="false" customHeight="false" outlineLevel="0" collapsed="false">
      <c r="A16" s="12"/>
      <c r="B16" s="12"/>
    </row>
    <row r="17" customFormat="false" ht="15" hidden="false" customHeight="false" outlineLevel="0" collapsed="false">
      <c r="A17" s="12"/>
      <c r="B17" s="12"/>
    </row>
    <row r="18" customFormat="false" ht="15" hidden="false" customHeight="false" outlineLevel="0" collapsed="false">
      <c r="A18" s="12"/>
      <c r="B18" s="12"/>
    </row>
    <row r="19" customFormat="false" ht="15" hidden="false" customHeight="false" outlineLevel="0" collapsed="false">
      <c r="A19" s="12"/>
      <c r="B19" s="12"/>
    </row>
    <row r="20" customFormat="false" ht="15" hidden="false" customHeight="false" outlineLevel="0" collapsed="false">
      <c r="A20" s="12"/>
      <c r="B20" s="12"/>
    </row>
    <row r="21" customFormat="false" ht="15" hidden="false" customHeight="false" outlineLevel="0" collapsed="false">
      <c r="A21" s="12"/>
      <c r="B21" s="12"/>
    </row>
    <row r="22" customFormat="false" ht="15" hidden="false" customHeight="false" outlineLevel="0" collapsed="false">
      <c r="A22" s="12"/>
      <c r="B22" s="12"/>
    </row>
    <row r="23" customFormat="false" ht="15" hidden="false" customHeight="false" outlineLevel="0" collapsed="false">
      <c r="A23" s="12"/>
      <c r="B23" s="12"/>
    </row>
    <row r="24" customFormat="false" ht="15" hidden="false" customHeight="false" outlineLevel="0" collapsed="false">
      <c r="A24" s="12"/>
      <c r="B24" s="12"/>
    </row>
    <row r="25" customFormat="false" ht="15" hidden="false" customHeight="false" outlineLevel="0" collapsed="false">
      <c r="A25" s="12"/>
      <c r="B25" s="12"/>
    </row>
    <row r="26" customFormat="false" ht="15" hidden="false" customHeight="false" outlineLevel="0" collapsed="false">
      <c r="A26" s="12"/>
      <c r="B26" s="12"/>
    </row>
    <row r="27" customFormat="false" ht="15" hidden="false" customHeight="false" outlineLevel="0" collapsed="false">
      <c r="A27" s="12"/>
      <c r="B27" s="12"/>
    </row>
    <row r="28" customFormat="false" ht="15" hidden="false" customHeight="false" outlineLevel="0" collapsed="false">
      <c r="A28" s="12"/>
      <c r="B28" s="12"/>
    </row>
    <row r="29" customFormat="false" ht="15" hidden="false" customHeight="false" outlineLevel="0" collapsed="false">
      <c r="A29" s="12"/>
      <c r="B29" s="12"/>
    </row>
    <row r="30" customFormat="false" ht="15" hidden="false" customHeight="false" outlineLevel="0" collapsed="false">
      <c r="A30" s="12"/>
      <c r="B30" s="12"/>
    </row>
    <row r="31" customFormat="false" ht="15" hidden="false" customHeight="false" outlineLevel="0" collapsed="false">
      <c r="A31" s="12"/>
      <c r="B31" s="12"/>
    </row>
    <row r="32" customFormat="false" ht="15" hidden="false" customHeight="false" outlineLevel="0" collapsed="false">
      <c r="A32" s="12"/>
      <c r="B32" s="12"/>
    </row>
    <row r="33" customFormat="false" ht="15" hidden="false" customHeight="false" outlineLevel="0" collapsed="false">
      <c r="A33" s="12"/>
      <c r="B33" s="12"/>
    </row>
    <row r="34" customFormat="false" ht="15" hidden="false" customHeight="false" outlineLevel="0" collapsed="false">
      <c r="A34" s="12"/>
      <c r="B3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64</v>
      </c>
    </row>
    <row r="2" customFormat="false" ht="30" hidden="false" customHeight="true" outlineLevel="0" collapsed="false">
      <c r="B2" s="32" t="s">
        <v>65</v>
      </c>
      <c r="C2" s="32"/>
    </row>
    <row r="3" customFormat="false" ht="31.5" hidden="false" customHeight="true" outlineLevel="0" collapsed="false">
      <c r="B3" s="33" t="s">
        <v>66</v>
      </c>
      <c r="C3" s="33"/>
    </row>
    <row r="5" customFormat="false" ht="15" hidden="false" customHeight="false" outlineLevel="0" collapsed="false">
      <c r="B5" s="34" t="s">
        <v>67</v>
      </c>
      <c r="C5" s="34" t="s">
        <v>68</v>
      </c>
    </row>
    <row r="6" customFormat="false" ht="31.5" hidden="false" customHeight="true" outlineLevel="0" collapsed="false">
      <c r="B6" s="35" t="s">
        <v>69</v>
      </c>
      <c r="C6" s="36" t="s">
        <v>70</v>
      </c>
    </row>
    <row r="7" customFormat="false" ht="31.5" hidden="false" customHeight="true" outlineLevel="0" collapsed="false">
      <c r="B7" s="37" t="s">
        <v>71</v>
      </c>
      <c r="C7" s="38" t="s">
        <v>72</v>
      </c>
    </row>
    <row r="8" customFormat="false" ht="31.5" hidden="false" customHeight="true" outlineLevel="0" collapsed="false">
      <c r="B8" s="35" t="s">
        <v>73</v>
      </c>
      <c r="C8" s="36" t="s">
        <v>74</v>
      </c>
    </row>
    <row r="9" customFormat="false" ht="31.5" hidden="false" customHeight="true" outlineLevel="0" collapsed="false">
      <c r="B9" s="37" t="s">
        <v>75</v>
      </c>
      <c r="C9" s="38" t="s">
        <v>76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2026-10-04T22:00:02Z</dcterms:created>
  <dc:creator>openpyxl</dc:creator>
  <dc:description/>
  <dc:language>en-US</dc:language>
  <cp:lastModifiedBy/>
  <dcterms:modified xsi:type="dcterms:W3CDTF">2026-10-04T22:00:02Z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