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şla" sheetId="1" state="visible" r:id="rId3"/>
    <sheet name="Panel" sheetId="2" state="visible" r:id="rId4"/>
    <sheet name="Satışlar" sheetId="3" state="visible" r:id="rId5"/>
    <sheet name="Alışlar" sheetId="4" state="visible" r:id="rId6"/>
    <sheet name="Giderler" sheetId="5" state="visible" r:id="rId7"/>
    <sheet name="Cari Hareket" sheetId="6" state="visible" r:id="rId8"/>
    <sheet name="Ürünler" sheetId="7" state="visible" r:id="rId9"/>
    <sheet name="Cariler" sheetId="8" state="visible" r:id="rId10"/>
    <sheet name="Ayarlar" sheetId="9" state="visible" r:id="rId11"/>
    <sheet name="AI Komutları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<sst xmlns="http://schemas.openxmlformats.org/spreadsheetml/2006/main" count="281" uniqueCount="193">
  <si>
    <t xml:space="preserve">EXCEL KLİNİĞİ</t>
  </si>
  <si>
    <t xml:space="preserve">CHECK-UP  |  Esnaf İşletme Defteri</t>
  </si>
  <si>
    <t xml:space="preserve">Satış, alış, stok, veresiye, kasa ve kâr tek dosyada. Hareketi gir, işletmenin durumunu Panel söylesin.</t>
  </si>
  <si>
    <t xml:space="preserve">İLK KURULUM (bir kez)</t>
  </si>
  <si>
    <t xml:space="preserve">1. Ayarlar</t>
  </si>
  <si>
    <t xml:space="preserve">İşletme adını, açılış kasa bakiyesini ve gider kategorilerini yaz.</t>
  </si>
  <si>
    <t xml:space="preserve">2. Ürünler</t>
  </si>
  <si>
    <t xml:space="preserve">Sattığın ürünleri gir: ad, birim, alış maliyeti, satış fiyatı, eldeki açılış stoku ve kritik seviye.</t>
  </si>
  <si>
    <t xml:space="preserve">3. Cariler</t>
  </si>
  <si>
    <t xml:space="preserve">Veresiye çalıştığın müşterileri ve tedarikçileri gir. Önceden kalan alacak ya da borç varsa açılış sütunlarına yaz.</t>
  </si>
  <si>
    <t xml:space="preserve">GÜNLÜK KULLANIM</t>
  </si>
  <si>
    <t xml:space="preserve">Satışlar</t>
  </si>
  <si>
    <t xml:space="preserve">Her satış bir satır. Ürünü seç, adedi yaz. Birim fiyatı boş bırakırsan Ürünler sayfasındaki satış fiyatı kullanılır. Veresiye satışta müşteri seçmek zorunlu.</t>
  </si>
  <si>
    <t xml:space="preserve">Alışlar</t>
  </si>
  <si>
    <t xml:space="preserve">Her mal alımı bir satır. Birim maliyeti boş bırakırsan Ürünler sayfasındaki alış maliyeti kullanılır. Alış girince stok artar.</t>
  </si>
  <si>
    <t xml:space="preserve">Giderler</t>
  </si>
  <si>
    <t xml:space="preserve">Kira, fatura, personel gibi mal alımı dışındaki harcamalar.</t>
  </si>
  <si>
    <t xml:space="preserve">Cari Hareket</t>
  </si>
  <si>
    <t xml:space="preserve">Veresiye müşteriden para aldığında Tahsilat, tedarikçiye veresiye borcunu ödediğinde Ödeme gir.</t>
  </si>
  <si>
    <t xml:space="preserve">Panel</t>
  </si>
  <si>
    <t xml:space="preserve">Hiçbir şey yazma, yalnızca yılı seç. Ciro, kâr, kasa, alacak, borç, stok ve uyarılar kendiliğinden hesaplanır.</t>
  </si>
  <si>
    <t xml:space="preserve">NASIL HESAPLANIR</t>
  </si>
  <si>
    <t xml:space="preserve">Stok</t>
  </si>
  <si>
    <t xml:space="preserve">Mevcut = açılış stoku + alışlar − satışlar. Mevcut kritik seviyeye inince Kritik, sıfıra inince Tükendi yazar.</t>
  </si>
  <si>
    <t xml:space="preserve">Satılan malın maliyeti</t>
  </si>
  <si>
    <t xml:space="preserve">Satılan adet × Ürünler sayfasındaki güncel alış maliyeti. Alış maliyetini değiştirirsen geçmiş satışların maliyeti ve kârı da yeni rakama göre hesaplanır.</t>
  </si>
  <si>
    <t xml:space="preserve">Kasa + Banka</t>
  </si>
  <si>
    <t xml:space="preserve">Açılış bakiyesi + peşin satışlar + tahsilatlar − peşin alışlar − ödemeler − giderler. Nakit, kart ve havale ayrımı yapılmaz, hepsi tek bakiyedir.</t>
  </si>
  <si>
    <t xml:space="preserve">Alacak ve borç</t>
  </si>
  <si>
    <t xml:space="preserve">Alacak = açılış alacağı + veresiye satışlar − tahsilatlar. Borç = açılış borcu + veresiye alışlar − ödemeler.</t>
  </si>
  <si>
    <t xml:space="preserve">KDV</t>
  </si>
  <si>
    <t xml:space="preserve">Dosya KDV ayrımı yapmaz. Tutarları KDV dahil ya da hariç gir, ama hep aynı şekilde gir. Resmî defter ya da beyanname yerine geçmez.</t>
  </si>
  <si>
    <t xml:space="preserve">RENKLER</t>
  </si>
  <si>
    <t xml:space="preserve">Sarı hücre</t>
  </si>
  <si>
    <t xml:space="preserve">Senin dolduracağın hücre.</t>
  </si>
  <si>
    <t xml:space="preserve">Beyaz hücre, açık yeşil başlık</t>
  </si>
  <si>
    <t xml:space="preserve">Formül. Değiştirme, kendiliğinden hesaplanır.</t>
  </si>
  <si>
    <t xml:space="preserve">ÖNEMLİ</t>
  </si>
  <si>
    <t xml:space="preserve">Örnek veriler</t>
  </si>
  <si>
    <t xml:space="preserve">Dosya örnek bir kırtasiye dükkânının verileriyle dolu gelir. Başlamadan önce Satışlar, Alışlar, Giderler, Cari Hareket, Ürünler ve Cariler sayfalarında yalnızca sarı hücrelerin içeriğini sil.</t>
  </si>
  <si>
    <t xml:space="preserve">Ad değiştirme</t>
  </si>
  <si>
    <t xml:space="preserve">Ürün ve cari adları hareketleri birbirine bağlar. Bir adı sonradan değiştirirsen eski hareketlerdeki adı da değiştir, yoksa stok ve bakiye eksik çıkar. Aynı ad iki kez girilemez.</t>
  </si>
  <si>
    <t xml:space="preserve">Kapasite</t>
  </si>
  <si>
    <t xml:space="preserve">1000 satış, 500 alış, 500 gider, 500 cari hareket, 200 ürün, 100 cari. Dolunca boş bir kopyayla yeni döneme başla; stok ve bakiyeleri açılış olarak gir.</t>
  </si>
  <si>
    <t xml:space="preserve">Yıl</t>
  </si>
  <si>
    <t xml:space="preserve">← Bu sayfada yalnızca yılı değiştir</t>
  </si>
  <si>
    <t xml:space="preserve">Seçilen yıl</t>
  </si>
  <si>
    <t xml:space="preserve">Ciro</t>
  </si>
  <si>
    <t xml:space="preserve">Satış Maliyeti</t>
  </si>
  <si>
    <t xml:space="preserve">Brüt Kâr</t>
  </si>
  <si>
    <t xml:space="preserve">Net Kâr</t>
  </si>
  <si>
    <t xml:space="preserve">Net Kâr / Ciro</t>
  </si>
  <si>
    <t xml:space="preserve">Şu anki durum (tüm kayıtlar)</t>
  </si>
  <si>
    <t xml:space="preserve">Toplam Alacak</t>
  </si>
  <si>
    <t xml:space="preserve">Toplam Borç</t>
  </si>
  <si>
    <t xml:space="preserve">Stok Değeri</t>
  </si>
  <si>
    <t xml:space="preserve">Kritik / Tükenen Ürün</t>
  </si>
  <si>
    <t xml:space="preserve">Net Durum</t>
  </si>
  <si>
    <t xml:space="preserve">Net Durum = Kasa + Banka + Alacak − Borç + Stok Değeri</t>
  </si>
  <si>
    <t xml:space="preserve">Aylık Kâr Zarar</t>
  </si>
  <si>
    <t xml:space="preserve">En Çok Satan 5 Ürün (tüm kayıtlar)</t>
  </si>
  <si>
    <t xml:space="preserve">Ay</t>
  </si>
  <si>
    <t xml:space="preserve">Satış</t>
  </si>
  <si>
    <t xml:space="preserve">Maliyet</t>
  </si>
  <si>
    <t xml:space="preserve">Gider</t>
  </si>
  <si>
    <t xml:space="preserve">Ürün</t>
  </si>
  <si>
    <t xml:space="preserve">Satış (₺)</t>
  </si>
  <si>
    <t xml:space="preserve">Ocak</t>
  </si>
  <si>
    <t xml:space="preserve">Şubat</t>
  </si>
  <si>
    <t xml:space="preserve">Mart</t>
  </si>
  <si>
    <t xml:space="preserve">Nisan</t>
  </si>
  <si>
    <t xml:space="preserve">Mayıs</t>
  </si>
  <si>
    <t xml:space="preserve">Haziran</t>
  </si>
  <si>
    <t xml:space="preserve">Temmuz</t>
  </si>
  <si>
    <t xml:space="preserve">Stok Uyarısı (ilk 8)</t>
  </si>
  <si>
    <t xml:space="preserve">Ağustos</t>
  </si>
  <si>
    <t xml:space="preserve">Mevcut</t>
  </si>
  <si>
    <t xml:space="preserve">Durum</t>
  </si>
  <si>
    <t xml:space="preserve">Eylül</t>
  </si>
  <si>
    <t xml:space="preserve">Ekim</t>
  </si>
  <si>
    <t xml:space="preserve">Kasım</t>
  </si>
  <si>
    <t xml:space="preserve">Aralık</t>
  </si>
  <si>
    <t xml:space="preserve">TOPLAM</t>
  </si>
  <si>
    <t xml:space="preserve">En Çok Alacaklı Olduğun 5 Kişi</t>
  </si>
  <si>
    <t xml:space="preserve">Kişi / Firma</t>
  </si>
  <si>
    <t xml:space="preserve">Alacak (₺)</t>
  </si>
  <si>
    <t xml:space="preserve">Her satış bir satır. Birim fiyatı boş bırakırsan liste fiyatı kullanılır. Veresiye satışta müşteri seç.</t>
  </si>
  <si>
    <t xml:space="preserve">Tarih</t>
  </si>
  <si>
    <t xml:space="preserve">Müşteri</t>
  </si>
  <si>
    <t xml:space="preserve">Adet</t>
  </si>
  <si>
    <t xml:space="preserve">Birim Fiyat (₺) isteğe bağlı</t>
  </si>
  <si>
    <t xml:space="preserve">Ödeme</t>
  </si>
  <si>
    <t xml:space="preserve">Tutar (₺)</t>
  </si>
  <si>
    <t xml:space="preserve">Maliyet (₺)</t>
  </si>
  <si>
    <t xml:space="preserve">Kâr (₺)</t>
  </si>
  <si>
    <t xml:space="preserve">Not</t>
  </si>
  <si>
    <t xml:space="preserve">Defter A4</t>
  </si>
  <si>
    <t xml:space="preserve">Peşin</t>
  </si>
  <si>
    <t xml:space="preserve">Örnek kayıt</t>
  </si>
  <si>
    <t xml:space="preserve">Müşteri Gama</t>
  </si>
  <si>
    <t xml:space="preserve">Tükenmez Kalem</t>
  </si>
  <si>
    <t xml:space="preserve">Veresiye</t>
  </si>
  <si>
    <t xml:space="preserve">Fotokopi Kâğıdı</t>
  </si>
  <si>
    <t xml:space="preserve">Müşteri Beta</t>
  </si>
  <si>
    <t xml:space="preserve">Klasör</t>
  </si>
  <si>
    <t xml:space="preserve">Boya Kalemi Seti</t>
  </si>
  <si>
    <t xml:space="preserve">Müşteri Alfa</t>
  </si>
  <si>
    <t xml:space="preserve">Hesap Makinesi</t>
  </si>
  <si>
    <t xml:space="preserve">Her mal alımı bir satır. Birim maliyeti boş bırakırsan Ürünler sayfasındaki alış maliyeti kullanılır.</t>
  </si>
  <si>
    <t xml:space="preserve">Tedarikçi</t>
  </si>
  <si>
    <t xml:space="preserve">Birim Maliyet (₺) isteğe bağlı</t>
  </si>
  <si>
    <t xml:space="preserve">Tedarikçi Alfa</t>
  </si>
  <si>
    <t xml:space="preserve">Tedarikçi Beta</t>
  </si>
  <si>
    <t xml:space="preserve">Mal alımı dışındaki harcamalar. Mal alımını Alışlar sayfasına gir.</t>
  </si>
  <si>
    <t xml:space="preserve">Kategori</t>
  </si>
  <si>
    <t xml:space="preserve">Açıklama</t>
  </si>
  <si>
    <t xml:space="preserve">Kira</t>
  </si>
  <si>
    <t xml:space="preserve">Örnek: Eylül kirası</t>
  </si>
  <si>
    <t xml:space="preserve">Faturalar</t>
  </si>
  <si>
    <t xml:space="preserve">Örnek: Elektrik</t>
  </si>
  <si>
    <t xml:space="preserve">Kargo</t>
  </si>
  <si>
    <t xml:space="preserve">Örnek: Kargo ücreti</t>
  </si>
  <si>
    <t xml:space="preserve">Örnek: Ekim kirası</t>
  </si>
  <si>
    <t xml:space="preserve">İnternet / Telefon</t>
  </si>
  <si>
    <t xml:space="preserve">Örnek: İnternet faturası</t>
  </si>
  <si>
    <t xml:space="preserve">Tahsilat: veresiye müşteriden para aldım. Ödeme: tedarikçiye veresiye borcumu ödedim.</t>
  </si>
  <si>
    <t xml:space="preserve">Tür</t>
  </si>
  <si>
    <t xml:space="preserve">Tahsilat</t>
  </si>
  <si>
    <t xml:space="preserve">Ürünler ve Stok</t>
  </si>
  <si>
    <t xml:space="preserve">Sarı sütunları doldur. Giren, çıkan, mevcut stok ve durum Satışlar ile Alışlar sayfalarından hesaplanır.</t>
  </si>
  <si>
    <t xml:space="preserve">Birim</t>
  </si>
  <si>
    <t xml:space="preserve">Alış Maliyeti (₺)</t>
  </si>
  <si>
    <t xml:space="preserve">Satış Fiyatı (₺)</t>
  </si>
  <si>
    <t xml:space="preserve">Açılış Stoku</t>
  </si>
  <si>
    <t xml:space="preserve">Kritik Seviye</t>
  </si>
  <si>
    <t xml:space="preserve">Giren</t>
  </si>
  <si>
    <t xml:space="preserve">Çıkan</t>
  </si>
  <si>
    <t xml:space="preserve">Stok Değeri (₺)</t>
  </si>
  <si>
    <t xml:space="preserve">Toplam Satış (₺)</t>
  </si>
  <si>
    <t xml:space="preserve">y1</t>
  </si>
  <si>
    <t xml:space="preserve">y2</t>
  </si>
  <si>
    <t xml:space="preserve">Paket</t>
  </si>
  <si>
    <t xml:space="preserve">Set</t>
  </si>
  <si>
    <t xml:space="preserve">Cariler (Müşteri ve Tedarikçi)</t>
  </si>
  <si>
    <t xml:space="preserve">Sarı sütunları doldur. Bakiyeler Satışlar, Alışlar ve Cari Hareket sayfalarından hesaplanır.</t>
  </si>
  <si>
    <t xml:space="preserve">Ad</t>
  </si>
  <si>
    <t xml:space="preserve">Telefon</t>
  </si>
  <si>
    <t xml:space="preserve">Açılış Alacağı (₺)</t>
  </si>
  <si>
    <t xml:space="preserve">Açılış Borcu (₺)</t>
  </si>
  <si>
    <t xml:space="preserve">Veresiye Satış</t>
  </si>
  <si>
    <t xml:space="preserve">ALACAK BAKİYE</t>
  </si>
  <si>
    <t xml:space="preserve">Veresiye Alış</t>
  </si>
  <si>
    <t xml:space="preserve">BORÇ BAKİYE</t>
  </si>
  <si>
    <t xml:space="preserve">Net (Alacak − Borç)</t>
  </si>
  <si>
    <t xml:space="preserve">Ayarlar</t>
  </si>
  <si>
    <t xml:space="preserve">Sarı hücreleri bir kez doldur.</t>
  </si>
  <si>
    <t xml:space="preserve">Gider Kategorileri</t>
  </si>
  <si>
    <t xml:space="preserve">İşletme Adı</t>
  </si>
  <si>
    <t xml:space="preserve">Örnek Kırtasiye</t>
  </si>
  <si>
    <t xml:space="preserve">Açılış Kasa + Banka Bakiyesi</t>
  </si>
  <si>
    <t xml:space="preserve">Dosyayı kullanmaya başladığın gün kasada ve bankada olan toplam para (kullanıcı girişi).</t>
  </si>
  <si>
    <t xml:space="preserve">Personel</t>
  </si>
  <si>
    <t xml:space="preserve">Vergi / SGK</t>
  </si>
  <si>
    <t xml:space="preserve">Reklam / Tanıtım</t>
  </si>
  <si>
    <t xml:space="preserve">Ulaşım / Yakıt</t>
  </si>
  <si>
    <t xml:space="preserve">Bakım / Onarım</t>
  </si>
  <si>
    <t xml:space="preserve">Banka / POS Masrafı</t>
  </si>
  <si>
    <t xml:space="preserve">Diğer Gider</t>
  </si>
  <si>
    <t xml:space="preserve">Yapay Zeka Komutları</t>
  </si>
  <si>
    <t xml:space="preserve">İlgili sayfada başlık satırıyla birlikte kayıtlarını seç, kopyala, kullandığın yapay zeka asistanına yapıştır ve altına komutu ekle. Hangi sayfanın yapıştırılacağı her komutta yazıyor.</t>
  </si>
  <si>
    <t xml:space="preserve">Dikkat: Müşteri ve tedarikçi adlarını yapıştırmadan önce Müşteri Alfa, Tedarikçi Alfa gibi takma adlarla değiştir; telefon paylaşma. Yapay zekanın verdiği rakamları Panel sayfasıyla karşılaştır.</t>
  </si>
  <si>
    <t xml:space="preserve">Ne için</t>
  </si>
  <si>
    <t xml:space="preserve">Komut (kopyala, yapıştır)</t>
  </si>
  <si>
    <t xml:space="preserve">Aylık durum raporu</t>
  </si>
  <si>
    <t xml:space="preserve">[Panel sayfasındaki Aylık Kâr Zarar tablosunu yapıştır] Bu tablo dükkânımın aylık satış, maliyet, gider ve net kârı. Durumu beş cümleyle özetle, en iyi ve en kötü ayı nedenleriyle belirt.</t>
  </si>
  <si>
    <t xml:space="preserve">En kârlı ürünler</t>
  </si>
  <si>
    <t xml:space="preserve">[Satışlar sayfasını yapıştır] Ürün bazında toplam ciroyu, toplam kârı ve kâr oranını hesapla. Sonucu kâra göre sıralı tablo olarak ver.</t>
  </si>
  <si>
    <t xml:space="preserve">Zam önerisi</t>
  </si>
  <si>
    <t xml:space="preserve">[Ürünler sayfasını yapıştır] Alış maliyeti ile satış fiyatı arasındaki farkı en düşük olan ürünleri bul. Her biri için yüzde 10 zam yaparsam birim kârım kaç lira artar, göster.</t>
  </si>
  <si>
    <t xml:space="preserve">Sipariş listesi</t>
  </si>
  <si>
    <t xml:space="preserve">[Ürünler sayfasını yapıştır] Durumu Kritik ya da Tükendi olan ürünler için tedarikçiye göndereceğim sipariş listesini hazırla. Her üründen kritik seviyenin üç katına çıkacak kadar adet öner.</t>
  </si>
  <si>
    <t xml:space="preserve">Ölü stok</t>
  </si>
  <si>
    <t xml:space="preserve">[Ürünler ve Satışlar sayfalarını yapıştır] Stokta olup son 60 günde hiç satılmamış ya da çok az satılmış ürünleri listele. Bu ürünlere bağlı parayı Stok Değeri sütunundan topla.</t>
  </si>
  <si>
    <t xml:space="preserve">Veresiye hatırlatma</t>
  </si>
  <si>
    <t xml:space="preserve">[Cariler sayfasını yapıştır] Alacak bakiyesi olan her müşteri için kısa ve kibar bir ödeme hatırlatma mesajı yaz. Mesajda bakiye tutarı geçsin.</t>
  </si>
  <si>
    <t xml:space="preserve">Gider kontrolü</t>
  </si>
  <si>
    <t xml:space="preserve">[Giderler sayfasını yapıştır] Giderlerimi kategoriye göre topla, ciroya oranla yüksek görünenleri belirt ve azaltmak için iki somut öneri ver.</t>
  </si>
  <si>
    <t xml:space="preserve">En iyi müşteriler</t>
  </si>
  <si>
    <t xml:space="preserve">[Satışlar sayfasını yapıştır] Müşteri bazında toplam alışveriş tutarını ve alışveriş sayısını çıkar. İlk beş müşteriyi listele.</t>
  </si>
  <si>
    <t xml:space="preserve">Satış günleri</t>
  </si>
  <si>
    <t xml:space="preserve">[Satışlar sayfasını yapıştır] Haftanın hangi günlerinde daha çok satış yapıyorum? Gün gün toplam ciroyu ver ve en zayıf gün için bir kampanya fikri öner.</t>
  </si>
  <si>
    <t xml:space="preserve">Kayıt kontrolü</t>
  </si>
  <si>
    <t xml:space="preserve">[Satışlar ve Alışlar sayfalarını yapıştır] Eksik ya da tutarsız görünen satır var mı? Tarihi boş, adedi olağan dışı yüksek ya da iki kez girilmiş gibi duranları göster.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</si>
</sst>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"/>
    <numFmt numFmtId="166" formatCode="#,##0.00&quot; ₺&quot;;[RED]\-#,##0.00&quot; ₺&quot;;\-"/>
    <numFmt numFmtId="167" formatCode="0.0%;[RED]\-0.0%;\-"/>
    <numFmt numFmtId="168" formatCode="0;\-0;\-"/>
    <numFmt numFmtId="169" formatCode="#,##0.##;[RED]\-#,##0.##;\-"/>
    <numFmt numFmtId="170" formatCode="#,##0"/>
    <numFmt numFmtId="171" formatCode="dd\.mm\.yyyy"/>
    <numFmt numFmtId="172" formatCode="#,##0.00&quot; ₺&quot;"/>
    <numFmt numFmtId="173" formatCode="General"/>
    <numFmt numFmtId="174" formatCode="@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20"/>
      <color rgb="FF1F6F43"/>
      <name val="Arial"/>
      <family val="0"/>
      <charset val="1"/>
    </font>
    <font>
      <sz val="10"/>
      <color rgb="FF475467"/>
      <name val="Arial"/>
      <family val="0"/>
      <charset val="1"/>
    </font>
    <font>
      <b val="true"/>
      <sz val="10"/>
      <color rgb="FF1F6F43"/>
      <name val="Arial"/>
      <family val="0"/>
      <charset val="1"/>
    </font>
    <font>
      <b val="true"/>
      <sz val="10"/>
      <color rgb="FF1B1F23"/>
      <name val="Arial"/>
      <family val="0"/>
      <charset val="1"/>
    </font>
    <font>
      <sz val="10"/>
      <color rgb="FF1B1F23"/>
      <name val="Arial"/>
      <family val="0"/>
      <charset val="1"/>
    </font>
    <font>
      <b val="true"/>
      <sz val="16"/>
      <color rgb="FF1F6F43"/>
      <name val="Arial"/>
      <family val="0"/>
      <charset val="1"/>
    </font>
    <font>
      <b val="true"/>
      <sz val="12"/>
      <color rgb="FF1B1F23"/>
      <name val="Arial"/>
      <family val="0"/>
      <charset val="1"/>
    </font>
    <font>
      <i val="true"/>
      <sz val="9"/>
      <color rgb="FF475467"/>
      <name val="Arial"/>
      <family val="0"/>
      <charset val="1"/>
    </font>
    <font>
      <b val="true"/>
      <sz val="11"/>
      <color rgb="FF1F6F43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B42318"/>
      <name val="Arial"/>
      <family val="0"/>
      <charset val="1"/>
    </font>
    <font>
      <i val="true"/>
      <sz val="8"/>
      <color rgb="FF47546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B42318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6F43"/>
        <bgColor rgb="FF3B8A5E"/>
      </patternFill>
    </fill>
    <fill>
      <patternFill patternType="solid">
        <fgColor rgb="FFE8F5EE"/>
        <bgColor rgb="FFF3F4F6"/>
      </patternFill>
    </fill>
    <fill>
      <patternFill patternType="solid">
        <fgColor rgb="FFFFF9DB"/>
        <bgColor rgb="FFFEF0C7"/>
      </patternFill>
    </fill>
    <fill>
      <patternFill patternType="solid">
        <fgColor rgb="FFF3F4F6"/>
        <bgColor rgb="FFE8F5EE"/>
      </patternFill>
    </fill>
    <fill>
      <patternFill patternType="solid">
        <fgColor rgb="FF3B8A5E"/>
        <bgColor rgb="FF1F6F43"/>
      </patternFill>
    </fill>
    <fill>
      <patternFill patternType="solid">
        <fgColor rgb="FFFFFFFF"/>
        <bgColor rgb="FFF3F4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6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72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name val="Arial"/>
        <charset val="1"/>
        <family val="0"/>
        <b val="1"/>
        <color rgb="FFB42318"/>
      </font>
    </dxf>
    <dxf>
      <font>
        <name val="Arial"/>
        <charset val="1"/>
        <family val="0"/>
        <b val="1"/>
        <color rgb="FFB42318"/>
        <sz val="12"/>
      </font>
    </dxf>
    <dxf>
      <font>
        <name val="Arial"/>
        <charset val="1"/>
        <family val="0"/>
        <b val="1"/>
        <color rgb="FF93370D"/>
      </font>
    </dxf>
    <dxf>
      <fill>
        <patternFill>
          <bgColor rgb="FFFDE2E0"/>
        </patternFill>
      </fill>
    </dxf>
    <dxf>
      <font>
        <name val="Arial"/>
        <charset val="1"/>
        <family val="0"/>
        <b val="1"/>
        <color rgb="FF1F6F43"/>
      </font>
    </dxf>
    <dxf>
      <font>
        <name val="Arial"/>
        <charset val="1"/>
        <family val="0"/>
        <b val="1"/>
        <color rgb="FFB42318"/>
      </font>
      <fill>
        <patternFill>
          <bgColor rgb="FFFDE2E0"/>
        </patternFill>
      </fill>
    </dxf>
    <dxf>
      <font>
        <name val="Arial"/>
        <charset val="1"/>
        <family val="0"/>
        <b val="1"/>
        <color rgb="FF93370D"/>
      </font>
      <fill>
        <patternFill>
          <bgColor rgb="FFFEF0C7"/>
        </patternFill>
      </fill>
    </dxf>
    <dxf>
      <font>
        <name val="Arial"/>
        <charset val="1"/>
        <family val="0"/>
        <color rgb="FF1F6F43"/>
      </font>
    </dxf>
  </dxfs>
  <colors>
    <indexedColors>
      <rgbColor rgb="FF000000"/>
      <rgbColor rgb="FFFFFFFF"/>
      <rgbColor rgb="FFD92D2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43"/>
      <rgbColor rgb="FFD9D9D9"/>
      <rgbColor rgb="FF878787"/>
      <rgbColor rgb="FF9999FF"/>
      <rgbColor rgb="FFB42318"/>
      <rgbColor rgb="FFFFF9DB"/>
      <rgbColor rgb="FFE8F5EE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CCFFCC"/>
      <rgbColor rgb="FFFEF0C7"/>
      <rgbColor rgb="FF99CCFF"/>
      <rgbColor rgb="FFFF99CC"/>
      <rgbColor rgb="FFCC99FF"/>
      <rgbColor rgb="FFFDE2E0"/>
      <rgbColor rgb="FF2E90FA"/>
      <rgbColor rgb="FF33CCCC"/>
      <rgbColor rgb="FF99CC00"/>
      <rgbColor rgb="FFFFCC00"/>
      <rgbColor rgb="FFF79009"/>
      <rgbColor rgb="FFFF6600"/>
      <rgbColor rgb="FF475467"/>
      <rgbColor rgb="FF969696"/>
      <rgbColor rgb="FF003366"/>
      <rgbColor rgb="FF3B8A5E"/>
      <rgbColor rgb="FF003300"/>
      <rgbColor rgb="FF333300"/>
      <rgbColor rgb="FF93370D"/>
      <rgbColor rgb="FF993366"/>
      <rgbColor rgb="FF333399"/>
      <rgbColor rgb="FF1B1F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Aylık Satış, Gider ve Net Kâr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Panel!C15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1f6f4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Panel!$B$16:$B$27</c:f>
              <c:strCache>
                <c:ptCount val="12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  <c:pt idx="6">
                  <c:v>Temmuz</c:v>
                </c:pt>
                <c:pt idx="7">
                  <c:v>Ağustos</c:v>
                </c:pt>
                <c:pt idx="8">
                  <c:v>Eylül</c:v>
                </c:pt>
                <c:pt idx="9">
                  <c:v>Ekim</c:v>
                </c:pt>
                <c:pt idx="10">
                  <c:v>Kasım</c:v>
                </c:pt>
                <c:pt idx="11">
                  <c:v>Aralık</c:v>
                </c:pt>
              </c:strCache>
            </c:strRef>
          </c:cat>
          <c:val>
            <c:numRef>
              <c:f>Panel!$C$16:$C$27</c:f>
              <c:numCache>
                <c:formatCode>#,##0.00" ₺";[RED]\-#,##0.00" ₺";\-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40800</c:v>
                </c:pt>
                <c:pt idx="9">
                  <c:v>19700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Panel!F15</c:f>
              <c:strCache>
                <c:ptCount val="1"/>
                <c:pt idx="0">
                  <c:v>Gider</c:v>
                </c:pt>
              </c:strCache>
            </c:strRef>
          </c:tx>
          <c:spPr>
            <a:solidFill>
              <a:srgbClr val="d92d2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Panel!$B$16:$B$27</c:f>
              <c:strCache>
                <c:ptCount val="12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  <c:pt idx="6">
                  <c:v>Temmuz</c:v>
                </c:pt>
                <c:pt idx="7">
                  <c:v>Ağustos</c:v>
                </c:pt>
                <c:pt idx="8">
                  <c:v>Eylül</c:v>
                </c:pt>
                <c:pt idx="9">
                  <c:v>Ekim</c:v>
                </c:pt>
                <c:pt idx="10">
                  <c:v>Kasım</c:v>
                </c:pt>
                <c:pt idx="11">
                  <c:v>Aralık</c:v>
                </c:pt>
              </c:strCache>
            </c:strRef>
          </c:cat>
          <c:val>
            <c:numRef>
              <c:f>Panel!$F$16:$F$27</c:f>
              <c:numCache>
                <c:formatCode>#,##0.00" ₺";[RED]\-#,##0.00" ₺";\-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7630</c:v>
                </c:pt>
                <c:pt idx="9">
                  <c:v>6420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Panel!G15</c:f>
              <c:strCache>
                <c:ptCount val="1"/>
                <c:pt idx="0">
                  <c:v>Net Kâr</c:v>
                </c:pt>
              </c:strCache>
            </c:strRef>
          </c:tx>
          <c:spPr>
            <a:solidFill>
              <a:srgbClr val="f7900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Panel!$B$16:$B$27</c:f>
              <c:strCache>
                <c:ptCount val="12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  <c:pt idx="6">
                  <c:v>Temmuz</c:v>
                </c:pt>
                <c:pt idx="7">
                  <c:v>Ağustos</c:v>
                </c:pt>
                <c:pt idx="8">
                  <c:v>Eylül</c:v>
                </c:pt>
                <c:pt idx="9">
                  <c:v>Ekim</c:v>
                </c:pt>
                <c:pt idx="10">
                  <c:v>Kasım</c:v>
                </c:pt>
                <c:pt idx="11">
                  <c:v>Aralık</c:v>
                </c:pt>
              </c:strCache>
            </c:strRef>
          </c:cat>
          <c:val>
            <c:numRef>
              <c:f>Panel!$G$16:$G$27</c:f>
              <c:numCache>
                <c:formatCode>#,##0.00" ₺";[RED]\-#,##0.00" ₺";\-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5610</c:v>
                </c:pt>
                <c:pt idx="9">
                  <c:v>1540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28434501"/>
        <c:axId val="55159118"/>
      </c:barChart>
      <c:catAx>
        <c:axId val="284345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159118"/>
        <c:crosses val="autoZero"/>
        <c:auto val="1"/>
        <c:lblAlgn val="ctr"/>
        <c:lblOffset val="100"/>
        <c:noMultiLvlLbl val="0"/>
      </c:catAx>
      <c:valAx>
        <c:axId val="55159118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43450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28</xdr:row>
      <xdr:rowOff>130680</xdr:rowOff>
    </xdr:from>
    <xdr:to>
      <xdr:col>6</xdr:col>
      <xdr:colOff>1169280</xdr:colOff>
      <xdr:row>43</xdr:row>
      <xdr:rowOff>152640</xdr:rowOff>
    </xdr:to>
    <xdr:graphicFrame>
      <xdr:nvGraphicFramePr>
        <xdr:cNvPr id="0" name="Chart 1"/>
        <xdr:cNvGraphicFramePr/>
      </xdr:nvGraphicFramePr>
      <xdr:xfrm>
        <a:off x="211320" y="5848200"/>
        <a:ext cx="70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2:C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88"/>
  </cols>
  <sheetData>
    <row r="2" customFormat="false" ht="24" hidden="false" customHeight="true" outlineLevel="0" collapsed="false">
      <c r="B2" s="1" t="s">
        <v>0</v>
      </c>
      <c r="C2" s="1"/>
    </row>
    <row r="3" customFormat="false" ht="36" hidden="false" customHeight="true" outlineLevel="0" collapsed="false">
      <c r="B3" s="2" t="s">
        <v>1</v>
      </c>
      <c r="C3" s="2"/>
    </row>
    <row r="4" customFormat="false" ht="15" hidden="false" customHeight="false" outlineLevel="0" collapsed="false">
      <c r="B4" s="3" t="s">
        <v>2</v>
      </c>
      <c r="C4" s="3"/>
    </row>
    <row r="6" customFormat="false" ht="19.5" hidden="false" customHeight="true" outlineLevel="0" collapsed="false">
      <c r="B6" s="4" t="s">
        <v>3</v>
      </c>
      <c r="C6" s="4"/>
    </row>
    <row r="7" customFormat="false" ht="18" hidden="false" customHeight="true" outlineLevel="0" collapsed="false">
      <c r="B7" s="5" t="s">
        <v>4</v>
      </c>
      <c r="C7" s="6" t="s">
        <v>5</v>
      </c>
    </row>
    <row r="8" customFormat="false" ht="30" hidden="false" customHeight="true" outlineLevel="0" collapsed="false">
      <c r="B8" s="5" t="s">
        <v>6</v>
      </c>
      <c r="C8" s="6" t="s">
        <v>7</v>
      </c>
    </row>
    <row r="9" customFormat="false" ht="30" hidden="false" customHeight="true" outlineLevel="0" collapsed="false">
      <c r="B9" s="5" t="s">
        <v>8</v>
      </c>
      <c r="C9" s="6" t="s">
        <v>9</v>
      </c>
    </row>
    <row r="11" customFormat="false" ht="19.5" hidden="false" customHeight="true" outlineLevel="0" collapsed="false">
      <c r="B11" s="4" t="s">
        <v>10</v>
      </c>
      <c r="C11" s="4"/>
    </row>
    <row r="12" customFormat="false" ht="30" hidden="false" customHeight="true" outlineLevel="0" collapsed="false">
      <c r="B12" s="5" t="s">
        <v>11</v>
      </c>
      <c r="C12" s="6" t="s">
        <v>12</v>
      </c>
    </row>
    <row r="13" customFormat="false" ht="30" hidden="false" customHeight="true" outlineLevel="0" collapsed="false">
      <c r="B13" s="5" t="s">
        <v>13</v>
      </c>
      <c r="C13" s="6" t="s">
        <v>14</v>
      </c>
    </row>
    <row r="14" customFormat="false" ht="18" hidden="false" customHeight="true" outlineLevel="0" collapsed="false">
      <c r="B14" s="5" t="s">
        <v>15</v>
      </c>
      <c r="C14" s="6" t="s">
        <v>16</v>
      </c>
    </row>
    <row r="15" customFormat="false" ht="30" hidden="false" customHeight="true" outlineLevel="0" collapsed="false">
      <c r="B15" s="5" t="s">
        <v>17</v>
      </c>
      <c r="C15" s="6" t="s">
        <v>18</v>
      </c>
    </row>
    <row r="16" customFormat="false" ht="30" hidden="false" customHeight="true" outlineLevel="0" collapsed="false">
      <c r="B16" s="5" t="s">
        <v>19</v>
      </c>
      <c r="C16" s="6" t="s">
        <v>20</v>
      </c>
    </row>
    <row r="18" customFormat="false" ht="19.5" hidden="false" customHeight="true" outlineLevel="0" collapsed="false">
      <c r="B18" s="4" t="s">
        <v>21</v>
      </c>
      <c r="C18" s="4"/>
    </row>
    <row r="19" customFormat="false" ht="30" hidden="false" customHeight="true" outlineLevel="0" collapsed="false">
      <c r="B19" s="5" t="s">
        <v>22</v>
      </c>
      <c r="C19" s="6" t="s">
        <v>23</v>
      </c>
    </row>
    <row r="20" customFormat="false" ht="30" hidden="false" customHeight="true" outlineLevel="0" collapsed="false">
      <c r="B20" s="5" t="s">
        <v>24</v>
      </c>
      <c r="C20" s="6" t="s">
        <v>25</v>
      </c>
    </row>
    <row r="21" customFormat="false" ht="30" hidden="false" customHeight="true" outlineLevel="0" collapsed="false">
      <c r="B21" s="5" t="s">
        <v>26</v>
      </c>
      <c r="C21" s="6" t="s">
        <v>27</v>
      </c>
    </row>
    <row r="22" customFormat="false" ht="30" hidden="false" customHeight="true" outlineLevel="0" collapsed="false">
      <c r="B22" s="5" t="s">
        <v>28</v>
      </c>
      <c r="C22" s="6" t="s">
        <v>29</v>
      </c>
    </row>
    <row r="23" customFormat="false" ht="30" hidden="false" customHeight="true" outlineLevel="0" collapsed="false">
      <c r="B23" s="5" t="s">
        <v>30</v>
      </c>
      <c r="C23" s="6" t="s">
        <v>31</v>
      </c>
    </row>
    <row r="25" customFormat="false" ht="19.5" hidden="false" customHeight="true" outlineLevel="0" collapsed="false">
      <c r="B25" s="4" t="s">
        <v>32</v>
      </c>
      <c r="C25" s="4"/>
    </row>
    <row r="26" customFormat="false" ht="18" hidden="false" customHeight="true" outlineLevel="0" collapsed="false">
      <c r="B26" s="7" t="s">
        <v>33</v>
      </c>
      <c r="C26" s="6" t="s">
        <v>34</v>
      </c>
    </row>
    <row r="27" customFormat="false" ht="18" hidden="false" customHeight="true" outlineLevel="0" collapsed="false">
      <c r="B27" s="5" t="s">
        <v>35</v>
      </c>
      <c r="C27" s="6" t="s">
        <v>36</v>
      </c>
    </row>
    <row r="29" customFormat="false" ht="19.5" hidden="false" customHeight="true" outlineLevel="0" collapsed="false">
      <c r="B29" s="4" t="s">
        <v>37</v>
      </c>
      <c r="C29" s="4"/>
    </row>
    <row r="30" customFormat="false" ht="30" hidden="false" customHeight="true" outlineLevel="0" collapsed="false">
      <c r="B30" s="5" t="s">
        <v>38</v>
      </c>
      <c r="C30" s="6" t="s">
        <v>39</v>
      </c>
    </row>
    <row r="31" customFormat="false" ht="30" hidden="false" customHeight="true" outlineLevel="0" collapsed="false">
      <c r="B31" s="5" t="s">
        <v>40</v>
      </c>
      <c r="C31" s="6" t="s">
        <v>41</v>
      </c>
    </row>
    <row r="32" customFormat="false" ht="30" hidden="false" customHeight="true" outlineLevel="0" collapsed="false">
      <c r="B32" s="5" t="s">
        <v>42</v>
      </c>
      <c r="C32" s="6" t="s">
        <v>43</v>
      </c>
    </row>
  </sheetData>
  <mergeCells count="8">
    <mergeCell ref="B2:C2"/>
    <mergeCell ref="B3:C3"/>
    <mergeCell ref="B4:C4"/>
    <mergeCell ref="B6:C6"/>
    <mergeCell ref="B11:C11"/>
    <mergeCell ref="B18:C18"/>
    <mergeCell ref="B25:C25"/>
    <mergeCell ref="B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1:K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5"/>
    <col collapsed="false" customWidth="true" hidden="false" outlineLevel="0" max="7" min="3" style="0" width="17"/>
    <col collapsed="false" customWidth="true" hidden="false" outlineLevel="0" max="8" min="8" style="0" width="3"/>
    <col collapsed="false" customWidth="true" hidden="false" outlineLevel="0" max="9" min="9" style="0" width="28"/>
    <col collapsed="false" customWidth="true" hidden="false" outlineLevel="0" max="10" min="10" style="0" width="17"/>
    <col collapsed="false" customWidth="true" hidden="false" outlineLevel="0" max="11" min="11" style="0" width="13"/>
  </cols>
  <sheetData>
    <row r="1" customFormat="false" ht="19.7" hidden="false" customHeight="false" outlineLevel="0" collapsed="false">
      <c r="B1" s="8" t="str">
        <f aca="false">Ayarlar!C4&amp;"  |  CHECK-UP"</f>
        <v>Örnek Kırtasiye  |  CHECK-UP</v>
      </c>
    </row>
    <row r="3" customFormat="false" ht="15" hidden="false" customHeight="false" outlineLevel="0" collapsed="false">
      <c r="B3" s="9" t="s">
        <v>44</v>
      </c>
      <c r="C3" s="10" t="n">
        <v>2026</v>
      </c>
      <c r="D3" s="11" t="s">
        <v>45</v>
      </c>
    </row>
    <row r="5" customFormat="false" ht="15" hidden="false" customHeight="false" outlineLevel="0" collapsed="false">
      <c r="B5" s="12" t="s">
        <v>46</v>
      </c>
    </row>
    <row r="6" customFormat="false" ht="15" hidden="false" customHeight="false" outlineLevel="0" collapsed="false">
      <c r="B6" s="13" t="s">
        <v>47</v>
      </c>
      <c r="C6" s="13" t="s">
        <v>48</v>
      </c>
      <c r="D6" s="13" t="s">
        <v>49</v>
      </c>
      <c r="E6" s="13" t="s">
        <v>15</v>
      </c>
      <c r="F6" s="13" t="s">
        <v>50</v>
      </c>
      <c r="G6" s="13" t="s">
        <v>51</v>
      </c>
    </row>
    <row r="7" customFormat="false" ht="27.75" hidden="false" customHeight="true" outlineLevel="0" collapsed="false">
      <c r="B7" s="14" t="n">
        <f aca="false">C28</f>
        <v>60500</v>
      </c>
      <c r="C7" s="14" t="n">
        <f aca="false">D28</f>
        <v>39300</v>
      </c>
      <c r="D7" s="14" t="n">
        <f aca="false">E28</f>
        <v>21200</v>
      </c>
      <c r="E7" s="14" t="n">
        <f aca="false">F28</f>
        <v>14050</v>
      </c>
      <c r="F7" s="14" t="n">
        <f aca="false">G28</f>
        <v>7150</v>
      </c>
      <c r="G7" s="15" t="n">
        <f aca="false">IF(C28=0,0,G28/C28)</f>
        <v>0.118181818181818</v>
      </c>
    </row>
    <row r="9" customFormat="false" ht="15" hidden="false" customHeight="false" outlineLevel="0" collapsed="false">
      <c r="B9" s="12" t="s">
        <v>52</v>
      </c>
    </row>
    <row r="10" customFormat="false" ht="15" hidden="false" customHeight="false" outlineLevel="0" collapsed="false">
      <c r="B10" s="13" t="s">
        <v>26</v>
      </c>
      <c r="C10" s="13" t="s">
        <v>53</v>
      </c>
      <c r="D10" s="13" t="s">
        <v>54</v>
      </c>
      <c r="E10" s="13" t="s">
        <v>55</v>
      </c>
      <c r="F10" s="13" t="s">
        <v>56</v>
      </c>
      <c r="G10" s="13" t="s">
        <v>57</v>
      </c>
    </row>
    <row r="11" customFormat="false" ht="27.75" hidden="false" customHeight="true" outlineLevel="0" collapsed="false">
      <c r="B11" s="14" t="n">
        <f aca="false">Ayarlar!C5+SUMIFS(Satışlar!$G$5:$G$1004,Satışlar!$F$5:$F$1004,"Peşin")+SUMIFS('Cari Hareket'!$D$5:$D$504,'Cari Hareket'!$B$5:$B$504,"Tahsilat")-SUMIFS(Alışlar!$G$5:$G$504,Alışlar!$F$5:$F$504,"Peşin")-SUMIFS('Cari Hareket'!$D$5:$D$504,'Cari Hareket'!$B$5:$B$504,"Ödeme")-SUM(Giderler!$D$5:$D$504)</f>
        <v>23850</v>
      </c>
      <c r="C11" s="14" t="n">
        <f aca="false">SUM(Cariler!$G$5:$G$104)</f>
        <v>29700</v>
      </c>
      <c r="D11" s="16" t="n">
        <f aca="false">SUM(Cariler!$J$5:$J$104)</f>
        <v>5300</v>
      </c>
      <c r="E11" s="14" t="n">
        <f aca="false">SUM(Ürünler!$J$5:$J$204)</f>
        <v>16560</v>
      </c>
      <c r="F11" s="17" t="n">
        <f aca="false">COUNTIF(Ürünler!$K$5:$K$204,"Kritik")+COUNTIF(Ürünler!$K$5:$K$204,"Tükendi")</f>
        <v>3</v>
      </c>
      <c r="G11" s="14" t="n">
        <f aca="false">B11+C11-D11+E11</f>
        <v>64810</v>
      </c>
    </row>
    <row r="12" customFormat="false" ht="15" hidden="false" customHeight="false" outlineLevel="0" collapsed="false">
      <c r="B12" s="18" t="s">
        <v>58</v>
      </c>
    </row>
    <row r="14" customFormat="false" ht="15" hidden="false" customHeight="false" outlineLevel="0" collapsed="false">
      <c r="B14" s="12" t="s">
        <v>59</v>
      </c>
      <c r="I14" s="12" t="s">
        <v>60</v>
      </c>
    </row>
    <row r="15" customFormat="false" ht="15" hidden="false" customHeight="false" outlineLevel="0" collapsed="false">
      <c r="B15" s="19" t="s">
        <v>61</v>
      </c>
      <c r="C15" s="19" t="s">
        <v>62</v>
      </c>
      <c r="D15" s="19" t="s">
        <v>63</v>
      </c>
      <c r="E15" s="19" t="s">
        <v>49</v>
      </c>
      <c r="F15" s="19" t="s">
        <v>64</v>
      </c>
      <c r="G15" s="19" t="s">
        <v>50</v>
      </c>
      <c r="I15" s="19" t="s">
        <v>65</v>
      </c>
      <c r="J15" s="19" t="s">
        <v>66</v>
      </c>
    </row>
    <row r="16" customFormat="false" ht="15" hidden="false" customHeight="false" outlineLevel="0" collapsed="false">
      <c r="B16" s="20" t="s">
        <v>67</v>
      </c>
      <c r="C16" s="21" t="n">
        <f aca="false">SUMIFS(Satışlar!$G$5:$G$1004,Satışlar!$A$5:$A$1004,"&gt;="&amp;DATE($C$3,1,1),Satışlar!$A$5:$A$1004,"&lt;"&amp;DATE($C$3,2,1))</f>
        <v>0</v>
      </c>
      <c r="D16" s="21" t="n">
        <f aca="false">SUMIFS(Satışlar!$H$5:$H$1004,Satışlar!$A$5:$A$1004,"&gt;="&amp;DATE($C$3,1,1),Satışlar!$A$5:$A$1004,"&lt;"&amp;DATE($C$3,2,1))</f>
        <v>0</v>
      </c>
      <c r="E16" s="21" t="n">
        <f aca="false">C16-D16</f>
        <v>0</v>
      </c>
      <c r="F16" s="21" t="n">
        <f aca="false">SUMIFS(Giderler!$D$5:$D$504,Giderler!$A$5:$A$504,"&gt;="&amp;DATE($C$3,1,1),Giderler!$A$5:$A$504,"&lt;"&amp;DATE($C$3,2,1))</f>
        <v>0</v>
      </c>
      <c r="G16" s="21" t="n">
        <f aca="false">E16-F16</f>
        <v>0</v>
      </c>
      <c r="I16" s="22" t="str">
        <f aca="false">IFERROR(IF(LARGE(Ürünler!$M$5:$M$204,1)&lt;1,"",INDEX(Ürünler!$A$5:$A$204,MATCH(LARGE(Ürünler!$M$5:$M$204,1),Ürünler!$M$5:$M$204,0))),"")</f>
        <v>Fotokopi Kâğıdı</v>
      </c>
      <c r="J16" s="23" t="n">
        <f aca="false">IF(I16="","",INDEX(Ürünler!$L$5:$L$204,MATCH(I16,Ürünler!$A$5:$A$204,0)))</f>
        <v>18200</v>
      </c>
    </row>
    <row r="17" customFormat="false" ht="15" hidden="false" customHeight="false" outlineLevel="0" collapsed="false">
      <c r="B17" s="22" t="s">
        <v>68</v>
      </c>
      <c r="C17" s="23" t="n">
        <f aca="false">SUMIFS(Satışlar!$G$5:$G$1004,Satışlar!$A$5:$A$1004,"&gt;="&amp;DATE($C$3,2,1),Satışlar!$A$5:$A$1004,"&lt;"&amp;DATE($C$3,3,1))</f>
        <v>0</v>
      </c>
      <c r="D17" s="23" t="n">
        <f aca="false">SUMIFS(Satışlar!$H$5:$H$1004,Satışlar!$A$5:$A$1004,"&gt;="&amp;DATE($C$3,2,1),Satışlar!$A$5:$A$1004,"&lt;"&amp;DATE($C$3,3,1))</f>
        <v>0</v>
      </c>
      <c r="E17" s="23" t="n">
        <f aca="false">C17-D17</f>
        <v>0</v>
      </c>
      <c r="F17" s="23" t="n">
        <f aca="false">SUMIFS(Giderler!$D$5:$D$504,Giderler!$A$5:$A$504,"&gt;="&amp;DATE($C$3,2,1),Giderler!$A$5:$A$504,"&lt;"&amp;DATE($C$3,3,1))</f>
        <v>0</v>
      </c>
      <c r="G17" s="23" t="n">
        <f aca="false">E17-F17</f>
        <v>0</v>
      </c>
      <c r="I17" s="20" t="str">
        <f aca="false">IFERROR(IF(LARGE(Ürünler!$M$5:$M$204,2)&lt;1,"",INDEX(Ürünler!$A$5:$A$204,MATCH(LARGE(Ürünler!$M$5:$M$204,2),Ürünler!$M$5:$M$204,0))),"")</f>
        <v>Defter A4</v>
      </c>
      <c r="J17" s="21" t="n">
        <f aca="false">IF(I17="","",INDEX(Ürünler!$L$5:$L$204,MATCH(I17,Ürünler!$A$5:$A$204,0)))</f>
        <v>13200</v>
      </c>
    </row>
    <row r="18" customFormat="false" ht="15" hidden="false" customHeight="false" outlineLevel="0" collapsed="false">
      <c r="B18" s="20" t="s">
        <v>69</v>
      </c>
      <c r="C18" s="21" t="n">
        <f aca="false">SUMIFS(Satışlar!$G$5:$G$1004,Satışlar!$A$5:$A$1004,"&gt;="&amp;DATE($C$3,3,1),Satışlar!$A$5:$A$1004,"&lt;"&amp;DATE($C$3,4,1))</f>
        <v>0</v>
      </c>
      <c r="D18" s="21" t="n">
        <f aca="false">SUMIFS(Satışlar!$H$5:$H$1004,Satışlar!$A$5:$A$1004,"&gt;="&amp;DATE($C$3,3,1),Satışlar!$A$5:$A$1004,"&lt;"&amp;DATE($C$3,4,1))</f>
        <v>0</v>
      </c>
      <c r="E18" s="21" t="n">
        <f aca="false">C18-D18</f>
        <v>0</v>
      </c>
      <c r="F18" s="21" t="n">
        <f aca="false">SUMIFS(Giderler!$D$5:$D$504,Giderler!$A$5:$A$504,"&gt;="&amp;DATE($C$3,3,1),Giderler!$A$5:$A$504,"&lt;"&amp;DATE($C$3,4,1))</f>
        <v>0</v>
      </c>
      <c r="G18" s="21" t="n">
        <f aca="false">E18-F18</f>
        <v>0</v>
      </c>
      <c r="I18" s="22" t="str">
        <f aca="false">IFERROR(IF(LARGE(Ürünler!$M$5:$M$204,3)&lt;1,"",INDEX(Ürünler!$A$5:$A$204,MATCH(LARGE(Ürünler!$M$5:$M$204,3),Ürünler!$M$5:$M$204,0))),"")</f>
        <v>Boya Kalemi Seti</v>
      </c>
      <c r="J18" s="23" t="n">
        <f aca="false">IF(I18="","",INDEX(Ürünler!$L$5:$L$204,MATCH(I18,Ürünler!$A$5:$A$204,0)))</f>
        <v>9200</v>
      </c>
    </row>
    <row r="19" customFormat="false" ht="15" hidden="false" customHeight="false" outlineLevel="0" collapsed="false">
      <c r="B19" s="22" t="s">
        <v>70</v>
      </c>
      <c r="C19" s="23" t="n">
        <f aca="false">SUMIFS(Satışlar!$G$5:$G$1004,Satışlar!$A$5:$A$1004,"&gt;="&amp;DATE($C$3,4,1),Satışlar!$A$5:$A$1004,"&lt;"&amp;DATE($C$3,5,1))</f>
        <v>0</v>
      </c>
      <c r="D19" s="23" t="n">
        <f aca="false">SUMIFS(Satışlar!$H$5:$H$1004,Satışlar!$A$5:$A$1004,"&gt;="&amp;DATE($C$3,4,1),Satışlar!$A$5:$A$1004,"&lt;"&amp;DATE($C$3,5,1))</f>
        <v>0</v>
      </c>
      <c r="E19" s="23" t="n">
        <f aca="false">C19-D19</f>
        <v>0</v>
      </c>
      <c r="F19" s="23" t="n">
        <f aca="false">SUMIFS(Giderler!$D$5:$D$504,Giderler!$A$5:$A$504,"&gt;="&amp;DATE($C$3,4,1),Giderler!$A$5:$A$504,"&lt;"&amp;DATE($C$3,5,1))</f>
        <v>0</v>
      </c>
      <c r="G19" s="23" t="n">
        <f aca="false">E19-F19</f>
        <v>0</v>
      </c>
      <c r="I19" s="20" t="str">
        <f aca="false">IFERROR(IF(LARGE(Ürünler!$M$5:$M$204,4)&lt;1,"",INDEX(Ürünler!$A$5:$A$204,MATCH(LARGE(Ürünler!$M$5:$M$204,4),Ürünler!$M$5:$M$204,0))),"")</f>
        <v>Klasör</v>
      </c>
      <c r="J19" s="21" t="n">
        <f aca="false">IF(I19="","",INDEX(Ürünler!$L$5:$L$204,MATCH(I19,Ürünler!$A$5:$A$204,0)))</f>
        <v>9000</v>
      </c>
    </row>
    <row r="20" customFormat="false" ht="15" hidden="false" customHeight="false" outlineLevel="0" collapsed="false">
      <c r="B20" s="20" t="s">
        <v>71</v>
      </c>
      <c r="C20" s="21" t="n">
        <f aca="false">SUMIFS(Satışlar!$G$5:$G$1004,Satışlar!$A$5:$A$1004,"&gt;="&amp;DATE($C$3,5,1),Satışlar!$A$5:$A$1004,"&lt;"&amp;DATE($C$3,6,1))</f>
        <v>0</v>
      </c>
      <c r="D20" s="21" t="n">
        <f aca="false">SUMIFS(Satışlar!$H$5:$H$1004,Satışlar!$A$5:$A$1004,"&gt;="&amp;DATE($C$3,5,1),Satışlar!$A$5:$A$1004,"&lt;"&amp;DATE($C$3,6,1))</f>
        <v>0</v>
      </c>
      <c r="E20" s="21" t="n">
        <f aca="false">C20-D20</f>
        <v>0</v>
      </c>
      <c r="F20" s="21" t="n">
        <f aca="false">SUMIFS(Giderler!$D$5:$D$504,Giderler!$A$5:$A$504,"&gt;="&amp;DATE($C$3,5,1),Giderler!$A$5:$A$504,"&lt;"&amp;DATE($C$3,6,1))</f>
        <v>0</v>
      </c>
      <c r="G20" s="21" t="n">
        <f aca="false">E20-F20</f>
        <v>0</v>
      </c>
      <c r="I20" s="22" t="str">
        <f aca="false">IFERROR(IF(LARGE(Ürünler!$M$5:$M$204,5)&lt;1,"",INDEX(Ürünler!$A$5:$A$204,MATCH(LARGE(Ürünler!$M$5:$M$204,5),Ürünler!$M$5:$M$204,0))),"")</f>
        <v>Tükenmez Kalem</v>
      </c>
      <c r="J20" s="23" t="n">
        <f aca="false">IF(I20="","",INDEX(Ürünler!$L$5:$L$204,MATCH(I20,Ürünler!$A$5:$A$204,0)))</f>
        <v>8800</v>
      </c>
    </row>
    <row r="21" customFormat="false" ht="15" hidden="false" customHeight="false" outlineLevel="0" collapsed="false">
      <c r="B21" s="22" t="s">
        <v>72</v>
      </c>
      <c r="C21" s="23" t="n">
        <f aca="false">SUMIFS(Satışlar!$G$5:$G$1004,Satışlar!$A$5:$A$1004,"&gt;="&amp;DATE($C$3,6,1),Satışlar!$A$5:$A$1004,"&lt;"&amp;DATE($C$3,7,1))</f>
        <v>0</v>
      </c>
      <c r="D21" s="23" t="n">
        <f aca="false">SUMIFS(Satışlar!$H$5:$H$1004,Satışlar!$A$5:$A$1004,"&gt;="&amp;DATE($C$3,6,1),Satışlar!$A$5:$A$1004,"&lt;"&amp;DATE($C$3,7,1))</f>
        <v>0</v>
      </c>
      <c r="E21" s="23" t="n">
        <f aca="false">C21-D21</f>
        <v>0</v>
      </c>
      <c r="F21" s="23" t="n">
        <f aca="false">SUMIFS(Giderler!$D$5:$D$504,Giderler!$A$5:$A$504,"&gt;="&amp;DATE($C$3,6,1),Giderler!$A$5:$A$504,"&lt;"&amp;DATE($C$3,7,1))</f>
        <v>0</v>
      </c>
      <c r="G21" s="23" t="n">
        <f aca="false">E21-F21</f>
        <v>0</v>
      </c>
    </row>
    <row r="22" customFormat="false" ht="15" hidden="false" customHeight="false" outlineLevel="0" collapsed="false">
      <c r="B22" s="20" t="s">
        <v>73</v>
      </c>
      <c r="C22" s="21" t="n">
        <f aca="false">SUMIFS(Satışlar!$G$5:$G$1004,Satışlar!$A$5:$A$1004,"&gt;="&amp;DATE($C$3,7,1),Satışlar!$A$5:$A$1004,"&lt;"&amp;DATE($C$3,8,1))</f>
        <v>0</v>
      </c>
      <c r="D22" s="21" t="n">
        <f aca="false">SUMIFS(Satışlar!$H$5:$H$1004,Satışlar!$A$5:$A$1004,"&gt;="&amp;DATE($C$3,7,1),Satışlar!$A$5:$A$1004,"&lt;"&amp;DATE($C$3,8,1))</f>
        <v>0</v>
      </c>
      <c r="E22" s="21" t="n">
        <f aca="false">C22-D22</f>
        <v>0</v>
      </c>
      <c r="F22" s="21" t="n">
        <f aca="false">SUMIFS(Giderler!$D$5:$D$504,Giderler!$A$5:$A$504,"&gt;="&amp;DATE($C$3,7,1),Giderler!$A$5:$A$504,"&lt;"&amp;DATE($C$3,8,1))</f>
        <v>0</v>
      </c>
      <c r="G22" s="21" t="n">
        <f aca="false">E22-F22</f>
        <v>0</v>
      </c>
      <c r="I22" s="12" t="s">
        <v>74</v>
      </c>
    </row>
    <row r="23" customFormat="false" ht="15" hidden="false" customHeight="false" outlineLevel="0" collapsed="false">
      <c r="B23" s="22" t="s">
        <v>75</v>
      </c>
      <c r="C23" s="23" t="n">
        <f aca="false">SUMIFS(Satışlar!$G$5:$G$1004,Satışlar!$A$5:$A$1004,"&gt;="&amp;DATE($C$3,8,1),Satışlar!$A$5:$A$1004,"&lt;"&amp;DATE($C$3,9,1))</f>
        <v>0</v>
      </c>
      <c r="D23" s="23" t="n">
        <f aca="false">SUMIFS(Satışlar!$H$5:$H$1004,Satışlar!$A$5:$A$1004,"&gt;="&amp;DATE($C$3,8,1),Satışlar!$A$5:$A$1004,"&lt;"&amp;DATE($C$3,9,1))</f>
        <v>0</v>
      </c>
      <c r="E23" s="23" t="n">
        <f aca="false">C23-D23</f>
        <v>0</v>
      </c>
      <c r="F23" s="23" t="n">
        <f aca="false">SUMIFS(Giderler!$D$5:$D$504,Giderler!$A$5:$A$504,"&gt;="&amp;DATE($C$3,8,1),Giderler!$A$5:$A$504,"&lt;"&amp;DATE($C$3,9,1))</f>
        <v>0</v>
      </c>
      <c r="G23" s="23" t="n">
        <f aca="false">E23-F23</f>
        <v>0</v>
      </c>
      <c r="I23" s="19" t="s">
        <v>65</v>
      </c>
      <c r="J23" s="19" t="s">
        <v>76</v>
      </c>
      <c r="K23" s="19" t="s">
        <v>77</v>
      </c>
    </row>
    <row r="24" customFormat="false" ht="15" hidden="false" customHeight="false" outlineLevel="0" collapsed="false">
      <c r="B24" s="20" t="s">
        <v>78</v>
      </c>
      <c r="C24" s="21" t="n">
        <f aca="false">SUMIFS(Satışlar!$G$5:$G$1004,Satışlar!$A$5:$A$1004,"&gt;="&amp;DATE($C$3,9,1),Satışlar!$A$5:$A$1004,"&lt;"&amp;DATE($C$3,10,1))</f>
        <v>40800</v>
      </c>
      <c r="D24" s="21" t="n">
        <f aca="false">SUMIFS(Satışlar!$H$5:$H$1004,Satışlar!$A$5:$A$1004,"&gt;="&amp;DATE($C$3,9,1),Satışlar!$A$5:$A$1004,"&lt;"&amp;DATE($C$3,10,1))</f>
        <v>27560</v>
      </c>
      <c r="E24" s="21" t="n">
        <f aca="false">C24-D24</f>
        <v>13240</v>
      </c>
      <c r="F24" s="21" t="n">
        <f aca="false">SUMIFS(Giderler!$D$5:$D$504,Giderler!$A$5:$A$504,"&gt;="&amp;DATE($C$3,9,1),Giderler!$A$5:$A$504,"&lt;"&amp;DATE($C$3,10,1))</f>
        <v>7630</v>
      </c>
      <c r="G24" s="21" t="n">
        <f aca="false">E24-F24</f>
        <v>5610</v>
      </c>
      <c r="I24" s="22" t="str">
        <f aca="false">IFERROR(INDEX(Ürünler!$A$1:$A$204,SMALL(Ürünler!$N$5:$N$204,1)),"")</f>
        <v>Fotokopi Kâğıdı</v>
      </c>
      <c r="J24" s="24" t="n">
        <f aca="false">IF(I24="","",INDEX(Ürünler!$I$5:$I$204,MATCH(I24,Ürünler!$A$5:$A$204,0)))</f>
        <v>20</v>
      </c>
      <c r="K24" s="25" t="str">
        <f aca="false">IF(I24="","",INDEX(Ürünler!$K$5:$K$204,MATCH(I24,Ürünler!$A$5:$A$204,0)))</f>
        <v>Kritik</v>
      </c>
    </row>
    <row r="25" customFormat="false" ht="15" hidden="false" customHeight="false" outlineLevel="0" collapsed="false">
      <c r="B25" s="22" t="s">
        <v>79</v>
      </c>
      <c r="C25" s="23" t="n">
        <f aca="false">SUMIFS(Satışlar!$G$5:$G$1004,Satışlar!$A$5:$A$1004,"&gt;="&amp;DATE($C$3,10,1),Satışlar!$A$5:$A$1004,"&lt;"&amp;DATE($C$3,11,1))</f>
        <v>19700</v>
      </c>
      <c r="D25" s="23" t="n">
        <f aca="false">SUMIFS(Satışlar!$H$5:$H$1004,Satışlar!$A$5:$A$1004,"&gt;="&amp;DATE($C$3,10,1),Satışlar!$A$5:$A$1004,"&lt;"&amp;DATE($C$3,11,1))</f>
        <v>11740</v>
      </c>
      <c r="E25" s="23" t="n">
        <f aca="false">C25-D25</f>
        <v>7960</v>
      </c>
      <c r="F25" s="23" t="n">
        <f aca="false">SUMIFS(Giderler!$D$5:$D$504,Giderler!$A$5:$A$504,"&gt;="&amp;DATE($C$3,10,1),Giderler!$A$5:$A$504,"&lt;"&amp;DATE($C$3,11,1))</f>
        <v>6420</v>
      </c>
      <c r="G25" s="23" t="n">
        <f aca="false">E25-F25</f>
        <v>1540</v>
      </c>
      <c r="I25" s="20" t="str">
        <f aca="false">IFERROR(INDEX(Ürünler!$A$1:$A$204,SMALL(Ürünler!$N$5:$N$204,2)),"")</f>
        <v>Boya Kalemi Seti</v>
      </c>
      <c r="J25" s="26" t="n">
        <f aca="false">IF(I25="","",INDEX(Ürünler!$I$5:$I$204,MATCH(I25,Ürünler!$A$5:$A$204,0)))</f>
        <v>6</v>
      </c>
      <c r="K25" s="27" t="str">
        <f aca="false">IF(I25="","",INDEX(Ürünler!$K$5:$K$204,MATCH(I25,Ürünler!$A$5:$A$204,0)))</f>
        <v>Kritik</v>
      </c>
    </row>
    <row r="26" customFormat="false" ht="15" hidden="false" customHeight="false" outlineLevel="0" collapsed="false">
      <c r="B26" s="20" t="s">
        <v>80</v>
      </c>
      <c r="C26" s="21" t="n">
        <f aca="false">SUMIFS(Satışlar!$G$5:$G$1004,Satışlar!$A$5:$A$1004,"&gt;="&amp;DATE($C$3,11,1),Satışlar!$A$5:$A$1004,"&lt;"&amp;DATE($C$3,12,1))</f>
        <v>0</v>
      </c>
      <c r="D26" s="21" t="n">
        <f aca="false">SUMIFS(Satışlar!$H$5:$H$1004,Satışlar!$A$5:$A$1004,"&gt;="&amp;DATE($C$3,11,1),Satışlar!$A$5:$A$1004,"&lt;"&amp;DATE($C$3,12,1))</f>
        <v>0</v>
      </c>
      <c r="E26" s="21" t="n">
        <f aca="false">C26-D26</f>
        <v>0</v>
      </c>
      <c r="F26" s="21" t="n">
        <f aca="false">SUMIFS(Giderler!$D$5:$D$504,Giderler!$A$5:$A$504,"&gt;="&amp;DATE($C$3,11,1),Giderler!$A$5:$A$504,"&lt;"&amp;DATE($C$3,12,1))</f>
        <v>0</v>
      </c>
      <c r="G26" s="21" t="n">
        <f aca="false">E26-F26</f>
        <v>0</v>
      </c>
      <c r="I26" s="22" t="str">
        <f aca="false">IFERROR(INDEX(Ürünler!$A$1:$A$204,SMALL(Ürünler!$N$5:$N$204,3)),"")</f>
        <v>Hesap Makinesi</v>
      </c>
      <c r="J26" s="24" t="n">
        <f aca="false">IF(I26="","",INDEX(Ürünler!$I$5:$I$204,MATCH(I26,Ürünler!$A$5:$A$204,0)))</f>
        <v>2</v>
      </c>
      <c r="K26" s="25" t="str">
        <f aca="false">IF(I26="","",INDEX(Ürünler!$K$5:$K$204,MATCH(I26,Ürünler!$A$5:$A$204,0)))</f>
        <v>Kritik</v>
      </c>
    </row>
    <row r="27" customFormat="false" ht="15" hidden="false" customHeight="false" outlineLevel="0" collapsed="false">
      <c r="B27" s="22" t="s">
        <v>81</v>
      </c>
      <c r="C27" s="23" t="n">
        <f aca="false">SUMIFS(Satışlar!$G$5:$G$1004,Satışlar!$A$5:$A$1004,"&gt;="&amp;DATE($C$3,12,1),Satışlar!$A$5:$A$1004,"&lt;"&amp;DATE($C$3,13,1))</f>
        <v>0</v>
      </c>
      <c r="D27" s="23" t="n">
        <f aca="false">SUMIFS(Satışlar!$H$5:$H$1004,Satışlar!$A$5:$A$1004,"&gt;="&amp;DATE($C$3,12,1),Satışlar!$A$5:$A$1004,"&lt;"&amp;DATE($C$3,13,1))</f>
        <v>0</v>
      </c>
      <c r="E27" s="23" t="n">
        <f aca="false">C27-D27</f>
        <v>0</v>
      </c>
      <c r="F27" s="23" t="n">
        <f aca="false">SUMIFS(Giderler!$D$5:$D$504,Giderler!$A$5:$A$504,"&gt;="&amp;DATE($C$3,12,1),Giderler!$A$5:$A$504,"&lt;"&amp;DATE($C$3,13,1))</f>
        <v>0</v>
      </c>
      <c r="G27" s="23" t="n">
        <f aca="false">E27-F27</f>
        <v>0</v>
      </c>
      <c r="I27" s="20" t="str">
        <f aca="false">IFERROR(INDEX(Ürünler!$A$1:$A$204,SMALL(Ürünler!$N$5:$N$204,4)),"")</f>
        <v/>
      </c>
      <c r="J27" s="26" t="str">
        <f aca="false">IF(I27="","",INDEX(Ürünler!$I$5:$I$204,MATCH(I27,Ürünler!$A$5:$A$204,0)))</f>
        <v/>
      </c>
      <c r="K27" s="27" t="str">
        <f aca="false">IF(I27="","",INDEX(Ürünler!$K$5:$K$204,MATCH(I27,Ürünler!$A$5:$A$204,0)))</f>
        <v/>
      </c>
    </row>
    <row r="28" customFormat="false" ht="15" hidden="false" customHeight="false" outlineLevel="0" collapsed="false">
      <c r="B28" s="28" t="s">
        <v>82</v>
      </c>
      <c r="C28" s="29" t="n">
        <f aca="false">SUM(C16:C27)</f>
        <v>60500</v>
      </c>
      <c r="D28" s="29" t="n">
        <f aca="false">SUM(D16:D27)</f>
        <v>39300</v>
      </c>
      <c r="E28" s="29" t="n">
        <f aca="false">SUM(E16:E27)</f>
        <v>21200</v>
      </c>
      <c r="F28" s="29" t="n">
        <f aca="false">SUM(F16:F27)</f>
        <v>14050</v>
      </c>
      <c r="G28" s="29" t="n">
        <f aca="false">SUM(G16:G27)</f>
        <v>7150</v>
      </c>
      <c r="I28" s="22" t="str">
        <f aca="false">IFERROR(INDEX(Ürünler!$A$1:$A$204,SMALL(Ürünler!$N$5:$N$204,5)),"")</f>
        <v/>
      </c>
      <c r="J28" s="24" t="str">
        <f aca="false">IF(I28="","",INDEX(Ürünler!$I$5:$I$204,MATCH(I28,Ürünler!$A$5:$A$204,0)))</f>
        <v/>
      </c>
      <c r="K28" s="25" t="str">
        <f aca="false">IF(I28="","",INDEX(Ürünler!$K$5:$K$204,MATCH(I28,Ürünler!$A$5:$A$204,0)))</f>
        <v/>
      </c>
    </row>
    <row r="29" customFormat="false" ht="15" hidden="false" customHeight="false" outlineLevel="0" collapsed="false">
      <c r="I29" s="20" t="str">
        <f aca="false">IFERROR(INDEX(Ürünler!$A$1:$A$204,SMALL(Ürünler!$N$5:$N$204,6)),"")</f>
        <v/>
      </c>
      <c r="J29" s="26" t="str">
        <f aca="false">IF(I29="","",INDEX(Ürünler!$I$5:$I$204,MATCH(I29,Ürünler!$A$5:$A$204,0)))</f>
        <v/>
      </c>
      <c r="K29" s="27" t="str">
        <f aca="false">IF(I29="","",INDEX(Ürünler!$K$5:$K$204,MATCH(I29,Ürünler!$A$5:$A$204,0)))</f>
        <v/>
      </c>
    </row>
    <row r="30" customFormat="false" ht="15" hidden="false" customHeight="false" outlineLevel="0" collapsed="false">
      <c r="I30" s="22" t="str">
        <f aca="false">IFERROR(INDEX(Ürünler!$A$1:$A$204,SMALL(Ürünler!$N$5:$N$204,7)),"")</f>
        <v/>
      </c>
      <c r="J30" s="24" t="str">
        <f aca="false">IF(I30="","",INDEX(Ürünler!$I$5:$I$204,MATCH(I30,Ürünler!$A$5:$A$204,0)))</f>
        <v/>
      </c>
      <c r="K30" s="25" t="str">
        <f aca="false">IF(I30="","",INDEX(Ürünler!$K$5:$K$204,MATCH(I30,Ürünler!$A$5:$A$204,0)))</f>
        <v/>
      </c>
    </row>
    <row r="31" customFormat="false" ht="15" hidden="false" customHeight="false" outlineLevel="0" collapsed="false">
      <c r="I31" s="20" t="str">
        <f aca="false">IFERROR(INDEX(Ürünler!$A$1:$A$204,SMALL(Ürünler!$N$5:$N$204,8)),"")</f>
        <v/>
      </c>
      <c r="J31" s="26" t="str">
        <f aca="false">IF(I31="","",INDEX(Ürünler!$I$5:$I$204,MATCH(I31,Ürünler!$A$5:$A$204,0)))</f>
        <v/>
      </c>
      <c r="K31" s="27" t="str">
        <f aca="false">IF(I31="","",INDEX(Ürünler!$K$5:$K$204,MATCH(I31,Ürünler!$A$5:$A$204,0)))</f>
        <v/>
      </c>
    </row>
    <row r="33" customFormat="false" ht="15" hidden="false" customHeight="false" outlineLevel="0" collapsed="false">
      <c r="I33" s="12" t="s">
        <v>83</v>
      </c>
    </row>
    <row r="34" customFormat="false" ht="15" hidden="false" customHeight="false" outlineLevel="0" collapsed="false">
      <c r="I34" s="19" t="s">
        <v>84</v>
      </c>
      <c r="J34" s="19" t="s">
        <v>85</v>
      </c>
    </row>
    <row r="35" customFormat="false" ht="15" hidden="false" customHeight="false" outlineLevel="0" collapsed="false">
      <c r="I35" s="22" t="str">
        <f aca="false">IFERROR(IF(LARGE(Cariler!$L$5:$L$104,1)&lt;1,"",INDEX(Cariler!$A$5:$A$104,MATCH(LARGE(Cariler!$L$5:$L$104,1),Cariler!$L$5:$L$104,0))),"")</f>
        <v>Müşteri Alfa</v>
      </c>
      <c r="J35" s="23" t="n">
        <f aca="false">IF(I35="","",INDEX(Cariler!$G$5:$G$104,MATCH(I35,Cariler!$A$5:$A$104,0)))</f>
        <v>16900</v>
      </c>
    </row>
    <row r="36" customFormat="false" ht="15" hidden="false" customHeight="false" outlineLevel="0" collapsed="false">
      <c r="I36" s="20" t="str">
        <f aca="false">IFERROR(IF(LARGE(Cariler!$L$5:$L$104,2)&lt;1,"",INDEX(Cariler!$A$5:$A$104,MATCH(LARGE(Cariler!$L$5:$L$104,2),Cariler!$L$5:$L$104,0))),"")</f>
        <v>Müşteri Gama</v>
      </c>
      <c r="J36" s="21" t="n">
        <f aca="false">IF(I36="","",INDEX(Cariler!$G$5:$G$104,MATCH(I36,Cariler!$A$5:$A$104,0)))</f>
        <v>7800</v>
      </c>
    </row>
    <row r="37" customFormat="false" ht="15" hidden="false" customHeight="false" outlineLevel="0" collapsed="false">
      <c r="I37" s="22" t="str">
        <f aca="false">IFERROR(IF(LARGE(Cariler!$L$5:$L$104,3)&lt;1,"",INDEX(Cariler!$A$5:$A$104,MATCH(LARGE(Cariler!$L$5:$L$104,3),Cariler!$L$5:$L$104,0))),"")</f>
        <v>Müşteri Beta</v>
      </c>
      <c r="J37" s="23" t="n">
        <f aca="false">IF(I37="","",INDEX(Cariler!$G$5:$G$104,MATCH(I37,Cariler!$A$5:$A$104,0)))</f>
        <v>5000</v>
      </c>
    </row>
    <row r="38" customFormat="false" ht="15" hidden="false" customHeight="false" outlineLevel="0" collapsed="false">
      <c r="I38" s="20" t="str">
        <f aca="false">IFERROR(IF(LARGE(Cariler!$L$5:$L$104,4)&lt;1,"",INDEX(Cariler!$A$5:$A$104,MATCH(LARGE(Cariler!$L$5:$L$104,4),Cariler!$L$5:$L$104,0))),"")</f>
        <v/>
      </c>
      <c r="J38" s="21" t="str">
        <f aca="false">IF(I38="","",INDEX(Cariler!$G$5:$G$104,MATCH(I38,Cariler!$A$5:$A$104,0)))</f>
        <v/>
      </c>
    </row>
    <row r="39" customFormat="false" ht="15" hidden="false" customHeight="false" outlineLevel="0" collapsed="false">
      <c r="I39" s="22" t="str">
        <f aca="false">IFERROR(IF(LARGE(Cariler!$L$5:$L$104,5)&lt;1,"",INDEX(Cariler!$A$5:$A$104,MATCH(LARGE(Cariler!$L$5:$L$104,5),Cariler!$L$5:$L$104,0))),"")</f>
        <v/>
      </c>
      <c r="J39" s="23" t="str">
        <f aca="false">IF(I39="","",INDEX(Cariler!$G$5:$G$104,MATCH(I39,Cariler!$A$5:$A$104,0)))</f>
        <v/>
      </c>
    </row>
  </sheetData>
  <conditionalFormatting sqref="E16:E28">
    <cfRule type="cellIs" priority="2" operator="lessThan" aboveAverage="0" equalAverage="0" bottom="0" percent="0" rank="0" text="" dxfId="0">
      <formula>0</formula>
    </cfRule>
  </conditionalFormatting>
  <conditionalFormatting sqref="G16:G28">
    <cfRule type="cellIs" priority="3" operator="lessThan" aboveAverage="0" equalAverage="0" bottom="0" percent="0" rank="0" text="" dxfId="0">
      <formula>0</formula>
    </cfRule>
  </conditionalFormatting>
  <conditionalFormatting sqref="F7">
    <cfRule type="cellIs" priority="4" operator="lessThan" aboveAverage="0" equalAverage="0" bottom="0" percent="0" rank="0" text="" dxfId="1">
      <formula>0</formula>
    </cfRule>
  </conditionalFormatting>
  <conditionalFormatting sqref="K24:K31">
    <cfRule type="cellIs" priority="5" operator="equal" aboveAverage="0" equalAverage="0" bottom="0" percent="0" rank="0" text="" dxfId="0">
      <formula>"Tükendi"</formula>
    </cfRule>
    <cfRule type="cellIs" priority="6" operator="equal" aboveAverage="0" equalAverage="0" bottom="0" percent="0" rank="0" text="" dxfId="2">
      <formula>"Kritik"</formula>
    </cfRule>
  </conditionalFormatting>
  <dataValidations count="1">
    <dataValidation allowBlank="false" error="2000 ile 2100 arasında bir yıl yaz." errorStyle="stop" errorTitle="Yıl" operator="between" showDropDown="false" showErrorMessage="true" showInputMessage="false" sqref="C3" type="whole">
      <formula1>2000</formula1>
      <formula2>2100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90FA"/>
    <pageSetUpPr fitToPage="true"/>
  </sheetPr>
  <dimension ref="A1:J1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9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9" min="7" style="0" width="15"/>
    <col collapsed="false" customWidth="true" hidden="false" outlineLevel="0" max="10" min="10" style="0" width="26"/>
  </cols>
  <sheetData>
    <row r="1" customFormat="false" ht="19.7" hidden="false" customHeight="false" outlineLevel="0" collapsed="false">
      <c r="A1" s="8" t="s">
        <v>11</v>
      </c>
    </row>
    <row r="2" customFormat="false" ht="15" hidden="false" customHeight="false" outlineLevel="0" collapsed="false">
      <c r="A2" s="11" t="s">
        <v>86</v>
      </c>
    </row>
    <row r="4" customFormat="false" ht="27.75" hidden="false" customHeight="true" outlineLevel="0" collapsed="false">
      <c r="A4" s="30" t="s">
        <v>87</v>
      </c>
      <c r="B4" s="30" t="s">
        <v>88</v>
      </c>
      <c r="C4" s="30" t="s">
        <v>65</v>
      </c>
      <c r="D4" s="30" t="s">
        <v>89</v>
      </c>
      <c r="E4" s="30" t="s">
        <v>90</v>
      </c>
      <c r="F4" s="30" t="s">
        <v>91</v>
      </c>
      <c r="G4" s="31" t="s">
        <v>92</v>
      </c>
      <c r="H4" s="31" t="s">
        <v>93</v>
      </c>
      <c r="I4" s="31" t="s">
        <v>94</v>
      </c>
      <c r="J4" s="30" t="s">
        <v>95</v>
      </c>
    </row>
    <row r="5" customFormat="false" ht="15" hidden="false" customHeight="false" outlineLevel="0" collapsed="false">
      <c r="A5" s="32" t="n">
        <v>46267</v>
      </c>
      <c r="B5" s="33"/>
      <c r="C5" s="33" t="s">
        <v>96</v>
      </c>
      <c r="D5" s="34" t="n">
        <v>80</v>
      </c>
      <c r="E5" s="35"/>
      <c r="F5" s="36" t="s">
        <v>97</v>
      </c>
      <c r="G5" s="37" t="n">
        <f aca="false">IF(OR(C5="",D5=""),"",D5*IF(E5="",IFERROR(INDEX(Ürünler!$D$5:$D$204,MATCH(C5,Ürünler!$A$5:$A$204,0)),0),E5))</f>
        <v>4800</v>
      </c>
      <c r="H5" s="37" t="n">
        <f aca="false">IF(G5="","",D5*IFERROR(INDEX(Ürünler!$C$5:$C$204,MATCH(C5,Ürünler!$A$5:$A$204,0)),0))</f>
        <v>2800</v>
      </c>
      <c r="I5" s="37" t="n">
        <f aca="false">IF(G5="","",G5-H5)</f>
        <v>2000</v>
      </c>
      <c r="J5" s="33" t="s">
        <v>98</v>
      </c>
    </row>
    <row r="6" customFormat="false" ht="15" hidden="false" customHeight="false" outlineLevel="0" collapsed="false">
      <c r="A6" s="32" t="n">
        <v>46270</v>
      </c>
      <c r="B6" s="33" t="s">
        <v>99</v>
      </c>
      <c r="C6" s="33" t="s">
        <v>100</v>
      </c>
      <c r="D6" s="34" t="n">
        <v>400</v>
      </c>
      <c r="E6" s="35" t="n">
        <v>13</v>
      </c>
      <c r="F6" s="36" t="s">
        <v>101</v>
      </c>
      <c r="G6" s="37" t="n">
        <f aca="false">IF(OR(C6="",D6=""),"",D6*IF(E6="",IFERROR(INDEX(Ürünler!$D$5:$D$204,MATCH(C6,Ürünler!$A$5:$A$204,0)),0),E6))</f>
        <v>5200</v>
      </c>
      <c r="H6" s="37" t="n">
        <f aca="false">IF(G6="","",D6*IFERROR(INDEX(Ürünler!$C$5:$C$204,MATCH(C6,Ürünler!$A$5:$A$204,0)),0))</f>
        <v>3200</v>
      </c>
      <c r="I6" s="37" t="n">
        <f aca="false">IF(G6="","",G6-H6)</f>
        <v>2000</v>
      </c>
      <c r="J6" s="33" t="s">
        <v>98</v>
      </c>
    </row>
    <row r="7" customFormat="false" ht="15" hidden="false" customHeight="false" outlineLevel="0" collapsed="false">
      <c r="A7" s="32" t="n">
        <v>46274</v>
      </c>
      <c r="B7" s="33"/>
      <c r="C7" s="33" t="s">
        <v>102</v>
      </c>
      <c r="D7" s="34" t="n">
        <v>20</v>
      </c>
      <c r="E7" s="35"/>
      <c r="F7" s="36" t="s">
        <v>97</v>
      </c>
      <c r="G7" s="37" t="n">
        <f aca="false">IF(OR(C7="",D7=""),"",D7*IF(E7="",IFERROR(INDEX(Ürünler!$D$5:$D$204,MATCH(C7,Ürünler!$A$5:$A$204,0)),0),E7))</f>
        <v>3800</v>
      </c>
      <c r="H7" s="37" t="n">
        <f aca="false">IF(G7="","",D7*IFERROR(INDEX(Ürünler!$C$5:$C$204,MATCH(C7,Ürünler!$A$5:$A$204,0)),0))</f>
        <v>2800</v>
      </c>
      <c r="I7" s="37" t="n">
        <f aca="false">IF(G7="","",G7-H7)</f>
        <v>1000</v>
      </c>
      <c r="J7" s="33" t="s">
        <v>98</v>
      </c>
    </row>
    <row r="8" customFormat="false" ht="15" hidden="false" customHeight="false" outlineLevel="0" collapsed="false">
      <c r="A8" s="32" t="n">
        <v>46279</v>
      </c>
      <c r="B8" s="33" t="s">
        <v>103</v>
      </c>
      <c r="C8" s="33" t="s">
        <v>104</v>
      </c>
      <c r="D8" s="34" t="n">
        <v>120</v>
      </c>
      <c r="E8" s="35"/>
      <c r="F8" s="36" t="s">
        <v>101</v>
      </c>
      <c r="G8" s="37" t="n">
        <f aca="false">IF(OR(C8="",D8=""),"",D8*IF(E8="",IFERROR(INDEX(Ürünler!$D$5:$D$204,MATCH(C8,Ürünler!$A$5:$A$204,0)),0),E8))</f>
        <v>9000</v>
      </c>
      <c r="H8" s="37" t="n">
        <f aca="false">IF(G8="","",D8*IFERROR(INDEX(Ürünler!$C$5:$C$204,MATCH(C8,Ürünler!$A$5:$A$204,0)),0))</f>
        <v>5400</v>
      </c>
      <c r="I8" s="37" t="n">
        <f aca="false">IF(G8="","",G8-H8)</f>
        <v>3600</v>
      </c>
      <c r="J8" s="33" t="s">
        <v>98</v>
      </c>
    </row>
    <row r="9" customFormat="false" ht="15" hidden="false" customHeight="false" outlineLevel="0" collapsed="false">
      <c r="A9" s="32" t="n">
        <v>46285</v>
      </c>
      <c r="B9" s="33"/>
      <c r="C9" s="33" t="s">
        <v>105</v>
      </c>
      <c r="D9" s="34" t="n">
        <v>24</v>
      </c>
      <c r="E9" s="35"/>
      <c r="F9" s="36" t="s">
        <v>97</v>
      </c>
      <c r="G9" s="37" t="n">
        <f aca="false">IF(OR(C9="",D9=""),"",D9*IF(E9="",IFERROR(INDEX(Ürünler!$D$5:$D$204,MATCH(C9,Ürünler!$A$5:$A$204,0)),0),E9))</f>
        <v>3600</v>
      </c>
      <c r="H9" s="37" t="n">
        <f aca="false">IF(G9="","",D9*IFERROR(INDEX(Ürünler!$C$5:$C$204,MATCH(C9,Ürünler!$A$5:$A$204,0)),0))</f>
        <v>2160</v>
      </c>
      <c r="I9" s="37" t="n">
        <f aca="false">IF(G9="","",G9-H9)</f>
        <v>1440</v>
      </c>
      <c r="J9" s="33" t="s">
        <v>98</v>
      </c>
    </row>
    <row r="10" customFormat="false" ht="15" hidden="false" customHeight="false" outlineLevel="0" collapsed="false">
      <c r="A10" s="32" t="n">
        <v>46292</v>
      </c>
      <c r="B10" s="33" t="s">
        <v>106</v>
      </c>
      <c r="C10" s="33" t="s">
        <v>102</v>
      </c>
      <c r="D10" s="34" t="n">
        <v>80</v>
      </c>
      <c r="E10" s="35" t="n">
        <v>180</v>
      </c>
      <c r="F10" s="36" t="s">
        <v>101</v>
      </c>
      <c r="G10" s="37" t="n">
        <f aca="false">IF(OR(C10="",D10=""),"",D10*IF(E10="",IFERROR(INDEX(Ürünler!$D$5:$D$204,MATCH(C10,Ürünler!$A$5:$A$204,0)),0),E10))</f>
        <v>14400</v>
      </c>
      <c r="H10" s="37" t="n">
        <f aca="false">IF(G10="","",D10*IFERROR(INDEX(Ürünler!$C$5:$C$204,MATCH(C10,Ürünler!$A$5:$A$204,0)),0))</f>
        <v>11200</v>
      </c>
      <c r="I10" s="37" t="n">
        <f aca="false">IF(G10="","",G10-H10)</f>
        <v>3200</v>
      </c>
      <c r="J10" s="33" t="s">
        <v>98</v>
      </c>
    </row>
    <row r="11" customFormat="false" ht="15" hidden="false" customHeight="false" outlineLevel="0" collapsed="false">
      <c r="A11" s="32" t="n">
        <v>46296</v>
      </c>
      <c r="B11" s="33"/>
      <c r="C11" s="33" t="s">
        <v>107</v>
      </c>
      <c r="D11" s="34" t="n">
        <v>6</v>
      </c>
      <c r="E11" s="35"/>
      <c r="F11" s="36" t="s">
        <v>97</v>
      </c>
      <c r="G11" s="37" t="n">
        <f aca="false">IF(OR(C11="",D11=""),"",D11*IF(E11="",IFERROR(INDEX(Ürünler!$D$5:$D$204,MATCH(C11,Ürünler!$A$5:$A$204,0)),0),E11))</f>
        <v>2100</v>
      </c>
      <c r="H11" s="37" t="n">
        <f aca="false">IF(G11="","",D11*IFERROR(INDEX(Ürünler!$C$5:$C$204,MATCH(C11,Ürünler!$A$5:$A$204,0)),0))</f>
        <v>1320</v>
      </c>
      <c r="I11" s="37" t="n">
        <f aca="false">IF(G11="","",G11-H11)</f>
        <v>780</v>
      </c>
      <c r="J11" s="33" t="s">
        <v>98</v>
      </c>
    </row>
    <row r="12" customFormat="false" ht="15" hidden="false" customHeight="false" outlineLevel="0" collapsed="false">
      <c r="A12" s="32" t="n">
        <v>46297</v>
      </c>
      <c r="B12" s="33"/>
      <c r="C12" s="33" t="s">
        <v>96</v>
      </c>
      <c r="D12" s="34" t="n">
        <v>140</v>
      </c>
      <c r="E12" s="35"/>
      <c r="F12" s="36" t="s">
        <v>97</v>
      </c>
      <c r="G12" s="37" t="n">
        <f aca="false">IF(OR(C12="",D12=""),"",D12*IF(E12="",IFERROR(INDEX(Ürünler!$D$5:$D$204,MATCH(C12,Ürünler!$A$5:$A$204,0)),0),E12))</f>
        <v>8400</v>
      </c>
      <c r="H12" s="37" t="n">
        <f aca="false">IF(G12="","",D12*IFERROR(INDEX(Ürünler!$C$5:$C$204,MATCH(C12,Ürünler!$A$5:$A$204,0)),0))</f>
        <v>4900</v>
      </c>
      <c r="I12" s="37" t="n">
        <f aca="false">IF(G12="","",G12-H12)</f>
        <v>3500</v>
      </c>
      <c r="J12" s="33" t="s">
        <v>98</v>
      </c>
    </row>
    <row r="13" customFormat="false" ht="15" hidden="false" customHeight="false" outlineLevel="0" collapsed="false">
      <c r="A13" s="32" t="n">
        <v>46298</v>
      </c>
      <c r="B13" s="33" t="s">
        <v>99</v>
      </c>
      <c r="C13" s="33" t="s">
        <v>105</v>
      </c>
      <c r="D13" s="34" t="n">
        <v>40</v>
      </c>
      <c r="E13" s="35" t="n">
        <v>140</v>
      </c>
      <c r="F13" s="36" t="s">
        <v>101</v>
      </c>
      <c r="G13" s="37" t="n">
        <f aca="false">IF(OR(C13="",D13=""),"",D13*IF(E13="",IFERROR(INDEX(Ürünler!$D$5:$D$204,MATCH(C13,Ürünler!$A$5:$A$204,0)),0),E13))</f>
        <v>5600</v>
      </c>
      <c r="H13" s="37" t="n">
        <f aca="false">IF(G13="","",D13*IFERROR(INDEX(Ürünler!$C$5:$C$204,MATCH(C13,Ürünler!$A$5:$A$204,0)),0))</f>
        <v>3600</v>
      </c>
      <c r="I13" s="37" t="n">
        <f aca="false">IF(G13="","",G13-H13)</f>
        <v>2000</v>
      </c>
      <c r="J13" s="33" t="s">
        <v>98</v>
      </c>
    </row>
    <row r="14" customFormat="false" ht="15" hidden="false" customHeight="false" outlineLevel="0" collapsed="false">
      <c r="A14" s="32" t="n">
        <v>46299</v>
      </c>
      <c r="B14" s="33"/>
      <c r="C14" s="33" t="s">
        <v>100</v>
      </c>
      <c r="D14" s="34" t="n">
        <v>240</v>
      </c>
      <c r="E14" s="35"/>
      <c r="F14" s="36" t="s">
        <v>97</v>
      </c>
      <c r="G14" s="37" t="n">
        <f aca="false">IF(OR(C14="",D14=""),"",D14*IF(E14="",IFERROR(INDEX(Ürünler!$D$5:$D$204,MATCH(C14,Ürünler!$A$5:$A$204,0)),0),E14))</f>
        <v>3600</v>
      </c>
      <c r="H14" s="37" t="n">
        <f aca="false">IF(G14="","",D14*IFERROR(INDEX(Ürünler!$C$5:$C$204,MATCH(C14,Ürünler!$A$5:$A$204,0)),0))</f>
        <v>1920</v>
      </c>
      <c r="I14" s="37" t="n">
        <f aca="false">IF(G14="","",G14-H14)</f>
        <v>1680</v>
      </c>
      <c r="J14" s="33" t="s">
        <v>98</v>
      </c>
    </row>
    <row r="15" customFormat="false" ht="15" hidden="false" customHeight="false" outlineLevel="0" collapsed="false">
      <c r="A15" s="32"/>
      <c r="B15" s="33"/>
      <c r="C15" s="33"/>
      <c r="D15" s="34"/>
      <c r="E15" s="35"/>
      <c r="F15" s="36"/>
      <c r="G15" s="37" t="str">
        <f aca="false">IF(OR(C15="",D15=""),"",D15*IF(E15="",IFERROR(INDEX(Ürünler!$D$5:$D$204,MATCH(C15,Ürünler!$A$5:$A$204,0)),0),E15))</f>
        <v/>
      </c>
      <c r="H15" s="37" t="str">
        <f aca="false">IF(G15="","",D15*IFERROR(INDEX(Ürünler!$C$5:$C$204,MATCH(C15,Ürünler!$A$5:$A$204,0)),0))</f>
        <v/>
      </c>
      <c r="I15" s="37" t="str">
        <f aca="false">IF(G15="","",G15-H15)</f>
        <v/>
      </c>
      <c r="J15" s="33"/>
    </row>
    <row r="16" customFormat="false" ht="15" hidden="false" customHeight="false" outlineLevel="0" collapsed="false">
      <c r="A16" s="32"/>
      <c r="B16" s="33"/>
      <c r="C16" s="33"/>
      <c r="D16" s="34"/>
      <c r="E16" s="35"/>
      <c r="F16" s="36"/>
      <c r="G16" s="37" t="str">
        <f aca="false">IF(OR(C16="",D16=""),"",D16*IF(E16="",IFERROR(INDEX(Ürünler!$D$5:$D$204,MATCH(C16,Ürünler!$A$5:$A$204,0)),0),E16))</f>
        <v/>
      </c>
      <c r="H16" s="37" t="str">
        <f aca="false">IF(G16="","",D16*IFERROR(INDEX(Ürünler!$C$5:$C$204,MATCH(C16,Ürünler!$A$5:$A$204,0)),0))</f>
        <v/>
      </c>
      <c r="I16" s="37" t="str">
        <f aca="false">IF(G16="","",G16-H16)</f>
        <v/>
      </c>
      <c r="J16" s="33"/>
    </row>
    <row r="17" customFormat="false" ht="15" hidden="false" customHeight="false" outlineLevel="0" collapsed="false">
      <c r="A17" s="32"/>
      <c r="B17" s="33"/>
      <c r="C17" s="33"/>
      <c r="D17" s="34"/>
      <c r="E17" s="35"/>
      <c r="F17" s="36"/>
      <c r="G17" s="37" t="str">
        <f aca="false">IF(OR(C17="",D17=""),"",D17*IF(E17="",IFERROR(INDEX(Ürünler!$D$5:$D$204,MATCH(C17,Ürünler!$A$5:$A$204,0)),0),E17))</f>
        <v/>
      </c>
      <c r="H17" s="37" t="str">
        <f aca="false">IF(G17="","",D17*IFERROR(INDEX(Ürünler!$C$5:$C$204,MATCH(C17,Ürünler!$A$5:$A$204,0)),0))</f>
        <v/>
      </c>
      <c r="I17" s="37" t="str">
        <f aca="false">IF(G17="","",G17-H17)</f>
        <v/>
      </c>
      <c r="J17" s="33"/>
    </row>
    <row r="18" customFormat="false" ht="15" hidden="false" customHeight="false" outlineLevel="0" collapsed="false">
      <c r="A18" s="32"/>
      <c r="B18" s="33"/>
      <c r="C18" s="33"/>
      <c r="D18" s="34"/>
      <c r="E18" s="35"/>
      <c r="F18" s="36"/>
      <c r="G18" s="37" t="str">
        <f aca="false">IF(OR(C18="",D18=""),"",D18*IF(E18="",IFERROR(INDEX(Ürünler!$D$5:$D$204,MATCH(C18,Ürünler!$A$5:$A$204,0)),0),E18))</f>
        <v/>
      </c>
      <c r="H18" s="37" t="str">
        <f aca="false">IF(G18="","",D18*IFERROR(INDEX(Ürünler!$C$5:$C$204,MATCH(C18,Ürünler!$A$5:$A$204,0)),0))</f>
        <v/>
      </c>
      <c r="I18" s="37" t="str">
        <f aca="false">IF(G18="","",G18-H18)</f>
        <v/>
      </c>
      <c r="J18" s="33"/>
    </row>
    <row r="19" customFormat="false" ht="15" hidden="false" customHeight="false" outlineLevel="0" collapsed="false">
      <c r="A19" s="32"/>
      <c r="B19" s="33"/>
      <c r="C19" s="33"/>
      <c r="D19" s="34"/>
      <c r="E19" s="35"/>
      <c r="F19" s="36"/>
      <c r="G19" s="37" t="str">
        <f aca="false">IF(OR(C19="",D19=""),"",D19*IF(E19="",IFERROR(INDEX(Ürünler!$D$5:$D$204,MATCH(C19,Ürünler!$A$5:$A$204,0)),0),E19))</f>
        <v/>
      </c>
      <c r="H19" s="37" t="str">
        <f aca="false">IF(G19="","",D19*IFERROR(INDEX(Ürünler!$C$5:$C$204,MATCH(C19,Ürünler!$A$5:$A$204,0)),0))</f>
        <v/>
      </c>
      <c r="I19" s="37" t="str">
        <f aca="false">IF(G19="","",G19-H19)</f>
        <v/>
      </c>
      <c r="J19" s="33"/>
    </row>
    <row r="20" customFormat="false" ht="15" hidden="false" customHeight="false" outlineLevel="0" collapsed="false">
      <c r="A20" s="32"/>
      <c r="B20" s="33"/>
      <c r="C20" s="33"/>
      <c r="D20" s="34"/>
      <c r="E20" s="35"/>
      <c r="F20" s="36"/>
      <c r="G20" s="37" t="str">
        <f aca="false">IF(OR(C20="",D20=""),"",D20*IF(E20="",IFERROR(INDEX(Ürünler!$D$5:$D$204,MATCH(C20,Ürünler!$A$5:$A$204,0)),0),E20))</f>
        <v/>
      </c>
      <c r="H20" s="37" t="str">
        <f aca="false">IF(G20="","",D20*IFERROR(INDEX(Ürünler!$C$5:$C$204,MATCH(C20,Ürünler!$A$5:$A$204,0)),0))</f>
        <v/>
      </c>
      <c r="I20" s="37" t="str">
        <f aca="false">IF(G20="","",G20-H20)</f>
        <v/>
      </c>
      <c r="J20" s="33"/>
    </row>
    <row r="21" customFormat="false" ht="15" hidden="false" customHeight="false" outlineLevel="0" collapsed="false">
      <c r="A21" s="32"/>
      <c r="B21" s="33"/>
      <c r="C21" s="33"/>
      <c r="D21" s="34"/>
      <c r="E21" s="35"/>
      <c r="F21" s="36"/>
      <c r="G21" s="37" t="str">
        <f aca="false">IF(OR(C21="",D21=""),"",D21*IF(E21="",IFERROR(INDEX(Ürünler!$D$5:$D$204,MATCH(C21,Ürünler!$A$5:$A$204,0)),0),E21))</f>
        <v/>
      </c>
      <c r="H21" s="37" t="str">
        <f aca="false">IF(G21="","",D21*IFERROR(INDEX(Ürünler!$C$5:$C$204,MATCH(C21,Ürünler!$A$5:$A$204,0)),0))</f>
        <v/>
      </c>
      <c r="I21" s="37" t="str">
        <f aca="false">IF(G21="","",G21-H21)</f>
        <v/>
      </c>
      <c r="J21" s="33"/>
    </row>
    <row r="22" customFormat="false" ht="15" hidden="false" customHeight="false" outlineLevel="0" collapsed="false">
      <c r="A22" s="32"/>
      <c r="B22" s="33"/>
      <c r="C22" s="33"/>
      <c r="D22" s="34"/>
      <c r="E22" s="35"/>
      <c r="F22" s="36"/>
      <c r="G22" s="37" t="str">
        <f aca="false">IF(OR(C22="",D22=""),"",D22*IF(E22="",IFERROR(INDEX(Ürünler!$D$5:$D$204,MATCH(C22,Ürünler!$A$5:$A$204,0)),0),E22))</f>
        <v/>
      </c>
      <c r="H22" s="37" t="str">
        <f aca="false">IF(G22="","",D22*IFERROR(INDEX(Ürünler!$C$5:$C$204,MATCH(C22,Ürünler!$A$5:$A$204,0)),0))</f>
        <v/>
      </c>
      <c r="I22" s="37" t="str">
        <f aca="false">IF(G22="","",G22-H22)</f>
        <v/>
      </c>
      <c r="J22" s="33"/>
    </row>
    <row r="23" customFormat="false" ht="15" hidden="false" customHeight="false" outlineLevel="0" collapsed="false">
      <c r="A23" s="32"/>
      <c r="B23" s="33"/>
      <c r="C23" s="33"/>
      <c r="D23" s="34"/>
      <c r="E23" s="35"/>
      <c r="F23" s="36"/>
      <c r="G23" s="37" t="str">
        <f aca="false">IF(OR(C23="",D23=""),"",D23*IF(E23="",IFERROR(INDEX(Ürünler!$D$5:$D$204,MATCH(C23,Ürünler!$A$5:$A$204,0)),0),E23))</f>
        <v/>
      </c>
      <c r="H23" s="37" t="str">
        <f aca="false">IF(G23="","",D23*IFERROR(INDEX(Ürünler!$C$5:$C$204,MATCH(C23,Ürünler!$A$5:$A$204,0)),0))</f>
        <v/>
      </c>
      <c r="I23" s="37" t="str">
        <f aca="false">IF(G23="","",G23-H23)</f>
        <v/>
      </c>
      <c r="J23" s="33"/>
    </row>
    <row r="24" customFormat="false" ht="15" hidden="false" customHeight="false" outlineLevel="0" collapsed="false">
      <c r="A24" s="32"/>
      <c r="B24" s="33"/>
      <c r="C24" s="33"/>
      <c r="D24" s="34"/>
      <c r="E24" s="35"/>
      <c r="F24" s="36"/>
      <c r="G24" s="37" t="str">
        <f aca="false">IF(OR(C24="",D24=""),"",D24*IF(E24="",IFERROR(INDEX(Ürünler!$D$5:$D$204,MATCH(C24,Ürünler!$A$5:$A$204,0)),0),E24))</f>
        <v/>
      </c>
      <c r="H24" s="37" t="str">
        <f aca="false">IF(G24="","",D24*IFERROR(INDEX(Ürünler!$C$5:$C$204,MATCH(C24,Ürünler!$A$5:$A$204,0)),0))</f>
        <v/>
      </c>
      <c r="I24" s="37" t="str">
        <f aca="false">IF(G24="","",G24-H24)</f>
        <v/>
      </c>
      <c r="J24" s="33"/>
    </row>
    <row r="25" customFormat="false" ht="15" hidden="false" customHeight="false" outlineLevel="0" collapsed="false">
      <c r="A25" s="32"/>
      <c r="B25" s="33"/>
      <c r="C25" s="33"/>
      <c r="D25" s="34"/>
      <c r="E25" s="35"/>
      <c r="F25" s="36"/>
      <c r="G25" s="37" t="str">
        <f aca="false">IF(OR(C25="",D25=""),"",D25*IF(E25="",IFERROR(INDEX(Ürünler!$D$5:$D$204,MATCH(C25,Ürünler!$A$5:$A$204,0)),0),E25))</f>
        <v/>
      </c>
      <c r="H25" s="37" t="str">
        <f aca="false">IF(G25="","",D25*IFERROR(INDEX(Ürünler!$C$5:$C$204,MATCH(C25,Ürünler!$A$5:$A$204,0)),0))</f>
        <v/>
      </c>
      <c r="I25" s="37" t="str">
        <f aca="false">IF(G25="","",G25-H25)</f>
        <v/>
      </c>
      <c r="J25" s="33"/>
    </row>
    <row r="26" customFormat="false" ht="15" hidden="false" customHeight="false" outlineLevel="0" collapsed="false">
      <c r="A26" s="32"/>
      <c r="B26" s="33"/>
      <c r="C26" s="33"/>
      <c r="D26" s="34"/>
      <c r="E26" s="35"/>
      <c r="F26" s="36"/>
      <c r="G26" s="37" t="str">
        <f aca="false">IF(OR(C26="",D26=""),"",D26*IF(E26="",IFERROR(INDEX(Ürünler!$D$5:$D$204,MATCH(C26,Ürünler!$A$5:$A$204,0)),0),E26))</f>
        <v/>
      </c>
      <c r="H26" s="37" t="str">
        <f aca="false">IF(G26="","",D26*IFERROR(INDEX(Ürünler!$C$5:$C$204,MATCH(C26,Ürünler!$A$5:$A$204,0)),0))</f>
        <v/>
      </c>
      <c r="I26" s="37" t="str">
        <f aca="false">IF(G26="","",G26-H26)</f>
        <v/>
      </c>
      <c r="J26" s="33"/>
    </row>
    <row r="27" customFormat="false" ht="15" hidden="false" customHeight="false" outlineLevel="0" collapsed="false">
      <c r="A27" s="32"/>
      <c r="B27" s="33"/>
      <c r="C27" s="33"/>
      <c r="D27" s="34"/>
      <c r="E27" s="35"/>
      <c r="F27" s="36"/>
      <c r="G27" s="37" t="str">
        <f aca="false">IF(OR(C27="",D27=""),"",D27*IF(E27="",IFERROR(INDEX(Ürünler!$D$5:$D$204,MATCH(C27,Ürünler!$A$5:$A$204,0)),0),E27))</f>
        <v/>
      </c>
      <c r="H27" s="37" t="str">
        <f aca="false">IF(G27="","",D27*IFERROR(INDEX(Ürünler!$C$5:$C$204,MATCH(C27,Ürünler!$A$5:$A$204,0)),0))</f>
        <v/>
      </c>
      <c r="I27" s="37" t="str">
        <f aca="false">IF(G27="","",G27-H27)</f>
        <v/>
      </c>
      <c r="J27" s="33"/>
    </row>
    <row r="28" customFormat="false" ht="15" hidden="false" customHeight="false" outlineLevel="0" collapsed="false">
      <c r="A28" s="32"/>
      <c r="B28" s="33"/>
      <c r="C28" s="33"/>
      <c r="D28" s="34"/>
      <c r="E28" s="35"/>
      <c r="F28" s="36"/>
      <c r="G28" s="37" t="str">
        <f aca="false">IF(OR(C28="",D28=""),"",D28*IF(E28="",IFERROR(INDEX(Ürünler!$D$5:$D$204,MATCH(C28,Ürünler!$A$5:$A$204,0)),0),E28))</f>
        <v/>
      </c>
      <c r="H28" s="37" t="str">
        <f aca="false">IF(G28="","",D28*IFERROR(INDEX(Ürünler!$C$5:$C$204,MATCH(C28,Ürünler!$A$5:$A$204,0)),0))</f>
        <v/>
      </c>
      <c r="I28" s="37" t="str">
        <f aca="false">IF(G28="","",G28-H28)</f>
        <v/>
      </c>
      <c r="J28" s="33"/>
    </row>
    <row r="29" customFormat="false" ht="15" hidden="false" customHeight="false" outlineLevel="0" collapsed="false">
      <c r="A29" s="32"/>
      <c r="B29" s="33"/>
      <c r="C29" s="33"/>
      <c r="D29" s="34"/>
      <c r="E29" s="35"/>
      <c r="F29" s="36"/>
      <c r="G29" s="37" t="str">
        <f aca="false">IF(OR(C29="",D29=""),"",D29*IF(E29="",IFERROR(INDEX(Ürünler!$D$5:$D$204,MATCH(C29,Ürünler!$A$5:$A$204,0)),0),E29))</f>
        <v/>
      </c>
      <c r="H29" s="37" t="str">
        <f aca="false">IF(G29="","",D29*IFERROR(INDEX(Ürünler!$C$5:$C$204,MATCH(C29,Ürünler!$A$5:$A$204,0)),0))</f>
        <v/>
      </c>
      <c r="I29" s="37" t="str">
        <f aca="false">IF(G29="","",G29-H29)</f>
        <v/>
      </c>
      <c r="J29" s="33"/>
    </row>
    <row r="30" customFormat="false" ht="15" hidden="false" customHeight="false" outlineLevel="0" collapsed="false">
      <c r="A30" s="32"/>
      <c r="B30" s="33"/>
      <c r="C30" s="33"/>
      <c r="D30" s="34"/>
      <c r="E30" s="35"/>
      <c r="F30" s="36"/>
      <c r="G30" s="37" t="str">
        <f aca="false">IF(OR(C30="",D30=""),"",D30*IF(E30="",IFERROR(INDEX(Ürünler!$D$5:$D$204,MATCH(C30,Ürünler!$A$5:$A$204,0)),0),E30))</f>
        <v/>
      </c>
      <c r="H30" s="37" t="str">
        <f aca="false">IF(G30="","",D30*IFERROR(INDEX(Ürünler!$C$5:$C$204,MATCH(C30,Ürünler!$A$5:$A$204,0)),0))</f>
        <v/>
      </c>
      <c r="I30" s="37" t="str">
        <f aca="false">IF(G30="","",G30-H30)</f>
        <v/>
      </c>
      <c r="J30" s="33"/>
    </row>
    <row r="31" customFormat="false" ht="15" hidden="false" customHeight="false" outlineLevel="0" collapsed="false">
      <c r="A31" s="32"/>
      <c r="B31" s="33"/>
      <c r="C31" s="33"/>
      <c r="D31" s="34"/>
      <c r="E31" s="35"/>
      <c r="F31" s="36"/>
      <c r="G31" s="37" t="str">
        <f aca="false">IF(OR(C31="",D31=""),"",D31*IF(E31="",IFERROR(INDEX(Ürünler!$D$5:$D$204,MATCH(C31,Ürünler!$A$5:$A$204,0)),0),E31))</f>
        <v/>
      </c>
      <c r="H31" s="37" t="str">
        <f aca="false">IF(G31="","",D31*IFERROR(INDEX(Ürünler!$C$5:$C$204,MATCH(C31,Ürünler!$A$5:$A$204,0)),0))</f>
        <v/>
      </c>
      <c r="I31" s="37" t="str">
        <f aca="false">IF(G31="","",G31-H31)</f>
        <v/>
      </c>
      <c r="J31" s="33"/>
    </row>
    <row r="32" customFormat="false" ht="15" hidden="false" customHeight="false" outlineLevel="0" collapsed="false">
      <c r="A32" s="32"/>
      <c r="B32" s="33"/>
      <c r="C32" s="33"/>
      <c r="D32" s="34"/>
      <c r="E32" s="35"/>
      <c r="F32" s="36"/>
      <c r="G32" s="37" t="str">
        <f aca="false">IF(OR(C32="",D32=""),"",D32*IF(E32="",IFERROR(INDEX(Ürünler!$D$5:$D$204,MATCH(C32,Ürünler!$A$5:$A$204,0)),0),E32))</f>
        <v/>
      </c>
      <c r="H32" s="37" t="str">
        <f aca="false">IF(G32="","",D32*IFERROR(INDEX(Ürünler!$C$5:$C$204,MATCH(C32,Ürünler!$A$5:$A$204,0)),0))</f>
        <v/>
      </c>
      <c r="I32" s="37" t="str">
        <f aca="false">IF(G32="","",G32-H32)</f>
        <v/>
      </c>
      <c r="J32" s="33"/>
    </row>
    <row r="33" customFormat="false" ht="15" hidden="false" customHeight="false" outlineLevel="0" collapsed="false">
      <c r="A33" s="32"/>
      <c r="B33" s="33"/>
      <c r="C33" s="33"/>
      <c r="D33" s="34"/>
      <c r="E33" s="35"/>
      <c r="F33" s="36"/>
      <c r="G33" s="37" t="str">
        <f aca="false">IF(OR(C33="",D33=""),"",D33*IF(E33="",IFERROR(INDEX(Ürünler!$D$5:$D$204,MATCH(C33,Ürünler!$A$5:$A$204,0)),0),E33))</f>
        <v/>
      </c>
      <c r="H33" s="37" t="str">
        <f aca="false">IF(G33="","",D33*IFERROR(INDEX(Ürünler!$C$5:$C$204,MATCH(C33,Ürünler!$A$5:$A$204,0)),0))</f>
        <v/>
      </c>
      <c r="I33" s="37" t="str">
        <f aca="false">IF(G33="","",G33-H33)</f>
        <v/>
      </c>
      <c r="J33" s="33"/>
    </row>
    <row r="34" customFormat="false" ht="15" hidden="false" customHeight="false" outlineLevel="0" collapsed="false">
      <c r="A34" s="32"/>
      <c r="B34" s="33"/>
      <c r="C34" s="33"/>
      <c r="D34" s="34"/>
      <c r="E34" s="35"/>
      <c r="F34" s="36"/>
      <c r="G34" s="37" t="str">
        <f aca="false">IF(OR(C34="",D34=""),"",D34*IF(E34="",IFERROR(INDEX(Ürünler!$D$5:$D$204,MATCH(C34,Ürünler!$A$5:$A$204,0)),0),E34))</f>
        <v/>
      </c>
      <c r="H34" s="37" t="str">
        <f aca="false">IF(G34="","",D34*IFERROR(INDEX(Ürünler!$C$5:$C$204,MATCH(C34,Ürünler!$A$5:$A$204,0)),0))</f>
        <v/>
      </c>
      <c r="I34" s="37" t="str">
        <f aca="false">IF(G34="","",G34-H34)</f>
        <v/>
      </c>
      <c r="J34" s="33"/>
    </row>
    <row r="35" customFormat="false" ht="15" hidden="false" customHeight="false" outlineLevel="0" collapsed="false">
      <c r="A35" s="32"/>
      <c r="B35" s="33"/>
      <c r="C35" s="33"/>
      <c r="D35" s="34"/>
      <c r="E35" s="35"/>
      <c r="F35" s="36"/>
      <c r="G35" s="37" t="str">
        <f aca="false">IF(OR(C35="",D35=""),"",D35*IF(E35="",IFERROR(INDEX(Ürünler!$D$5:$D$204,MATCH(C35,Ürünler!$A$5:$A$204,0)),0),E35))</f>
        <v/>
      </c>
      <c r="H35" s="37" t="str">
        <f aca="false">IF(G35="","",D35*IFERROR(INDEX(Ürünler!$C$5:$C$204,MATCH(C35,Ürünler!$A$5:$A$204,0)),0))</f>
        <v/>
      </c>
      <c r="I35" s="37" t="str">
        <f aca="false">IF(G35="","",G35-H35)</f>
        <v/>
      </c>
      <c r="J35" s="33"/>
    </row>
    <row r="36" customFormat="false" ht="15" hidden="false" customHeight="false" outlineLevel="0" collapsed="false">
      <c r="A36" s="32"/>
      <c r="B36" s="33"/>
      <c r="C36" s="33"/>
      <c r="D36" s="34"/>
      <c r="E36" s="35"/>
      <c r="F36" s="36"/>
      <c r="G36" s="37" t="str">
        <f aca="false">IF(OR(C36="",D36=""),"",D36*IF(E36="",IFERROR(INDEX(Ürünler!$D$5:$D$204,MATCH(C36,Ürünler!$A$5:$A$204,0)),0),E36))</f>
        <v/>
      </c>
      <c r="H36" s="37" t="str">
        <f aca="false">IF(G36="","",D36*IFERROR(INDEX(Ürünler!$C$5:$C$204,MATCH(C36,Ürünler!$A$5:$A$204,0)),0))</f>
        <v/>
      </c>
      <c r="I36" s="37" t="str">
        <f aca="false">IF(G36="","",G36-H36)</f>
        <v/>
      </c>
      <c r="J36" s="33"/>
    </row>
    <row r="37" customFormat="false" ht="15" hidden="false" customHeight="false" outlineLevel="0" collapsed="false">
      <c r="A37" s="32"/>
      <c r="B37" s="33"/>
      <c r="C37" s="33"/>
      <c r="D37" s="34"/>
      <c r="E37" s="35"/>
      <c r="F37" s="36"/>
      <c r="G37" s="37" t="str">
        <f aca="false">IF(OR(C37="",D37=""),"",D37*IF(E37="",IFERROR(INDEX(Ürünler!$D$5:$D$204,MATCH(C37,Ürünler!$A$5:$A$204,0)),0),E37))</f>
        <v/>
      </c>
      <c r="H37" s="37" t="str">
        <f aca="false">IF(G37="","",D37*IFERROR(INDEX(Ürünler!$C$5:$C$204,MATCH(C37,Ürünler!$A$5:$A$204,0)),0))</f>
        <v/>
      </c>
      <c r="I37" s="37" t="str">
        <f aca="false">IF(G37="","",G37-H37)</f>
        <v/>
      </c>
      <c r="J37" s="33"/>
    </row>
    <row r="38" customFormat="false" ht="15" hidden="false" customHeight="false" outlineLevel="0" collapsed="false">
      <c r="A38" s="32"/>
      <c r="B38" s="33"/>
      <c r="C38" s="33"/>
      <c r="D38" s="34"/>
      <c r="E38" s="35"/>
      <c r="F38" s="36"/>
      <c r="G38" s="37" t="str">
        <f aca="false">IF(OR(C38="",D38=""),"",D38*IF(E38="",IFERROR(INDEX(Ürünler!$D$5:$D$204,MATCH(C38,Ürünler!$A$5:$A$204,0)),0),E38))</f>
        <v/>
      </c>
      <c r="H38" s="37" t="str">
        <f aca="false">IF(G38="","",D38*IFERROR(INDEX(Ürünler!$C$5:$C$204,MATCH(C38,Ürünler!$A$5:$A$204,0)),0))</f>
        <v/>
      </c>
      <c r="I38" s="37" t="str">
        <f aca="false">IF(G38="","",G38-H38)</f>
        <v/>
      </c>
      <c r="J38" s="33"/>
    </row>
    <row r="39" customFormat="false" ht="15" hidden="false" customHeight="false" outlineLevel="0" collapsed="false">
      <c r="A39" s="32"/>
      <c r="B39" s="33"/>
      <c r="C39" s="33"/>
      <c r="D39" s="34"/>
      <c r="E39" s="35"/>
      <c r="F39" s="36"/>
      <c r="G39" s="37" t="str">
        <f aca="false">IF(OR(C39="",D39=""),"",D39*IF(E39="",IFERROR(INDEX(Ürünler!$D$5:$D$204,MATCH(C39,Ürünler!$A$5:$A$204,0)),0),E39))</f>
        <v/>
      </c>
      <c r="H39" s="37" t="str">
        <f aca="false">IF(G39="","",D39*IFERROR(INDEX(Ürünler!$C$5:$C$204,MATCH(C39,Ürünler!$A$5:$A$204,0)),0))</f>
        <v/>
      </c>
      <c r="I39" s="37" t="str">
        <f aca="false">IF(G39="","",G39-H39)</f>
        <v/>
      </c>
      <c r="J39" s="33"/>
    </row>
    <row r="40" customFormat="false" ht="15" hidden="false" customHeight="false" outlineLevel="0" collapsed="false">
      <c r="A40" s="32"/>
      <c r="B40" s="33"/>
      <c r="C40" s="33"/>
      <c r="D40" s="34"/>
      <c r="E40" s="35"/>
      <c r="F40" s="36"/>
      <c r="G40" s="37" t="str">
        <f aca="false">IF(OR(C40="",D40=""),"",D40*IF(E40="",IFERROR(INDEX(Ürünler!$D$5:$D$204,MATCH(C40,Ürünler!$A$5:$A$204,0)),0),E40))</f>
        <v/>
      </c>
      <c r="H40" s="37" t="str">
        <f aca="false">IF(G40="","",D40*IFERROR(INDEX(Ürünler!$C$5:$C$204,MATCH(C40,Ürünler!$A$5:$A$204,0)),0))</f>
        <v/>
      </c>
      <c r="I40" s="37" t="str">
        <f aca="false">IF(G40="","",G40-H40)</f>
        <v/>
      </c>
      <c r="J40" s="33"/>
    </row>
    <row r="41" customFormat="false" ht="15" hidden="false" customHeight="false" outlineLevel="0" collapsed="false">
      <c r="A41" s="32"/>
      <c r="B41" s="33"/>
      <c r="C41" s="33"/>
      <c r="D41" s="34"/>
      <c r="E41" s="35"/>
      <c r="F41" s="36"/>
      <c r="G41" s="37" t="str">
        <f aca="false">IF(OR(C41="",D41=""),"",D41*IF(E41="",IFERROR(INDEX(Ürünler!$D$5:$D$204,MATCH(C41,Ürünler!$A$5:$A$204,0)),0),E41))</f>
        <v/>
      </c>
      <c r="H41" s="37" t="str">
        <f aca="false">IF(G41="","",D41*IFERROR(INDEX(Ürünler!$C$5:$C$204,MATCH(C41,Ürünler!$A$5:$A$204,0)),0))</f>
        <v/>
      </c>
      <c r="I41" s="37" t="str">
        <f aca="false">IF(G41="","",G41-H41)</f>
        <v/>
      </c>
      <c r="J41" s="33"/>
    </row>
    <row r="42" customFormat="false" ht="15" hidden="false" customHeight="false" outlineLevel="0" collapsed="false">
      <c r="A42" s="32"/>
      <c r="B42" s="33"/>
      <c r="C42" s="33"/>
      <c r="D42" s="34"/>
      <c r="E42" s="35"/>
      <c r="F42" s="36"/>
      <c r="G42" s="37" t="str">
        <f aca="false">IF(OR(C42="",D42=""),"",D42*IF(E42="",IFERROR(INDEX(Ürünler!$D$5:$D$204,MATCH(C42,Ürünler!$A$5:$A$204,0)),0),E42))</f>
        <v/>
      </c>
      <c r="H42" s="37" t="str">
        <f aca="false">IF(G42="","",D42*IFERROR(INDEX(Ürünler!$C$5:$C$204,MATCH(C42,Ürünler!$A$5:$A$204,0)),0))</f>
        <v/>
      </c>
      <c r="I42" s="37" t="str">
        <f aca="false">IF(G42="","",G42-H42)</f>
        <v/>
      </c>
      <c r="J42" s="33"/>
    </row>
    <row r="43" customFormat="false" ht="15" hidden="false" customHeight="false" outlineLevel="0" collapsed="false">
      <c r="A43" s="32"/>
      <c r="B43" s="33"/>
      <c r="C43" s="33"/>
      <c r="D43" s="34"/>
      <c r="E43" s="35"/>
      <c r="F43" s="36"/>
      <c r="G43" s="37" t="str">
        <f aca="false">IF(OR(C43="",D43=""),"",D43*IF(E43="",IFERROR(INDEX(Ürünler!$D$5:$D$204,MATCH(C43,Ürünler!$A$5:$A$204,0)),0),E43))</f>
        <v/>
      </c>
      <c r="H43" s="37" t="str">
        <f aca="false">IF(G43="","",D43*IFERROR(INDEX(Ürünler!$C$5:$C$204,MATCH(C43,Ürünler!$A$5:$A$204,0)),0))</f>
        <v/>
      </c>
      <c r="I43" s="37" t="str">
        <f aca="false">IF(G43="","",G43-H43)</f>
        <v/>
      </c>
      <c r="J43" s="33"/>
    </row>
    <row r="44" customFormat="false" ht="15" hidden="false" customHeight="false" outlineLevel="0" collapsed="false">
      <c r="A44" s="32"/>
      <c r="B44" s="33"/>
      <c r="C44" s="33"/>
      <c r="D44" s="34"/>
      <c r="E44" s="35"/>
      <c r="F44" s="36"/>
      <c r="G44" s="37" t="str">
        <f aca="false">IF(OR(C44="",D44=""),"",D44*IF(E44="",IFERROR(INDEX(Ürünler!$D$5:$D$204,MATCH(C44,Ürünler!$A$5:$A$204,0)),0),E44))</f>
        <v/>
      </c>
      <c r="H44" s="37" t="str">
        <f aca="false">IF(G44="","",D44*IFERROR(INDEX(Ürünler!$C$5:$C$204,MATCH(C44,Ürünler!$A$5:$A$204,0)),0))</f>
        <v/>
      </c>
      <c r="I44" s="37" t="str">
        <f aca="false">IF(G44="","",G44-H44)</f>
        <v/>
      </c>
      <c r="J44" s="33"/>
    </row>
    <row r="45" customFormat="false" ht="15" hidden="false" customHeight="false" outlineLevel="0" collapsed="false">
      <c r="A45" s="32"/>
      <c r="B45" s="33"/>
      <c r="C45" s="33"/>
      <c r="D45" s="34"/>
      <c r="E45" s="35"/>
      <c r="F45" s="36"/>
      <c r="G45" s="37" t="str">
        <f aca="false">IF(OR(C45="",D45=""),"",D45*IF(E45="",IFERROR(INDEX(Ürünler!$D$5:$D$204,MATCH(C45,Ürünler!$A$5:$A$204,0)),0),E45))</f>
        <v/>
      </c>
      <c r="H45" s="37" t="str">
        <f aca="false">IF(G45="","",D45*IFERROR(INDEX(Ürünler!$C$5:$C$204,MATCH(C45,Ürünler!$A$5:$A$204,0)),0))</f>
        <v/>
      </c>
      <c r="I45" s="37" t="str">
        <f aca="false">IF(G45="","",G45-H45)</f>
        <v/>
      </c>
      <c r="J45" s="33"/>
    </row>
    <row r="46" customFormat="false" ht="15" hidden="false" customHeight="false" outlineLevel="0" collapsed="false">
      <c r="A46" s="32"/>
      <c r="B46" s="33"/>
      <c r="C46" s="33"/>
      <c r="D46" s="34"/>
      <c r="E46" s="35"/>
      <c r="F46" s="36"/>
      <c r="G46" s="37" t="str">
        <f aca="false">IF(OR(C46="",D46=""),"",D46*IF(E46="",IFERROR(INDEX(Ürünler!$D$5:$D$204,MATCH(C46,Ürünler!$A$5:$A$204,0)),0),E46))</f>
        <v/>
      </c>
      <c r="H46" s="37" t="str">
        <f aca="false">IF(G46="","",D46*IFERROR(INDEX(Ürünler!$C$5:$C$204,MATCH(C46,Ürünler!$A$5:$A$204,0)),0))</f>
        <v/>
      </c>
      <c r="I46" s="37" t="str">
        <f aca="false">IF(G46="","",G46-H46)</f>
        <v/>
      </c>
      <c r="J46" s="33"/>
    </row>
    <row r="47" customFormat="false" ht="15" hidden="false" customHeight="false" outlineLevel="0" collapsed="false">
      <c r="A47" s="32"/>
      <c r="B47" s="33"/>
      <c r="C47" s="33"/>
      <c r="D47" s="34"/>
      <c r="E47" s="35"/>
      <c r="F47" s="36"/>
      <c r="G47" s="37" t="str">
        <f aca="false">IF(OR(C47="",D47=""),"",D47*IF(E47="",IFERROR(INDEX(Ürünler!$D$5:$D$204,MATCH(C47,Ürünler!$A$5:$A$204,0)),0),E47))</f>
        <v/>
      </c>
      <c r="H47" s="37" t="str">
        <f aca="false">IF(G47="","",D47*IFERROR(INDEX(Ürünler!$C$5:$C$204,MATCH(C47,Ürünler!$A$5:$A$204,0)),0))</f>
        <v/>
      </c>
      <c r="I47" s="37" t="str">
        <f aca="false">IF(G47="","",G47-H47)</f>
        <v/>
      </c>
      <c r="J47" s="33"/>
    </row>
    <row r="48" customFormat="false" ht="15" hidden="false" customHeight="false" outlineLevel="0" collapsed="false">
      <c r="A48" s="32"/>
      <c r="B48" s="33"/>
      <c r="C48" s="33"/>
      <c r="D48" s="34"/>
      <c r="E48" s="35"/>
      <c r="F48" s="36"/>
      <c r="G48" s="37" t="str">
        <f aca="false">IF(OR(C48="",D48=""),"",D48*IF(E48="",IFERROR(INDEX(Ürünler!$D$5:$D$204,MATCH(C48,Ürünler!$A$5:$A$204,0)),0),E48))</f>
        <v/>
      </c>
      <c r="H48" s="37" t="str">
        <f aca="false">IF(G48="","",D48*IFERROR(INDEX(Ürünler!$C$5:$C$204,MATCH(C48,Ürünler!$A$5:$A$204,0)),0))</f>
        <v/>
      </c>
      <c r="I48" s="37" t="str">
        <f aca="false">IF(G48="","",G48-H48)</f>
        <v/>
      </c>
      <c r="J48" s="33"/>
    </row>
    <row r="49" customFormat="false" ht="15" hidden="false" customHeight="false" outlineLevel="0" collapsed="false">
      <c r="A49" s="32"/>
      <c r="B49" s="33"/>
      <c r="C49" s="33"/>
      <c r="D49" s="34"/>
      <c r="E49" s="35"/>
      <c r="F49" s="36"/>
      <c r="G49" s="37" t="str">
        <f aca="false">IF(OR(C49="",D49=""),"",D49*IF(E49="",IFERROR(INDEX(Ürünler!$D$5:$D$204,MATCH(C49,Ürünler!$A$5:$A$204,0)),0),E49))</f>
        <v/>
      </c>
      <c r="H49" s="37" t="str">
        <f aca="false">IF(G49="","",D49*IFERROR(INDEX(Ürünler!$C$5:$C$204,MATCH(C49,Ürünler!$A$5:$A$204,0)),0))</f>
        <v/>
      </c>
      <c r="I49" s="37" t="str">
        <f aca="false">IF(G49="","",G49-H49)</f>
        <v/>
      </c>
      <c r="J49" s="33"/>
    </row>
    <row r="50" customFormat="false" ht="15" hidden="false" customHeight="false" outlineLevel="0" collapsed="false">
      <c r="A50" s="32"/>
      <c r="B50" s="33"/>
      <c r="C50" s="33"/>
      <c r="D50" s="34"/>
      <c r="E50" s="35"/>
      <c r="F50" s="36"/>
      <c r="G50" s="37" t="str">
        <f aca="false">IF(OR(C50="",D50=""),"",D50*IF(E50="",IFERROR(INDEX(Ürünler!$D$5:$D$204,MATCH(C50,Ürünler!$A$5:$A$204,0)),0),E50))</f>
        <v/>
      </c>
      <c r="H50" s="37" t="str">
        <f aca="false">IF(G50="","",D50*IFERROR(INDEX(Ürünler!$C$5:$C$204,MATCH(C50,Ürünler!$A$5:$A$204,0)),0))</f>
        <v/>
      </c>
      <c r="I50" s="37" t="str">
        <f aca="false">IF(G50="","",G50-H50)</f>
        <v/>
      </c>
      <c r="J50" s="33"/>
    </row>
    <row r="51" customFormat="false" ht="15" hidden="false" customHeight="false" outlineLevel="0" collapsed="false">
      <c r="A51" s="32"/>
      <c r="B51" s="33"/>
      <c r="C51" s="33"/>
      <c r="D51" s="34"/>
      <c r="E51" s="35"/>
      <c r="F51" s="36"/>
      <c r="G51" s="37" t="str">
        <f aca="false">IF(OR(C51="",D51=""),"",D51*IF(E51="",IFERROR(INDEX(Ürünler!$D$5:$D$204,MATCH(C51,Ürünler!$A$5:$A$204,0)),0),E51))</f>
        <v/>
      </c>
      <c r="H51" s="37" t="str">
        <f aca="false">IF(G51="","",D51*IFERROR(INDEX(Ürünler!$C$5:$C$204,MATCH(C51,Ürünler!$A$5:$A$204,0)),0))</f>
        <v/>
      </c>
      <c r="I51" s="37" t="str">
        <f aca="false">IF(G51="","",G51-H51)</f>
        <v/>
      </c>
      <c r="J51" s="33"/>
    </row>
    <row r="52" customFormat="false" ht="15" hidden="false" customHeight="false" outlineLevel="0" collapsed="false">
      <c r="A52" s="32"/>
      <c r="B52" s="33"/>
      <c r="C52" s="33"/>
      <c r="D52" s="34"/>
      <c r="E52" s="35"/>
      <c r="F52" s="36"/>
      <c r="G52" s="37" t="str">
        <f aca="false">IF(OR(C52="",D52=""),"",D52*IF(E52="",IFERROR(INDEX(Ürünler!$D$5:$D$204,MATCH(C52,Ürünler!$A$5:$A$204,0)),0),E52))</f>
        <v/>
      </c>
      <c r="H52" s="37" t="str">
        <f aca="false">IF(G52="","",D52*IFERROR(INDEX(Ürünler!$C$5:$C$204,MATCH(C52,Ürünler!$A$5:$A$204,0)),0))</f>
        <v/>
      </c>
      <c r="I52" s="37" t="str">
        <f aca="false">IF(G52="","",G52-H52)</f>
        <v/>
      </c>
      <c r="J52" s="33"/>
    </row>
    <row r="53" customFormat="false" ht="15" hidden="false" customHeight="false" outlineLevel="0" collapsed="false">
      <c r="A53" s="32"/>
      <c r="B53" s="33"/>
      <c r="C53" s="33"/>
      <c r="D53" s="34"/>
      <c r="E53" s="35"/>
      <c r="F53" s="36"/>
      <c r="G53" s="37" t="str">
        <f aca="false">IF(OR(C53="",D53=""),"",D53*IF(E53="",IFERROR(INDEX(Ürünler!$D$5:$D$204,MATCH(C53,Ürünler!$A$5:$A$204,0)),0),E53))</f>
        <v/>
      </c>
      <c r="H53" s="37" t="str">
        <f aca="false">IF(G53="","",D53*IFERROR(INDEX(Ürünler!$C$5:$C$204,MATCH(C53,Ürünler!$A$5:$A$204,0)),0))</f>
        <v/>
      </c>
      <c r="I53" s="37" t="str">
        <f aca="false">IF(G53="","",G53-H53)</f>
        <v/>
      </c>
      <c r="J53" s="33"/>
    </row>
    <row r="54" customFormat="false" ht="15" hidden="false" customHeight="false" outlineLevel="0" collapsed="false">
      <c r="A54" s="32"/>
      <c r="B54" s="33"/>
      <c r="C54" s="33"/>
      <c r="D54" s="34"/>
      <c r="E54" s="35"/>
      <c r="F54" s="36"/>
      <c r="G54" s="37" t="str">
        <f aca="false">IF(OR(C54="",D54=""),"",D54*IF(E54="",IFERROR(INDEX(Ürünler!$D$5:$D$204,MATCH(C54,Ürünler!$A$5:$A$204,0)),0),E54))</f>
        <v/>
      </c>
      <c r="H54" s="37" t="str">
        <f aca="false">IF(G54="","",D54*IFERROR(INDEX(Ürünler!$C$5:$C$204,MATCH(C54,Ürünler!$A$5:$A$204,0)),0))</f>
        <v/>
      </c>
      <c r="I54" s="37" t="str">
        <f aca="false">IF(G54="","",G54-H54)</f>
        <v/>
      </c>
      <c r="J54" s="33"/>
    </row>
    <row r="55" customFormat="false" ht="15" hidden="false" customHeight="false" outlineLevel="0" collapsed="false">
      <c r="A55" s="32"/>
      <c r="B55" s="33"/>
      <c r="C55" s="33"/>
      <c r="D55" s="34"/>
      <c r="E55" s="35"/>
      <c r="F55" s="36"/>
      <c r="G55" s="37" t="str">
        <f aca="false">IF(OR(C55="",D55=""),"",D55*IF(E55="",IFERROR(INDEX(Ürünler!$D$5:$D$204,MATCH(C55,Ürünler!$A$5:$A$204,0)),0),E55))</f>
        <v/>
      </c>
      <c r="H55" s="37" t="str">
        <f aca="false">IF(G55="","",D55*IFERROR(INDEX(Ürünler!$C$5:$C$204,MATCH(C55,Ürünler!$A$5:$A$204,0)),0))</f>
        <v/>
      </c>
      <c r="I55" s="37" t="str">
        <f aca="false">IF(G55="","",G55-H55)</f>
        <v/>
      </c>
      <c r="J55" s="33"/>
    </row>
    <row r="56" customFormat="false" ht="15" hidden="false" customHeight="false" outlineLevel="0" collapsed="false">
      <c r="A56" s="32"/>
      <c r="B56" s="33"/>
      <c r="C56" s="33"/>
      <c r="D56" s="34"/>
      <c r="E56" s="35"/>
      <c r="F56" s="36"/>
      <c r="G56" s="37" t="str">
        <f aca="false">IF(OR(C56="",D56=""),"",D56*IF(E56="",IFERROR(INDEX(Ürünler!$D$5:$D$204,MATCH(C56,Ürünler!$A$5:$A$204,0)),0),E56))</f>
        <v/>
      </c>
      <c r="H56" s="37" t="str">
        <f aca="false">IF(G56="","",D56*IFERROR(INDEX(Ürünler!$C$5:$C$204,MATCH(C56,Ürünler!$A$5:$A$204,0)),0))</f>
        <v/>
      </c>
      <c r="I56" s="37" t="str">
        <f aca="false">IF(G56="","",G56-H56)</f>
        <v/>
      </c>
      <c r="J56" s="33"/>
    </row>
    <row r="57" customFormat="false" ht="15" hidden="false" customHeight="false" outlineLevel="0" collapsed="false">
      <c r="A57" s="32"/>
      <c r="B57" s="33"/>
      <c r="C57" s="33"/>
      <c r="D57" s="34"/>
      <c r="E57" s="35"/>
      <c r="F57" s="36"/>
      <c r="G57" s="37" t="str">
        <f aca="false">IF(OR(C57="",D57=""),"",D57*IF(E57="",IFERROR(INDEX(Ürünler!$D$5:$D$204,MATCH(C57,Ürünler!$A$5:$A$204,0)),0),E57))</f>
        <v/>
      </c>
      <c r="H57" s="37" t="str">
        <f aca="false">IF(G57="","",D57*IFERROR(INDEX(Ürünler!$C$5:$C$204,MATCH(C57,Ürünler!$A$5:$A$204,0)),0))</f>
        <v/>
      </c>
      <c r="I57" s="37" t="str">
        <f aca="false">IF(G57="","",G57-H57)</f>
        <v/>
      </c>
      <c r="J57" s="33"/>
    </row>
    <row r="58" customFormat="false" ht="15" hidden="false" customHeight="false" outlineLevel="0" collapsed="false">
      <c r="A58" s="32"/>
      <c r="B58" s="33"/>
      <c r="C58" s="33"/>
      <c r="D58" s="34"/>
      <c r="E58" s="35"/>
      <c r="F58" s="36"/>
      <c r="G58" s="37" t="str">
        <f aca="false">IF(OR(C58="",D58=""),"",D58*IF(E58="",IFERROR(INDEX(Ürünler!$D$5:$D$204,MATCH(C58,Ürünler!$A$5:$A$204,0)),0),E58))</f>
        <v/>
      </c>
      <c r="H58" s="37" t="str">
        <f aca="false">IF(G58="","",D58*IFERROR(INDEX(Ürünler!$C$5:$C$204,MATCH(C58,Ürünler!$A$5:$A$204,0)),0))</f>
        <v/>
      </c>
      <c r="I58" s="37" t="str">
        <f aca="false">IF(G58="","",G58-H58)</f>
        <v/>
      </c>
      <c r="J58" s="33"/>
    </row>
    <row r="59" customFormat="false" ht="15" hidden="false" customHeight="false" outlineLevel="0" collapsed="false">
      <c r="A59" s="32"/>
      <c r="B59" s="33"/>
      <c r="C59" s="33"/>
      <c r="D59" s="34"/>
      <c r="E59" s="35"/>
      <c r="F59" s="36"/>
      <c r="G59" s="37" t="str">
        <f aca="false">IF(OR(C59="",D59=""),"",D59*IF(E59="",IFERROR(INDEX(Ürünler!$D$5:$D$204,MATCH(C59,Ürünler!$A$5:$A$204,0)),0),E59))</f>
        <v/>
      </c>
      <c r="H59" s="37" t="str">
        <f aca="false">IF(G59="","",D59*IFERROR(INDEX(Ürünler!$C$5:$C$204,MATCH(C59,Ürünler!$A$5:$A$204,0)),0))</f>
        <v/>
      </c>
      <c r="I59" s="37" t="str">
        <f aca="false">IF(G59="","",G59-H59)</f>
        <v/>
      </c>
      <c r="J59" s="33"/>
    </row>
    <row r="60" customFormat="false" ht="15" hidden="false" customHeight="false" outlineLevel="0" collapsed="false">
      <c r="A60" s="32"/>
      <c r="B60" s="33"/>
      <c r="C60" s="33"/>
      <c r="D60" s="34"/>
      <c r="E60" s="35"/>
      <c r="F60" s="36"/>
      <c r="G60" s="37" t="str">
        <f aca="false">IF(OR(C60="",D60=""),"",D60*IF(E60="",IFERROR(INDEX(Ürünler!$D$5:$D$204,MATCH(C60,Ürünler!$A$5:$A$204,0)),0),E60))</f>
        <v/>
      </c>
      <c r="H60" s="37" t="str">
        <f aca="false">IF(G60="","",D60*IFERROR(INDEX(Ürünler!$C$5:$C$204,MATCH(C60,Ürünler!$A$5:$A$204,0)),0))</f>
        <v/>
      </c>
      <c r="I60" s="37" t="str">
        <f aca="false">IF(G60="","",G60-H60)</f>
        <v/>
      </c>
      <c r="J60" s="33"/>
    </row>
    <row r="61" customFormat="false" ht="15" hidden="false" customHeight="false" outlineLevel="0" collapsed="false">
      <c r="A61" s="32"/>
      <c r="B61" s="33"/>
      <c r="C61" s="33"/>
      <c r="D61" s="34"/>
      <c r="E61" s="35"/>
      <c r="F61" s="36"/>
      <c r="G61" s="37" t="str">
        <f aca="false">IF(OR(C61="",D61=""),"",D61*IF(E61="",IFERROR(INDEX(Ürünler!$D$5:$D$204,MATCH(C61,Ürünler!$A$5:$A$204,0)),0),E61))</f>
        <v/>
      </c>
      <c r="H61" s="37" t="str">
        <f aca="false">IF(G61="","",D61*IFERROR(INDEX(Ürünler!$C$5:$C$204,MATCH(C61,Ürünler!$A$5:$A$204,0)),0))</f>
        <v/>
      </c>
      <c r="I61" s="37" t="str">
        <f aca="false">IF(G61="","",G61-H61)</f>
        <v/>
      </c>
      <c r="J61" s="33"/>
    </row>
    <row r="62" customFormat="false" ht="15" hidden="false" customHeight="false" outlineLevel="0" collapsed="false">
      <c r="A62" s="32"/>
      <c r="B62" s="33"/>
      <c r="C62" s="33"/>
      <c r="D62" s="34"/>
      <c r="E62" s="35"/>
      <c r="F62" s="36"/>
      <c r="G62" s="37" t="str">
        <f aca="false">IF(OR(C62="",D62=""),"",D62*IF(E62="",IFERROR(INDEX(Ürünler!$D$5:$D$204,MATCH(C62,Ürünler!$A$5:$A$204,0)),0),E62))</f>
        <v/>
      </c>
      <c r="H62" s="37" t="str">
        <f aca="false">IF(G62="","",D62*IFERROR(INDEX(Ürünler!$C$5:$C$204,MATCH(C62,Ürünler!$A$5:$A$204,0)),0))</f>
        <v/>
      </c>
      <c r="I62" s="37" t="str">
        <f aca="false">IF(G62="","",G62-H62)</f>
        <v/>
      </c>
      <c r="J62" s="33"/>
    </row>
    <row r="63" customFormat="false" ht="15" hidden="false" customHeight="false" outlineLevel="0" collapsed="false">
      <c r="A63" s="32"/>
      <c r="B63" s="33"/>
      <c r="C63" s="33"/>
      <c r="D63" s="34"/>
      <c r="E63" s="35"/>
      <c r="F63" s="36"/>
      <c r="G63" s="37" t="str">
        <f aca="false">IF(OR(C63="",D63=""),"",D63*IF(E63="",IFERROR(INDEX(Ürünler!$D$5:$D$204,MATCH(C63,Ürünler!$A$5:$A$204,0)),0),E63))</f>
        <v/>
      </c>
      <c r="H63" s="37" t="str">
        <f aca="false">IF(G63="","",D63*IFERROR(INDEX(Ürünler!$C$5:$C$204,MATCH(C63,Ürünler!$A$5:$A$204,0)),0))</f>
        <v/>
      </c>
      <c r="I63" s="37" t="str">
        <f aca="false">IF(G63="","",G63-H63)</f>
        <v/>
      </c>
      <c r="J63" s="33"/>
    </row>
    <row r="64" customFormat="false" ht="15" hidden="false" customHeight="false" outlineLevel="0" collapsed="false">
      <c r="A64" s="32"/>
      <c r="B64" s="33"/>
      <c r="C64" s="33"/>
      <c r="D64" s="34"/>
      <c r="E64" s="35"/>
      <c r="F64" s="36"/>
      <c r="G64" s="37" t="str">
        <f aca="false">IF(OR(C64="",D64=""),"",D64*IF(E64="",IFERROR(INDEX(Ürünler!$D$5:$D$204,MATCH(C64,Ürünler!$A$5:$A$204,0)),0),E64))</f>
        <v/>
      </c>
      <c r="H64" s="37" t="str">
        <f aca="false">IF(G64="","",D64*IFERROR(INDEX(Ürünler!$C$5:$C$204,MATCH(C64,Ürünler!$A$5:$A$204,0)),0))</f>
        <v/>
      </c>
      <c r="I64" s="37" t="str">
        <f aca="false">IF(G64="","",G64-H64)</f>
        <v/>
      </c>
      <c r="J64" s="33"/>
    </row>
    <row r="65" customFormat="false" ht="15" hidden="false" customHeight="false" outlineLevel="0" collapsed="false">
      <c r="A65" s="32"/>
      <c r="B65" s="33"/>
      <c r="C65" s="33"/>
      <c r="D65" s="34"/>
      <c r="E65" s="35"/>
      <c r="F65" s="36"/>
      <c r="G65" s="37" t="str">
        <f aca="false">IF(OR(C65="",D65=""),"",D65*IF(E65="",IFERROR(INDEX(Ürünler!$D$5:$D$204,MATCH(C65,Ürünler!$A$5:$A$204,0)),0),E65))</f>
        <v/>
      </c>
      <c r="H65" s="37" t="str">
        <f aca="false">IF(G65="","",D65*IFERROR(INDEX(Ürünler!$C$5:$C$204,MATCH(C65,Ürünler!$A$5:$A$204,0)),0))</f>
        <v/>
      </c>
      <c r="I65" s="37" t="str">
        <f aca="false">IF(G65="","",G65-H65)</f>
        <v/>
      </c>
      <c r="J65" s="33"/>
    </row>
    <row r="66" customFormat="false" ht="15" hidden="false" customHeight="false" outlineLevel="0" collapsed="false">
      <c r="A66" s="32"/>
      <c r="B66" s="33"/>
      <c r="C66" s="33"/>
      <c r="D66" s="34"/>
      <c r="E66" s="35"/>
      <c r="F66" s="36"/>
      <c r="G66" s="37" t="str">
        <f aca="false">IF(OR(C66="",D66=""),"",D66*IF(E66="",IFERROR(INDEX(Ürünler!$D$5:$D$204,MATCH(C66,Ürünler!$A$5:$A$204,0)),0),E66))</f>
        <v/>
      </c>
      <c r="H66" s="37" t="str">
        <f aca="false">IF(G66="","",D66*IFERROR(INDEX(Ürünler!$C$5:$C$204,MATCH(C66,Ürünler!$A$5:$A$204,0)),0))</f>
        <v/>
      </c>
      <c r="I66" s="37" t="str">
        <f aca="false">IF(G66="","",G66-H66)</f>
        <v/>
      </c>
      <c r="J66" s="33"/>
    </row>
    <row r="67" customFormat="false" ht="15" hidden="false" customHeight="false" outlineLevel="0" collapsed="false">
      <c r="A67" s="32"/>
      <c r="B67" s="33"/>
      <c r="C67" s="33"/>
      <c r="D67" s="34"/>
      <c r="E67" s="35"/>
      <c r="F67" s="36"/>
      <c r="G67" s="37" t="str">
        <f aca="false">IF(OR(C67="",D67=""),"",D67*IF(E67="",IFERROR(INDEX(Ürünler!$D$5:$D$204,MATCH(C67,Ürünler!$A$5:$A$204,0)),0),E67))</f>
        <v/>
      </c>
      <c r="H67" s="37" t="str">
        <f aca="false">IF(G67="","",D67*IFERROR(INDEX(Ürünler!$C$5:$C$204,MATCH(C67,Ürünler!$A$5:$A$204,0)),0))</f>
        <v/>
      </c>
      <c r="I67" s="37" t="str">
        <f aca="false">IF(G67="","",G67-H67)</f>
        <v/>
      </c>
      <c r="J67" s="33"/>
    </row>
    <row r="68" customFormat="false" ht="15" hidden="false" customHeight="false" outlineLevel="0" collapsed="false">
      <c r="A68" s="32"/>
      <c r="B68" s="33"/>
      <c r="C68" s="33"/>
      <c r="D68" s="34"/>
      <c r="E68" s="35"/>
      <c r="F68" s="36"/>
      <c r="G68" s="37" t="str">
        <f aca="false">IF(OR(C68="",D68=""),"",D68*IF(E68="",IFERROR(INDEX(Ürünler!$D$5:$D$204,MATCH(C68,Ürünler!$A$5:$A$204,0)),0),E68))</f>
        <v/>
      </c>
      <c r="H68" s="37" t="str">
        <f aca="false">IF(G68="","",D68*IFERROR(INDEX(Ürünler!$C$5:$C$204,MATCH(C68,Ürünler!$A$5:$A$204,0)),0))</f>
        <v/>
      </c>
      <c r="I68" s="37" t="str">
        <f aca="false">IF(G68="","",G68-H68)</f>
        <v/>
      </c>
      <c r="J68" s="33"/>
    </row>
    <row r="69" customFormat="false" ht="15" hidden="false" customHeight="false" outlineLevel="0" collapsed="false">
      <c r="A69" s="32"/>
      <c r="B69" s="33"/>
      <c r="C69" s="33"/>
      <c r="D69" s="34"/>
      <c r="E69" s="35"/>
      <c r="F69" s="36"/>
      <c r="G69" s="37" t="str">
        <f aca="false">IF(OR(C69="",D69=""),"",D69*IF(E69="",IFERROR(INDEX(Ürünler!$D$5:$D$204,MATCH(C69,Ürünler!$A$5:$A$204,0)),0),E69))</f>
        <v/>
      </c>
      <c r="H69" s="37" t="str">
        <f aca="false">IF(G69="","",D69*IFERROR(INDEX(Ürünler!$C$5:$C$204,MATCH(C69,Ürünler!$A$5:$A$204,0)),0))</f>
        <v/>
      </c>
      <c r="I69" s="37" t="str">
        <f aca="false">IF(G69="","",G69-H69)</f>
        <v/>
      </c>
      <c r="J69" s="33"/>
    </row>
    <row r="70" customFormat="false" ht="15" hidden="false" customHeight="false" outlineLevel="0" collapsed="false">
      <c r="A70" s="32"/>
      <c r="B70" s="33"/>
      <c r="C70" s="33"/>
      <c r="D70" s="34"/>
      <c r="E70" s="35"/>
      <c r="F70" s="36"/>
      <c r="G70" s="37" t="str">
        <f aca="false">IF(OR(C70="",D70=""),"",D70*IF(E70="",IFERROR(INDEX(Ürünler!$D$5:$D$204,MATCH(C70,Ürünler!$A$5:$A$204,0)),0),E70))</f>
        <v/>
      </c>
      <c r="H70" s="37" t="str">
        <f aca="false">IF(G70="","",D70*IFERROR(INDEX(Ürünler!$C$5:$C$204,MATCH(C70,Ürünler!$A$5:$A$204,0)),0))</f>
        <v/>
      </c>
      <c r="I70" s="37" t="str">
        <f aca="false">IF(G70="","",G70-H70)</f>
        <v/>
      </c>
      <c r="J70" s="33"/>
    </row>
    <row r="71" customFormat="false" ht="15" hidden="false" customHeight="false" outlineLevel="0" collapsed="false">
      <c r="A71" s="32"/>
      <c r="B71" s="33"/>
      <c r="C71" s="33"/>
      <c r="D71" s="34"/>
      <c r="E71" s="35"/>
      <c r="F71" s="36"/>
      <c r="G71" s="37" t="str">
        <f aca="false">IF(OR(C71="",D71=""),"",D71*IF(E71="",IFERROR(INDEX(Ürünler!$D$5:$D$204,MATCH(C71,Ürünler!$A$5:$A$204,0)),0),E71))</f>
        <v/>
      </c>
      <c r="H71" s="37" t="str">
        <f aca="false">IF(G71="","",D71*IFERROR(INDEX(Ürünler!$C$5:$C$204,MATCH(C71,Ürünler!$A$5:$A$204,0)),0))</f>
        <v/>
      </c>
      <c r="I71" s="37" t="str">
        <f aca="false">IF(G71="","",G71-H71)</f>
        <v/>
      </c>
      <c r="J71" s="33"/>
    </row>
    <row r="72" customFormat="false" ht="15" hidden="false" customHeight="false" outlineLevel="0" collapsed="false">
      <c r="A72" s="32"/>
      <c r="B72" s="33"/>
      <c r="C72" s="33"/>
      <c r="D72" s="34"/>
      <c r="E72" s="35"/>
      <c r="F72" s="36"/>
      <c r="G72" s="37" t="str">
        <f aca="false">IF(OR(C72="",D72=""),"",D72*IF(E72="",IFERROR(INDEX(Ürünler!$D$5:$D$204,MATCH(C72,Ürünler!$A$5:$A$204,0)),0),E72))</f>
        <v/>
      </c>
      <c r="H72" s="37" t="str">
        <f aca="false">IF(G72="","",D72*IFERROR(INDEX(Ürünler!$C$5:$C$204,MATCH(C72,Ürünler!$A$5:$A$204,0)),0))</f>
        <v/>
      </c>
      <c r="I72" s="37" t="str">
        <f aca="false">IF(G72="","",G72-H72)</f>
        <v/>
      </c>
      <c r="J72" s="33"/>
    </row>
    <row r="73" customFormat="false" ht="15" hidden="false" customHeight="false" outlineLevel="0" collapsed="false">
      <c r="A73" s="32"/>
      <c r="B73" s="33"/>
      <c r="C73" s="33"/>
      <c r="D73" s="34"/>
      <c r="E73" s="35"/>
      <c r="F73" s="36"/>
      <c r="G73" s="37" t="str">
        <f aca="false">IF(OR(C73="",D73=""),"",D73*IF(E73="",IFERROR(INDEX(Ürünler!$D$5:$D$204,MATCH(C73,Ürünler!$A$5:$A$204,0)),0),E73))</f>
        <v/>
      </c>
      <c r="H73" s="37" t="str">
        <f aca="false">IF(G73="","",D73*IFERROR(INDEX(Ürünler!$C$5:$C$204,MATCH(C73,Ürünler!$A$5:$A$204,0)),0))</f>
        <v/>
      </c>
      <c r="I73" s="37" t="str">
        <f aca="false">IF(G73="","",G73-H73)</f>
        <v/>
      </c>
      <c r="J73" s="33"/>
    </row>
    <row r="74" customFormat="false" ht="15" hidden="false" customHeight="false" outlineLevel="0" collapsed="false">
      <c r="A74" s="32"/>
      <c r="B74" s="33"/>
      <c r="C74" s="33"/>
      <c r="D74" s="34"/>
      <c r="E74" s="35"/>
      <c r="F74" s="36"/>
      <c r="G74" s="37" t="str">
        <f aca="false">IF(OR(C74="",D74=""),"",D74*IF(E74="",IFERROR(INDEX(Ürünler!$D$5:$D$204,MATCH(C74,Ürünler!$A$5:$A$204,0)),0),E74))</f>
        <v/>
      </c>
      <c r="H74" s="37" t="str">
        <f aca="false">IF(G74="","",D74*IFERROR(INDEX(Ürünler!$C$5:$C$204,MATCH(C74,Ürünler!$A$5:$A$204,0)),0))</f>
        <v/>
      </c>
      <c r="I74" s="37" t="str">
        <f aca="false">IF(G74="","",G74-H74)</f>
        <v/>
      </c>
      <c r="J74" s="33"/>
    </row>
    <row r="75" customFormat="false" ht="15" hidden="false" customHeight="false" outlineLevel="0" collapsed="false">
      <c r="A75" s="32"/>
      <c r="B75" s="33"/>
      <c r="C75" s="33"/>
      <c r="D75" s="34"/>
      <c r="E75" s="35"/>
      <c r="F75" s="36"/>
      <c r="G75" s="37" t="str">
        <f aca="false">IF(OR(C75="",D75=""),"",D75*IF(E75="",IFERROR(INDEX(Ürünler!$D$5:$D$204,MATCH(C75,Ürünler!$A$5:$A$204,0)),0),E75))</f>
        <v/>
      </c>
      <c r="H75" s="37" t="str">
        <f aca="false">IF(G75="","",D75*IFERROR(INDEX(Ürünler!$C$5:$C$204,MATCH(C75,Ürünler!$A$5:$A$204,0)),0))</f>
        <v/>
      </c>
      <c r="I75" s="37" t="str">
        <f aca="false">IF(G75="","",G75-H75)</f>
        <v/>
      </c>
      <c r="J75" s="33"/>
    </row>
    <row r="76" customFormat="false" ht="15" hidden="false" customHeight="false" outlineLevel="0" collapsed="false">
      <c r="A76" s="32"/>
      <c r="B76" s="33"/>
      <c r="C76" s="33"/>
      <c r="D76" s="34"/>
      <c r="E76" s="35"/>
      <c r="F76" s="36"/>
      <c r="G76" s="37" t="str">
        <f aca="false">IF(OR(C76="",D76=""),"",D76*IF(E76="",IFERROR(INDEX(Ürünler!$D$5:$D$204,MATCH(C76,Ürünler!$A$5:$A$204,0)),0),E76))</f>
        <v/>
      </c>
      <c r="H76" s="37" t="str">
        <f aca="false">IF(G76="","",D76*IFERROR(INDEX(Ürünler!$C$5:$C$204,MATCH(C76,Ürünler!$A$5:$A$204,0)),0))</f>
        <v/>
      </c>
      <c r="I76" s="37" t="str">
        <f aca="false">IF(G76="","",G76-H76)</f>
        <v/>
      </c>
      <c r="J76" s="33"/>
    </row>
    <row r="77" customFormat="false" ht="15" hidden="false" customHeight="false" outlineLevel="0" collapsed="false">
      <c r="A77" s="32"/>
      <c r="B77" s="33"/>
      <c r="C77" s="33"/>
      <c r="D77" s="34"/>
      <c r="E77" s="35"/>
      <c r="F77" s="36"/>
      <c r="G77" s="37" t="str">
        <f aca="false">IF(OR(C77="",D77=""),"",D77*IF(E77="",IFERROR(INDEX(Ürünler!$D$5:$D$204,MATCH(C77,Ürünler!$A$5:$A$204,0)),0),E77))</f>
        <v/>
      </c>
      <c r="H77" s="37" t="str">
        <f aca="false">IF(G77="","",D77*IFERROR(INDEX(Ürünler!$C$5:$C$204,MATCH(C77,Ürünler!$A$5:$A$204,0)),0))</f>
        <v/>
      </c>
      <c r="I77" s="37" t="str">
        <f aca="false">IF(G77="","",G77-H77)</f>
        <v/>
      </c>
      <c r="J77" s="33"/>
    </row>
    <row r="78" customFormat="false" ht="15" hidden="false" customHeight="false" outlineLevel="0" collapsed="false">
      <c r="A78" s="32"/>
      <c r="B78" s="33"/>
      <c r="C78" s="33"/>
      <c r="D78" s="34"/>
      <c r="E78" s="35"/>
      <c r="F78" s="36"/>
      <c r="G78" s="37" t="str">
        <f aca="false">IF(OR(C78="",D78=""),"",D78*IF(E78="",IFERROR(INDEX(Ürünler!$D$5:$D$204,MATCH(C78,Ürünler!$A$5:$A$204,0)),0),E78))</f>
        <v/>
      </c>
      <c r="H78" s="37" t="str">
        <f aca="false">IF(G78="","",D78*IFERROR(INDEX(Ürünler!$C$5:$C$204,MATCH(C78,Ürünler!$A$5:$A$204,0)),0))</f>
        <v/>
      </c>
      <c r="I78" s="37" t="str">
        <f aca="false">IF(G78="","",G78-H78)</f>
        <v/>
      </c>
      <c r="J78" s="33"/>
    </row>
    <row r="79" customFormat="false" ht="15" hidden="false" customHeight="false" outlineLevel="0" collapsed="false">
      <c r="A79" s="32"/>
      <c r="B79" s="33"/>
      <c r="C79" s="33"/>
      <c r="D79" s="34"/>
      <c r="E79" s="35"/>
      <c r="F79" s="36"/>
      <c r="G79" s="37" t="str">
        <f aca="false">IF(OR(C79="",D79=""),"",D79*IF(E79="",IFERROR(INDEX(Ürünler!$D$5:$D$204,MATCH(C79,Ürünler!$A$5:$A$204,0)),0),E79))</f>
        <v/>
      </c>
      <c r="H79" s="37" t="str">
        <f aca="false">IF(G79="","",D79*IFERROR(INDEX(Ürünler!$C$5:$C$204,MATCH(C79,Ürünler!$A$5:$A$204,0)),0))</f>
        <v/>
      </c>
      <c r="I79" s="37" t="str">
        <f aca="false">IF(G79="","",G79-H79)</f>
        <v/>
      </c>
      <c r="J79" s="33"/>
    </row>
    <row r="80" customFormat="false" ht="15" hidden="false" customHeight="false" outlineLevel="0" collapsed="false">
      <c r="A80" s="32"/>
      <c r="B80" s="33"/>
      <c r="C80" s="33"/>
      <c r="D80" s="34"/>
      <c r="E80" s="35"/>
      <c r="F80" s="36"/>
      <c r="G80" s="37" t="str">
        <f aca="false">IF(OR(C80="",D80=""),"",D80*IF(E80="",IFERROR(INDEX(Ürünler!$D$5:$D$204,MATCH(C80,Ürünler!$A$5:$A$204,0)),0),E80))</f>
        <v/>
      </c>
      <c r="H80" s="37" t="str">
        <f aca="false">IF(G80="","",D80*IFERROR(INDEX(Ürünler!$C$5:$C$204,MATCH(C80,Ürünler!$A$5:$A$204,0)),0))</f>
        <v/>
      </c>
      <c r="I80" s="37" t="str">
        <f aca="false">IF(G80="","",G80-H80)</f>
        <v/>
      </c>
      <c r="J80" s="33"/>
    </row>
    <row r="81" customFormat="false" ht="15" hidden="false" customHeight="false" outlineLevel="0" collapsed="false">
      <c r="A81" s="32"/>
      <c r="B81" s="33"/>
      <c r="C81" s="33"/>
      <c r="D81" s="34"/>
      <c r="E81" s="35"/>
      <c r="F81" s="36"/>
      <c r="G81" s="37" t="str">
        <f aca="false">IF(OR(C81="",D81=""),"",D81*IF(E81="",IFERROR(INDEX(Ürünler!$D$5:$D$204,MATCH(C81,Ürünler!$A$5:$A$204,0)),0),E81))</f>
        <v/>
      </c>
      <c r="H81" s="37" t="str">
        <f aca="false">IF(G81="","",D81*IFERROR(INDEX(Ürünler!$C$5:$C$204,MATCH(C81,Ürünler!$A$5:$A$204,0)),0))</f>
        <v/>
      </c>
      <c r="I81" s="37" t="str">
        <f aca="false">IF(G81="","",G81-H81)</f>
        <v/>
      </c>
      <c r="J81" s="33"/>
    </row>
    <row r="82" customFormat="false" ht="15" hidden="false" customHeight="false" outlineLevel="0" collapsed="false">
      <c r="A82" s="32"/>
      <c r="B82" s="33"/>
      <c r="C82" s="33"/>
      <c r="D82" s="34"/>
      <c r="E82" s="35"/>
      <c r="F82" s="36"/>
      <c r="G82" s="37" t="str">
        <f aca="false">IF(OR(C82="",D82=""),"",D82*IF(E82="",IFERROR(INDEX(Ürünler!$D$5:$D$204,MATCH(C82,Ürünler!$A$5:$A$204,0)),0),E82))</f>
        <v/>
      </c>
      <c r="H82" s="37" t="str">
        <f aca="false">IF(G82="","",D82*IFERROR(INDEX(Ürünler!$C$5:$C$204,MATCH(C82,Ürünler!$A$5:$A$204,0)),0))</f>
        <v/>
      </c>
      <c r="I82" s="37" t="str">
        <f aca="false">IF(G82="","",G82-H82)</f>
        <v/>
      </c>
      <c r="J82" s="33"/>
    </row>
    <row r="83" customFormat="false" ht="15" hidden="false" customHeight="false" outlineLevel="0" collapsed="false">
      <c r="A83" s="32"/>
      <c r="B83" s="33"/>
      <c r="C83" s="33"/>
      <c r="D83" s="34"/>
      <c r="E83" s="35"/>
      <c r="F83" s="36"/>
      <c r="G83" s="37" t="str">
        <f aca="false">IF(OR(C83="",D83=""),"",D83*IF(E83="",IFERROR(INDEX(Ürünler!$D$5:$D$204,MATCH(C83,Ürünler!$A$5:$A$204,0)),0),E83))</f>
        <v/>
      </c>
      <c r="H83" s="37" t="str">
        <f aca="false">IF(G83="","",D83*IFERROR(INDEX(Ürünler!$C$5:$C$204,MATCH(C83,Ürünler!$A$5:$A$204,0)),0))</f>
        <v/>
      </c>
      <c r="I83" s="37" t="str">
        <f aca="false">IF(G83="","",G83-H83)</f>
        <v/>
      </c>
      <c r="J83" s="33"/>
    </row>
    <row r="84" customFormat="false" ht="15" hidden="false" customHeight="false" outlineLevel="0" collapsed="false">
      <c r="A84" s="32"/>
      <c r="B84" s="33"/>
      <c r="C84" s="33"/>
      <c r="D84" s="34"/>
      <c r="E84" s="35"/>
      <c r="F84" s="36"/>
      <c r="G84" s="37" t="str">
        <f aca="false">IF(OR(C84="",D84=""),"",D84*IF(E84="",IFERROR(INDEX(Ürünler!$D$5:$D$204,MATCH(C84,Ürünler!$A$5:$A$204,0)),0),E84))</f>
        <v/>
      </c>
      <c r="H84" s="37" t="str">
        <f aca="false">IF(G84="","",D84*IFERROR(INDEX(Ürünler!$C$5:$C$204,MATCH(C84,Ürünler!$A$5:$A$204,0)),0))</f>
        <v/>
      </c>
      <c r="I84" s="37" t="str">
        <f aca="false">IF(G84="","",G84-H84)</f>
        <v/>
      </c>
      <c r="J84" s="33"/>
    </row>
    <row r="85" customFormat="false" ht="15" hidden="false" customHeight="false" outlineLevel="0" collapsed="false">
      <c r="A85" s="32"/>
      <c r="B85" s="33"/>
      <c r="C85" s="33"/>
      <c r="D85" s="34"/>
      <c r="E85" s="35"/>
      <c r="F85" s="36"/>
      <c r="G85" s="37" t="str">
        <f aca="false">IF(OR(C85="",D85=""),"",D85*IF(E85="",IFERROR(INDEX(Ürünler!$D$5:$D$204,MATCH(C85,Ürünler!$A$5:$A$204,0)),0),E85))</f>
        <v/>
      </c>
      <c r="H85" s="37" t="str">
        <f aca="false">IF(G85="","",D85*IFERROR(INDEX(Ürünler!$C$5:$C$204,MATCH(C85,Ürünler!$A$5:$A$204,0)),0))</f>
        <v/>
      </c>
      <c r="I85" s="37" t="str">
        <f aca="false">IF(G85="","",G85-H85)</f>
        <v/>
      </c>
      <c r="J85" s="33"/>
    </row>
    <row r="86" customFormat="false" ht="15" hidden="false" customHeight="false" outlineLevel="0" collapsed="false">
      <c r="A86" s="32"/>
      <c r="B86" s="33"/>
      <c r="C86" s="33"/>
      <c r="D86" s="34"/>
      <c r="E86" s="35"/>
      <c r="F86" s="36"/>
      <c r="G86" s="37" t="str">
        <f aca="false">IF(OR(C86="",D86=""),"",D86*IF(E86="",IFERROR(INDEX(Ürünler!$D$5:$D$204,MATCH(C86,Ürünler!$A$5:$A$204,0)),0),E86))</f>
        <v/>
      </c>
      <c r="H86" s="37" t="str">
        <f aca="false">IF(G86="","",D86*IFERROR(INDEX(Ürünler!$C$5:$C$204,MATCH(C86,Ürünler!$A$5:$A$204,0)),0))</f>
        <v/>
      </c>
      <c r="I86" s="37" t="str">
        <f aca="false">IF(G86="","",G86-H86)</f>
        <v/>
      </c>
      <c r="J86" s="33"/>
    </row>
    <row r="87" customFormat="false" ht="15" hidden="false" customHeight="false" outlineLevel="0" collapsed="false">
      <c r="A87" s="32"/>
      <c r="B87" s="33"/>
      <c r="C87" s="33"/>
      <c r="D87" s="34"/>
      <c r="E87" s="35"/>
      <c r="F87" s="36"/>
      <c r="G87" s="37" t="str">
        <f aca="false">IF(OR(C87="",D87=""),"",D87*IF(E87="",IFERROR(INDEX(Ürünler!$D$5:$D$204,MATCH(C87,Ürünler!$A$5:$A$204,0)),0),E87))</f>
        <v/>
      </c>
      <c r="H87" s="37" t="str">
        <f aca="false">IF(G87="","",D87*IFERROR(INDEX(Ürünler!$C$5:$C$204,MATCH(C87,Ürünler!$A$5:$A$204,0)),0))</f>
        <v/>
      </c>
      <c r="I87" s="37" t="str">
        <f aca="false">IF(G87="","",G87-H87)</f>
        <v/>
      </c>
      <c r="J87" s="33"/>
    </row>
    <row r="88" customFormat="false" ht="15" hidden="false" customHeight="false" outlineLevel="0" collapsed="false">
      <c r="A88" s="32"/>
      <c r="B88" s="33"/>
      <c r="C88" s="33"/>
      <c r="D88" s="34"/>
      <c r="E88" s="35"/>
      <c r="F88" s="36"/>
      <c r="G88" s="37" t="str">
        <f aca="false">IF(OR(C88="",D88=""),"",D88*IF(E88="",IFERROR(INDEX(Ürünler!$D$5:$D$204,MATCH(C88,Ürünler!$A$5:$A$204,0)),0),E88))</f>
        <v/>
      </c>
      <c r="H88" s="37" t="str">
        <f aca="false">IF(G88="","",D88*IFERROR(INDEX(Ürünler!$C$5:$C$204,MATCH(C88,Ürünler!$A$5:$A$204,0)),0))</f>
        <v/>
      </c>
      <c r="I88" s="37" t="str">
        <f aca="false">IF(G88="","",G88-H88)</f>
        <v/>
      </c>
      <c r="J88" s="33"/>
    </row>
    <row r="89" customFormat="false" ht="15" hidden="false" customHeight="false" outlineLevel="0" collapsed="false">
      <c r="A89" s="32"/>
      <c r="B89" s="33"/>
      <c r="C89" s="33"/>
      <c r="D89" s="34"/>
      <c r="E89" s="35"/>
      <c r="F89" s="36"/>
      <c r="G89" s="37" t="str">
        <f aca="false">IF(OR(C89="",D89=""),"",D89*IF(E89="",IFERROR(INDEX(Ürünler!$D$5:$D$204,MATCH(C89,Ürünler!$A$5:$A$204,0)),0),E89))</f>
        <v/>
      </c>
      <c r="H89" s="37" t="str">
        <f aca="false">IF(G89="","",D89*IFERROR(INDEX(Ürünler!$C$5:$C$204,MATCH(C89,Ürünler!$A$5:$A$204,0)),0))</f>
        <v/>
      </c>
      <c r="I89" s="37" t="str">
        <f aca="false">IF(G89="","",G89-H89)</f>
        <v/>
      </c>
      <c r="J89" s="33"/>
    </row>
    <row r="90" customFormat="false" ht="15" hidden="false" customHeight="false" outlineLevel="0" collapsed="false">
      <c r="A90" s="32"/>
      <c r="B90" s="33"/>
      <c r="C90" s="33"/>
      <c r="D90" s="34"/>
      <c r="E90" s="35"/>
      <c r="F90" s="36"/>
      <c r="G90" s="37" t="str">
        <f aca="false">IF(OR(C90="",D90=""),"",D90*IF(E90="",IFERROR(INDEX(Ürünler!$D$5:$D$204,MATCH(C90,Ürünler!$A$5:$A$204,0)),0),E90))</f>
        <v/>
      </c>
      <c r="H90" s="37" t="str">
        <f aca="false">IF(G90="","",D90*IFERROR(INDEX(Ürünler!$C$5:$C$204,MATCH(C90,Ürünler!$A$5:$A$204,0)),0))</f>
        <v/>
      </c>
      <c r="I90" s="37" t="str">
        <f aca="false">IF(G90="","",G90-H90)</f>
        <v/>
      </c>
      <c r="J90" s="33"/>
    </row>
    <row r="91" customFormat="false" ht="15" hidden="false" customHeight="false" outlineLevel="0" collapsed="false">
      <c r="A91" s="32"/>
      <c r="B91" s="33"/>
      <c r="C91" s="33"/>
      <c r="D91" s="34"/>
      <c r="E91" s="35"/>
      <c r="F91" s="36"/>
      <c r="G91" s="37" t="str">
        <f aca="false">IF(OR(C91="",D91=""),"",D91*IF(E91="",IFERROR(INDEX(Ürünler!$D$5:$D$204,MATCH(C91,Ürünler!$A$5:$A$204,0)),0),E91))</f>
        <v/>
      </c>
      <c r="H91" s="37" t="str">
        <f aca="false">IF(G91="","",D91*IFERROR(INDEX(Ürünler!$C$5:$C$204,MATCH(C91,Ürünler!$A$5:$A$204,0)),0))</f>
        <v/>
      </c>
      <c r="I91" s="37" t="str">
        <f aca="false">IF(G91="","",G91-H91)</f>
        <v/>
      </c>
      <c r="J91" s="33"/>
    </row>
    <row r="92" customFormat="false" ht="15" hidden="false" customHeight="false" outlineLevel="0" collapsed="false">
      <c r="A92" s="32"/>
      <c r="B92" s="33"/>
      <c r="C92" s="33"/>
      <c r="D92" s="34"/>
      <c r="E92" s="35"/>
      <c r="F92" s="36"/>
      <c r="G92" s="37" t="str">
        <f aca="false">IF(OR(C92="",D92=""),"",D92*IF(E92="",IFERROR(INDEX(Ürünler!$D$5:$D$204,MATCH(C92,Ürünler!$A$5:$A$204,0)),0),E92))</f>
        <v/>
      </c>
      <c r="H92" s="37" t="str">
        <f aca="false">IF(G92="","",D92*IFERROR(INDEX(Ürünler!$C$5:$C$204,MATCH(C92,Ürünler!$A$5:$A$204,0)),0))</f>
        <v/>
      </c>
      <c r="I92" s="37" t="str">
        <f aca="false">IF(G92="","",G92-H92)</f>
        <v/>
      </c>
      <c r="J92" s="33"/>
    </row>
    <row r="93" customFormat="false" ht="15" hidden="false" customHeight="false" outlineLevel="0" collapsed="false">
      <c r="A93" s="32"/>
      <c r="B93" s="33"/>
      <c r="C93" s="33"/>
      <c r="D93" s="34"/>
      <c r="E93" s="35"/>
      <c r="F93" s="36"/>
      <c r="G93" s="37" t="str">
        <f aca="false">IF(OR(C93="",D93=""),"",D93*IF(E93="",IFERROR(INDEX(Ürünler!$D$5:$D$204,MATCH(C93,Ürünler!$A$5:$A$204,0)),0),E93))</f>
        <v/>
      </c>
      <c r="H93" s="37" t="str">
        <f aca="false">IF(G93="","",D93*IFERROR(INDEX(Ürünler!$C$5:$C$204,MATCH(C93,Ürünler!$A$5:$A$204,0)),0))</f>
        <v/>
      </c>
      <c r="I93" s="37" t="str">
        <f aca="false">IF(G93="","",G93-H93)</f>
        <v/>
      </c>
      <c r="J93" s="33"/>
    </row>
    <row r="94" customFormat="false" ht="15" hidden="false" customHeight="false" outlineLevel="0" collapsed="false">
      <c r="A94" s="32"/>
      <c r="B94" s="33"/>
      <c r="C94" s="33"/>
      <c r="D94" s="34"/>
      <c r="E94" s="35"/>
      <c r="F94" s="36"/>
      <c r="G94" s="37" t="str">
        <f aca="false">IF(OR(C94="",D94=""),"",D94*IF(E94="",IFERROR(INDEX(Ürünler!$D$5:$D$204,MATCH(C94,Ürünler!$A$5:$A$204,0)),0),E94))</f>
        <v/>
      </c>
      <c r="H94" s="37" t="str">
        <f aca="false">IF(G94="","",D94*IFERROR(INDEX(Ürünler!$C$5:$C$204,MATCH(C94,Ürünler!$A$5:$A$204,0)),0))</f>
        <v/>
      </c>
      <c r="I94" s="37" t="str">
        <f aca="false">IF(G94="","",G94-H94)</f>
        <v/>
      </c>
      <c r="J94" s="33"/>
    </row>
    <row r="95" customFormat="false" ht="15" hidden="false" customHeight="false" outlineLevel="0" collapsed="false">
      <c r="A95" s="32"/>
      <c r="B95" s="33"/>
      <c r="C95" s="33"/>
      <c r="D95" s="34"/>
      <c r="E95" s="35"/>
      <c r="F95" s="36"/>
      <c r="G95" s="37" t="str">
        <f aca="false">IF(OR(C95="",D95=""),"",D95*IF(E95="",IFERROR(INDEX(Ürünler!$D$5:$D$204,MATCH(C95,Ürünler!$A$5:$A$204,0)),0),E95))</f>
        <v/>
      </c>
      <c r="H95" s="37" t="str">
        <f aca="false">IF(G95="","",D95*IFERROR(INDEX(Ürünler!$C$5:$C$204,MATCH(C95,Ürünler!$A$5:$A$204,0)),0))</f>
        <v/>
      </c>
      <c r="I95" s="37" t="str">
        <f aca="false">IF(G95="","",G95-H95)</f>
        <v/>
      </c>
      <c r="J95" s="33"/>
    </row>
    <row r="96" customFormat="false" ht="15" hidden="false" customHeight="false" outlineLevel="0" collapsed="false">
      <c r="A96" s="32"/>
      <c r="B96" s="33"/>
      <c r="C96" s="33"/>
      <c r="D96" s="34"/>
      <c r="E96" s="35"/>
      <c r="F96" s="36"/>
      <c r="G96" s="37" t="str">
        <f aca="false">IF(OR(C96="",D96=""),"",D96*IF(E96="",IFERROR(INDEX(Ürünler!$D$5:$D$204,MATCH(C96,Ürünler!$A$5:$A$204,0)),0),E96))</f>
        <v/>
      </c>
      <c r="H96" s="37" t="str">
        <f aca="false">IF(G96="","",D96*IFERROR(INDEX(Ürünler!$C$5:$C$204,MATCH(C96,Ürünler!$A$5:$A$204,0)),0))</f>
        <v/>
      </c>
      <c r="I96" s="37" t="str">
        <f aca="false">IF(G96="","",G96-H96)</f>
        <v/>
      </c>
      <c r="J96" s="33"/>
    </row>
    <row r="97" customFormat="false" ht="15" hidden="false" customHeight="false" outlineLevel="0" collapsed="false">
      <c r="A97" s="32"/>
      <c r="B97" s="33"/>
      <c r="C97" s="33"/>
      <c r="D97" s="34"/>
      <c r="E97" s="35"/>
      <c r="F97" s="36"/>
      <c r="G97" s="37" t="str">
        <f aca="false">IF(OR(C97="",D97=""),"",D97*IF(E97="",IFERROR(INDEX(Ürünler!$D$5:$D$204,MATCH(C97,Ürünler!$A$5:$A$204,0)),0),E97))</f>
        <v/>
      </c>
      <c r="H97" s="37" t="str">
        <f aca="false">IF(G97="","",D97*IFERROR(INDEX(Ürünler!$C$5:$C$204,MATCH(C97,Ürünler!$A$5:$A$204,0)),0))</f>
        <v/>
      </c>
      <c r="I97" s="37" t="str">
        <f aca="false">IF(G97="","",G97-H97)</f>
        <v/>
      </c>
      <c r="J97" s="33"/>
    </row>
    <row r="98" customFormat="false" ht="15" hidden="false" customHeight="false" outlineLevel="0" collapsed="false">
      <c r="A98" s="32"/>
      <c r="B98" s="33"/>
      <c r="C98" s="33"/>
      <c r="D98" s="34"/>
      <c r="E98" s="35"/>
      <c r="F98" s="36"/>
      <c r="G98" s="37" t="str">
        <f aca="false">IF(OR(C98="",D98=""),"",D98*IF(E98="",IFERROR(INDEX(Ürünler!$D$5:$D$204,MATCH(C98,Ürünler!$A$5:$A$204,0)),0),E98))</f>
        <v/>
      </c>
      <c r="H98" s="37" t="str">
        <f aca="false">IF(G98="","",D98*IFERROR(INDEX(Ürünler!$C$5:$C$204,MATCH(C98,Ürünler!$A$5:$A$204,0)),0))</f>
        <v/>
      </c>
      <c r="I98" s="37" t="str">
        <f aca="false">IF(G98="","",G98-H98)</f>
        <v/>
      </c>
      <c r="J98" s="33"/>
    </row>
    <row r="99" customFormat="false" ht="15" hidden="false" customHeight="false" outlineLevel="0" collapsed="false">
      <c r="A99" s="32"/>
      <c r="B99" s="33"/>
      <c r="C99" s="33"/>
      <c r="D99" s="34"/>
      <c r="E99" s="35"/>
      <c r="F99" s="36"/>
      <c r="G99" s="37" t="str">
        <f aca="false">IF(OR(C99="",D99=""),"",D99*IF(E99="",IFERROR(INDEX(Ürünler!$D$5:$D$204,MATCH(C99,Ürünler!$A$5:$A$204,0)),0),E99))</f>
        <v/>
      </c>
      <c r="H99" s="37" t="str">
        <f aca="false">IF(G99="","",D99*IFERROR(INDEX(Ürünler!$C$5:$C$204,MATCH(C99,Ürünler!$A$5:$A$204,0)),0))</f>
        <v/>
      </c>
      <c r="I99" s="37" t="str">
        <f aca="false">IF(G99="","",G99-H99)</f>
        <v/>
      </c>
      <c r="J99" s="33"/>
    </row>
    <row r="100" customFormat="false" ht="15" hidden="false" customHeight="false" outlineLevel="0" collapsed="false">
      <c r="A100" s="32"/>
      <c r="B100" s="33"/>
      <c r="C100" s="33"/>
      <c r="D100" s="34"/>
      <c r="E100" s="35"/>
      <c r="F100" s="36"/>
      <c r="G100" s="37" t="str">
        <f aca="false">IF(OR(C100="",D100=""),"",D100*IF(E100="",IFERROR(INDEX(Ürünler!$D$5:$D$204,MATCH(C100,Ürünler!$A$5:$A$204,0)),0),E100))</f>
        <v/>
      </c>
      <c r="H100" s="37" t="str">
        <f aca="false">IF(G100="","",D100*IFERROR(INDEX(Ürünler!$C$5:$C$204,MATCH(C100,Ürünler!$A$5:$A$204,0)),0))</f>
        <v/>
      </c>
      <c r="I100" s="37" t="str">
        <f aca="false">IF(G100="","",G100-H100)</f>
        <v/>
      </c>
      <c r="J100" s="33"/>
    </row>
    <row r="101" customFormat="false" ht="15" hidden="false" customHeight="false" outlineLevel="0" collapsed="false">
      <c r="A101" s="32"/>
      <c r="B101" s="33"/>
      <c r="C101" s="33"/>
      <c r="D101" s="34"/>
      <c r="E101" s="35"/>
      <c r="F101" s="36"/>
      <c r="G101" s="37" t="str">
        <f aca="false">IF(OR(C101="",D101=""),"",D101*IF(E101="",IFERROR(INDEX(Ürünler!$D$5:$D$204,MATCH(C101,Ürünler!$A$5:$A$204,0)),0),E101))</f>
        <v/>
      </c>
      <c r="H101" s="37" t="str">
        <f aca="false">IF(G101="","",D101*IFERROR(INDEX(Ürünler!$C$5:$C$204,MATCH(C101,Ürünler!$A$5:$A$204,0)),0))</f>
        <v/>
      </c>
      <c r="I101" s="37" t="str">
        <f aca="false">IF(G101="","",G101-H101)</f>
        <v/>
      </c>
      <c r="J101" s="33"/>
    </row>
    <row r="102" customFormat="false" ht="15" hidden="false" customHeight="false" outlineLevel="0" collapsed="false">
      <c r="A102" s="32"/>
      <c r="B102" s="33"/>
      <c r="C102" s="33"/>
      <c r="D102" s="34"/>
      <c r="E102" s="35"/>
      <c r="F102" s="36"/>
      <c r="G102" s="37" t="str">
        <f aca="false">IF(OR(C102="",D102=""),"",D102*IF(E102="",IFERROR(INDEX(Ürünler!$D$5:$D$204,MATCH(C102,Ürünler!$A$5:$A$204,0)),0),E102))</f>
        <v/>
      </c>
      <c r="H102" s="37" t="str">
        <f aca="false">IF(G102="","",D102*IFERROR(INDEX(Ürünler!$C$5:$C$204,MATCH(C102,Ürünler!$A$5:$A$204,0)),0))</f>
        <v/>
      </c>
      <c r="I102" s="37" t="str">
        <f aca="false">IF(G102="","",G102-H102)</f>
        <v/>
      </c>
      <c r="J102" s="33"/>
    </row>
    <row r="103" customFormat="false" ht="15" hidden="false" customHeight="false" outlineLevel="0" collapsed="false">
      <c r="A103" s="32"/>
      <c r="B103" s="33"/>
      <c r="C103" s="33"/>
      <c r="D103" s="34"/>
      <c r="E103" s="35"/>
      <c r="F103" s="36"/>
      <c r="G103" s="37" t="str">
        <f aca="false">IF(OR(C103="",D103=""),"",D103*IF(E103="",IFERROR(INDEX(Ürünler!$D$5:$D$204,MATCH(C103,Ürünler!$A$5:$A$204,0)),0),E103))</f>
        <v/>
      </c>
      <c r="H103" s="37" t="str">
        <f aca="false">IF(G103="","",D103*IFERROR(INDEX(Ürünler!$C$5:$C$204,MATCH(C103,Ürünler!$A$5:$A$204,0)),0))</f>
        <v/>
      </c>
      <c r="I103" s="37" t="str">
        <f aca="false">IF(G103="","",G103-H103)</f>
        <v/>
      </c>
      <c r="J103" s="33"/>
    </row>
    <row r="104" customFormat="false" ht="15" hidden="false" customHeight="false" outlineLevel="0" collapsed="false">
      <c r="A104" s="32"/>
      <c r="B104" s="33"/>
      <c r="C104" s="33"/>
      <c r="D104" s="34"/>
      <c r="E104" s="35"/>
      <c r="F104" s="36"/>
      <c r="G104" s="37" t="str">
        <f aca="false">IF(OR(C104="",D104=""),"",D104*IF(E104="",IFERROR(INDEX(Ürünler!$D$5:$D$204,MATCH(C104,Ürünler!$A$5:$A$204,0)),0),E104))</f>
        <v/>
      </c>
      <c r="H104" s="37" t="str">
        <f aca="false">IF(G104="","",D104*IFERROR(INDEX(Ürünler!$C$5:$C$204,MATCH(C104,Ürünler!$A$5:$A$204,0)),0))</f>
        <v/>
      </c>
      <c r="I104" s="37" t="str">
        <f aca="false">IF(G104="","",G104-H104)</f>
        <v/>
      </c>
      <c r="J104" s="33"/>
    </row>
    <row r="105" customFormat="false" ht="15" hidden="false" customHeight="false" outlineLevel="0" collapsed="false">
      <c r="A105" s="32"/>
      <c r="B105" s="33"/>
      <c r="C105" s="33"/>
      <c r="D105" s="34"/>
      <c r="E105" s="35"/>
      <c r="F105" s="36"/>
      <c r="G105" s="37" t="str">
        <f aca="false">IF(OR(C105="",D105=""),"",D105*IF(E105="",IFERROR(INDEX(Ürünler!$D$5:$D$204,MATCH(C105,Ürünler!$A$5:$A$204,0)),0),E105))</f>
        <v/>
      </c>
      <c r="H105" s="37" t="str">
        <f aca="false">IF(G105="","",D105*IFERROR(INDEX(Ürünler!$C$5:$C$204,MATCH(C105,Ürünler!$A$5:$A$204,0)),0))</f>
        <v/>
      </c>
      <c r="I105" s="37" t="str">
        <f aca="false">IF(G105="","",G105-H105)</f>
        <v/>
      </c>
      <c r="J105" s="33"/>
    </row>
    <row r="106" customFormat="false" ht="15" hidden="false" customHeight="false" outlineLevel="0" collapsed="false">
      <c r="A106" s="32"/>
      <c r="B106" s="33"/>
      <c r="C106" s="33"/>
      <c r="D106" s="34"/>
      <c r="E106" s="35"/>
      <c r="F106" s="36"/>
      <c r="G106" s="37" t="str">
        <f aca="false">IF(OR(C106="",D106=""),"",D106*IF(E106="",IFERROR(INDEX(Ürünler!$D$5:$D$204,MATCH(C106,Ürünler!$A$5:$A$204,0)),0),E106))</f>
        <v/>
      </c>
      <c r="H106" s="37" t="str">
        <f aca="false">IF(G106="","",D106*IFERROR(INDEX(Ürünler!$C$5:$C$204,MATCH(C106,Ürünler!$A$5:$A$204,0)),0))</f>
        <v/>
      </c>
      <c r="I106" s="37" t="str">
        <f aca="false">IF(G106="","",G106-H106)</f>
        <v/>
      </c>
      <c r="J106" s="33"/>
    </row>
    <row r="107" customFormat="false" ht="15" hidden="false" customHeight="false" outlineLevel="0" collapsed="false">
      <c r="A107" s="32"/>
      <c r="B107" s="33"/>
      <c r="C107" s="33"/>
      <c r="D107" s="34"/>
      <c r="E107" s="35"/>
      <c r="F107" s="36"/>
      <c r="G107" s="37" t="str">
        <f aca="false">IF(OR(C107="",D107=""),"",D107*IF(E107="",IFERROR(INDEX(Ürünler!$D$5:$D$204,MATCH(C107,Ürünler!$A$5:$A$204,0)),0),E107))</f>
        <v/>
      </c>
      <c r="H107" s="37" t="str">
        <f aca="false">IF(G107="","",D107*IFERROR(INDEX(Ürünler!$C$5:$C$204,MATCH(C107,Ürünler!$A$5:$A$204,0)),0))</f>
        <v/>
      </c>
      <c r="I107" s="37" t="str">
        <f aca="false">IF(G107="","",G107-H107)</f>
        <v/>
      </c>
      <c r="J107" s="33"/>
    </row>
    <row r="108" customFormat="false" ht="15" hidden="false" customHeight="false" outlineLevel="0" collapsed="false">
      <c r="A108" s="32"/>
      <c r="B108" s="33"/>
      <c r="C108" s="33"/>
      <c r="D108" s="34"/>
      <c r="E108" s="35"/>
      <c r="F108" s="36"/>
      <c r="G108" s="37" t="str">
        <f aca="false">IF(OR(C108="",D108=""),"",D108*IF(E108="",IFERROR(INDEX(Ürünler!$D$5:$D$204,MATCH(C108,Ürünler!$A$5:$A$204,0)),0),E108))</f>
        <v/>
      </c>
      <c r="H108" s="37" t="str">
        <f aca="false">IF(G108="","",D108*IFERROR(INDEX(Ürünler!$C$5:$C$204,MATCH(C108,Ürünler!$A$5:$A$204,0)),0))</f>
        <v/>
      </c>
      <c r="I108" s="37" t="str">
        <f aca="false">IF(G108="","",G108-H108)</f>
        <v/>
      </c>
      <c r="J108" s="33"/>
    </row>
    <row r="109" customFormat="false" ht="15" hidden="false" customHeight="false" outlineLevel="0" collapsed="false">
      <c r="A109" s="32"/>
      <c r="B109" s="33"/>
      <c r="C109" s="33"/>
      <c r="D109" s="34"/>
      <c r="E109" s="35"/>
      <c r="F109" s="36"/>
      <c r="G109" s="37" t="str">
        <f aca="false">IF(OR(C109="",D109=""),"",D109*IF(E109="",IFERROR(INDEX(Ürünler!$D$5:$D$204,MATCH(C109,Ürünler!$A$5:$A$204,0)),0),E109))</f>
        <v/>
      </c>
      <c r="H109" s="37" t="str">
        <f aca="false">IF(G109="","",D109*IFERROR(INDEX(Ürünler!$C$5:$C$204,MATCH(C109,Ürünler!$A$5:$A$204,0)),0))</f>
        <v/>
      </c>
      <c r="I109" s="37" t="str">
        <f aca="false">IF(G109="","",G109-H109)</f>
        <v/>
      </c>
      <c r="J109" s="33"/>
    </row>
    <row r="110" customFormat="false" ht="15" hidden="false" customHeight="false" outlineLevel="0" collapsed="false">
      <c r="A110" s="32"/>
      <c r="B110" s="33"/>
      <c r="C110" s="33"/>
      <c r="D110" s="34"/>
      <c r="E110" s="35"/>
      <c r="F110" s="36"/>
      <c r="G110" s="37" t="str">
        <f aca="false">IF(OR(C110="",D110=""),"",D110*IF(E110="",IFERROR(INDEX(Ürünler!$D$5:$D$204,MATCH(C110,Ürünler!$A$5:$A$204,0)),0),E110))</f>
        <v/>
      </c>
      <c r="H110" s="37" t="str">
        <f aca="false">IF(G110="","",D110*IFERROR(INDEX(Ürünler!$C$5:$C$204,MATCH(C110,Ürünler!$A$5:$A$204,0)),0))</f>
        <v/>
      </c>
      <c r="I110" s="37" t="str">
        <f aca="false">IF(G110="","",G110-H110)</f>
        <v/>
      </c>
      <c r="J110" s="33"/>
    </row>
    <row r="111" customFormat="false" ht="15" hidden="false" customHeight="false" outlineLevel="0" collapsed="false">
      <c r="A111" s="32"/>
      <c r="B111" s="33"/>
      <c r="C111" s="33"/>
      <c r="D111" s="34"/>
      <c r="E111" s="35"/>
      <c r="F111" s="36"/>
      <c r="G111" s="37" t="str">
        <f aca="false">IF(OR(C111="",D111=""),"",D111*IF(E111="",IFERROR(INDEX(Ürünler!$D$5:$D$204,MATCH(C111,Ürünler!$A$5:$A$204,0)),0),E111))</f>
        <v/>
      </c>
      <c r="H111" s="37" t="str">
        <f aca="false">IF(G111="","",D111*IFERROR(INDEX(Ürünler!$C$5:$C$204,MATCH(C111,Ürünler!$A$5:$A$204,0)),0))</f>
        <v/>
      </c>
      <c r="I111" s="37" t="str">
        <f aca="false">IF(G111="","",G111-H111)</f>
        <v/>
      </c>
      <c r="J111" s="33"/>
    </row>
    <row r="112" customFormat="false" ht="15" hidden="false" customHeight="false" outlineLevel="0" collapsed="false">
      <c r="A112" s="32"/>
      <c r="B112" s="33"/>
      <c r="C112" s="33"/>
      <c r="D112" s="34"/>
      <c r="E112" s="35"/>
      <c r="F112" s="36"/>
      <c r="G112" s="37" t="str">
        <f aca="false">IF(OR(C112="",D112=""),"",D112*IF(E112="",IFERROR(INDEX(Ürünler!$D$5:$D$204,MATCH(C112,Ürünler!$A$5:$A$204,0)),0),E112))</f>
        <v/>
      </c>
      <c r="H112" s="37" t="str">
        <f aca="false">IF(G112="","",D112*IFERROR(INDEX(Ürünler!$C$5:$C$204,MATCH(C112,Ürünler!$A$5:$A$204,0)),0))</f>
        <v/>
      </c>
      <c r="I112" s="37" t="str">
        <f aca="false">IF(G112="","",G112-H112)</f>
        <v/>
      </c>
      <c r="J112" s="33"/>
    </row>
    <row r="113" customFormat="false" ht="15" hidden="false" customHeight="false" outlineLevel="0" collapsed="false">
      <c r="A113" s="32"/>
      <c r="B113" s="33"/>
      <c r="C113" s="33"/>
      <c r="D113" s="34"/>
      <c r="E113" s="35"/>
      <c r="F113" s="36"/>
      <c r="G113" s="37" t="str">
        <f aca="false">IF(OR(C113="",D113=""),"",D113*IF(E113="",IFERROR(INDEX(Ürünler!$D$5:$D$204,MATCH(C113,Ürünler!$A$5:$A$204,0)),0),E113))</f>
        <v/>
      </c>
      <c r="H113" s="37" t="str">
        <f aca="false">IF(G113="","",D113*IFERROR(INDEX(Ürünler!$C$5:$C$204,MATCH(C113,Ürünler!$A$5:$A$204,0)),0))</f>
        <v/>
      </c>
      <c r="I113" s="37" t="str">
        <f aca="false">IF(G113="","",G113-H113)</f>
        <v/>
      </c>
      <c r="J113" s="33"/>
    </row>
    <row r="114" customFormat="false" ht="15" hidden="false" customHeight="false" outlineLevel="0" collapsed="false">
      <c r="A114" s="32"/>
      <c r="B114" s="33"/>
      <c r="C114" s="33"/>
      <c r="D114" s="34"/>
      <c r="E114" s="35"/>
      <c r="F114" s="36"/>
      <c r="G114" s="37" t="str">
        <f aca="false">IF(OR(C114="",D114=""),"",D114*IF(E114="",IFERROR(INDEX(Ürünler!$D$5:$D$204,MATCH(C114,Ürünler!$A$5:$A$204,0)),0),E114))</f>
        <v/>
      </c>
      <c r="H114" s="37" t="str">
        <f aca="false">IF(G114="","",D114*IFERROR(INDEX(Ürünler!$C$5:$C$204,MATCH(C114,Ürünler!$A$5:$A$204,0)),0))</f>
        <v/>
      </c>
      <c r="I114" s="37" t="str">
        <f aca="false">IF(G114="","",G114-H114)</f>
        <v/>
      </c>
      <c r="J114" s="33"/>
    </row>
    <row r="115" customFormat="false" ht="15" hidden="false" customHeight="false" outlineLevel="0" collapsed="false">
      <c r="A115" s="32"/>
      <c r="B115" s="33"/>
      <c r="C115" s="33"/>
      <c r="D115" s="34"/>
      <c r="E115" s="35"/>
      <c r="F115" s="36"/>
      <c r="G115" s="37" t="str">
        <f aca="false">IF(OR(C115="",D115=""),"",D115*IF(E115="",IFERROR(INDEX(Ürünler!$D$5:$D$204,MATCH(C115,Ürünler!$A$5:$A$204,0)),0),E115))</f>
        <v/>
      </c>
      <c r="H115" s="37" t="str">
        <f aca="false">IF(G115="","",D115*IFERROR(INDEX(Ürünler!$C$5:$C$204,MATCH(C115,Ürünler!$A$5:$A$204,0)),0))</f>
        <v/>
      </c>
      <c r="I115" s="37" t="str">
        <f aca="false">IF(G115="","",G115-H115)</f>
        <v/>
      </c>
      <c r="J115" s="33"/>
    </row>
    <row r="116" customFormat="false" ht="15" hidden="false" customHeight="false" outlineLevel="0" collapsed="false">
      <c r="A116" s="32"/>
      <c r="B116" s="33"/>
      <c r="C116" s="33"/>
      <c r="D116" s="34"/>
      <c r="E116" s="35"/>
      <c r="F116" s="36"/>
      <c r="G116" s="37" t="str">
        <f aca="false">IF(OR(C116="",D116=""),"",D116*IF(E116="",IFERROR(INDEX(Ürünler!$D$5:$D$204,MATCH(C116,Ürünler!$A$5:$A$204,0)),0),E116))</f>
        <v/>
      </c>
      <c r="H116" s="37" t="str">
        <f aca="false">IF(G116="","",D116*IFERROR(INDEX(Ürünler!$C$5:$C$204,MATCH(C116,Ürünler!$A$5:$A$204,0)),0))</f>
        <v/>
      </c>
      <c r="I116" s="37" t="str">
        <f aca="false">IF(G116="","",G116-H116)</f>
        <v/>
      </c>
      <c r="J116" s="33"/>
    </row>
    <row r="117" customFormat="false" ht="15" hidden="false" customHeight="false" outlineLevel="0" collapsed="false">
      <c r="A117" s="32"/>
      <c r="B117" s="33"/>
      <c r="C117" s="33"/>
      <c r="D117" s="34"/>
      <c r="E117" s="35"/>
      <c r="F117" s="36"/>
      <c r="G117" s="37" t="str">
        <f aca="false">IF(OR(C117="",D117=""),"",D117*IF(E117="",IFERROR(INDEX(Ürünler!$D$5:$D$204,MATCH(C117,Ürünler!$A$5:$A$204,0)),0),E117))</f>
        <v/>
      </c>
      <c r="H117" s="37" t="str">
        <f aca="false">IF(G117="","",D117*IFERROR(INDEX(Ürünler!$C$5:$C$204,MATCH(C117,Ürünler!$A$5:$A$204,0)),0))</f>
        <v/>
      </c>
      <c r="I117" s="37" t="str">
        <f aca="false">IF(G117="","",G117-H117)</f>
        <v/>
      </c>
      <c r="J117" s="33"/>
    </row>
    <row r="118" customFormat="false" ht="15" hidden="false" customHeight="false" outlineLevel="0" collapsed="false">
      <c r="A118" s="32"/>
      <c r="B118" s="33"/>
      <c r="C118" s="33"/>
      <c r="D118" s="34"/>
      <c r="E118" s="35"/>
      <c r="F118" s="36"/>
      <c r="G118" s="37" t="str">
        <f aca="false">IF(OR(C118="",D118=""),"",D118*IF(E118="",IFERROR(INDEX(Ürünler!$D$5:$D$204,MATCH(C118,Ürünler!$A$5:$A$204,0)),0),E118))</f>
        <v/>
      </c>
      <c r="H118" s="37" t="str">
        <f aca="false">IF(G118="","",D118*IFERROR(INDEX(Ürünler!$C$5:$C$204,MATCH(C118,Ürünler!$A$5:$A$204,0)),0))</f>
        <v/>
      </c>
      <c r="I118" s="37" t="str">
        <f aca="false">IF(G118="","",G118-H118)</f>
        <v/>
      </c>
      <c r="J118" s="33"/>
    </row>
    <row r="119" customFormat="false" ht="15" hidden="false" customHeight="false" outlineLevel="0" collapsed="false">
      <c r="A119" s="32"/>
      <c r="B119" s="33"/>
      <c r="C119" s="33"/>
      <c r="D119" s="34"/>
      <c r="E119" s="35"/>
      <c r="F119" s="36"/>
      <c r="G119" s="37" t="str">
        <f aca="false">IF(OR(C119="",D119=""),"",D119*IF(E119="",IFERROR(INDEX(Ürünler!$D$5:$D$204,MATCH(C119,Ürünler!$A$5:$A$204,0)),0),E119))</f>
        <v/>
      </c>
      <c r="H119" s="37" t="str">
        <f aca="false">IF(G119="","",D119*IFERROR(INDEX(Ürünler!$C$5:$C$204,MATCH(C119,Ürünler!$A$5:$A$204,0)),0))</f>
        <v/>
      </c>
      <c r="I119" s="37" t="str">
        <f aca="false">IF(G119="","",G119-H119)</f>
        <v/>
      </c>
      <c r="J119" s="33"/>
    </row>
    <row r="120" customFormat="false" ht="15" hidden="false" customHeight="false" outlineLevel="0" collapsed="false">
      <c r="A120" s="32"/>
      <c r="B120" s="33"/>
      <c r="C120" s="33"/>
      <c r="D120" s="34"/>
      <c r="E120" s="35"/>
      <c r="F120" s="36"/>
      <c r="G120" s="37" t="str">
        <f aca="false">IF(OR(C120="",D120=""),"",D120*IF(E120="",IFERROR(INDEX(Ürünler!$D$5:$D$204,MATCH(C120,Ürünler!$A$5:$A$204,0)),0),E120))</f>
        <v/>
      </c>
      <c r="H120" s="37" t="str">
        <f aca="false">IF(G120="","",D120*IFERROR(INDEX(Ürünler!$C$5:$C$204,MATCH(C120,Ürünler!$A$5:$A$204,0)),0))</f>
        <v/>
      </c>
      <c r="I120" s="37" t="str">
        <f aca="false">IF(G120="","",G120-H120)</f>
        <v/>
      </c>
      <c r="J120" s="33"/>
    </row>
    <row r="121" customFormat="false" ht="15" hidden="false" customHeight="false" outlineLevel="0" collapsed="false">
      <c r="A121" s="32"/>
      <c r="B121" s="33"/>
      <c r="C121" s="33"/>
      <c r="D121" s="34"/>
      <c r="E121" s="35"/>
      <c r="F121" s="36"/>
      <c r="G121" s="37" t="str">
        <f aca="false">IF(OR(C121="",D121=""),"",D121*IF(E121="",IFERROR(INDEX(Ürünler!$D$5:$D$204,MATCH(C121,Ürünler!$A$5:$A$204,0)),0),E121))</f>
        <v/>
      </c>
      <c r="H121" s="37" t="str">
        <f aca="false">IF(G121="","",D121*IFERROR(INDEX(Ürünler!$C$5:$C$204,MATCH(C121,Ürünler!$A$5:$A$204,0)),0))</f>
        <v/>
      </c>
      <c r="I121" s="37" t="str">
        <f aca="false">IF(G121="","",G121-H121)</f>
        <v/>
      </c>
      <c r="J121" s="33"/>
    </row>
    <row r="122" customFormat="false" ht="15" hidden="false" customHeight="false" outlineLevel="0" collapsed="false">
      <c r="A122" s="32"/>
      <c r="B122" s="33"/>
      <c r="C122" s="33"/>
      <c r="D122" s="34"/>
      <c r="E122" s="35"/>
      <c r="F122" s="36"/>
      <c r="G122" s="37" t="str">
        <f aca="false">IF(OR(C122="",D122=""),"",D122*IF(E122="",IFERROR(INDEX(Ürünler!$D$5:$D$204,MATCH(C122,Ürünler!$A$5:$A$204,0)),0),E122))</f>
        <v/>
      </c>
      <c r="H122" s="37" t="str">
        <f aca="false">IF(G122="","",D122*IFERROR(INDEX(Ürünler!$C$5:$C$204,MATCH(C122,Ürünler!$A$5:$A$204,0)),0))</f>
        <v/>
      </c>
      <c r="I122" s="37" t="str">
        <f aca="false">IF(G122="","",G122-H122)</f>
        <v/>
      </c>
      <c r="J122" s="33"/>
    </row>
    <row r="123" customFormat="false" ht="15" hidden="false" customHeight="false" outlineLevel="0" collapsed="false">
      <c r="A123" s="32"/>
      <c r="B123" s="33"/>
      <c r="C123" s="33"/>
      <c r="D123" s="34"/>
      <c r="E123" s="35"/>
      <c r="F123" s="36"/>
      <c r="G123" s="37" t="str">
        <f aca="false">IF(OR(C123="",D123=""),"",D123*IF(E123="",IFERROR(INDEX(Ürünler!$D$5:$D$204,MATCH(C123,Ürünler!$A$5:$A$204,0)),0),E123))</f>
        <v/>
      </c>
      <c r="H123" s="37" t="str">
        <f aca="false">IF(G123="","",D123*IFERROR(INDEX(Ürünler!$C$5:$C$204,MATCH(C123,Ürünler!$A$5:$A$204,0)),0))</f>
        <v/>
      </c>
      <c r="I123" s="37" t="str">
        <f aca="false">IF(G123="","",G123-H123)</f>
        <v/>
      </c>
      <c r="J123" s="33"/>
    </row>
    <row r="124" customFormat="false" ht="15" hidden="false" customHeight="false" outlineLevel="0" collapsed="false">
      <c r="A124" s="32"/>
      <c r="B124" s="33"/>
      <c r="C124" s="33"/>
      <c r="D124" s="34"/>
      <c r="E124" s="35"/>
      <c r="F124" s="36"/>
      <c r="G124" s="37" t="str">
        <f aca="false">IF(OR(C124="",D124=""),"",D124*IF(E124="",IFERROR(INDEX(Ürünler!$D$5:$D$204,MATCH(C124,Ürünler!$A$5:$A$204,0)),0),E124))</f>
        <v/>
      </c>
      <c r="H124" s="37" t="str">
        <f aca="false">IF(G124="","",D124*IFERROR(INDEX(Ürünler!$C$5:$C$204,MATCH(C124,Ürünler!$A$5:$A$204,0)),0))</f>
        <v/>
      </c>
      <c r="I124" s="37" t="str">
        <f aca="false">IF(G124="","",G124-H124)</f>
        <v/>
      </c>
      <c r="J124" s="33"/>
    </row>
    <row r="125" customFormat="false" ht="15" hidden="false" customHeight="false" outlineLevel="0" collapsed="false">
      <c r="A125" s="32"/>
      <c r="B125" s="33"/>
      <c r="C125" s="33"/>
      <c r="D125" s="34"/>
      <c r="E125" s="35"/>
      <c r="F125" s="36"/>
      <c r="G125" s="37" t="str">
        <f aca="false">IF(OR(C125="",D125=""),"",D125*IF(E125="",IFERROR(INDEX(Ürünler!$D$5:$D$204,MATCH(C125,Ürünler!$A$5:$A$204,0)),0),E125))</f>
        <v/>
      </c>
      <c r="H125" s="37" t="str">
        <f aca="false">IF(G125="","",D125*IFERROR(INDEX(Ürünler!$C$5:$C$204,MATCH(C125,Ürünler!$A$5:$A$204,0)),0))</f>
        <v/>
      </c>
      <c r="I125" s="37" t="str">
        <f aca="false">IF(G125="","",G125-H125)</f>
        <v/>
      </c>
      <c r="J125" s="33"/>
    </row>
    <row r="126" customFormat="false" ht="15" hidden="false" customHeight="false" outlineLevel="0" collapsed="false">
      <c r="A126" s="32"/>
      <c r="B126" s="33"/>
      <c r="C126" s="33"/>
      <c r="D126" s="34"/>
      <c r="E126" s="35"/>
      <c r="F126" s="36"/>
      <c r="G126" s="37" t="str">
        <f aca="false">IF(OR(C126="",D126=""),"",D126*IF(E126="",IFERROR(INDEX(Ürünler!$D$5:$D$204,MATCH(C126,Ürünler!$A$5:$A$204,0)),0),E126))</f>
        <v/>
      </c>
      <c r="H126" s="37" t="str">
        <f aca="false">IF(G126="","",D126*IFERROR(INDEX(Ürünler!$C$5:$C$204,MATCH(C126,Ürünler!$A$5:$A$204,0)),0))</f>
        <v/>
      </c>
      <c r="I126" s="37" t="str">
        <f aca="false">IF(G126="","",G126-H126)</f>
        <v/>
      </c>
      <c r="J126" s="33"/>
    </row>
    <row r="127" customFormat="false" ht="15" hidden="false" customHeight="false" outlineLevel="0" collapsed="false">
      <c r="A127" s="32"/>
      <c r="B127" s="33"/>
      <c r="C127" s="33"/>
      <c r="D127" s="34"/>
      <c r="E127" s="35"/>
      <c r="F127" s="36"/>
      <c r="G127" s="37" t="str">
        <f aca="false">IF(OR(C127="",D127=""),"",D127*IF(E127="",IFERROR(INDEX(Ürünler!$D$5:$D$204,MATCH(C127,Ürünler!$A$5:$A$204,0)),0),E127))</f>
        <v/>
      </c>
      <c r="H127" s="37" t="str">
        <f aca="false">IF(G127="","",D127*IFERROR(INDEX(Ürünler!$C$5:$C$204,MATCH(C127,Ürünler!$A$5:$A$204,0)),0))</f>
        <v/>
      </c>
      <c r="I127" s="37" t="str">
        <f aca="false">IF(G127="","",G127-H127)</f>
        <v/>
      </c>
      <c r="J127" s="33"/>
    </row>
    <row r="128" customFormat="false" ht="15" hidden="false" customHeight="false" outlineLevel="0" collapsed="false">
      <c r="A128" s="32"/>
      <c r="B128" s="33"/>
      <c r="C128" s="33"/>
      <c r="D128" s="34"/>
      <c r="E128" s="35"/>
      <c r="F128" s="36"/>
      <c r="G128" s="37" t="str">
        <f aca="false">IF(OR(C128="",D128=""),"",D128*IF(E128="",IFERROR(INDEX(Ürünler!$D$5:$D$204,MATCH(C128,Ürünler!$A$5:$A$204,0)),0),E128))</f>
        <v/>
      </c>
      <c r="H128" s="37" t="str">
        <f aca="false">IF(G128="","",D128*IFERROR(INDEX(Ürünler!$C$5:$C$204,MATCH(C128,Ürünler!$A$5:$A$204,0)),0))</f>
        <v/>
      </c>
      <c r="I128" s="37" t="str">
        <f aca="false">IF(G128="","",G128-H128)</f>
        <v/>
      </c>
      <c r="J128" s="33"/>
    </row>
    <row r="129" customFormat="false" ht="15" hidden="false" customHeight="false" outlineLevel="0" collapsed="false">
      <c r="A129" s="32"/>
      <c r="B129" s="33"/>
      <c r="C129" s="33"/>
      <c r="D129" s="34"/>
      <c r="E129" s="35"/>
      <c r="F129" s="36"/>
      <c r="G129" s="37" t="str">
        <f aca="false">IF(OR(C129="",D129=""),"",D129*IF(E129="",IFERROR(INDEX(Ürünler!$D$5:$D$204,MATCH(C129,Ürünler!$A$5:$A$204,0)),0),E129))</f>
        <v/>
      </c>
      <c r="H129" s="37" t="str">
        <f aca="false">IF(G129="","",D129*IFERROR(INDEX(Ürünler!$C$5:$C$204,MATCH(C129,Ürünler!$A$5:$A$204,0)),0))</f>
        <v/>
      </c>
      <c r="I129" s="37" t="str">
        <f aca="false">IF(G129="","",G129-H129)</f>
        <v/>
      </c>
      <c r="J129" s="33"/>
    </row>
    <row r="130" customFormat="false" ht="15" hidden="false" customHeight="false" outlineLevel="0" collapsed="false">
      <c r="A130" s="32"/>
      <c r="B130" s="33"/>
      <c r="C130" s="33"/>
      <c r="D130" s="34"/>
      <c r="E130" s="35"/>
      <c r="F130" s="36"/>
      <c r="G130" s="37" t="str">
        <f aca="false">IF(OR(C130="",D130=""),"",D130*IF(E130="",IFERROR(INDEX(Ürünler!$D$5:$D$204,MATCH(C130,Ürünler!$A$5:$A$204,0)),0),E130))</f>
        <v/>
      </c>
      <c r="H130" s="37" t="str">
        <f aca="false">IF(G130="","",D130*IFERROR(INDEX(Ürünler!$C$5:$C$204,MATCH(C130,Ürünler!$A$5:$A$204,0)),0))</f>
        <v/>
      </c>
      <c r="I130" s="37" t="str">
        <f aca="false">IF(G130="","",G130-H130)</f>
        <v/>
      </c>
      <c r="J130" s="33"/>
    </row>
    <row r="131" customFormat="false" ht="15" hidden="false" customHeight="false" outlineLevel="0" collapsed="false">
      <c r="A131" s="32"/>
      <c r="B131" s="33"/>
      <c r="C131" s="33"/>
      <c r="D131" s="34"/>
      <c r="E131" s="35"/>
      <c r="F131" s="36"/>
      <c r="G131" s="37" t="str">
        <f aca="false">IF(OR(C131="",D131=""),"",D131*IF(E131="",IFERROR(INDEX(Ürünler!$D$5:$D$204,MATCH(C131,Ürünler!$A$5:$A$204,0)),0),E131))</f>
        <v/>
      </c>
      <c r="H131" s="37" t="str">
        <f aca="false">IF(G131="","",D131*IFERROR(INDEX(Ürünler!$C$5:$C$204,MATCH(C131,Ürünler!$A$5:$A$204,0)),0))</f>
        <v/>
      </c>
      <c r="I131" s="37" t="str">
        <f aca="false">IF(G131="","",G131-H131)</f>
        <v/>
      </c>
      <c r="J131" s="33"/>
    </row>
    <row r="132" customFormat="false" ht="15" hidden="false" customHeight="false" outlineLevel="0" collapsed="false">
      <c r="A132" s="32"/>
      <c r="B132" s="33"/>
      <c r="C132" s="33"/>
      <c r="D132" s="34"/>
      <c r="E132" s="35"/>
      <c r="F132" s="36"/>
      <c r="G132" s="37" t="str">
        <f aca="false">IF(OR(C132="",D132=""),"",D132*IF(E132="",IFERROR(INDEX(Ürünler!$D$5:$D$204,MATCH(C132,Ürünler!$A$5:$A$204,0)),0),E132))</f>
        <v/>
      </c>
      <c r="H132" s="37" t="str">
        <f aca="false">IF(G132="","",D132*IFERROR(INDEX(Ürünler!$C$5:$C$204,MATCH(C132,Ürünler!$A$5:$A$204,0)),0))</f>
        <v/>
      </c>
      <c r="I132" s="37" t="str">
        <f aca="false">IF(G132="","",G132-H132)</f>
        <v/>
      </c>
      <c r="J132" s="33"/>
    </row>
    <row r="133" customFormat="false" ht="15" hidden="false" customHeight="false" outlineLevel="0" collapsed="false">
      <c r="A133" s="32"/>
      <c r="B133" s="33"/>
      <c r="C133" s="33"/>
      <c r="D133" s="34"/>
      <c r="E133" s="35"/>
      <c r="F133" s="36"/>
      <c r="G133" s="37" t="str">
        <f aca="false">IF(OR(C133="",D133=""),"",D133*IF(E133="",IFERROR(INDEX(Ürünler!$D$5:$D$204,MATCH(C133,Ürünler!$A$5:$A$204,0)),0),E133))</f>
        <v/>
      </c>
      <c r="H133" s="37" t="str">
        <f aca="false">IF(G133="","",D133*IFERROR(INDEX(Ürünler!$C$5:$C$204,MATCH(C133,Ürünler!$A$5:$A$204,0)),0))</f>
        <v/>
      </c>
      <c r="I133" s="37" t="str">
        <f aca="false">IF(G133="","",G133-H133)</f>
        <v/>
      </c>
      <c r="J133" s="33"/>
    </row>
    <row r="134" customFormat="false" ht="15" hidden="false" customHeight="false" outlineLevel="0" collapsed="false">
      <c r="A134" s="32"/>
      <c r="B134" s="33"/>
      <c r="C134" s="33"/>
      <c r="D134" s="34"/>
      <c r="E134" s="35"/>
      <c r="F134" s="36"/>
      <c r="G134" s="37" t="str">
        <f aca="false">IF(OR(C134="",D134=""),"",D134*IF(E134="",IFERROR(INDEX(Ürünler!$D$5:$D$204,MATCH(C134,Ürünler!$A$5:$A$204,0)),0),E134))</f>
        <v/>
      </c>
      <c r="H134" s="37" t="str">
        <f aca="false">IF(G134="","",D134*IFERROR(INDEX(Ürünler!$C$5:$C$204,MATCH(C134,Ürünler!$A$5:$A$204,0)),0))</f>
        <v/>
      </c>
      <c r="I134" s="37" t="str">
        <f aca="false">IF(G134="","",G134-H134)</f>
        <v/>
      </c>
      <c r="J134" s="33"/>
    </row>
    <row r="135" customFormat="false" ht="15" hidden="false" customHeight="false" outlineLevel="0" collapsed="false">
      <c r="A135" s="32"/>
      <c r="B135" s="33"/>
      <c r="C135" s="33"/>
      <c r="D135" s="34"/>
      <c r="E135" s="35"/>
      <c r="F135" s="36"/>
      <c r="G135" s="37" t="str">
        <f aca="false">IF(OR(C135="",D135=""),"",D135*IF(E135="",IFERROR(INDEX(Ürünler!$D$5:$D$204,MATCH(C135,Ürünler!$A$5:$A$204,0)),0),E135))</f>
        <v/>
      </c>
      <c r="H135" s="37" t="str">
        <f aca="false">IF(G135="","",D135*IFERROR(INDEX(Ürünler!$C$5:$C$204,MATCH(C135,Ürünler!$A$5:$A$204,0)),0))</f>
        <v/>
      </c>
      <c r="I135" s="37" t="str">
        <f aca="false">IF(G135="","",G135-H135)</f>
        <v/>
      </c>
      <c r="J135" s="33"/>
    </row>
    <row r="136" customFormat="false" ht="15" hidden="false" customHeight="false" outlineLevel="0" collapsed="false">
      <c r="A136" s="32"/>
      <c r="B136" s="33"/>
      <c r="C136" s="33"/>
      <c r="D136" s="34"/>
      <c r="E136" s="35"/>
      <c r="F136" s="36"/>
      <c r="G136" s="37" t="str">
        <f aca="false">IF(OR(C136="",D136=""),"",D136*IF(E136="",IFERROR(INDEX(Ürünler!$D$5:$D$204,MATCH(C136,Ürünler!$A$5:$A$204,0)),0),E136))</f>
        <v/>
      </c>
      <c r="H136" s="37" t="str">
        <f aca="false">IF(G136="","",D136*IFERROR(INDEX(Ürünler!$C$5:$C$204,MATCH(C136,Ürünler!$A$5:$A$204,0)),0))</f>
        <v/>
      </c>
      <c r="I136" s="37" t="str">
        <f aca="false">IF(G136="","",G136-H136)</f>
        <v/>
      </c>
      <c r="J136" s="33"/>
    </row>
    <row r="137" customFormat="false" ht="15" hidden="false" customHeight="false" outlineLevel="0" collapsed="false">
      <c r="A137" s="32"/>
      <c r="B137" s="33"/>
      <c r="C137" s="33"/>
      <c r="D137" s="34"/>
      <c r="E137" s="35"/>
      <c r="F137" s="36"/>
      <c r="G137" s="37" t="str">
        <f aca="false">IF(OR(C137="",D137=""),"",D137*IF(E137="",IFERROR(INDEX(Ürünler!$D$5:$D$204,MATCH(C137,Ürünler!$A$5:$A$204,0)),0),E137))</f>
        <v/>
      </c>
      <c r="H137" s="37" t="str">
        <f aca="false">IF(G137="","",D137*IFERROR(INDEX(Ürünler!$C$5:$C$204,MATCH(C137,Ürünler!$A$5:$A$204,0)),0))</f>
        <v/>
      </c>
      <c r="I137" s="37" t="str">
        <f aca="false">IF(G137="","",G137-H137)</f>
        <v/>
      </c>
      <c r="J137" s="33"/>
    </row>
    <row r="138" customFormat="false" ht="15" hidden="false" customHeight="false" outlineLevel="0" collapsed="false">
      <c r="A138" s="32"/>
      <c r="B138" s="33"/>
      <c r="C138" s="33"/>
      <c r="D138" s="34"/>
      <c r="E138" s="35"/>
      <c r="F138" s="36"/>
      <c r="G138" s="37" t="str">
        <f aca="false">IF(OR(C138="",D138=""),"",D138*IF(E138="",IFERROR(INDEX(Ürünler!$D$5:$D$204,MATCH(C138,Ürünler!$A$5:$A$204,0)),0),E138))</f>
        <v/>
      </c>
      <c r="H138" s="37" t="str">
        <f aca="false">IF(G138="","",D138*IFERROR(INDEX(Ürünler!$C$5:$C$204,MATCH(C138,Ürünler!$A$5:$A$204,0)),0))</f>
        <v/>
      </c>
      <c r="I138" s="37" t="str">
        <f aca="false">IF(G138="","",G138-H138)</f>
        <v/>
      </c>
      <c r="J138" s="33"/>
    </row>
    <row r="139" customFormat="false" ht="15" hidden="false" customHeight="false" outlineLevel="0" collapsed="false">
      <c r="A139" s="32"/>
      <c r="B139" s="33"/>
      <c r="C139" s="33"/>
      <c r="D139" s="34"/>
      <c r="E139" s="35"/>
      <c r="F139" s="36"/>
      <c r="G139" s="37" t="str">
        <f aca="false">IF(OR(C139="",D139=""),"",D139*IF(E139="",IFERROR(INDEX(Ürünler!$D$5:$D$204,MATCH(C139,Ürünler!$A$5:$A$204,0)),0),E139))</f>
        <v/>
      </c>
      <c r="H139" s="37" t="str">
        <f aca="false">IF(G139="","",D139*IFERROR(INDEX(Ürünler!$C$5:$C$204,MATCH(C139,Ürünler!$A$5:$A$204,0)),0))</f>
        <v/>
      </c>
      <c r="I139" s="37" t="str">
        <f aca="false">IF(G139="","",G139-H139)</f>
        <v/>
      </c>
      <c r="J139" s="33"/>
    </row>
    <row r="140" customFormat="false" ht="15" hidden="false" customHeight="false" outlineLevel="0" collapsed="false">
      <c r="A140" s="32"/>
      <c r="B140" s="33"/>
      <c r="C140" s="33"/>
      <c r="D140" s="34"/>
      <c r="E140" s="35"/>
      <c r="F140" s="36"/>
      <c r="G140" s="37" t="str">
        <f aca="false">IF(OR(C140="",D140=""),"",D140*IF(E140="",IFERROR(INDEX(Ürünler!$D$5:$D$204,MATCH(C140,Ürünler!$A$5:$A$204,0)),0),E140))</f>
        <v/>
      </c>
      <c r="H140" s="37" t="str">
        <f aca="false">IF(G140="","",D140*IFERROR(INDEX(Ürünler!$C$5:$C$204,MATCH(C140,Ürünler!$A$5:$A$204,0)),0))</f>
        <v/>
      </c>
      <c r="I140" s="37" t="str">
        <f aca="false">IF(G140="","",G140-H140)</f>
        <v/>
      </c>
      <c r="J140" s="33"/>
    </row>
    <row r="141" customFormat="false" ht="15" hidden="false" customHeight="false" outlineLevel="0" collapsed="false">
      <c r="A141" s="32"/>
      <c r="B141" s="33"/>
      <c r="C141" s="33"/>
      <c r="D141" s="34"/>
      <c r="E141" s="35"/>
      <c r="F141" s="36"/>
      <c r="G141" s="37" t="str">
        <f aca="false">IF(OR(C141="",D141=""),"",D141*IF(E141="",IFERROR(INDEX(Ürünler!$D$5:$D$204,MATCH(C141,Ürünler!$A$5:$A$204,0)),0),E141))</f>
        <v/>
      </c>
      <c r="H141" s="37" t="str">
        <f aca="false">IF(G141="","",D141*IFERROR(INDEX(Ürünler!$C$5:$C$204,MATCH(C141,Ürünler!$A$5:$A$204,0)),0))</f>
        <v/>
      </c>
      <c r="I141" s="37" t="str">
        <f aca="false">IF(G141="","",G141-H141)</f>
        <v/>
      </c>
      <c r="J141" s="33"/>
    </row>
    <row r="142" customFormat="false" ht="15" hidden="false" customHeight="false" outlineLevel="0" collapsed="false">
      <c r="A142" s="32"/>
      <c r="B142" s="33"/>
      <c r="C142" s="33"/>
      <c r="D142" s="34"/>
      <c r="E142" s="35"/>
      <c r="F142" s="36"/>
      <c r="G142" s="37" t="str">
        <f aca="false">IF(OR(C142="",D142=""),"",D142*IF(E142="",IFERROR(INDEX(Ürünler!$D$5:$D$204,MATCH(C142,Ürünler!$A$5:$A$204,0)),0),E142))</f>
        <v/>
      </c>
      <c r="H142" s="37" t="str">
        <f aca="false">IF(G142="","",D142*IFERROR(INDEX(Ürünler!$C$5:$C$204,MATCH(C142,Ürünler!$A$5:$A$204,0)),0))</f>
        <v/>
      </c>
      <c r="I142" s="37" t="str">
        <f aca="false">IF(G142="","",G142-H142)</f>
        <v/>
      </c>
      <c r="J142" s="33"/>
    </row>
    <row r="143" customFormat="false" ht="15" hidden="false" customHeight="false" outlineLevel="0" collapsed="false">
      <c r="A143" s="32"/>
      <c r="B143" s="33"/>
      <c r="C143" s="33"/>
      <c r="D143" s="34"/>
      <c r="E143" s="35"/>
      <c r="F143" s="36"/>
      <c r="G143" s="37" t="str">
        <f aca="false">IF(OR(C143="",D143=""),"",D143*IF(E143="",IFERROR(INDEX(Ürünler!$D$5:$D$204,MATCH(C143,Ürünler!$A$5:$A$204,0)),0),E143))</f>
        <v/>
      </c>
      <c r="H143" s="37" t="str">
        <f aca="false">IF(G143="","",D143*IFERROR(INDEX(Ürünler!$C$5:$C$204,MATCH(C143,Ürünler!$A$5:$A$204,0)),0))</f>
        <v/>
      </c>
      <c r="I143" s="37" t="str">
        <f aca="false">IF(G143="","",G143-H143)</f>
        <v/>
      </c>
      <c r="J143" s="33"/>
    </row>
    <row r="144" customFormat="false" ht="15" hidden="false" customHeight="false" outlineLevel="0" collapsed="false">
      <c r="A144" s="32"/>
      <c r="B144" s="33"/>
      <c r="C144" s="33"/>
      <c r="D144" s="34"/>
      <c r="E144" s="35"/>
      <c r="F144" s="36"/>
      <c r="G144" s="37" t="str">
        <f aca="false">IF(OR(C144="",D144=""),"",D144*IF(E144="",IFERROR(INDEX(Ürünler!$D$5:$D$204,MATCH(C144,Ürünler!$A$5:$A$204,0)),0),E144))</f>
        <v/>
      </c>
      <c r="H144" s="37" t="str">
        <f aca="false">IF(G144="","",D144*IFERROR(INDEX(Ürünler!$C$5:$C$204,MATCH(C144,Ürünler!$A$5:$A$204,0)),0))</f>
        <v/>
      </c>
      <c r="I144" s="37" t="str">
        <f aca="false">IF(G144="","",G144-H144)</f>
        <v/>
      </c>
      <c r="J144" s="33"/>
    </row>
    <row r="145" customFormat="false" ht="15" hidden="false" customHeight="false" outlineLevel="0" collapsed="false">
      <c r="A145" s="32"/>
      <c r="B145" s="33"/>
      <c r="C145" s="33"/>
      <c r="D145" s="34"/>
      <c r="E145" s="35"/>
      <c r="F145" s="36"/>
      <c r="G145" s="37" t="str">
        <f aca="false">IF(OR(C145="",D145=""),"",D145*IF(E145="",IFERROR(INDEX(Ürünler!$D$5:$D$204,MATCH(C145,Ürünler!$A$5:$A$204,0)),0),E145))</f>
        <v/>
      </c>
      <c r="H145" s="37" t="str">
        <f aca="false">IF(G145="","",D145*IFERROR(INDEX(Ürünler!$C$5:$C$204,MATCH(C145,Ürünler!$A$5:$A$204,0)),0))</f>
        <v/>
      </c>
      <c r="I145" s="37" t="str">
        <f aca="false">IF(G145="","",G145-H145)</f>
        <v/>
      </c>
      <c r="J145" s="33"/>
    </row>
    <row r="146" customFormat="false" ht="15" hidden="false" customHeight="false" outlineLevel="0" collapsed="false">
      <c r="A146" s="32"/>
      <c r="B146" s="33"/>
      <c r="C146" s="33"/>
      <c r="D146" s="34"/>
      <c r="E146" s="35"/>
      <c r="F146" s="36"/>
      <c r="G146" s="37" t="str">
        <f aca="false">IF(OR(C146="",D146=""),"",D146*IF(E146="",IFERROR(INDEX(Ürünler!$D$5:$D$204,MATCH(C146,Ürünler!$A$5:$A$204,0)),0),E146))</f>
        <v/>
      </c>
      <c r="H146" s="37" t="str">
        <f aca="false">IF(G146="","",D146*IFERROR(INDEX(Ürünler!$C$5:$C$204,MATCH(C146,Ürünler!$A$5:$A$204,0)),0))</f>
        <v/>
      </c>
      <c r="I146" s="37" t="str">
        <f aca="false">IF(G146="","",G146-H146)</f>
        <v/>
      </c>
      <c r="J146" s="33"/>
    </row>
    <row r="147" customFormat="false" ht="15" hidden="false" customHeight="false" outlineLevel="0" collapsed="false">
      <c r="A147" s="32"/>
      <c r="B147" s="33"/>
      <c r="C147" s="33"/>
      <c r="D147" s="34"/>
      <c r="E147" s="35"/>
      <c r="F147" s="36"/>
      <c r="G147" s="37" t="str">
        <f aca="false">IF(OR(C147="",D147=""),"",D147*IF(E147="",IFERROR(INDEX(Ürünler!$D$5:$D$204,MATCH(C147,Ürünler!$A$5:$A$204,0)),0),E147))</f>
        <v/>
      </c>
      <c r="H147" s="37" t="str">
        <f aca="false">IF(G147="","",D147*IFERROR(INDEX(Ürünler!$C$5:$C$204,MATCH(C147,Ürünler!$A$5:$A$204,0)),0))</f>
        <v/>
      </c>
      <c r="I147" s="37" t="str">
        <f aca="false">IF(G147="","",G147-H147)</f>
        <v/>
      </c>
      <c r="J147" s="33"/>
    </row>
    <row r="148" customFormat="false" ht="15" hidden="false" customHeight="false" outlineLevel="0" collapsed="false">
      <c r="A148" s="32"/>
      <c r="B148" s="33"/>
      <c r="C148" s="33"/>
      <c r="D148" s="34"/>
      <c r="E148" s="35"/>
      <c r="F148" s="36"/>
      <c r="G148" s="37" t="str">
        <f aca="false">IF(OR(C148="",D148=""),"",D148*IF(E148="",IFERROR(INDEX(Ürünler!$D$5:$D$204,MATCH(C148,Ürünler!$A$5:$A$204,0)),0),E148))</f>
        <v/>
      </c>
      <c r="H148" s="37" t="str">
        <f aca="false">IF(G148="","",D148*IFERROR(INDEX(Ürünler!$C$5:$C$204,MATCH(C148,Ürünler!$A$5:$A$204,0)),0))</f>
        <v/>
      </c>
      <c r="I148" s="37" t="str">
        <f aca="false">IF(G148="","",G148-H148)</f>
        <v/>
      </c>
      <c r="J148" s="33"/>
    </row>
    <row r="149" customFormat="false" ht="15" hidden="false" customHeight="false" outlineLevel="0" collapsed="false">
      <c r="A149" s="32"/>
      <c r="B149" s="33"/>
      <c r="C149" s="33"/>
      <c r="D149" s="34"/>
      <c r="E149" s="35"/>
      <c r="F149" s="36"/>
      <c r="G149" s="37" t="str">
        <f aca="false">IF(OR(C149="",D149=""),"",D149*IF(E149="",IFERROR(INDEX(Ürünler!$D$5:$D$204,MATCH(C149,Ürünler!$A$5:$A$204,0)),0),E149))</f>
        <v/>
      </c>
      <c r="H149" s="37" t="str">
        <f aca="false">IF(G149="","",D149*IFERROR(INDEX(Ürünler!$C$5:$C$204,MATCH(C149,Ürünler!$A$5:$A$204,0)),0))</f>
        <v/>
      </c>
      <c r="I149" s="37" t="str">
        <f aca="false">IF(G149="","",G149-H149)</f>
        <v/>
      </c>
      <c r="J149" s="33"/>
    </row>
    <row r="150" customFormat="false" ht="15" hidden="false" customHeight="false" outlineLevel="0" collapsed="false">
      <c r="A150" s="32"/>
      <c r="B150" s="33"/>
      <c r="C150" s="33"/>
      <c r="D150" s="34"/>
      <c r="E150" s="35"/>
      <c r="F150" s="36"/>
      <c r="G150" s="37" t="str">
        <f aca="false">IF(OR(C150="",D150=""),"",D150*IF(E150="",IFERROR(INDEX(Ürünler!$D$5:$D$204,MATCH(C150,Ürünler!$A$5:$A$204,0)),0),E150))</f>
        <v/>
      </c>
      <c r="H150" s="37" t="str">
        <f aca="false">IF(G150="","",D150*IFERROR(INDEX(Ürünler!$C$5:$C$204,MATCH(C150,Ürünler!$A$5:$A$204,0)),0))</f>
        <v/>
      </c>
      <c r="I150" s="37" t="str">
        <f aca="false">IF(G150="","",G150-H150)</f>
        <v/>
      </c>
      <c r="J150" s="33"/>
    </row>
    <row r="151" customFormat="false" ht="15" hidden="false" customHeight="false" outlineLevel="0" collapsed="false">
      <c r="A151" s="32"/>
      <c r="B151" s="33"/>
      <c r="C151" s="33"/>
      <c r="D151" s="34"/>
      <c r="E151" s="35"/>
      <c r="F151" s="36"/>
      <c r="G151" s="37" t="str">
        <f aca="false">IF(OR(C151="",D151=""),"",D151*IF(E151="",IFERROR(INDEX(Ürünler!$D$5:$D$204,MATCH(C151,Ürünler!$A$5:$A$204,0)),0),E151))</f>
        <v/>
      </c>
      <c r="H151" s="37" t="str">
        <f aca="false">IF(G151="","",D151*IFERROR(INDEX(Ürünler!$C$5:$C$204,MATCH(C151,Ürünler!$A$5:$A$204,0)),0))</f>
        <v/>
      </c>
      <c r="I151" s="37" t="str">
        <f aca="false">IF(G151="","",G151-H151)</f>
        <v/>
      </c>
      <c r="J151" s="33"/>
    </row>
    <row r="152" customFormat="false" ht="15" hidden="false" customHeight="false" outlineLevel="0" collapsed="false">
      <c r="A152" s="32"/>
      <c r="B152" s="33"/>
      <c r="C152" s="33"/>
      <c r="D152" s="34"/>
      <c r="E152" s="35"/>
      <c r="F152" s="36"/>
      <c r="G152" s="37" t="str">
        <f aca="false">IF(OR(C152="",D152=""),"",D152*IF(E152="",IFERROR(INDEX(Ürünler!$D$5:$D$204,MATCH(C152,Ürünler!$A$5:$A$204,0)),0),E152))</f>
        <v/>
      </c>
      <c r="H152" s="37" t="str">
        <f aca="false">IF(G152="","",D152*IFERROR(INDEX(Ürünler!$C$5:$C$204,MATCH(C152,Ürünler!$A$5:$A$204,0)),0))</f>
        <v/>
      </c>
      <c r="I152" s="37" t="str">
        <f aca="false">IF(G152="","",G152-H152)</f>
        <v/>
      </c>
      <c r="J152" s="33"/>
    </row>
    <row r="153" customFormat="false" ht="15" hidden="false" customHeight="false" outlineLevel="0" collapsed="false">
      <c r="A153" s="32"/>
      <c r="B153" s="33"/>
      <c r="C153" s="33"/>
      <c r="D153" s="34"/>
      <c r="E153" s="35"/>
      <c r="F153" s="36"/>
      <c r="G153" s="37" t="str">
        <f aca="false">IF(OR(C153="",D153=""),"",D153*IF(E153="",IFERROR(INDEX(Ürünler!$D$5:$D$204,MATCH(C153,Ürünler!$A$5:$A$204,0)),0),E153))</f>
        <v/>
      </c>
      <c r="H153" s="37" t="str">
        <f aca="false">IF(G153="","",D153*IFERROR(INDEX(Ürünler!$C$5:$C$204,MATCH(C153,Ürünler!$A$5:$A$204,0)),0))</f>
        <v/>
      </c>
      <c r="I153" s="37" t="str">
        <f aca="false">IF(G153="","",G153-H153)</f>
        <v/>
      </c>
      <c r="J153" s="33"/>
    </row>
    <row r="154" customFormat="false" ht="15" hidden="false" customHeight="false" outlineLevel="0" collapsed="false">
      <c r="A154" s="32"/>
      <c r="B154" s="33"/>
      <c r="C154" s="33"/>
      <c r="D154" s="34"/>
      <c r="E154" s="35"/>
      <c r="F154" s="36"/>
      <c r="G154" s="37" t="str">
        <f aca="false">IF(OR(C154="",D154=""),"",D154*IF(E154="",IFERROR(INDEX(Ürünler!$D$5:$D$204,MATCH(C154,Ürünler!$A$5:$A$204,0)),0),E154))</f>
        <v/>
      </c>
      <c r="H154" s="37" t="str">
        <f aca="false">IF(G154="","",D154*IFERROR(INDEX(Ürünler!$C$5:$C$204,MATCH(C154,Ürünler!$A$5:$A$204,0)),0))</f>
        <v/>
      </c>
      <c r="I154" s="37" t="str">
        <f aca="false">IF(G154="","",G154-H154)</f>
        <v/>
      </c>
      <c r="J154" s="33"/>
    </row>
    <row r="155" customFormat="false" ht="15" hidden="false" customHeight="false" outlineLevel="0" collapsed="false">
      <c r="A155" s="32"/>
      <c r="B155" s="33"/>
      <c r="C155" s="33"/>
      <c r="D155" s="34"/>
      <c r="E155" s="35"/>
      <c r="F155" s="36"/>
      <c r="G155" s="37" t="str">
        <f aca="false">IF(OR(C155="",D155=""),"",D155*IF(E155="",IFERROR(INDEX(Ürünler!$D$5:$D$204,MATCH(C155,Ürünler!$A$5:$A$204,0)),0),E155))</f>
        <v/>
      </c>
      <c r="H155" s="37" t="str">
        <f aca="false">IF(G155="","",D155*IFERROR(INDEX(Ürünler!$C$5:$C$204,MATCH(C155,Ürünler!$A$5:$A$204,0)),0))</f>
        <v/>
      </c>
      <c r="I155" s="37" t="str">
        <f aca="false">IF(G155="","",G155-H155)</f>
        <v/>
      </c>
      <c r="J155" s="33"/>
    </row>
    <row r="156" customFormat="false" ht="15" hidden="false" customHeight="false" outlineLevel="0" collapsed="false">
      <c r="A156" s="32"/>
      <c r="B156" s="33"/>
      <c r="C156" s="33"/>
      <c r="D156" s="34"/>
      <c r="E156" s="35"/>
      <c r="F156" s="36"/>
      <c r="G156" s="37" t="str">
        <f aca="false">IF(OR(C156="",D156=""),"",D156*IF(E156="",IFERROR(INDEX(Ürünler!$D$5:$D$204,MATCH(C156,Ürünler!$A$5:$A$204,0)),0),E156))</f>
        <v/>
      </c>
      <c r="H156" s="37" t="str">
        <f aca="false">IF(G156="","",D156*IFERROR(INDEX(Ürünler!$C$5:$C$204,MATCH(C156,Ürünler!$A$5:$A$204,0)),0))</f>
        <v/>
      </c>
      <c r="I156" s="37" t="str">
        <f aca="false">IF(G156="","",G156-H156)</f>
        <v/>
      </c>
      <c r="J156" s="33"/>
    </row>
    <row r="157" customFormat="false" ht="15" hidden="false" customHeight="false" outlineLevel="0" collapsed="false">
      <c r="A157" s="32"/>
      <c r="B157" s="33"/>
      <c r="C157" s="33"/>
      <c r="D157" s="34"/>
      <c r="E157" s="35"/>
      <c r="F157" s="36"/>
      <c r="G157" s="37" t="str">
        <f aca="false">IF(OR(C157="",D157=""),"",D157*IF(E157="",IFERROR(INDEX(Ürünler!$D$5:$D$204,MATCH(C157,Ürünler!$A$5:$A$204,0)),0),E157))</f>
        <v/>
      </c>
      <c r="H157" s="37" t="str">
        <f aca="false">IF(G157="","",D157*IFERROR(INDEX(Ürünler!$C$5:$C$204,MATCH(C157,Ürünler!$A$5:$A$204,0)),0))</f>
        <v/>
      </c>
      <c r="I157" s="37" t="str">
        <f aca="false">IF(G157="","",G157-H157)</f>
        <v/>
      </c>
      <c r="J157" s="33"/>
    </row>
    <row r="158" customFormat="false" ht="15" hidden="false" customHeight="false" outlineLevel="0" collapsed="false">
      <c r="A158" s="32"/>
      <c r="B158" s="33"/>
      <c r="C158" s="33"/>
      <c r="D158" s="34"/>
      <c r="E158" s="35"/>
      <c r="F158" s="36"/>
      <c r="G158" s="37" t="str">
        <f aca="false">IF(OR(C158="",D158=""),"",D158*IF(E158="",IFERROR(INDEX(Ürünler!$D$5:$D$204,MATCH(C158,Ürünler!$A$5:$A$204,0)),0),E158))</f>
        <v/>
      </c>
      <c r="H158" s="37" t="str">
        <f aca="false">IF(G158="","",D158*IFERROR(INDEX(Ürünler!$C$5:$C$204,MATCH(C158,Ürünler!$A$5:$A$204,0)),0))</f>
        <v/>
      </c>
      <c r="I158" s="37" t="str">
        <f aca="false">IF(G158="","",G158-H158)</f>
        <v/>
      </c>
      <c r="J158" s="33"/>
    </row>
    <row r="159" customFormat="false" ht="15" hidden="false" customHeight="false" outlineLevel="0" collapsed="false">
      <c r="A159" s="32"/>
      <c r="B159" s="33"/>
      <c r="C159" s="33"/>
      <c r="D159" s="34"/>
      <c r="E159" s="35"/>
      <c r="F159" s="36"/>
      <c r="G159" s="37" t="str">
        <f aca="false">IF(OR(C159="",D159=""),"",D159*IF(E159="",IFERROR(INDEX(Ürünler!$D$5:$D$204,MATCH(C159,Ürünler!$A$5:$A$204,0)),0),E159))</f>
        <v/>
      </c>
      <c r="H159" s="37" t="str">
        <f aca="false">IF(G159="","",D159*IFERROR(INDEX(Ürünler!$C$5:$C$204,MATCH(C159,Ürünler!$A$5:$A$204,0)),0))</f>
        <v/>
      </c>
      <c r="I159" s="37" t="str">
        <f aca="false">IF(G159="","",G159-H159)</f>
        <v/>
      </c>
      <c r="J159" s="33"/>
    </row>
    <row r="160" customFormat="false" ht="15" hidden="false" customHeight="false" outlineLevel="0" collapsed="false">
      <c r="A160" s="32"/>
      <c r="B160" s="33"/>
      <c r="C160" s="33"/>
      <c r="D160" s="34"/>
      <c r="E160" s="35"/>
      <c r="F160" s="36"/>
      <c r="G160" s="37" t="str">
        <f aca="false">IF(OR(C160="",D160=""),"",D160*IF(E160="",IFERROR(INDEX(Ürünler!$D$5:$D$204,MATCH(C160,Ürünler!$A$5:$A$204,0)),0),E160))</f>
        <v/>
      </c>
      <c r="H160" s="37" t="str">
        <f aca="false">IF(G160="","",D160*IFERROR(INDEX(Ürünler!$C$5:$C$204,MATCH(C160,Ürünler!$A$5:$A$204,0)),0))</f>
        <v/>
      </c>
      <c r="I160" s="37" t="str">
        <f aca="false">IF(G160="","",G160-H160)</f>
        <v/>
      </c>
      <c r="J160" s="33"/>
    </row>
    <row r="161" customFormat="false" ht="15" hidden="false" customHeight="false" outlineLevel="0" collapsed="false">
      <c r="A161" s="32"/>
      <c r="B161" s="33"/>
      <c r="C161" s="33"/>
      <c r="D161" s="34"/>
      <c r="E161" s="35"/>
      <c r="F161" s="36"/>
      <c r="G161" s="37" t="str">
        <f aca="false">IF(OR(C161="",D161=""),"",D161*IF(E161="",IFERROR(INDEX(Ürünler!$D$5:$D$204,MATCH(C161,Ürünler!$A$5:$A$204,0)),0),E161))</f>
        <v/>
      </c>
      <c r="H161" s="37" t="str">
        <f aca="false">IF(G161="","",D161*IFERROR(INDEX(Ürünler!$C$5:$C$204,MATCH(C161,Ürünler!$A$5:$A$204,0)),0))</f>
        <v/>
      </c>
      <c r="I161" s="37" t="str">
        <f aca="false">IF(G161="","",G161-H161)</f>
        <v/>
      </c>
      <c r="J161" s="33"/>
    </row>
    <row r="162" customFormat="false" ht="15" hidden="false" customHeight="false" outlineLevel="0" collapsed="false">
      <c r="A162" s="32"/>
      <c r="B162" s="33"/>
      <c r="C162" s="33"/>
      <c r="D162" s="34"/>
      <c r="E162" s="35"/>
      <c r="F162" s="36"/>
      <c r="G162" s="37" t="str">
        <f aca="false">IF(OR(C162="",D162=""),"",D162*IF(E162="",IFERROR(INDEX(Ürünler!$D$5:$D$204,MATCH(C162,Ürünler!$A$5:$A$204,0)),0),E162))</f>
        <v/>
      </c>
      <c r="H162" s="37" t="str">
        <f aca="false">IF(G162="","",D162*IFERROR(INDEX(Ürünler!$C$5:$C$204,MATCH(C162,Ürünler!$A$5:$A$204,0)),0))</f>
        <v/>
      </c>
      <c r="I162" s="37" t="str">
        <f aca="false">IF(G162="","",G162-H162)</f>
        <v/>
      </c>
      <c r="J162" s="33"/>
    </row>
    <row r="163" customFormat="false" ht="15" hidden="false" customHeight="false" outlineLevel="0" collapsed="false">
      <c r="A163" s="32"/>
      <c r="B163" s="33"/>
      <c r="C163" s="33"/>
      <c r="D163" s="34"/>
      <c r="E163" s="35"/>
      <c r="F163" s="36"/>
      <c r="G163" s="37" t="str">
        <f aca="false">IF(OR(C163="",D163=""),"",D163*IF(E163="",IFERROR(INDEX(Ürünler!$D$5:$D$204,MATCH(C163,Ürünler!$A$5:$A$204,0)),0),E163))</f>
        <v/>
      </c>
      <c r="H163" s="37" t="str">
        <f aca="false">IF(G163="","",D163*IFERROR(INDEX(Ürünler!$C$5:$C$204,MATCH(C163,Ürünler!$A$5:$A$204,0)),0))</f>
        <v/>
      </c>
      <c r="I163" s="37" t="str">
        <f aca="false">IF(G163="","",G163-H163)</f>
        <v/>
      </c>
      <c r="J163" s="33"/>
    </row>
    <row r="164" customFormat="false" ht="15" hidden="false" customHeight="false" outlineLevel="0" collapsed="false">
      <c r="A164" s="32"/>
      <c r="B164" s="33"/>
      <c r="C164" s="33"/>
      <c r="D164" s="34"/>
      <c r="E164" s="35"/>
      <c r="F164" s="36"/>
      <c r="G164" s="37" t="str">
        <f aca="false">IF(OR(C164="",D164=""),"",D164*IF(E164="",IFERROR(INDEX(Ürünler!$D$5:$D$204,MATCH(C164,Ürünler!$A$5:$A$204,0)),0),E164))</f>
        <v/>
      </c>
      <c r="H164" s="37" t="str">
        <f aca="false">IF(G164="","",D164*IFERROR(INDEX(Ürünler!$C$5:$C$204,MATCH(C164,Ürünler!$A$5:$A$204,0)),0))</f>
        <v/>
      </c>
      <c r="I164" s="37" t="str">
        <f aca="false">IF(G164="","",G164-H164)</f>
        <v/>
      </c>
      <c r="J164" s="33"/>
    </row>
    <row r="165" customFormat="false" ht="15" hidden="false" customHeight="false" outlineLevel="0" collapsed="false">
      <c r="A165" s="32"/>
      <c r="B165" s="33"/>
      <c r="C165" s="33"/>
      <c r="D165" s="34"/>
      <c r="E165" s="35"/>
      <c r="F165" s="36"/>
      <c r="G165" s="37" t="str">
        <f aca="false">IF(OR(C165="",D165=""),"",D165*IF(E165="",IFERROR(INDEX(Ürünler!$D$5:$D$204,MATCH(C165,Ürünler!$A$5:$A$204,0)),0),E165))</f>
        <v/>
      </c>
      <c r="H165" s="37" t="str">
        <f aca="false">IF(G165="","",D165*IFERROR(INDEX(Ürünler!$C$5:$C$204,MATCH(C165,Ürünler!$A$5:$A$204,0)),0))</f>
        <v/>
      </c>
      <c r="I165" s="37" t="str">
        <f aca="false">IF(G165="","",G165-H165)</f>
        <v/>
      </c>
      <c r="J165" s="33"/>
    </row>
    <row r="166" customFormat="false" ht="15" hidden="false" customHeight="false" outlineLevel="0" collapsed="false">
      <c r="A166" s="32"/>
      <c r="B166" s="33"/>
      <c r="C166" s="33"/>
      <c r="D166" s="34"/>
      <c r="E166" s="35"/>
      <c r="F166" s="36"/>
      <c r="G166" s="37" t="str">
        <f aca="false">IF(OR(C166="",D166=""),"",D166*IF(E166="",IFERROR(INDEX(Ürünler!$D$5:$D$204,MATCH(C166,Ürünler!$A$5:$A$204,0)),0),E166))</f>
        <v/>
      </c>
      <c r="H166" s="37" t="str">
        <f aca="false">IF(G166="","",D166*IFERROR(INDEX(Ürünler!$C$5:$C$204,MATCH(C166,Ürünler!$A$5:$A$204,0)),0))</f>
        <v/>
      </c>
      <c r="I166" s="37" t="str">
        <f aca="false">IF(G166="","",G166-H166)</f>
        <v/>
      </c>
      <c r="J166" s="33"/>
    </row>
    <row r="167" customFormat="false" ht="15" hidden="false" customHeight="false" outlineLevel="0" collapsed="false">
      <c r="A167" s="32"/>
      <c r="B167" s="33"/>
      <c r="C167" s="33"/>
      <c r="D167" s="34"/>
      <c r="E167" s="35"/>
      <c r="F167" s="36"/>
      <c r="G167" s="37" t="str">
        <f aca="false">IF(OR(C167="",D167=""),"",D167*IF(E167="",IFERROR(INDEX(Ürünler!$D$5:$D$204,MATCH(C167,Ürünler!$A$5:$A$204,0)),0),E167))</f>
        <v/>
      </c>
      <c r="H167" s="37" t="str">
        <f aca="false">IF(G167="","",D167*IFERROR(INDEX(Ürünler!$C$5:$C$204,MATCH(C167,Ürünler!$A$5:$A$204,0)),0))</f>
        <v/>
      </c>
      <c r="I167" s="37" t="str">
        <f aca="false">IF(G167="","",G167-H167)</f>
        <v/>
      </c>
      <c r="J167" s="33"/>
    </row>
    <row r="168" customFormat="false" ht="15" hidden="false" customHeight="false" outlineLevel="0" collapsed="false">
      <c r="A168" s="32"/>
      <c r="B168" s="33"/>
      <c r="C168" s="33"/>
      <c r="D168" s="34"/>
      <c r="E168" s="35"/>
      <c r="F168" s="36"/>
      <c r="G168" s="37" t="str">
        <f aca="false">IF(OR(C168="",D168=""),"",D168*IF(E168="",IFERROR(INDEX(Ürünler!$D$5:$D$204,MATCH(C168,Ürünler!$A$5:$A$204,0)),0),E168))</f>
        <v/>
      </c>
      <c r="H168" s="37" t="str">
        <f aca="false">IF(G168="","",D168*IFERROR(INDEX(Ürünler!$C$5:$C$204,MATCH(C168,Ürünler!$A$5:$A$204,0)),0))</f>
        <v/>
      </c>
      <c r="I168" s="37" t="str">
        <f aca="false">IF(G168="","",G168-H168)</f>
        <v/>
      </c>
      <c r="J168" s="33"/>
    </row>
    <row r="169" customFormat="false" ht="15" hidden="false" customHeight="false" outlineLevel="0" collapsed="false">
      <c r="A169" s="32"/>
      <c r="B169" s="33"/>
      <c r="C169" s="33"/>
      <c r="D169" s="34"/>
      <c r="E169" s="35"/>
      <c r="F169" s="36"/>
      <c r="G169" s="37" t="str">
        <f aca="false">IF(OR(C169="",D169=""),"",D169*IF(E169="",IFERROR(INDEX(Ürünler!$D$5:$D$204,MATCH(C169,Ürünler!$A$5:$A$204,0)),0),E169))</f>
        <v/>
      </c>
      <c r="H169" s="37" t="str">
        <f aca="false">IF(G169="","",D169*IFERROR(INDEX(Ürünler!$C$5:$C$204,MATCH(C169,Ürünler!$A$5:$A$204,0)),0))</f>
        <v/>
      </c>
      <c r="I169" s="37" t="str">
        <f aca="false">IF(G169="","",G169-H169)</f>
        <v/>
      </c>
      <c r="J169" s="33"/>
    </row>
    <row r="170" customFormat="false" ht="15" hidden="false" customHeight="false" outlineLevel="0" collapsed="false">
      <c r="A170" s="32"/>
      <c r="B170" s="33"/>
      <c r="C170" s="33"/>
      <c r="D170" s="34"/>
      <c r="E170" s="35"/>
      <c r="F170" s="36"/>
      <c r="G170" s="37" t="str">
        <f aca="false">IF(OR(C170="",D170=""),"",D170*IF(E170="",IFERROR(INDEX(Ürünler!$D$5:$D$204,MATCH(C170,Ürünler!$A$5:$A$204,0)),0),E170))</f>
        <v/>
      </c>
      <c r="H170" s="37" t="str">
        <f aca="false">IF(G170="","",D170*IFERROR(INDEX(Ürünler!$C$5:$C$204,MATCH(C170,Ürünler!$A$5:$A$204,0)),0))</f>
        <v/>
      </c>
      <c r="I170" s="37" t="str">
        <f aca="false">IF(G170="","",G170-H170)</f>
        <v/>
      </c>
      <c r="J170" s="33"/>
    </row>
    <row r="171" customFormat="false" ht="15" hidden="false" customHeight="false" outlineLevel="0" collapsed="false">
      <c r="A171" s="32"/>
      <c r="B171" s="33"/>
      <c r="C171" s="33"/>
      <c r="D171" s="34"/>
      <c r="E171" s="35"/>
      <c r="F171" s="36"/>
      <c r="G171" s="37" t="str">
        <f aca="false">IF(OR(C171="",D171=""),"",D171*IF(E171="",IFERROR(INDEX(Ürünler!$D$5:$D$204,MATCH(C171,Ürünler!$A$5:$A$204,0)),0),E171))</f>
        <v/>
      </c>
      <c r="H171" s="37" t="str">
        <f aca="false">IF(G171="","",D171*IFERROR(INDEX(Ürünler!$C$5:$C$204,MATCH(C171,Ürünler!$A$5:$A$204,0)),0))</f>
        <v/>
      </c>
      <c r="I171" s="37" t="str">
        <f aca="false">IF(G171="","",G171-H171)</f>
        <v/>
      </c>
      <c r="J171" s="33"/>
    </row>
    <row r="172" customFormat="false" ht="15" hidden="false" customHeight="false" outlineLevel="0" collapsed="false">
      <c r="A172" s="32"/>
      <c r="B172" s="33"/>
      <c r="C172" s="33"/>
      <c r="D172" s="34"/>
      <c r="E172" s="35"/>
      <c r="F172" s="36"/>
      <c r="G172" s="37" t="str">
        <f aca="false">IF(OR(C172="",D172=""),"",D172*IF(E172="",IFERROR(INDEX(Ürünler!$D$5:$D$204,MATCH(C172,Ürünler!$A$5:$A$204,0)),0),E172))</f>
        <v/>
      </c>
      <c r="H172" s="37" t="str">
        <f aca="false">IF(G172="","",D172*IFERROR(INDEX(Ürünler!$C$5:$C$204,MATCH(C172,Ürünler!$A$5:$A$204,0)),0))</f>
        <v/>
      </c>
      <c r="I172" s="37" t="str">
        <f aca="false">IF(G172="","",G172-H172)</f>
        <v/>
      </c>
      <c r="J172" s="33"/>
    </row>
    <row r="173" customFormat="false" ht="15" hidden="false" customHeight="false" outlineLevel="0" collapsed="false">
      <c r="A173" s="32"/>
      <c r="B173" s="33"/>
      <c r="C173" s="33"/>
      <c r="D173" s="34"/>
      <c r="E173" s="35"/>
      <c r="F173" s="36"/>
      <c r="G173" s="37" t="str">
        <f aca="false">IF(OR(C173="",D173=""),"",D173*IF(E173="",IFERROR(INDEX(Ürünler!$D$5:$D$204,MATCH(C173,Ürünler!$A$5:$A$204,0)),0),E173))</f>
        <v/>
      </c>
      <c r="H173" s="37" t="str">
        <f aca="false">IF(G173="","",D173*IFERROR(INDEX(Ürünler!$C$5:$C$204,MATCH(C173,Ürünler!$A$5:$A$204,0)),0))</f>
        <v/>
      </c>
      <c r="I173" s="37" t="str">
        <f aca="false">IF(G173="","",G173-H173)</f>
        <v/>
      </c>
      <c r="J173" s="33"/>
    </row>
    <row r="174" customFormat="false" ht="15" hidden="false" customHeight="false" outlineLevel="0" collapsed="false">
      <c r="A174" s="32"/>
      <c r="B174" s="33"/>
      <c r="C174" s="33"/>
      <c r="D174" s="34"/>
      <c r="E174" s="35"/>
      <c r="F174" s="36"/>
      <c r="G174" s="37" t="str">
        <f aca="false">IF(OR(C174="",D174=""),"",D174*IF(E174="",IFERROR(INDEX(Ürünler!$D$5:$D$204,MATCH(C174,Ürünler!$A$5:$A$204,0)),0),E174))</f>
        <v/>
      </c>
      <c r="H174" s="37" t="str">
        <f aca="false">IF(G174="","",D174*IFERROR(INDEX(Ürünler!$C$5:$C$204,MATCH(C174,Ürünler!$A$5:$A$204,0)),0))</f>
        <v/>
      </c>
      <c r="I174" s="37" t="str">
        <f aca="false">IF(G174="","",G174-H174)</f>
        <v/>
      </c>
      <c r="J174" s="33"/>
    </row>
    <row r="175" customFormat="false" ht="15" hidden="false" customHeight="false" outlineLevel="0" collapsed="false">
      <c r="A175" s="32"/>
      <c r="B175" s="33"/>
      <c r="C175" s="33"/>
      <c r="D175" s="34"/>
      <c r="E175" s="35"/>
      <c r="F175" s="36"/>
      <c r="G175" s="37" t="str">
        <f aca="false">IF(OR(C175="",D175=""),"",D175*IF(E175="",IFERROR(INDEX(Ürünler!$D$5:$D$204,MATCH(C175,Ürünler!$A$5:$A$204,0)),0),E175))</f>
        <v/>
      </c>
      <c r="H175" s="37" t="str">
        <f aca="false">IF(G175="","",D175*IFERROR(INDEX(Ürünler!$C$5:$C$204,MATCH(C175,Ürünler!$A$5:$A$204,0)),0))</f>
        <v/>
      </c>
      <c r="I175" s="37" t="str">
        <f aca="false">IF(G175="","",G175-H175)</f>
        <v/>
      </c>
      <c r="J175" s="33"/>
    </row>
    <row r="176" customFormat="false" ht="15" hidden="false" customHeight="false" outlineLevel="0" collapsed="false">
      <c r="A176" s="32"/>
      <c r="B176" s="33"/>
      <c r="C176" s="33"/>
      <c r="D176" s="34"/>
      <c r="E176" s="35"/>
      <c r="F176" s="36"/>
      <c r="G176" s="37" t="str">
        <f aca="false">IF(OR(C176="",D176=""),"",D176*IF(E176="",IFERROR(INDEX(Ürünler!$D$5:$D$204,MATCH(C176,Ürünler!$A$5:$A$204,0)),0),E176))</f>
        <v/>
      </c>
      <c r="H176" s="37" t="str">
        <f aca="false">IF(G176="","",D176*IFERROR(INDEX(Ürünler!$C$5:$C$204,MATCH(C176,Ürünler!$A$5:$A$204,0)),0))</f>
        <v/>
      </c>
      <c r="I176" s="37" t="str">
        <f aca="false">IF(G176="","",G176-H176)</f>
        <v/>
      </c>
      <c r="J176" s="33"/>
    </row>
    <row r="177" customFormat="false" ht="15" hidden="false" customHeight="false" outlineLevel="0" collapsed="false">
      <c r="A177" s="32"/>
      <c r="B177" s="33"/>
      <c r="C177" s="33"/>
      <c r="D177" s="34"/>
      <c r="E177" s="35"/>
      <c r="F177" s="36"/>
      <c r="G177" s="37" t="str">
        <f aca="false">IF(OR(C177="",D177=""),"",D177*IF(E177="",IFERROR(INDEX(Ürünler!$D$5:$D$204,MATCH(C177,Ürünler!$A$5:$A$204,0)),0),E177))</f>
        <v/>
      </c>
      <c r="H177" s="37" t="str">
        <f aca="false">IF(G177="","",D177*IFERROR(INDEX(Ürünler!$C$5:$C$204,MATCH(C177,Ürünler!$A$5:$A$204,0)),0))</f>
        <v/>
      </c>
      <c r="I177" s="37" t="str">
        <f aca="false">IF(G177="","",G177-H177)</f>
        <v/>
      </c>
      <c r="J177" s="33"/>
    </row>
    <row r="178" customFormat="false" ht="15" hidden="false" customHeight="false" outlineLevel="0" collapsed="false">
      <c r="A178" s="32"/>
      <c r="B178" s="33"/>
      <c r="C178" s="33"/>
      <c r="D178" s="34"/>
      <c r="E178" s="35"/>
      <c r="F178" s="36"/>
      <c r="G178" s="37" t="str">
        <f aca="false">IF(OR(C178="",D178=""),"",D178*IF(E178="",IFERROR(INDEX(Ürünler!$D$5:$D$204,MATCH(C178,Ürünler!$A$5:$A$204,0)),0),E178))</f>
        <v/>
      </c>
      <c r="H178" s="37" t="str">
        <f aca="false">IF(G178="","",D178*IFERROR(INDEX(Ürünler!$C$5:$C$204,MATCH(C178,Ürünler!$A$5:$A$204,0)),0))</f>
        <v/>
      </c>
      <c r="I178" s="37" t="str">
        <f aca="false">IF(G178="","",G178-H178)</f>
        <v/>
      </c>
      <c r="J178" s="33"/>
    </row>
    <row r="179" customFormat="false" ht="15" hidden="false" customHeight="false" outlineLevel="0" collapsed="false">
      <c r="A179" s="32"/>
      <c r="B179" s="33"/>
      <c r="C179" s="33"/>
      <c r="D179" s="34"/>
      <c r="E179" s="35"/>
      <c r="F179" s="36"/>
      <c r="G179" s="37" t="str">
        <f aca="false">IF(OR(C179="",D179=""),"",D179*IF(E179="",IFERROR(INDEX(Ürünler!$D$5:$D$204,MATCH(C179,Ürünler!$A$5:$A$204,0)),0),E179))</f>
        <v/>
      </c>
      <c r="H179" s="37" t="str">
        <f aca="false">IF(G179="","",D179*IFERROR(INDEX(Ürünler!$C$5:$C$204,MATCH(C179,Ürünler!$A$5:$A$204,0)),0))</f>
        <v/>
      </c>
      <c r="I179" s="37" t="str">
        <f aca="false">IF(G179="","",G179-H179)</f>
        <v/>
      </c>
      <c r="J179" s="33"/>
    </row>
    <row r="180" customFormat="false" ht="15" hidden="false" customHeight="false" outlineLevel="0" collapsed="false">
      <c r="A180" s="32"/>
      <c r="B180" s="33"/>
      <c r="C180" s="33"/>
      <c r="D180" s="34"/>
      <c r="E180" s="35"/>
      <c r="F180" s="36"/>
      <c r="G180" s="37" t="str">
        <f aca="false">IF(OR(C180="",D180=""),"",D180*IF(E180="",IFERROR(INDEX(Ürünler!$D$5:$D$204,MATCH(C180,Ürünler!$A$5:$A$204,0)),0),E180))</f>
        <v/>
      </c>
      <c r="H180" s="37" t="str">
        <f aca="false">IF(G180="","",D180*IFERROR(INDEX(Ürünler!$C$5:$C$204,MATCH(C180,Ürünler!$A$5:$A$204,0)),0))</f>
        <v/>
      </c>
      <c r="I180" s="37" t="str">
        <f aca="false">IF(G180="","",G180-H180)</f>
        <v/>
      </c>
      <c r="J180" s="33"/>
    </row>
    <row r="181" customFormat="false" ht="15" hidden="false" customHeight="false" outlineLevel="0" collapsed="false">
      <c r="A181" s="32"/>
      <c r="B181" s="33"/>
      <c r="C181" s="33"/>
      <c r="D181" s="34"/>
      <c r="E181" s="35"/>
      <c r="F181" s="36"/>
      <c r="G181" s="37" t="str">
        <f aca="false">IF(OR(C181="",D181=""),"",D181*IF(E181="",IFERROR(INDEX(Ürünler!$D$5:$D$204,MATCH(C181,Ürünler!$A$5:$A$204,0)),0),E181))</f>
        <v/>
      </c>
      <c r="H181" s="37" t="str">
        <f aca="false">IF(G181="","",D181*IFERROR(INDEX(Ürünler!$C$5:$C$204,MATCH(C181,Ürünler!$A$5:$A$204,0)),0))</f>
        <v/>
      </c>
      <c r="I181" s="37" t="str">
        <f aca="false">IF(G181="","",G181-H181)</f>
        <v/>
      </c>
      <c r="J181" s="33"/>
    </row>
    <row r="182" customFormat="false" ht="15" hidden="false" customHeight="false" outlineLevel="0" collapsed="false">
      <c r="A182" s="32"/>
      <c r="B182" s="33"/>
      <c r="C182" s="33"/>
      <c r="D182" s="34"/>
      <c r="E182" s="35"/>
      <c r="F182" s="36"/>
      <c r="G182" s="37" t="str">
        <f aca="false">IF(OR(C182="",D182=""),"",D182*IF(E182="",IFERROR(INDEX(Ürünler!$D$5:$D$204,MATCH(C182,Ürünler!$A$5:$A$204,0)),0),E182))</f>
        <v/>
      </c>
      <c r="H182" s="37" t="str">
        <f aca="false">IF(G182="","",D182*IFERROR(INDEX(Ürünler!$C$5:$C$204,MATCH(C182,Ürünler!$A$5:$A$204,0)),0))</f>
        <v/>
      </c>
      <c r="I182" s="37" t="str">
        <f aca="false">IF(G182="","",G182-H182)</f>
        <v/>
      </c>
      <c r="J182" s="33"/>
    </row>
    <row r="183" customFormat="false" ht="15" hidden="false" customHeight="false" outlineLevel="0" collapsed="false">
      <c r="A183" s="32"/>
      <c r="B183" s="33"/>
      <c r="C183" s="33"/>
      <c r="D183" s="34"/>
      <c r="E183" s="35"/>
      <c r="F183" s="36"/>
      <c r="G183" s="37" t="str">
        <f aca="false">IF(OR(C183="",D183=""),"",D183*IF(E183="",IFERROR(INDEX(Ürünler!$D$5:$D$204,MATCH(C183,Ürünler!$A$5:$A$204,0)),0),E183))</f>
        <v/>
      </c>
      <c r="H183" s="37" t="str">
        <f aca="false">IF(G183="","",D183*IFERROR(INDEX(Ürünler!$C$5:$C$204,MATCH(C183,Ürünler!$A$5:$A$204,0)),0))</f>
        <v/>
      </c>
      <c r="I183" s="37" t="str">
        <f aca="false">IF(G183="","",G183-H183)</f>
        <v/>
      </c>
      <c r="J183" s="33"/>
    </row>
    <row r="184" customFormat="false" ht="15" hidden="false" customHeight="false" outlineLevel="0" collapsed="false">
      <c r="A184" s="32"/>
      <c r="B184" s="33"/>
      <c r="C184" s="33"/>
      <c r="D184" s="34"/>
      <c r="E184" s="35"/>
      <c r="F184" s="36"/>
      <c r="G184" s="37" t="str">
        <f aca="false">IF(OR(C184="",D184=""),"",D184*IF(E184="",IFERROR(INDEX(Ürünler!$D$5:$D$204,MATCH(C184,Ürünler!$A$5:$A$204,0)),0),E184))</f>
        <v/>
      </c>
      <c r="H184" s="37" t="str">
        <f aca="false">IF(G184="","",D184*IFERROR(INDEX(Ürünler!$C$5:$C$204,MATCH(C184,Ürünler!$A$5:$A$204,0)),0))</f>
        <v/>
      </c>
      <c r="I184" s="37" t="str">
        <f aca="false">IF(G184="","",G184-H184)</f>
        <v/>
      </c>
      <c r="J184" s="33"/>
    </row>
    <row r="185" customFormat="false" ht="15" hidden="false" customHeight="false" outlineLevel="0" collapsed="false">
      <c r="A185" s="32"/>
      <c r="B185" s="33"/>
      <c r="C185" s="33"/>
      <c r="D185" s="34"/>
      <c r="E185" s="35"/>
      <c r="F185" s="36"/>
      <c r="G185" s="37" t="str">
        <f aca="false">IF(OR(C185="",D185=""),"",D185*IF(E185="",IFERROR(INDEX(Ürünler!$D$5:$D$204,MATCH(C185,Ürünler!$A$5:$A$204,0)),0),E185))</f>
        <v/>
      </c>
      <c r="H185" s="37" t="str">
        <f aca="false">IF(G185="","",D185*IFERROR(INDEX(Ürünler!$C$5:$C$204,MATCH(C185,Ürünler!$A$5:$A$204,0)),0))</f>
        <v/>
      </c>
      <c r="I185" s="37" t="str">
        <f aca="false">IF(G185="","",G185-H185)</f>
        <v/>
      </c>
      <c r="J185" s="33"/>
    </row>
    <row r="186" customFormat="false" ht="15" hidden="false" customHeight="false" outlineLevel="0" collapsed="false">
      <c r="A186" s="32"/>
      <c r="B186" s="33"/>
      <c r="C186" s="33"/>
      <c r="D186" s="34"/>
      <c r="E186" s="35"/>
      <c r="F186" s="36"/>
      <c r="G186" s="37" t="str">
        <f aca="false">IF(OR(C186="",D186=""),"",D186*IF(E186="",IFERROR(INDEX(Ürünler!$D$5:$D$204,MATCH(C186,Ürünler!$A$5:$A$204,0)),0),E186))</f>
        <v/>
      </c>
      <c r="H186" s="37" t="str">
        <f aca="false">IF(G186="","",D186*IFERROR(INDEX(Ürünler!$C$5:$C$204,MATCH(C186,Ürünler!$A$5:$A$204,0)),0))</f>
        <v/>
      </c>
      <c r="I186" s="37" t="str">
        <f aca="false">IF(G186="","",G186-H186)</f>
        <v/>
      </c>
      <c r="J186" s="33"/>
    </row>
    <row r="187" customFormat="false" ht="15" hidden="false" customHeight="false" outlineLevel="0" collapsed="false">
      <c r="A187" s="32"/>
      <c r="B187" s="33"/>
      <c r="C187" s="33"/>
      <c r="D187" s="34"/>
      <c r="E187" s="35"/>
      <c r="F187" s="36"/>
      <c r="G187" s="37" t="str">
        <f aca="false">IF(OR(C187="",D187=""),"",D187*IF(E187="",IFERROR(INDEX(Ürünler!$D$5:$D$204,MATCH(C187,Ürünler!$A$5:$A$204,0)),0),E187))</f>
        <v/>
      </c>
      <c r="H187" s="37" t="str">
        <f aca="false">IF(G187="","",D187*IFERROR(INDEX(Ürünler!$C$5:$C$204,MATCH(C187,Ürünler!$A$5:$A$204,0)),0))</f>
        <v/>
      </c>
      <c r="I187" s="37" t="str">
        <f aca="false">IF(G187="","",G187-H187)</f>
        <v/>
      </c>
      <c r="J187" s="33"/>
    </row>
    <row r="188" customFormat="false" ht="15" hidden="false" customHeight="false" outlineLevel="0" collapsed="false">
      <c r="A188" s="32"/>
      <c r="B188" s="33"/>
      <c r="C188" s="33"/>
      <c r="D188" s="34"/>
      <c r="E188" s="35"/>
      <c r="F188" s="36"/>
      <c r="G188" s="37" t="str">
        <f aca="false">IF(OR(C188="",D188=""),"",D188*IF(E188="",IFERROR(INDEX(Ürünler!$D$5:$D$204,MATCH(C188,Ürünler!$A$5:$A$204,0)),0),E188))</f>
        <v/>
      </c>
      <c r="H188" s="37" t="str">
        <f aca="false">IF(G188="","",D188*IFERROR(INDEX(Ürünler!$C$5:$C$204,MATCH(C188,Ürünler!$A$5:$A$204,0)),0))</f>
        <v/>
      </c>
      <c r="I188" s="37" t="str">
        <f aca="false">IF(G188="","",G188-H188)</f>
        <v/>
      </c>
      <c r="J188" s="33"/>
    </row>
    <row r="189" customFormat="false" ht="15" hidden="false" customHeight="false" outlineLevel="0" collapsed="false">
      <c r="A189" s="32"/>
      <c r="B189" s="33"/>
      <c r="C189" s="33"/>
      <c r="D189" s="34"/>
      <c r="E189" s="35"/>
      <c r="F189" s="36"/>
      <c r="G189" s="37" t="str">
        <f aca="false">IF(OR(C189="",D189=""),"",D189*IF(E189="",IFERROR(INDEX(Ürünler!$D$5:$D$204,MATCH(C189,Ürünler!$A$5:$A$204,0)),0),E189))</f>
        <v/>
      </c>
      <c r="H189" s="37" t="str">
        <f aca="false">IF(G189="","",D189*IFERROR(INDEX(Ürünler!$C$5:$C$204,MATCH(C189,Ürünler!$A$5:$A$204,0)),0))</f>
        <v/>
      </c>
      <c r="I189" s="37" t="str">
        <f aca="false">IF(G189="","",G189-H189)</f>
        <v/>
      </c>
      <c r="J189" s="33"/>
    </row>
    <row r="190" customFormat="false" ht="15" hidden="false" customHeight="false" outlineLevel="0" collapsed="false">
      <c r="A190" s="32"/>
      <c r="B190" s="33"/>
      <c r="C190" s="33"/>
      <c r="D190" s="34"/>
      <c r="E190" s="35"/>
      <c r="F190" s="36"/>
      <c r="G190" s="37" t="str">
        <f aca="false">IF(OR(C190="",D190=""),"",D190*IF(E190="",IFERROR(INDEX(Ürünler!$D$5:$D$204,MATCH(C190,Ürünler!$A$5:$A$204,0)),0),E190))</f>
        <v/>
      </c>
      <c r="H190" s="37" t="str">
        <f aca="false">IF(G190="","",D190*IFERROR(INDEX(Ürünler!$C$5:$C$204,MATCH(C190,Ürünler!$A$5:$A$204,0)),0))</f>
        <v/>
      </c>
      <c r="I190" s="37" t="str">
        <f aca="false">IF(G190="","",G190-H190)</f>
        <v/>
      </c>
      <c r="J190" s="33"/>
    </row>
    <row r="191" customFormat="false" ht="15" hidden="false" customHeight="false" outlineLevel="0" collapsed="false">
      <c r="A191" s="32"/>
      <c r="B191" s="33"/>
      <c r="C191" s="33"/>
      <c r="D191" s="34"/>
      <c r="E191" s="35"/>
      <c r="F191" s="36"/>
      <c r="G191" s="37" t="str">
        <f aca="false">IF(OR(C191="",D191=""),"",D191*IF(E191="",IFERROR(INDEX(Ürünler!$D$5:$D$204,MATCH(C191,Ürünler!$A$5:$A$204,0)),0),E191))</f>
        <v/>
      </c>
      <c r="H191" s="37" t="str">
        <f aca="false">IF(G191="","",D191*IFERROR(INDEX(Ürünler!$C$5:$C$204,MATCH(C191,Ürünler!$A$5:$A$204,0)),0))</f>
        <v/>
      </c>
      <c r="I191" s="37" t="str">
        <f aca="false">IF(G191="","",G191-H191)</f>
        <v/>
      </c>
      <c r="J191" s="33"/>
    </row>
    <row r="192" customFormat="false" ht="15" hidden="false" customHeight="false" outlineLevel="0" collapsed="false">
      <c r="A192" s="32"/>
      <c r="B192" s="33"/>
      <c r="C192" s="33"/>
      <c r="D192" s="34"/>
      <c r="E192" s="35"/>
      <c r="F192" s="36"/>
      <c r="G192" s="37" t="str">
        <f aca="false">IF(OR(C192="",D192=""),"",D192*IF(E192="",IFERROR(INDEX(Ürünler!$D$5:$D$204,MATCH(C192,Ürünler!$A$5:$A$204,0)),0),E192))</f>
        <v/>
      </c>
      <c r="H192" s="37" t="str">
        <f aca="false">IF(G192="","",D192*IFERROR(INDEX(Ürünler!$C$5:$C$204,MATCH(C192,Ürünler!$A$5:$A$204,0)),0))</f>
        <v/>
      </c>
      <c r="I192" s="37" t="str">
        <f aca="false">IF(G192="","",G192-H192)</f>
        <v/>
      </c>
      <c r="J192" s="33"/>
    </row>
    <row r="193" customFormat="false" ht="15" hidden="false" customHeight="false" outlineLevel="0" collapsed="false">
      <c r="A193" s="32"/>
      <c r="B193" s="33"/>
      <c r="C193" s="33"/>
      <c r="D193" s="34"/>
      <c r="E193" s="35"/>
      <c r="F193" s="36"/>
      <c r="G193" s="37" t="str">
        <f aca="false">IF(OR(C193="",D193=""),"",D193*IF(E193="",IFERROR(INDEX(Ürünler!$D$5:$D$204,MATCH(C193,Ürünler!$A$5:$A$204,0)),0),E193))</f>
        <v/>
      </c>
      <c r="H193" s="37" t="str">
        <f aca="false">IF(G193="","",D193*IFERROR(INDEX(Ürünler!$C$5:$C$204,MATCH(C193,Ürünler!$A$5:$A$204,0)),0))</f>
        <v/>
      </c>
      <c r="I193" s="37" t="str">
        <f aca="false">IF(G193="","",G193-H193)</f>
        <v/>
      </c>
      <c r="J193" s="33"/>
    </row>
    <row r="194" customFormat="false" ht="15" hidden="false" customHeight="false" outlineLevel="0" collapsed="false">
      <c r="A194" s="32"/>
      <c r="B194" s="33"/>
      <c r="C194" s="33"/>
      <c r="D194" s="34"/>
      <c r="E194" s="35"/>
      <c r="F194" s="36"/>
      <c r="G194" s="37" t="str">
        <f aca="false">IF(OR(C194="",D194=""),"",D194*IF(E194="",IFERROR(INDEX(Ürünler!$D$5:$D$204,MATCH(C194,Ürünler!$A$5:$A$204,0)),0),E194))</f>
        <v/>
      </c>
      <c r="H194" s="37" t="str">
        <f aca="false">IF(G194="","",D194*IFERROR(INDEX(Ürünler!$C$5:$C$204,MATCH(C194,Ürünler!$A$5:$A$204,0)),0))</f>
        <v/>
      </c>
      <c r="I194" s="37" t="str">
        <f aca="false">IF(G194="","",G194-H194)</f>
        <v/>
      </c>
      <c r="J194" s="33"/>
    </row>
    <row r="195" customFormat="false" ht="15" hidden="false" customHeight="false" outlineLevel="0" collapsed="false">
      <c r="A195" s="32"/>
      <c r="B195" s="33"/>
      <c r="C195" s="33"/>
      <c r="D195" s="34"/>
      <c r="E195" s="35"/>
      <c r="F195" s="36"/>
      <c r="G195" s="37" t="str">
        <f aca="false">IF(OR(C195="",D195=""),"",D195*IF(E195="",IFERROR(INDEX(Ürünler!$D$5:$D$204,MATCH(C195,Ürünler!$A$5:$A$204,0)),0),E195))</f>
        <v/>
      </c>
      <c r="H195" s="37" t="str">
        <f aca="false">IF(G195="","",D195*IFERROR(INDEX(Ürünler!$C$5:$C$204,MATCH(C195,Ürünler!$A$5:$A$204,0)),0))</f>
        <v/>
      </c>
      <c r="I195" s="37" t="str">
        <f aca="false">IF(G195="","",G195-H195)</f>
        <v/>
      </c>
      <c r="J195" s="33"/>
    </row>
    <row r="196" customFormat="false" ht="15" hidden="false" customHeight="false" outlineLevel="0" collapsed="false">
      <c r="A196" s="32"/>
      <c r="B196" s="33"/>
      <c r="C196" s="33"/>
      <c r="D196" s="34"/>
      <c r="E196" s="35"/>
      <c r="F196" s="36"/>
      <c r="G196" s="37" t="str">
        <f aca="false">IF(OR(C196="",D196=""),"",D196*IF(E196="",IFERROR(INDEX(Ürünler!$D$5:$D$204,MATCH(C196,Ürünler!$A$5:$A$204,0)),0),E196))</f>
        <v/>
      </c>
      <c r="H196" s="37" t="str">
        <f aca="false">IF(G196="","",D196*IFERROR(INDEX(Ürünler!$C$5:$C$204,MATCH(C196,Ürünler!$A$5:$A$204,0)),0))</f>
        <v/>
      </c>
      <c r="I196" s="37" t="str">
        <f aca="false">IF(G196="","",G196-H196)</f>
        <v/>
      </c>
      <c r="J196" s="33"/>
    </row>
    <row r="197" customFormat="false" ht="15" hidden="false" customHeight="false" outlineLevel="0" collapsed="false">
      <c r="A197" s="32"/>
      <c r="B197" s="33"/>
      <c r="C197" s="33"/>
      <c r="D197" s="34"/>
      <c r="E197" s="35"/>
      <c r="F197" s="36"/>
      <c r="G197" s="37" t="str">
        <f aca="false">IF(OR(C197="",D197=""),"",D197*IF(E197="",IFERROR(INDEX(Ürünler!$D$5:$D$204,MATCH(C197,Ürünler!$A$5:$A$204,0)),0),E197))</f>
        <v/>
      </c>
      <c r="H197" s="37" t="str">
        <f aca="false">IF(G197="","",D197*IFERROR(INDEX(Ürünler!$C$5:$C$204,MATCH(C197,Ürünler!$A$5:$A$204,0)),0))</f>
        <v/>
      </c>
      <c r="I197" s="37" t="str">
        <f aca="false">IF(G197="","",G197-H197)</f>
        <v/>
      </c>
      <c r="J197" s="33"/>
    </row>
    <row r="198" customFormat="false" ht="15" hidden="false" customHeight="false" outlineLevel="0" collapsed="false">
      <c r="A198" s="32"/>
      <c r="B198" s="33"/>
      <c r="C198" s="33"/>
      <c r="D198" s="34"/>
      <c r="E198" s="35"/>
      <c r="F198" s="36"/>
      <c r="G198" s="37" t="str">
        <f aca="false">IF(OR(C198="",D198=""),"",D198*IF(E198="",IFERROR(INDEX(Ürünler!$D$5:$D$204,MATCH(C198,Ürünler!$A$5:$A$204,0)),0),E198))</f>
        <v/>
      </c>
      <c r="H198" s="37" t="str">
        <f aca="false">IF(G198="","",D198*IFERROR(INDEX(Ürünler!$C$5:$C$204,MATCH(C198,Ürünler!$A$5:$A$204,0)),0))</f>
        <v/>
      </c>
      <c r="I198" s="37" t="str">
        <f aca="false">IF(G198="","",G198-H198)</f>
        <v/>
      </c>
      <c r="J198" s="33"/>
    </row>
    <row r="199" customFormat="false" ht="15" hidden="false" customHeight="false" outlineLevel="0" collapsed="false">
      <c r="A199" s="32"/>
      <c r="B199" s="33"/>
      <c r="C199" s="33"/>
      <c r="D199" s="34"/>
      <c r="E199" s="35"/>
      <c r="F199" s="36"/>
      <c r="G199" s="37" t="str">
        <f aca="false">IF(OR(C199="",D199=""),"",D199*IF(E199="",IFERROR(INDEX(Ürünler!$D$5:$D$204,MATCH(C199,Ürünler!$A$5:$A$204,0)),0),E199))</f>
        <v/>
      </c>
      <c r="H199" s="37" t="str">
        <f aca="false">IF(G199="","",D199*IFERROR(INDEX(Ürünler!$C$5:$C$204,MATCH(C199,Ürünler!$A$5:$A$204,0)),0))</f>
        <v/>
      </c>
      <c r="I199" s="37" t="str">
        <f aca="false">IF(G199="","",G199-H199)</f>
        <v/>
      </c>
      <c r="J199" s="33"/>
    </row>
    <row r="200" customFormat="false" ht="15" hidden="false" customHeight="false" outlineLevel="0" collapsed="false">
      <c r="A200" s="32"/>
      <c r="B200" s="33"/>
      <c r="C200" s="33"/>
      <c r="D200" s="34"/>
      <c r="E200" s="35"/>
      <c r="F200" s="36"/>
      <c r="G200" s="37" t="str">
        <f aca="false">IF(OR(C200="",D200=""),"",D200*IF(E200="",IFERROR(INDEX(Ürünler!$D$5:$D$204,MATCH(C200,Ürünler!$A$5:$A$204,0)),0),E200))</f>
        <v/>
      </c>
      <c r="H200" s="37" t="str">
        <f aca="false">IF(G200="","",D200*IFERROR(INDEX(Ürünler!$C$5:$C$204,MATCH(C200,Ürünler!$A$5:$A$204,0)),0))</f>
        <v/>
      </c>
      <c r="I200" s="37" t="str">
        <f aca="false">IF(G200="","",G200-H200)</f>
        <v/>
      </c>
      <c r="J200" s="33"/>
    </row>
    <row r="201" customFormat="false" ht="15" hidden="false" customHeight="false" outlineLevel="0" collapsed="false">
      <c r="A201" s="32"/>
      <c r="B201" s="33"/>
      <c r="C201" s="33"/>
      <c r="D201" s="34"/>
      <c r="E201" s="35"/>
      <c r="F201" s="36"/>
      <c r="G201" s="37" t="str">
        <f aca="false">IF(OR(C201="",D201=""),"",D201*IF(E201="",IFERROR(INDEX(Ürünler!$D$5:$D$204,MATCH(C201,Ürünler!$A$5:$A$204,0)),0),E201))</f>
        <v/>
      </c>
      <c r="H201" s="37" t="str">
        <f aca="false">IF(G201="","",D201*IFERROR(INDEX(Ürünler!$C$5:$C$204,MATCH(C201,Ürünler!$A$5:$A$204,0)),0))</f>
        <v/>
      </c>
      <c r="I201" s="37" t="str">
        <f aca="false">IF(G201="","",G201-H201)</f>
        <v/>
      </c>
      <c r="J201" s="33"/>
    </row>
    <row r="202" customFormat="false" ht="15" hidden="false" customHeight="false" outlineLevel="0" collapsed="false">
      <c r="A202" s="32"/>
      <c r="B202" s="33"/>
      <c r="C202" s="33"/>
      <c r="D202" s="34"/>
      <c r="E202" s="35"/>
      <c r="F202" s="36"/>
      <c r="G202" s="37" t="str">
        <f aca="false">IF(OR(C202="",D202=""),"",D202*IF(E202="",IFERROR(INDEX(Ürünler!$D$5:$D$204,MATCH(C202,Ürünler!$A$5:$A$204,0)),0),E202))</f>
        <v/>
      </c>
      <c r="H202" s="37" t="str">
        <f aca="false">IF(G202="","",D202*IFERROR(INDEX(Ürünler!$C$5:$C$204,MATCH(C202,Ürünler!$A$5:$A$204,0)),0))</f>
        <v/>
      </c>
      <c r="I202" s="37" t="str">
        <f aca="false">IF(G202="","",G202-H202)</f>
        <v/>
      </c>
      <c r="J202" s="33"/>
    </row>
    <row r="203" customFormat="false" ht="15" hidden="false" customHeight="false" outlineLevel="0" collapsed="false">
      <c r="A203" s="32"/>
      <c r="B203" s="33"/>
      <c r="C203" s="33"/>
      <c r="D203" s="34"/>
      <c r="E203" s="35"/>
      <c r="F203" s="36"/>
      <c r="G203" s="37" t="str">
        <f aca="false">IF(OR(C203="",D203=""),"",D203*IF(E203="",IFERROR(INDEX(Ürünler!$D$5:$D$204,MATCH(C203,Ürünler!$A$5:$A$204,0)),0),E203))</f>
        <v/>
      </c>
      <c r="H203" s="37" t="str">
        <f aca="false">IF(G203="","",D203*IFERROR(INDEX(Ürünler!$C$5:$C$204,MATCH(C203,Ürünler!$A$5:$A$204,0)),0))</f>
        <v/>
      </c>
      <c r="I203" s="37" t="str">
        <f aca="false">IF(G203="","",G203-H203)</f>
        <v/>
      </c>
      <c r="J203" s="33"/>
    </row>
    <row r="204" customFormat="false" ht="15" hidden="false" customHeight="false" outlineLevel="0" collapsed="false">
      <c r="A204" s="32"/>
      <c r="B204" s="33"/>
      <c r="C204" s="33"/>
      <c r="D204" s="34"/>
      <c r="E204" s="35"/>
      <c r="F204" s="36"/>
      <c r="G204" s="37" t="str">
        <f aca="false">IF(OR(C204="",D204=""),"",D204*IF(E204="",IFERROR(INDEX(Ürünler!$D$5:$D$204,MATCH(C204,Ürünler!$A$5:$A$204,0)),0),E204))</f>
        <v/>
      </c>
      <c r="H204" s="37" t="str">
        <f aca="false">IF(G204="","",D204*IFERROR(INDEX(Ürünler!$C$5:$C$204,MATCH(C204,Ürünler!$A$5:$A$204,0)),0))</f>
        <v/>
      </c>
      <c r="I204" s="37" t="str">
        <f aca="false">IF(G204="","",G204-H204)</f>
        <v/>
      </c>
      <c r="J204" s="33"/>
    </row>
    <row r="205" customFormat="false" ht="15" hidden="false" customHeight="false" outlineLevel="0" collapsed="false">
      <c r="A205" s="32"/>
      <c r="B205" s="33"/>
      <c r="C205" s="33"/>
      <c r="D205" s="34"/>
      <c r="E205" s="35"/>
      <c r="F205" s="36"/>
      <c r="G205" s="37" t="str">
        <f aca="false">IF(OR(C205="",D205=""),"",D205*IF(E205="",IFERROR(INDEX(Ürünler!$D$5:$D$204,MATCH(C205,Ürünler!$A$5:$A$204,0)),0),E205))</f>
        <v/>
      </c>
      <c r="H205" s="37" t="str">
        <f aca="false">IF(G205="","",D205*IFERROR(INDEX(Ürünler!$C$5:$C$204,MATCH(C205,Ürünler!$A$5:$A$204,0)),0))</f>
        <v/>
      </c>
      <c r="I205" s="37" t="str">
        <f aca="false">IF(G205="","",G205-H205)</f>
        <v/>
      </c>
      <c r="J205" s="33"/>
    </row>
    <row r="206" customFormat="false" ht="15" hidden="false" customHeight="false" outlineLevel="0" collapsed="false">
      <c r="A206" s="32"/>
      <c r="B206" s="33"/>
      <c r="C206" s="33"/>
      <c r="D206" s="34"/>
      <c r="E206" s="35"/>
      <c r="F206" s="36"/>
      <c r="G206" s="37" t="str">
        <f aca="false">IF(OR(C206="",D206=""),"",D206*IF(E206="",IFERROR(INDEX(Ürünler!$D$5:$D$204,MATCH(C206,Ürünler!$A$5:$A$204,0)),0),E206))</f>
        <v/>
      </c>
      <c r="H206" s="37" t="str">
        <f aca="false">IF(G206="","",D206*IFERROR(INDEX(Ürünler!$C$5:$C$204,MATCH(C206,Ürünler!$A$5:$A$204,0)),0))</f>
        <v/>
      </c>
      <c r="I206" s="37" t="str">
        <f aca="false">IF(G206="","",G206-H206)</f>
        <v/>
      </c>
      <c r="J206" s="33"/>
    </row>
    <row r="207" customFormat="false" ht="15" hidden="false" customHeight="false" outlineLevel="0" collapsed="false">
      <c r="A207" s="32"/>
      <c r="B207" s="33"/>
      <c r="C207" s="33"/>
      <c r="D207" s="34"/>
      <c r="E207" s="35"/>
      <c r="F207" s="36"/>
      <c r="G207" s="37" t="str">
        <f aca="false">IF(OR(C207="",D207=""),"",D207*IF(E207="",IFERROR(INDEX(Ürünler!$D$5:$D$204,MATCH(C207,Ürünler!$A$5:$A$204,0)),0),E207))</f>
        <v/>
      </c>
      <c r="H207" s="37" t="str">
        <f aca="false">IF(G207="","",D207*IFERROR(INDEX(Ürünler!$C$5:$C$204,MATCH(C207,Ürünler!$A$5:$A$204,0)),0))</f>
        <v/>
      </c>
      <c r="I207" s="37" t="str">
        <f aca="false">IF(G207="","",G207-H207)</f>
        <v/>
      </c>
      <c r="J207" s="33"/>
    </row>
    <row r="208" customFormat="false" ht="15" hidden="false" customHeight="false" outlineLevel="0" collapsed="false">
      <c r="A208" s="32"/>
      <c r="B208" s="33"/>
      <c r="C208" s="33"/>
      <c r="D208" s="34"/>
      <c r="E208" s="35"/>
      <c r="F208" s="36"/>
      <c r="G208" s="37" t="str">
        <f aca="false">IF(OR(C208="",D208=""),"",D208*IF(E208="",IFERROR(INDEX(Ürünler!$D$5:$D$204,MATCH(C208,Ürünler!$A$5:$A$204,0)),0),E208))</f>
        <v/>
      </c>
      <c r="H208" s="37" t="str">
        <f aca="false">IF(G208="","",D208*IFERROR(INDEX(Ürünler!$C$5:$C$204,MATCH(C208,Ürünler!$A$5:$A$204,0)),0))</f>
        <v/>
      </c>
      <c r="I208" s="37" t="str">
        <f aca="false">IF(G208="","",G208-H208)</f>
        <v/>
      </c>
      <c r="J208" s="33"/>
    </row>
    <row r="209" customFormat="false" ht="15" hidden="false" customHeight="false" outlineLevel="0" collapsed="false">
      <c r="A209" s="32"/>
      <c r="B209" s="33"/>
      <c r="C209" s="33"/>
      <c r="D209" s="34"/>
      <c r="E209" s="35"/>
      <c r="F209" s="36"/>
      <c r="G209" s="37" t="str">
        <f aca="false">IF(OR(C209="",D209=""),"",D209*IF(E209="",IFERROR(INDEX(Ürünler!$D$5:$D$204,MATCH(C209,Ürünler!$A$5:$A$204,0)),0),E209))</f>
        <v/>
      </c>
      <c r="H209" s="37" t="str">
        <f aca="false">IF(G209="","",D209*IFERROR(INDEX(Ürünler!$C$5:$C$204,MATCH(C209,Ürünler!$A$5:$A$204,0)),0))</f>
        <v/>
      </c>
      <c r="I209" s="37" t="str">
        <f aca="false">IF(G209="","",G209-H209)</f>
        <v/>
      </c>
      <c r="J209" s="33"/>
    </row>
    <row r="210" customFormat="false" ht="15" hidden="false" customHeight="false" outlineLevel="0" collapsed="false">
      <c r="A210" s="32"/>
      <c r="B210" s="33"/>
      <c r="C210" s="33"/>
      <c r="D210" s="34"/>
      <c r="E210" s="35"/>
      <c r="F210" s="36"/>
      <c r="G210" s="37" t="str">
        <f aca="false">IF(OR(C210="",D210=""),"",D210*IF(E210="",IFERROR(INDEX(Ürünler!$D$5:$D$204,MATCH(C210,Ürünler!$A$5:$A$204,0)),0),E210))</f>
        <v/>
      </c>
      <c r="H210" s="37" t="str">
        <f aca="false">IF(G210="","",D210*IFERROR(INDEX(Ürünler!$C$5:$C$204,MATCH(C210,Ürünler!$A$5:$A$204,0)),0))</f>
        <v/>
      </c>
      <c r="I210" s="37" t="str">
        <f aca="false">IF(G210="","",G210-H210)</f>
        <v/>
      </c>
      <c r="J210" s="33"/>
    </row>
    <row r="211" customFormat="false" ht="15" hidden="false" customHeight="false" outlineLevel="0" collapsed="false">
      <c r="A211" s="32"/>
      <c r="B211" s="33"/>
      <c r="C211" s="33"/>
      <c r="D211" s="34"/>
      <c r="E211" s="35"/>
      <c r="F211" s="36"/>
      <c r="G211" s="37" t="str">
        <f aca="false">IF(OR(C211="",D211=""),"",D211*IF(E211="",IFERROR(INDEX(Ürünler!$D$5:$D$204,MATCH(C211,Ürünler!$A$5:$A$204,0)),0),E211))</f>
        <v/>
      </c>
      <c r="H211" s="37" t="str">
        <f aca="false">IF(G211="","",D211*IFERROR(INDEX(Ürünler!$C$5:$C$204,MATCH(C211,Ürünler!$A$5:$A$204,0)),0))</f>
        <v/>
      </c>
      <c r="I211" s="37" t="str">
        <f aca="false">IF(G211="","",G211-H211)</f>
        <v/>
      </c>
      <c r="J211" s="33"/>
    </row>
    <row r="212" customFormat="false" ht="15" hidden="false" customHeight="false" outlineLevel="0" collapsed="false">
      <c r="A212" s="32"/>
      <c r="B212" s="33"/>
      <c r="C212" s="33"/>
      <c r="D212" s="34"/>
      <c r="E212" s="35"/>
      <c r="F212" s="36"/>
      <c r="G212" s="37" t="str">
        <f aca="false">IF(OR(C212="",D212=""),"",D212*IF(E212="",IFERROR(INDEX(Ürünler!$D$5:$D$204,MATCH(C212,Ürünler!$A$5:$A$204,0)),0),E212))</f>
        <v/>
      </c>
      <c r="H212" s="37" t="str">
        <f aca="false">IF(G212="","",D212*IFERROR(INDEX(Ürünler!$C$5:$C$204,MATCH(C212,Ürünler!$A$5:$A$204,0)),0))</f>
        <v/>
      </c>
      <c r="I212" s="37" t="str">
        <f aca="false">IF(G212="","",G212-H212)</f>
        <v/>
      </c>
      <c r="J212" s="33"/>
    </row>
    <row r="213" customFormat="false" ht="15" hidden="false" customHeight="false" outlineLevel="0" collapsed="false">
      <c r="A213" s="32"/>
      <c r="B213" s="33"/>
      <c r="C213" s="33"/>
      <c r="D213" s="34"/>
      <c r="E213" s="35"/>
      <c r="F213" s="36"/>
      <c r="G213" s="37" t="str">
        <f aca="false">IF(OR(C213="",D213=""),"",D213*IF(E213="",IFERROR(INDEX(Ürünler!$D$5:$D$204,MATCH(C213,Ürünler!$A$5:$A$204,0)),0),E213))</f>
        <v/>
      </c>
      <c r="H213" s="37" t="str">
        <f aca="false">IF(G213="","",D213*IFERROR(INDEX(Ürünler!$C$5:$C$204,MATCH(C213,Ürünler!$A$5:$A$204,0)),0))</f>
        <v/>
      </c>
      <c r="I213" s="37" t="str">
        <f aca="false">IF(G213="","",G213-H213)</f>
        <v/>
      </c>
      <c r="J213" s="33"/>
    </row>
    <row r="214" customFormat="false" ht="15" hidden="false" customHeight="false" outlineLevel="0" collapsed="false">
      <c r="A214" s="32"/>
      <c r="B214" s="33"/>
      <c r="C214" s="33"/>
      <c r="D214" s="34"/>
      <c r="E214" s="35"/>
      <c r="F214" s="36"/>
      <c r="G214" s="37" t="str">
        <f aca="false">IF(OR(C214="",D214=""),"",D214*IF(E214="",IFERROR(INDEX(Ürünler!$D$5:$D$204,MATCH(C214,Ürünler!$A$5:$A$204,0)),0),E214))</f>
        <v/>
      </c>
      <c r="H214" s="37" t="str">
        <f aca="false">IF(G214="","",D214*IFERROR(INDEX(Ürünler!$C$5:$C$204,MATCH(C214,Ürünler!$A$5:$A$204,0)),0))</f>
        <v/>
      </c>
      <c r="I214" s="37" t="str">
        <f aca="false">IF(G214="","",G214-H214)</f>
        <v/>
      </c>
      <c r="J214" s="33"/>
    </row>
    <row r="215" customFormat="false" ht="15" hidden="false" customHeight="false" outlineLevel="0" collapsed="false">
      <c r="A215" s="32"/>
      <c r="B215" s="33"/>
      <c r="C215" s="33"/>
      <c r="D215" s="34"/>
      <c r="E215" s="35"/>
      <c r="F215" s="36"/>
      <c r="G215" s="37" t="str">
        <f aca="false">IF(OR(C215="",D215=""),"",D215*IF(E215="",IFERROR(INDEX(Ürünler!$D$5:$D$204,MATCH(C215,Ürünler!$A$5:$A$204,0)),0),E215))</f>
        <v/>
      </c>
      <c r="H215" s="37" t="str">
        <f aca="false">IF(G215="","",D215*IFERROR(INDEX(Ürünler!$C$5:$C$204,MATCH(C215,Ürünler!$A$5:$A$204,0)),0))</f>
        <v/>
      </c>
      <c r="I215" s="37" t="str">
        <f aca="false">IF(G215="","",G215-H215)</f>
        <v/>
      </c>
      <c r="J215" s="33"/>
    </row>
    <row r="216" customFormat="false" ht="15" hidden="false" customHeight="false" outlineLevel="0" collapsed="false">
      <c r="A216" s="32"/>
      <c r="B216" s="33"/>
      <c r="C216" s="33"/>
      <c r="D216" s="34"/>
      <c r="E216" s="35"/>
      <c r="F216" s="36"/>
      <c r="G216" s="37" t="str">
        <f aca="false">IF(OR(C216="",D216=""),"",D216*IF(E216="",IFERROR(INDEX(Ürünler!$D$5:$D$204,MATCH(C216,Ürünler!$A$5:$A$204,0)),0),E216))</f>
        <v/>
      </c>
      <c r="H216" s="37" t="str">
        <f aca="false">IF(G216="","",D216*IFERROR(INDEX(Ürünler!$C$5:$C$204,MATCH(C216,Ürünler!$A$5:$A$204,0)),0))</f>
        <v/>
      </c>
      <c r="I216" s="37" t="str">
        <f aca="false">IF(G216="","",G216-H216)</f>
        <v/>
      </c>
      <c r="J216" s="33"/>
    </row>
    <row r="217" customFormat="false" ht="15" hidden="false" customHeight="false" outlineLevel="0" collapsed="false">
      <c r="A217" s="32"/>
      <c r="B217" s="33"/>
      <c r="C217" s="33"/>
      <c r="D217" s="34"/>
      <c r="E217" s="35"/>
      <c r="F217" s="36"/>
      <c r="G217" s="37" t="str">
        <f aca="false">IF(OR(C217="",D217=""),"",D217*IF(E217="",IFERROR(INDEX(Ürünler!$D$5:$D$204,MATCH(C217,Ürünler!$A$5:$A$204,0)),0),E217))</f>
        <v/>
      </c>
      <c r="H217" s="37" t="str">
        <f aca="false">IF(G217="","",D217*IFERROR(INDEX(Ürünler!$C$5:$C$204,MATCH(C217,Ürünler!$A$5:$A$204,0)),0))</f>
        <v/>
      </c>
      <c r="I217" s="37" t="str">
        <f aca="false">IF(G217="","",G217-H217)</f>
        <v/>
      </c>
      <c r="J217" s="33"/>
    </row>
    <row r="218" customFormat="false" ht="15" hidden="false" customHeight="false" outlineLevel="0" collapsed="false">
      <c r="A218" s="32"/>
      <c r="B218" s="33"/>
      <c r="C218" s="33"/>
      <c r="D218" s="34"/>
      <c r="E218" s="35"/>
      <c r="F218" s="36"/>
      <c r="G218" s="37" t="str">
        <f aca="false">IF(OR(C218="",D218=""),"",D218*IF(E218="",IFERROR(INDEX(Ürünler!$D$5:$D$204,MATCH(C218,Ürünler!$A$5:$A$204,0)),0),E218))</f>
        <v/>
      </c>
      <c r="H218" s="37" t="str">
        <f aca="false">IF(G218="","",D218*IFERROR(INDEX(Ürünler!$C$5:$C$204,MATCH(C218,Ürünler!$A$5:$A$204,0)),0))</f>
        <v/>
      </c>
      <c r="I218" s="37" t="str">
        <f aca="false">IF(G218="","",G218-H218)</f>
        <v/>
      </c>
      <c r="J218" s="33"/>
    </row>
    <row r="219" customFormat="false" ht="15" hidden="false" customHeight="false" outlineLevel="0" collapsed="false">
      <c r="A219" s="32"/>
      <c r="B219" s="33"/>
      <c r="C219" s="33"/>
      <c r="D219" s="34"/>
      <c r="E219" s="35"/>
      <c r="F219" s="36"/>
      <c r="G219" s="37" t="str">
        <f aca="false">IF(OR(C219="",D219=""),"",D219*IF(E219="",IFERROR(INDEX(Ürünler!$D$5:$D$204,MATCH(C219,Ürünler!$A$5:$A$204,0)),0),E219))</f>
        <v/>
      </c>
      <c r="H219" s="37" t="str">
        <f aca="false">IF(G219="","",D219*IFERROR(INDEX(Ürünler!$C$5:$C$204,MATCH(C219,Ürünler!$A$5:$A$204,0)),0))</f>
        <v/>
      </c>
      <c r="I219" s="37" t="str">
        <f aca="false">IF(G219="","",G219-H219)</f>
        <v/>
      </c>
      <c r="J219" s="33"/>
    </row>
    <row r="220" customFormat="false" ht="15" hidden="false" customHeight="false" outlineLevel="0" collapsed="false">
      <c r="A220" s="32"/>
      <c r="B220" s="33"/>
      <c r="C220" s="33"/>
      <c r="D220" s="34"/>
      <c r="E220" s="35"/>
      <c r="F220" s="36"/>
      <c r="G220" s="37" t="str">
        <f aca="false">IF(OR(C220="",D220=""),"",D220*IF(E220="",IFERROR(INDEX(Ürünler!$D$5:$D$204,MATCH(C220,Ürünler!$A$5:$A$204,0)),0),E220))</f>
        <v/>
      </c>
      <c r="H220" s="37" t="str">
        <f aca="false">IF(G220="","",D220*IFERROR(INDEX(Ürünler!$C$5:$C$204,MATCH(C220,Ürünler!$A$5:$A$204,0)),0))</f>
        <v/>
      </c>
      <c r="I220" s="37" t="str">
        <f aca="false">IF(G220="","",G220-H220)</f>
        <v/>
      </c>
      <c r="J220" s="33"/>
    </row>
    <row r="221" customFormat="false" ht="15" hidden="false" customHeight="false" outlineLevel="0" collapsed="false">
      <c r="A221" s="32"/>
      <c r="B221" s="33"/>
      <c r="C221" s="33"/>
      <c r="D221" s="34"/>
      <c r="E221" s="35"/>
      <c r="F221" s="36"/>
      <c r="G221" s="37" t="str">
        <f aca="false">IF(OR(C221="",D221=""),"",D221*IF(E221="",IFERROR(INDEX(Ürünler!$D$5:$D$204,MATCH(C221,Ürünler!$A$5:$A$204,0)),0),E221))</f>
        <v/>
      </c>
      <c r="H221" s="37" t="str">
        <f aca="false">IF(G221="","",D221*IFERROR(INDEX(Ürünler!$C$5:$C$204,MATCH(C221,Ürünler!$A$5:$A$204,0)),0))</f>
        <v/>
      </c>
      <c r="I221" s="37" t="str">
        <f aca="false">IF(G221="","",G221-H221)</f>
        <v/>
      </c>
      <c r="J221" s="33"/>
    </row>
    <row r="222" customFormat="false" ht="15" hidden="false" customHeight="false" outlineLevel="0" collapsed="false">
      <c r="A222" s="32"/>
      <c r="B222" s="33"/>
      <c r="C222" s="33"/>
      <c r="D222" s="34"/>
      <c r="E222" s="35"/>
      <c r="F222" s="36"/>
      <c r="G222" s="37" t="str">
        <f aca="false">IF(OR(C222="",D222=""),"",D222*IF(E222="",IFERROR(INDEX(Ürünler!$D$5:$D$204,MATCH(C222,Ürünler!$A$5:$A$204,0)),0),E222))</f>
        <v/>
      </c>
      <c r="H222" s="37" t="str">
        <f aca="false">IF(G222="","",D222*IFERROR(INDEX(Ürünler!$C$5:$C$204,MATCH(C222,Ürünler!$A$5:$A$204,0)),0))</f>
        <v/>
      </c>
      <c r="I222" s="37" t="str">
        <f aca="false">IF(G222="","",G222-H222)</f>
        <v/>
      </c>
      <c r="J222" s="33"/>
    </row>
    <row r="223" customFormat="false" ht="15" hidden="false" customHeight="false" outlineLevel="0" collapsed="false">
      <c r="A223" s="32"/>
      <c r="B223" s="33"/>
      <c r="C223" s="33"/>
      <c r="D223" s="34"/>
      <c r="E223" s="35"/>
      <c r="F223" s="36"/>
      <c r="G223" s="37" t="str">
        <f aca="false">IF(OR(C223="",D223=""),"",D223*IF(E223="",IFERROR(INDEX(Ürünler!$D$5:$D$204,MATCH(C223,Ürünler!$A$5:$A$204,0)),0),E223))</f>
        <v/>
      </c>
      <c r="H223" s="37" t="str">
        <f aca="false">IF(G223="","",D223*IFERROR(INDEX(Ürünler!$C$5:$C$204,MATCH(C223,Ürünler!$A$5:$A$204,0)),0))</f>
        <v/>
      </c>
      <c r="I223" s="37" t="str">
        <f aca="false">IF(G223="","",G223-H223)</f>
        <v/>
      </c>
      <c r="J223" s="33"/>
    </row>
    <row r="224" customFormat="false" ht="15" hidden="false" customHeight="false" outlineLevel="0" collapsed="false">
      <c r="A224" s="32"/>
      <c r="B224" s="33"/>
      <c r="C224" s="33"/>
      <c r="D224" s="34"/>
      <c r="E224" s="35"/>
      <c r="F224" s="36"/>
      <c r="G224" s="37" t="str">
        <f aca="false">IF(OR(C224="",D224=""),"",D224*IF(E224="",IFERROR(INDEX(Ürünler!$D$5:$D$204,MATCH(C224,Ürünler!$A$5:$A$204,0)),0),E224))</f>
        <v/>
      </c>
      <c r="H224" s="37" t="str">
        <f aca="false">IF(G224="","",D224*IFERROR(INDEX(Ürünler!$C$5:$C$204,MATCH(C224,Ürünler!$A$5:$A$204,0)),0))</f>
        <v/>
      </c>
      <c r="I224" s="37" t="str">
        <f aca="false">IF(G224="","",G224-H224)</f>
        <v/>
      </c>
      <c r="J224" s="33"/>
    </row>
    <row r="225" customFormat="false" ht="15" hidden="false" customHeight="false" outlineLevel="0" collapsed="false">
      <c r="A225" s="32"/>
      <c r="B225" s="33"/>
      <c r="C225" s="33"/>
      <c r="D225" s="34"/>
      <c r="E225" s="35"/>
      <c r="F225" s="36"/>
      <c r="G225" s="37" t="str">
        <f aca="false">IF(OR(C225="",D225=""),"",D225*IF(E225="",IFERROR(INDEX(Ürünler!$D$5:$D$204,MATCH(C225,Ürünler!$A$5:$A$204,0)),0),E225))</f>
        <v/>
      </c>
      <c r="H225" s="37" t="str">
        <f aca="false">IF(G225="","",D225*IFERROR(INDEX(Ürünler!$C$5:$C$204,MATCH(C225,Ürünler!$A$5:$A$204,0)),0))</f>
        <v/>
      </c>
      <c r="I225" s="37" t="str">
        <f aca="false">IF(G225="","",G225-H225)</f>
        <v/>
      </c>
      <c r="J225" s="33"/>
    </row>
    <row r="226" customFormat="false" ht="15" hidden="false" customHeight="false" outlineLevel="0" collapsed="false">
      <c r="A226" s="32"/>
      <c r="B226" s="33"/>
      <c r="C226" s="33"/>
      <c r="D226" s="34"/>
      <c r="E226" s="35"/>
      <c r="F226" s="36"/>
      <c r="G226" s="37" t="str">
        <f aca="false">IF(OR(C226="",D226=""),"",D226*IF(E226="",IFERROR(INDEX(Ürünler!$D$5:$D$204,MATCH(C226,Ürünler!$A$5:$A$204,0)),0),E226))</f>
        <v/>
      </c>
      <c r="H226" s="37" t="str">
        <f aca="false">IF(G226="","",D226*IFERROR(INDEX(Ürünler!$C$5:$C$204,MATCH(C226,Ürünler!$A$5:$A$204,0)),0))</f>
        <v/>
      </c>
      <c r="I226" s="37" t="str">
        <f aca="false">IF(G226="","",G226-H226)</f>
        <v/>
      </c>
      <c r="J226" s="33"/>
    </row>
    <row r="227" customFormat="false" ht="15" hidden="false" customHeight="false" outlineLevel="0" collapsed="false">
      <c r="A227" s="32"/>
      <c r="B227" s="33"/>
      <c r="C227" s="33"/>
      <c r="D227" s="34"/>
      <c r="E227" s="35"/>
      <c r="F227" s="36"/>
      <c r="G227" s="37" t="str">
        <f aca="false">IF(OR(C227="",D227=""),"",D227*IF(E227="",IFERROR(INDEX(Ürünler!$D$5:$D$204,MATCH(C227,Ürünler!$A$5:$A$204,0)),0),E227))</f>
        <v/>
      </c>
      <c r="H227" s="37" t="str">
        <f aca="false">IF(G227="","",D227*IFERROR(INDEX(Ürünler!$C$5:$C$204,MATCH(C227,Ürünler!$A$5:$A$204,0)),0))</f>
        <v/>
      </c>
      <c r="I227" s="37" t="str">
        <f aca="false">IF(G227="","",G227-H227)</f>
        <v/>
      </c>
      <c r="J227" s="33"/>
    </row>
    <row r="228" customFormat="false" ht="15" hidden="false" customHeight="false" outlineLevel="0" collapsed="false">
      <c r="A228" s="32"/>
      <c r="B228" s="33"/>
      <c r="C228" s="33"/>
      <c r="D228" s="34"/>
      <c r="E228" s="35"/>
      <c r="F228" s="36"/>
      <c r="G228" s="37" t="str">
        <f aca="false">IF(OR(C228="",D228=""),"",D228*IF(E228="",IFERROR(INDEX(Ürünler!$D$5:$D$204,MATCH(C228,Ürünler!$A$5:$A$204,0)),0),E228))</f>
        <v/>
      </c>
      <c r="H228" s="37" t="str">
        <f aca="false">IF(G228="","",D228*IFERROR(INDEX(Ürünler!$C$5:$C$204,MATCH(C228,Ürünler!$A$5:$A$204,0)),0))</f>
        <v/>
      </c>
      <c r="I228" s="37" t="str">
        <f aca="false">IF(G228="","",G228-H228)</f>
        <v/>
      </c>
      <c r="J228" s="33"/>
    </row>
    <row r="229" customFormat="false" ht="15" hidden="false" customHeight="false" outlineLevel="0" collapsed="false">
      <c r="A229" s="32"/>
      <c r="B229" s="33"/>
      <c r="C229" s="33"/>
      <c r="D229" s="34"/>
      <c r="E229" s="35"/>
      <c r="F229" s="36"/>
      <c r="G229" s="37" t="str">
        <f aca="false">IF(OR(C229="",D229=""),"",D229*IF(E229="",IFERROR(INDEX(Ürünler!$D$5:$D$204,MATCH(C229,Ürünler!$A$5:$A$204,0)),0),E229))</f>
        <v/>
      </c>
      <c r="H229" s="37" t="str">
        <f aca="false">IF(G229="","",D229*IFERROR(INDEX(Ürünler!$C$5:$C$204,MATCH(C229,Ürünler!$A$5:$A$204,0)),0))</f>
        <v/>
      </c>
      <c r="I229" s="37" t="str">
        <f aca="false">IF(G229="","",G229-H229)</f>
        <v/>
      </c>
      <c r="J229" s="33"/>
    </row>
    <row r="230" customFormat="false" ht="15" hidden="false" customHeight="false" outlineLevel="0" collapsed="false">
      <c r="A230" s="32"/>
      <c r="B230" s="33"/>
      <c r="C230" s="33"/>
      <c r="D230" s="34"/>
      <c r="E230" s="35"/>
      <c r="F230" s="36"/>
      <c r="G230" s="37" t="str">
        <f aca="false">IF(OR(C230="",D230=""),"",D230*IF(E230="",IFERROR(INDEX(Ürünler!$D$5:$D$204,MATCH(C230,Ürünler!$A$5:$A$204,0)),0),E230))</f>
        <v/>
      </c>
      <c r="H230" s="37" t="str">
        <f aca="false">IF(G230="","",D230*IFERROR(INDEX(Ürünler!$C$5:$C$204,MATCH(C230,Ürünler!$A$5:$A$204,0)),0))</f>
        <v/>
      </c>
      <c r="I230" s="37" t="str">
        <f aca="false">IF(G230="","",G230-H230)</f>
        <v/>
      </c>
      <c r="J230" s="33"/>
    </row>
    <row r="231" customFormat="false" ht="15" hidden="false" customHeight="false" outlineLevel="0" collapsed="false">
      <c r="A231" s="32"/>
      <c r="B231" s="33"/>
      <c r="C231" s="33"/>
      <c r="D231" s="34"/>
      <c r="E231" s="35"/>
      <c r="F231" s="36"/>
      <c r="G231" s="37" t="str">
        <f aca="false">IF(OR(C231="",D231=""),"",D231*IF(E231="",IFERROR(INDEX(Ürünler!$D$5:$D$204,MATCH(C231,Ürünler!$A$5:$A$204,0)),0),E231))</f>
        <v/>
      </c>
      <c r="H231" s="37" t="str">
        <f aca="false">IF(G231="","",D231*IFERROR(INDEX(Ürünler!$C$5:$C$204,MATCH(C231,Ürünler!$A$5:$A$204,0)),0))</f>
        <v/>
      </c>
      <c r="I231" s="37" t="str">
        <f aca="false">IF(G231="","",G231-H231)</f>
        <v/>
      </c>
      <c r="J231" s="33"/>
    </row>
    <row r="232" customFormat="false" ht="15" hidden="false" customHeight="false" outlineLevel="0" collapsed="false">
      <c r="A232" s="32"/>
      <c r="B232" s="33"/>
      <c r="C232" s="33"/>
      <c r="D232" s="34"/>
      <c r="E232" s="35"/>
      <c r="F232" s="36"/>
      <c r="G232" s="37" t="str">
        <f aca="false">IF(OR(C232="",D232=""),"",D232*IF(E232="",IFERROR(INDEX(Ürünler!$D$5:$D$204,MATCH(C232,Ürünler!$A$5:$A$204,0)),0),E232))</f>
        <v/>
      </c>
      <c r="H232" s="37" t="str">
        <f aca="false">IF(G232="","",D232*IFERROR(INDEX(Ürünler!$C$5:$C$204,MATCH(C232,Ürünler!$A$5:$A$204,0)),0))</f>
        <v/>
      </c>
      <c r="I232" s="37" t="str">
        <f aca="false">IF(G232="","",G232-H232)</f>
        <v/>
      </c>
      <c r="J232" s="33"/>
    </row>
    <row r="233" customFormat="false" ht="15" hidden="false" customHeight="false" outlineLevel="0" collapsed="false">
      <c r="A233" s="32"/>
      <c r="B233" s="33"/>
      <c r="C233" s="33"/>
      <c r="D233" s="34"/>
      <c r="E233" s="35"/>
      <c r="F233" s="36"/>
      <c r="G233" s="37" t="str">
        <f aca="false">IF(OR(C233="",D233=""),"",D233*IF(E233="",IFERROR(INDEX(Ürünler!$D$5:$D$204,MATCH(C233,Ürünler!$A$5:$A$204,0)),0),E233))</f>
        <v/>
      </c>
      <c r="H233" s="37" t="str">
        <f aca="false">IF(G233="","",D233*IFERROR(INDEX(Ürünler!$C$5:$C$204,MATCH(C233,Ürünler!$A$5:$A$204,0)),0))</f>
        <v/>
      </c>
      <c r="I233" s="37" t="str">
        <f aca="false">IF(G233="","",G233-H233)</f>
        <v/>
      </c>
      <c r="J233" s="33"/>
    </row>
    <row r="234" customFormat="false" ht="15" hidden="false" customHeight="false" outlineLevel="0" collapsed="false">
      <c r="A234" s="32"/>
      <c r="B234" s="33"/>
      <c r="C234" s="33"/>
      <c r="D234" s="34"/>
      <c r="E234" s="35"/>
      <c r="F234" s="36"/>
      <c r="G234" s="37" t="str">
        <f aca="false">IF(OR(C234="",D234=""),"",D234*IF(E234="",IFERROR(INDEX(Ürünler!$D$5:$D$204,MATCH(C234,Ürünler!$A$5:$A$204,0)),0),E234))</f>
        <v/>
      </c>
      <c r="H234" s="37" t="str">
        <f aca="false">IF(G234="","",D234*IFERROR(INDEX(Ürünler!$C$5:$C$204,MATCH(C234,Ürünler!$A$5:$A$204,0)),0))</f>
        <v/>
      </c>
      <c r="I234" s="37" t="str">
        <f aca="false">IF(G234="","",G234-H234)</f>
        <v/>
      </c>
      <c r="J234" s="33"/>
    </row>
    <row r="235" customFormat="false" ht="15" hidden="false" customHeight="false" outlineLevel="0" collapsed="false">
      <c r="A235" s="32"/>
      <c r="B235" s="33"/>
      <c r="C235" s="33"/>
      <c r="D235" s="34"/>
      <c r="E235" s="35"/>
      <c r="F235" s="36"/>
      <c r="G235" s="37" t="str">
        <f aca="false">IF(OR(C235="",D235=""),"",D235*IF(E235="",IFERROR(INDEX(Ürünler!$D$5:$D$204,MATCH(C235,Ürünler!$A$5:$A$204,0)),0),E235))</f>
        <v/>
      </c>
      <c r="H235" s="37" t="str">
        <f aca="false">IF(G235="","",D235*IFERROR(INDEX(Ürünler!$C$5:$C$204,MATCH(C235,Ürünler!$A$5:$A$204,0)),0))</f>
        <v/>
      </c>
      <c r="I235" s="37" t="str">
        <f aca="false">IF(G235="","",G235-H235)</f>
        <v/>
      </c>
      <c r="J235" s="33"/>
    </row>
    <row r="236" customFormat="false" ht="15" hidden="false" customHeight="false" outlineLevel="0" collapsed="false">
      <c r="A236" s="32"/>
      <c r="B236" s="33"/>
      <c r="C236" s="33"/>
      <c r="D236" s="34"/>
      <c r="E236" s="35"/>
      <c r="F236" s="36"/>
      <c r="G236" s="37" t="str">
        <f aca="false">IF(OR(C236="",D236=""),"",D236*IF(E236="",IFERROR(INDEX(Ürünler!$D$5:$D$204,MATCH(C236,Ürünler!$A$5:$A$204,0)),0),E236))</f>
        <v/>
      </c>
      <c r="H236" s="37" t="str">
        <f aca="false">IF(G236="","",D236*IFERROR(INDEX(Ürünler!$C$5:$C$204,MATCH(C236,Ürünler!$A$5:$A$204,0)),0))</f>
        <v/>
      </c>
      <c r="I236" s="37" t="str">
        <f aca="false">IF(G236="","",G236-H236)</f>
        <v/>
      </c>
      <c r="J236" s="33"/>
    </row>
    <row r="237" customFormat="false" ht="15" hidden="false" customHeight="false" outlineLevel="0" collapsed="false">
      <c r="A237" s="32"/>
      <c r="B237" s="33"/>
      <c r="C237" s="33"/>
      <c r="D237" s="34"/>
      <c r="E237" s="35"/>
      <c r="F237" s="36"/>
      <c r="G237" s="37" t="str">
        <f aca="false">IF(OR(C237="",D237=""),"",D237*IF(E237="",IFERROR(INDEX(Ürünler!$D$5:$D$204,MATCH(C237,Ürünler!$A$5:$A$204,0)),0),E237))</f>
        <v/>
      </c>
      <c r="H237" s="37" t="str">
        <f aca="false">IF(G237="","",D237*IFERROR(INDEX(Ürünler!$C$5:$C$204,MATCH(C237,Ürünler!$A$5:$A$204,0)),0))</f>
        <v/>
      </c>
      <c r="I237" s="37" t="str">
        <f aca="false">IF(G237="","",G237-H237)</f>
        <v/>
      </c>
      <c r="J237" s="33"/>
    </row>
    <row r="238" customFormat="false" ht="15" hidden="false" customHeight="false" outlineLevel="0" collapsed="false">
      <c r="A238" s="32"/>
      <c r="B238" s="33"/>
      <c r="C238" s="33"/>
      <c r="D238" s="34"/>
      <c r="E238" s="35"/>
      <c r="F238" s="36"/>
      <c r="G238" s="37" t="str">
        <f aca="false">IF(OR(C238="",D238=""),"",D238*IF(E238="",IFERROR(INDEX(Ürünler!$D$5:$D$204,MATCH(C238,Ürünler!$A$5:$A$204,0)),0),E238))</f>
        <v/>
      </c>
      <c r="H238" s="37" t="str">
        <f aca="false">IF(G238="","",D238*IFERROR(INDEX(Ürünler!$C$5:$C$204,MATCH(C238,Ürünler!$A$5:$A$204,0)),0))</f>
        <v/>
      </c>
      <c r="I238" s="37" t="str">
        <f aca="false">IF(G238="","",G238-H238)</f>
        <v/>
      </c>
      <c r="J238" s="33"/>
    </row>
    <row r="239" customFormat="false" ht="15" hidden="false" customHeight="false" outlineLevel="0" collapsed="false">
      <c r="A239" s="32"/>
      <c r="B239" s="33"/>
      <c r="C239" s="33"/>
      <c r="D239" s="34"/>
      <c r="E239" s="35"/>
      <c r="F239" s="36"/>
      <c r="G239" s="37" t="str">
        <f aca="false">IF(OR(C239="",D239=""),"",D239*IF(E239="",IFERROR(INDEX(Ürünler!$D$5:$D$204,MATCH(C239,Ürünler!$A$5:$A$204,0)),0),E239))</f>
        <v/>
      </c>
      <c r="H239" s="37" t="str">
        <f aca="false">IF(G239="","",D239*IFERROR(INDEX(Ürünler!$C$5:$C$204,MATCH(C239,Ürünler!$A$5:$A$204,0)),0))</f>
        <v/>
      </c>
      <c r="I239" s="37" t="str">
        <f aca="false">IF(G239="","",G239-H239)</f>
        <v/>
      </c>
      <c r="J239" s="33"/>
    </row>
    <row r="240" customFormat="false" ht="15" hidden="false" customHeight="false" outlineLevel="0" collapsed="false">
      <c r="A240" s="32"/>
      <c r="B240" s="33"/>
      <c r="C240" s="33"/>
      <c r="D240" s="34"/>
      <c r="E240" s="35"/>
      <c r="F240" s="36"/>
      <c r="G240" s="37" t="str">
        <f aca="false">IF(OR(C240="",D240=""),"",D240*IF(E240="",IFERROR(INDEX(Ürünler!$D$5:$D$204,MATCH(C240,Ürünler!$A$5:$A$204,0)),0),E240))</f>
        <v/>
      </c>
      <c r="H240" s="37" t="str">
        <f aca="false">IF(G240="","",D240*IFERROR(INDEX(Ürünler!$C$5:$C$204,MATCH(C240,Ürünler!$A$5:$A$204,0)),0))</f>
        <v/>
      </c>
      <c r="I240" s="37" t="str">
        <f aca="false">IF(G240="","",G240-H240)</f>
        <v/>
      </c>
      <c r="J240" s="33"/>
    </row>
    <row r="241" customFormat="false" ht="15" hidden="false" customHeight="false" outlineLevel="0" collapsed="false">
      <c r="A241" s="32"/>
      <c r="B241" s="33"/>
      <c r="C241" s="33"/>
      <c r="D241" s="34"/>
      <c r="E241" s="35"/>
      <c r="F241" s="36"/>
      <c r="G241" s="37" t="str">
        <f aca="false">IF(OR(C241="",D241=""),"",D241*IF(E241="",IFERROR(INDEX(Ürünler!$D$5:$D$204,MATCH(C241,Ürünler!$A$5:$A$204,0)),0),E241))</f>
        <v/>
      </c>
      <c r="H241" s="37" t="str">
        <f aca="false">IF(G241="","",D241*IFERROR(INDEX(Ürünler!$C$5:$C$204,MATCH(C241,Ürünler!$A$5:$A$204,0)),0))</f>
        <v/>
      </c>
      <c r="I241" s="37" t="str">
        <f aca="false">IF(G241="","",G241-H241)</f>
        <v/>
      </c>
      <c r="J241" s="33"/>
    </row>
    <row r="242" customFormat="false" ht="15" hidden="false" customHeight="false" outlineLevel="0" collapsed="false">
      <c r="A242" s="32"/>
      <c r="B242" s="33"/>
      <c r="C242" s="33"/>
      <c r="D242" s="34"/>
      <c r="E242" s="35"/>
      <c r="F242" s="36"/>
      <c r="G242" s="37" t="str">
        <f aca="false">IF(OR(C242="",D242=""),"",D242*IF(E242="",IFERROR(INDEX(Ürünler!$D$5:$D$204,MATCH(C242,Ürünler!$A$5:$A$204,0)),0),E242))</f>
        <v/>
      </c>
      <c r="H242" s="37" t="str">
        <f aca="false">IF(G242="","",D242*IFERROR(INDEX(Ürünler!$C$5:$C$204,MATCH(C242,Ürünler!$A$5:$A$204,0)),0))</f>
        <v/>
      </c>
      <c r="I242" s="37" t="str">
        <f aca="false">IF(G242="","",G242-H242)</f>
        <v/>
      </c>
      <c r="J242" s="33"/>
    </row>
    <row r="243" customFormat="false" ht="15" hidden="false" customHeight="false" outlineLevel="0" collapsed="false">
      <c r="A243" s="32"/>
      <c r="B243" s="33"/>
      <c r="C243" s="33"/>
      <c r="D243" s="34"/>
      <c r="E243" s="35"/>
      <c r="F243" s="36"/>
      <c r="G243" s="37" t="str">
        <f aca="false">IF(OR(C243="",D243=""),"",D243*IF(E243="",IFERROR(INDEX(Ürünler!$D$5:$D$204,MATCH(C243,Ürünler!$A$5:$A$204,0)),0),E243))</f>
        <v/>
      </c>
      <c r="H243" s="37" t="str">
        <f aca="false">IF(G243="","",D243*IFERROR(INDEX(Ürünler!$C$5:$C$204,MATCH(C243,Ürünler!$A$5:$A$204,0)),0))</f>
        <v/>
      </c>
      <c r="I243" s="37" t="str">
        <f aca="false">IF(G243="","",G243-H243)</f>
        <v/>
      </c>
      <c r="J243" s="33"/>
    </row>
    <row r="244" customFormat="false" ht="15" hidden="false" customHeight="false" outlineLevel="0" collapsed="false">
      <c r="A244" s="32"/>
      <c r="B244" s="33"/>
      <c r="C244" s="33"/>
      <c r="D244" s="34"/>
      <c r="E244" s="35"/>
      <c r="F244" s="36"/>
      <c r="G244" s="37" t="str">
        <f aca="false">IF(OR(C244="",D244=""),"",D244*IF(E244="",IFERROR(INDEX(Ürünler!$D$5:$D$204,MATCH(C244,Ürünler!$A$5:$A$204,0)),0),E244))</f>
        <v/>
      </c>
      <c r="H244" s="37" t="str">
        <f aca="false">IF(G244="","",D244*IFERROR(INDEX(Ürünler!$C$5:$C$204,MATCH(C244,Ürünler!$A$5:$A$204,0)),0))</f>
        <v/>
      </c>
      <c r="I244" s="37" t="str">
        <f aca="false">IF(G244="","",G244-H244)</f>
        <v/>
      </c>
      <c r="J244" s="33"/>
    </row>
    <row r="245" customFormat="false" ht="15" hidden="false" customHeight="false" outlineLevel="0" collapsed="false">
      <c r="A245" s="32"/>
      <c r="B245" s="33"/>
      <c r="C245" s="33"/>
      <c r="D245" s="34"/>
      <c r="E245" s="35"/>
      <c r="F245" s="36"/>
      <c r="G245" s="37" t="str">
        <f aca="false">IF(OR(C245="",D245=""),"",D245*IF(E245="",IFERROR(INDEX(Ürünler!$D$5:$D$204,MATCH(C245,Ürünler!$A$5:$A$204,0)),0),E245))</f>
        <v/>
      </c>
      <c r="H245" s="37" t="str">
        <f aca="false">IF(G245="","",D245*IFERROR(INDEX(Ürünler!$C$5:$C$204,MATCH(C245,Ürünler!$A$5:$A$204,0)),0))</f>
        <v/>
      </c>
      <c r="I245" s="37" t="str">
        <f aca="false">IF(G245="","",G245-H245)</f>
        <v/>
      </c>
      <c r="J245" s="33"/>
    </row>
    <row r="246" customFormat="false" ht="15" hidden="false" customHeight="false" outlineLevel="0" collapsed="false">
      <c r="A246" s="32"/>
      <c r="B246" s="33"/>
      <c r="C246" s="33"/>
      <c r="D246" s="34"/>
      <c r="E246" s="35"/>
      <c r="F246" s="36"/>
      <c r="G246" s="37" t="str">
        <f aca="false">IF(OR(C246="",D246=""),"",D246*IF(E246="",IFERROR(INDEX(Ürünler!$D$5:$D$204,MATCH(C246,Ürünler!$A$5:$A$204,0)),0),E246))</f>
        <v/>
      </c>
      <c r="H246" s="37" t="str">
        <f aca="false">IF(G246="","",D246*IFERROR(INDEX(Ürünler!$C$5:$C$204,MATCH(C246,Ürünler!$A$5:$A$204,0)),0))</f>
        <v/>
      </c>
      <c r="I246" s="37" t="str">
        <f aca="false">IF(G246="","",G246-H246)</f>
        <v/>
      </c>
      <c r="J246" s="33"/>
    </row>
    <row r="247" customFormat="false" ht="15" hidden="false" customHeight="false" outlineLevel="0" collapsed="false">
      <c r="A247" s="32"/>
      <c r="B247" s="33"/>
      <c r="C247" s="33"/>
      <c r="D247" s="34"/>
      <c r="E247" s="35"/>
      <c r="F247" s="36"/>
      <c r="G247" s="37" t="str">
        <f aca="false">IF(OR(C247="",D247=""),"",D247*IF(E247="",IFERROR(INDEX(Ürünler!$D$5:$D$204,MATCH(C247,Ürünler!$A$5:$A$204,0)),0),E247))</f>
        <v/>
      </c>
      <c r="H247" s="37" t="str">
        <f aca="false">IF(G247="","",D247*IFERROR(INDEX(Ürünler!$C$5:$C$204,MATCH(C247,Ürünler!$A$5:$A$204,0)),0))</f>
        <v/>
      </c>
      <c r="I247" s="37" t="str">
        <f aca="false">IF(G247="","",G247-H247)</f>
        <v/>
      </c>
      <c r="J247" s="33"/>
    </row>
    <row r="248" customFormat="false" ht="15" hidden="false" customHeight="false" outlineLevel="0" collapsed="false">
      <c r="A248" s="32"/>
      <c r="B248" s="33"/>
      <c r="C248" s="33"/>
      <c r="D248" s="34"/>
      <c r="E248" s="35"/>
      <c r="F248" s="36"/>
      <c r="G248" s="37" t="str">
        <f aca="false">IF(OR(C248="",D248=""),"",D248*IF(E248="",IFERROR(INDEX(Ürünler!$D$5:$D$204,MATCH(C248,Ürünler!$A$5:$A$204,0)),0),E248))</f>
        <v/>
      </c>
      <c r="H248" s="37" t="str">
        <f aca="false">IF(G248="","",D248*IFERROR(INDEX(Ürünler!$C$5:$C$204,MATCH(C248,Ürünler!$A$5:$A$204,0)),0))</f>
        <v/>
      </c>
      <c r="I248" s="37" t="str">
        <f aca="false">IF(G248="","",G248-H248)</f>
        <v/>
      </c>
      <c r="J248" s="33"/>
    </row>
    <row r="249" customFormat="false" ht="15" hidden="false" customHeight="false" outlineLevel="0" collapsed="false">
      <c r="A249" s="32"/>
      <c r="B249" s="33"/>
      <c r="C249" s="33"/>
      <c r="D249" s="34"/>
      <c r="E249" s="35"/>
      <c r="F249" s="36"/>
      <c r="G249" s="37" t="str">
        <f aca="false">IF(OR(C249="",D249=""),"",D249*IF(E249="",IFERROR(INDEX(Ürünler!$D$5:$D$204,MATCH(C249,Ürünler!$A$5:$A$204,0)),0),E249))</f>
        <v/>
      </c>
      <c r="H249" s="37" t="str">
        <f aca="false">IF(G249="","",D249*IFERROR(INDEX(Ürünler!$C$5:$C$204,MATCH(C249,Ürünler!$A$5:$A$204,0)),0))</f>
        <v/>
      </c>
      <c r="I249" s="37" t="str">
        <f aca="false">IF(G249="","",G249-H249)</f>
        <v/>
      </c>
      <c r="J249" s="33"/>
    </row>
    <row r="250" customFormat="false" ht="15" hidden="false" customHeight="false" outlineLevel="0" collapsed="false">
      <c r="A250" s="32"/>
      <c r="B250" s="33"/>
      <c r="C250" s="33"/>
      <c r="D250" s="34"/>
      <c r="E250" s="35"/>
      <c r="F250" s="36"/>
      <c r="G250" s="37" t="str">
        <f aca="false">IF(OR(C250="",D250=""),"",D250*IF(E250="",IFERROR(INDEX(Ürünler!$D$5:$D$204,MATCH(C250,Ürünler!$A$5:$A$204,0)),0),E250))</f>
        <v/>
      </c>
      <c r="H250" s="37" t="str">
        <f aca="false">IF(G250="","",D250*IFERROR(INDEX(Ürünler!$C$5:$C$204,MATCH(C250,Ürünler!$A$5:$A$204,0)),0))</f>
        <v/>
      </c>
      <c r="I250" s="37" t="str">
        <f aca="false">IF(G250="","",G250-H250)</f>
        <v/>
      </c>
      <c r="J250" s="33"/>
    </row>
    <row r="251" customFormat="false" ht="15" hidden="false" customHeight="false" outlineLevel="0" collapsed="false">
      <c r="A251" s="32"/>
      <c r="B251" s="33"/>
      <c r="C251" s="33"/>
      <c r="D251" s="34"/>
      <c r="E251" s="35"/>
      <c r="F251" s="36"/>
      <c r="G251" s="37" t="str">
        <f aca="false">IF(OR(C251="",D251=""),"",D251*IF(E251="",IFERROR(INDEX(Ürünler!$D$5:$D$204,MATCH(C251,Ürünler!$A$5:$A$204,0)),0),E251))</f>
        <v/>
      </c>
      <c r="H251" s="37" t="str">
        <f aca="false">IF(G251="","",D251*IFERROR(INDEX(Ürünler!$C$5:$C$204,MATCH(C251,Ürünler!$A$5:$A$204,0)),0))</f>
        <v/>
      </c>
      <c r="I251" s="37" t="str">
        <f aca="false">IF(G251="","",G251-H251)</f>
        <v/>
      </c>
      <c r="J251" s="33"/>
    </row>
    <row r="252" customFormat="false" ht="15" hidden="false" customHeight="false" outlineLevel="0" collapsed="false">
      <c r="A252" s="32"/>
      <c r="B252" s="33"/>
      <c r="C252" s="33"/>
      <c r="D252" s="34"/>
      <c r="E252" s="35"/>
      <c r="F252" s="36"/>
      <c r="G252" s="37" t="str">
        <f aca="false">IF(OR(C252="",D252=""),"",D252*IF(E252="",IFERROR(INDEX(Ürünler!$D$5:$D$204,MATCH(C252,Ürünler!$A$5:$A$204,0)),0),E252))</f>
        <v/>
      </c>
      <c r="H252" s="37" t="str">
        <f aca="false">IF(G252="","",D252*IFERROR(INDEX(Ürünler!$C$5:$C$204,MATCH(C252,Ürünler!$A$5:$A$204,0)),0))</f>
        <v/>
      </c>
      <c r="I252" s="37" t="str">
        <f aca="false">IF(G252="","",G252-H252)</f>
        <v/>
      </c>
      <c r="J252" s="33"/>
    </row>
    <row r="253" customFormat="false" ht="15" hidden="false" customHeight="false" outlineLevel="0" collapsed="false">
      <c r="A253" s="32"/>
      <c r="B253" s="33"/>
      <c r="C253" s="33"/>
      <c r="D253" s="34"/>
      <c r="E253" s="35"/>
      <c r="F253" s="36"/>
      <c r="G253" s="37" t="str">
        <f aca="false">IF(OR(C253="",D253=""),"",D253*IF(E253="",IFERROR(INDEX(Ürünler!$D$5:$D$204,MATCH(C253,Ürünler!$A$5:$A$204,0)),0),E253))</f>
        <v/>
      </c>
      <c r="H253" s="37" t="str">
        <f aca="false">IF(G253="","",D253*IFERROR(INDEX(Ürünler!$C$5:$C$204,MATCH(C253,Ürünler!$A$5:$A$204,0)),0))</f>
        <v/>
      </c>
      <c r="I253" s="37" t="str">
        <f aca="false">IF(G253="","",G253-H253)</f>
        <v/>
      </c>
      <c r="J253" s="33"/>
    </row>
    <row r="254" customFormat="false" ht="15" hidden="false" customHeight="false" outlineLevel="0" collapsed="false">
      <c r="A254" s="32"/>
      <c r="B254" s="33"/>
      <c r="C254" s="33"/>
      <c r="D254" s="34"/>
      <c r="E254" s="35"/>
      <c r="F254" s="36"/>
      <c r="G254" s="37" t="str">
        <f aca="false">IF(OR(C254="",D254=""),"",D254*IF(E254="",IFERROR(INDEX(Ürünler!$D$5:$D$204,MATCH(C254,Ürünler!$A$5:$A$204,0)),0),E254))</f>
        <v/>
      </c>
      <c r="H254" s="37" t="str">
        <f aca="false">IF(G254="","",D254*IFERROR(INDEX(Ürünler!$C$5:$C$204,MATCH(C254,Ürünler!$A$5:$A$204,0)),0))</f>
        <v/>
      </c>
      <c r="I254" s="37" t="str">
        <f aca="false">IF(G254="","",G254-H254)</f>
        <v/>
      </c>
      <c r="J254" s="33"/>
    </row>
    <row r="255" customFormat="false" ht="15" hidden="false" customHeight="false" outlineLevel="0" collapsed="false">
      <c r="A255" s="32"/>
      <c r="B255" s="33"/>
      <c r="C255" s="33"/>
      <c r="D255" s="34"/>
      <c r="E255" s="35"/>
      <c r="F255" s="36"/>
      <c r="G255" s="37" t="str">
        <f aca="false">IF(OR(C255="",D255=""),"",D255*IF(E255="",IFERROR(INDEX(Ürünler!$D$5:$D$204,MATCH(C255,Ürünler!$A$5:$A$204,0)),0),E255))</f>
        <v/>
      </c>
      <c r="H255" s="37" t="str">
        <f aca="false">IF(G255="","",D255*IFERROR(INDEX(Ürünler!$C$5:$C$204,MATCH(C255,Ürünler!$A$5:$A$204,0)),0))</f>
        <v/>
      </c>
      <c r="I255" s="37" t="str">
        <f aca="false">IF(G255="","",G255-H255)</f>
        <v/>
      </c>
      <c r="J255" s="33"/>
    </row>
    <row r="256" customFormat="false" ht="15" hidden="false" customHeight="false" outlineLevel="0" collapsed="false">
      <c r="A256" s="32"/>
      <c r="B256" s="33"/>
      <c r="C256" s="33"/>
      <c r="D256" s="34"/>
      <c r="E256" s="35"/>
      <c r="F256" s="36"/>
      <c r="G256" s="37" t="str">
        <f aca="false">IF(OR(C256="",D256=""),"",D256*IF(E256="",IFERROR(INDEX(Ürünler!$D$5:$D$204,MATCH(C256,Ürünler!$A$5:$A$204,0)),0),E256))</f>
        <v/>
      </c>
      <c r="H256" s="37" t="str">
        <f aca="false">IF(G256="","",D256*IFERROR(INDEX(Ürünler!$C$5:$C$204,MATCH(C256,Ürünler!$A$5:$A$204,0)),0))</f>
        <v/>
      </c>
      <c r="I256" s="37" t="str">
        <f aca="false">IF(G256="","",G256-H256)</f>
        <v/>
      </c>
      <c r="J256" s="33"/>
    </row>
    <row r="257" customFormat="false" ht="15" hidden="false" customHeight="false" outlineLevel="0" collapsed="false">
      <c r="A257" s="32"/>
      <c r="B257" s="33"/>
      <c r="C257" s="33"/>
      <c r="D257" s="34"/>
      <c r="E257" s="35"/>
      <c r="F257" s="36"/>
      <c r="G257" s="37" t="str">
        <f aca="false">IF(OR(C257="",D257=""),"",D257*IF(E257="",IFERROR(INDEX(Ürünler!$D$5:$D$204,MATCH(C257,Ürünler!$A$5:$A$204,0)),0),E257))</f>
        <v/>
      </c>
      <c r="H257" s="37" t="str">
        <f aca="false">IF(G257="","",D257*IFERROR(INDEX(Ürünler!$C$5:$C$204,MATCH(C257,Ürünler!$A$5:$A$204,0)),0))</f>
        <v/>
      </c>
      <c r="I257" s="37" t="str">
        <f aca="false">IF(G257="","",G257-H257)</f>
        <v/>
      </c>
      <c r="J257" s="33"/>
    </row>
    <row r="258" customFormat="false" ht="15" hidden="false" customHeight="false" outlineLevel="0" collapsed="false">
      <c r="A258" s="32"/>
      <c r="B258" s="33"/>
      <c r="C258" s="33"/>
      <c r="D258" s="34"/>
      <c r="E258" s="35"/>
      <c r="F258" s="36"/>
      <c r="G258" s="37" t="str">
        <f aca="false">IF(OR(C258="",D258=""),"",D258*IF(E258="",IFERROR(INDEX(Ürünler!$D$5:$D$204,MATCH(C258,Ürünler!$A$5:$A$204,0)),0),E258))</f>
        <v/>
      </c>
      <c r="H258" s="37" t="str">
        <f aca="false">IF(G258="","",D258*IFERROR(INDEX(Ürünler!$C$5:$C$204,MATCH(C258,Ürünler!$A$5:$A$204,0)),0))</f>
        <v/>
      </c>
      <c r="I258" s="37" t="str">
        <f aca="false">IF(G258="","",G258-H258)</f>
        <v/>
      </c>
      <c r="J258" s="33"/>
    </row>
    <row r="259" customFormat="false" ht="15" hidden="false" customHeight="false" outlineLevel="0" collapsed="false">
      <c r="A259" s="32"/>
      <c r="B259" s="33"/>
      <c r="C259" s="33"/>
      <c r="D259" s="34"/>
      <c r="E259" s="35"/>
      <c r="F259" s="36"/>
      <c r="G259" s="37" t="str">
        <f aca="false">IF(OR(C259="",D259=""),"",D259*IF(E259="",IFERROR(INDEX(Ürünler!$D$5:$D$204,MATCH(C259,Ürünler!$A$5:$A$204,0)),0),E259))</f>
        <v/>
      </c>
      <c r="H259" s="37" t="str">
        <f aca="false">IF(G259="","",D259*IFERROR(INDEX(Ürünler!$C$5:$C$204,MATCH(C259,Ürünler!$A$5:$A$204,0)),0))</f>
        <v/>
      </c>
      <c r="I259" s="37" t="str">
        <f aca="false">IF(G259="","",G259-H259)</f>
        <v/>
      </c>
      <c r="J259" s="33"/>
    </row>
    <row r="260" customFormat="false" ht="15" hidden="false" customHeight="false" outlineLevel="0" collapsed="false">
      <c r="A260" s="32"/>
      <c r="B260" s="33"/>
      <c r="C260" s="33"/>
      <c r="D260" s="34"/>
      <c r="E260" s="35"/>
      <c r="F260" s="36"/>
      <c r="G260" s="37" t="str">
        <f aca="false">IF(OR(C260="",D260=""),"",D260*IF(E260="",IFERROR(INDEX(Ürünler!$D$5:$D$204,MATCH(C260,Ürünler!$A$5:$A$204,0)),0),E260))</f>
        <v/>
      </c>
      <c r="H260" s="37" t="str">
        <f aca="false">IF(G260="","",D260*IFERROR(INDEX(Ürünler!$C$5:$C$204,MATCH(C260,Ürünler!$A$5:$A$204,0)),0))</f>
        <v/>
      </c>
      <c r="I260" s="37" t="str">
        <f aca="false">IF(G260="","",G260-H260)</f>
        <v/>
      </c>
      <c r="J260" s="33"/>
    </row>
    <row r="261" customFormat="false" ht="15" hidden="false" customHeight="false" outlineLevel="0" collapsed="false">
      <c r="A261" s="32"/>
      <c r="B261" s="33"/>
      <c r="C261" s="33"/>
      <c r="D261" s="34"/>
      <c r="E261" s="35"/>
      <c r="F261" s="36"/>
      <c r="G261" s="37" t="str">
        <f aca="false">IF(OR(C261="",D261=""),"",D261*IF(E261="",IFERROR(INDEX(Ürünler!$D$5:$D$204,MATCH(C261,Ürünler!$A$5:$A$204,0)),0),E261))</f>
        <v/>
      </c>
      <c r="H261" s="37" t="str">
        <f aca="false">IF(G261="","",D261*IFERROR(INDEX(Ürünler!$C$5:$C$204,MATCH(C261,Ürünler!$A$5:$A$204,0)),0))</f>
        <v/>
      </c>
      <c r="I261" s="37" t="str">
        <f aca="false">IF(G261="","",G261-H261)</f>
        <v/>
      </c>
      <c r="J261" s="33"/>
    </row>
    <row r="262" customFormat="false" ht="15" hidden="false" customHeight="false" outlineLevel="0" collapsed="false">
      <c r="A262" s="32"/>
      <c r="B262" s="33"/>
      <c r="C262" s="33"/>
      <c r="D262" s="34"/>
      <c r="E262" s="35"/>
      <c r="F262" s="36"/>
      <c r="G262" s="37" t="str">
        <f aca="false">IF(OR(C262="",D262=""),"",D262*IF(E262="",IFERROR(INDEX(Ürünler!$D$5:$D$204,MATCH(C262,Ürünler!$A$5:$A$204,0)),0),E262))</f>
        <v/>
      </c>
      <c r="H262" s="37" t="str">
        <f aca="false">IF(G262="","",D262*IFERROR(INDEX(Ürünler!$C$5:$C$204,MATCH(C262,Ürünler!$A$5:$A$204,0)),0))</f>
        <v/>
      </c>
      <c r="I262" s="37" t="str">
        <f aca="false">IF(G262="","",G262-H262)</f>
        <v/>
      </c>
      <c r="J262" s="33"/>
    </row>
    <row r="263" customFormat="false" ht="15" hidden="false" customHeight="false" outlineLevel="0" collapsed="false">
      <c r="A263" s="32"/>
      <c r="B263" s="33"/>
      <c r="C263" s="33"/>
      <c r="D263" s="34"/>
      <c r="E263" s="35"/>
      <c r="F263" s="36"/>
      <c r="G263" s="37" t="str">
        <f aca="false">IF(OR(C263="",D263=""),"",D263*IF(E263="",IFERROR(INDEX(Ürünler!$D$5:$D$204,MATCH(C263,Ürünler!$A$5:$A$204,0)),0),E263))</f>
        <v/>
      </c>
      <c r="H263" s="37" t="str">
        <f aca="false">IF(G263="","",D263*IFERROR(INDEX(Ürünler!$C$5:$C$204,MATCH(C263,Ürünler!$A$5:$A$204,0)),0))</f>
        <v/>
      </c>
      <c r="I263" s="37" t="str">
        <f aca="false">IF(G263="","",G263-H263)</f>
        <v/>
      </c>
      <c r="J263" s="33"/>
    </row>
    <row r="264" customFormat="false" ht="15" hidden="false" customHeight="false" outlineLevel="0" collapsed="false">
      <c r="A264" s="32"/>
      <c r="B264" s="33"/>
      <c r="C264" s="33"/>
      <c r="D264" s="34"/>
      <c r="E264" s="35"/>
      <c r="F264" s="36"/>
      <c r="G264" s="37" t="str">
        <f aca="false">IF(OR(C264="",D264=""),"",D264*IF(E264="",IFERROR(INDEX(Ürünler!$D$5:$D$204,MATCH(C264,Ürünler!$A$5:$A$204,0)),0),E264))</f>
        <v/>
      </c>
      <c r="H264" s="37" t="str">
        <f aca="false">IF(G264="","",D264*IFERROR(INDEX(Ürünler!$C$5:$C$204,MATCH(C264,Ürünler!$A$5:$A$204,0)),0))</f>
        <v/>
      </c>
      <c r="I264" s="37" t="str">
        <f aca="false">IF(G264="","",G264-H264)</f>
        <v/>
      </c>
      <c r="J264" s="33"/>
    </row>
    <row r="265" customFormat="false" ht="15" hidden="false" customHeight="false" outlineLevel="0" collapsed="false">
      <c r="A265" s="32"/>
      <c r="B265" s="33"/>
      <c r="C265" s="33"/>
      <c r="D265" s="34"/>
      <c r="E265" s="35"/>
      <c r="F265" s="36"/>
      <c r="G265" s="37" t="str">
        <f aca="false">IF(OR(C265="",D265=""),"",D265*IF(E265="",IFERROR(INDEX(Ürünler!$D$5:$D$204,MATCH(C265,Ürünler!$A$5:$A$204,0)),0),E265))</f>
        <v/>
      </c>
      <c r="H265" s="37" t="str">
        <f aca="false">IF(G265="","",D265*IFERROR(INDEX(Ürünler!$C$5:$C$204,MATCH(C265,Ürünler!$A$5:$A$204,0)),0))</f>
        <v/>
      </c>
      <c r="I265" s="37" t="str">
        <f aca="false">IF(G265="","",G265-H265)</f>
        <v/>
      </c>
      <c r="J265" s="33"/>
    </row>
    <row r="266" customFormat="false" ht="15" hidden="false" customHeight="false" outlineLevel="0" collapsed="false">
      <c r="A266" s="32"/>
      <c r="B266" s="33"/>
      <c r="C266" s="33"/>
      <c r="D266" s="34"/>
      <c r="E266" s="35"/>
      <c r="F266" s="36"/>
      <c r="G266" s="37" t="str">
        <f aca="false">IF(OR(C266="",D266=""),"",D266*IF(E266="",IFERROR(INDEX(Ürünler!$D$5:$D$204,MATCH(C266,Ürünler!$A$5:$A$204,0)),0),E266))</f>
        <v/>
      </c>
      <c r="H266" s="37" t="str">
        <f aca="false">IF(G266="","",D266*IFERROR(INDEX(Ürünler!$C$5:$C$204,MATCH(C266,Ürünler!$A$5:$A$204,0)),0))</f>
        <v/>
      </c>
      <c r="I266" s="37" t="str">
        <f aca="false">IF(G266="","",G266-H266)</f>
        <v/>
      </c>
      <c r="J266" s="33"/>
    </row>
    <row r="267" customFormat="false" ht="15" hidden="false" customHeight="false" outlineLevel="0" collapsed="false">
      <c r="A267" s="32"/>
      <c r="B267" s="33"/>
      <c r="C267" s="33"/>
      <c r="D267" s="34"/>
      <c r="E267" s="35"/>
      <c r="F267" s="36"/>
      <c r="G267" s="37" t="str">
        <f aca="false">IF(OR(C267="",D267=""),"",D267*IF(E267="",IFERROR(INDEX(Ürünler!$D$5:$D$204,MATCH(C267,Ürünler!$A$5:$A$204,0)),0),E267))</f>
        <v/>
      </c>
      <c r="H267" s="37" t="str">
        <f aca="false">IF(G267="","",D267*IFERROR(INDEX(Ürünler!$C$5:$C$204,MATCH(C267,Ürünler!$A$5:$A$204,0)),0))</f>
        <v/>
      </c>
      <c r="I267" s="37" t="str">
        <f aca="false">IF(G267="","",G267-H267)</f>
        <v/>
      </c>
      <c r="J267" s="33"/>
    </row>
    <row r="268" customFormat="false" ht="15" hidden="false" customHeight="false" outlineLevel="0" collapsed="false">
      <c r="A268" s="32"/>
      <c r="B268" s="33"/>
      <c r="C268" s="33"/>
      <c r="D268" s="34"/>
      <c r="E268" s="35"/>
      <c r="F268" s="36"/>
      <c r="G268" s="37" t="str">
        <f aca="false">IF(OR(C268="",D268=""),"",D268*IF(E268="",IFERROR(INDEX(Ürünler!$D$5:$D$204,MATCH(C268,Ürünler!$A$5:$A$204,0)),0),E268))</f>
        <v/>
      </c>
      <c r="H268" s="37" t="str">
        <f aca="false">IF(G268="","",D268*IFERROR(INDEX(Ürünler!$C$5:$C$204,MATCH(C268,Ürünler!$A$5:$A$204,0)),0))</f>
        <v/>
      </c>
      <c r="I268" s="37" t="str">
        <f aca="false">IF(G268="","",G268-H268)</f>
        <v/>
      </c>
      <c r="J268" s="33"/>
    </row>
    <row r="269" customFormat="false" ht="15" hidden="false" customHeight="false" outlineLevel="0" collapsed="false">
      <c r="A269" s="32"/>
      <c r="B269" s="33"/>
      <c r="C269" s="33"/>
      <c r="D269" s="34"/>
      <c r="E269" s="35"/>
      <c r="F269" s="36"/>
      <c r="G269" s="37" t="str">
        <f aca="false">IF(OR(C269="",D269=""),"",D269*IF(E269="",IFERROR(INDEX(Ürünler!$D$5:$D$204,MATCH(C269,Ürünler!$A$5:$A$204,0)),0),E269))</f>
        <v/>
      </c>
      <c r="H269" s="37" t="str">
        <f aca="false">IF(G269="","",D269*IFERROR(INDEX(Ürünler!$C$5:$C$204,MATCH(C269,Ürünler!$A$5:$A$204,0)),0))</f>
        <v/>
      </c>
      <c r="I269" s="37" t="str">
        <f aca="false">IF(G269="","",G269-H269)</f>
        <v/>
      </c>
      <c r="J269" s="33"/>
    </row>
    <row r="270" customFormat="false" ht="15" hidden="false" customHeight="false" outlineLevel="0" collapsed="false">
      <c r="A270" s="32"/>
      <c r="B270" s="33"/>
      <c r="C270" s="33"/>
      <c r="D270" s="34"/>
      <c r="E270" s="35"/>
      <c r="F270" s="36"/>
      <c r="G270" s="37" t="str">
        <f aca="false">IF(OR(C270="",D270=""),"",D270*IF(E270="",IFERROR(INDEX(Ürünler!$D$5:$D$204,MATCH(C270,Ürünler!$A$5:$A$204,0)),0),E270))</f>
        <v/>
      </c>
      <c r="H270" s="37" t="str">
        <f aca="false">IF(G270="","",D270*IFERROR(INDEX(Ürünler!$C$5:$C$204,MATCH(C270,Ürünler!$A$5:$A$204,0)),0))</f>
        <v/>
      </c>
      <c r="I270" s="37" t="str">
        <f aca="false">IF(G270="","",G270-H270)</f>
        <v/>
      </c>
      <c r="J270" s="33"/>
    </row>
    <row r="271" customFormat="false" ht="15" hidden="false" customHeight="false" outlineLevel="0" collapsed="false">
      <c r="A271" s="32"/>
      <c r="B271" s="33"/>
      <c r="C271" s="33"/>
      <c r="D271" s="34"/>
      <c r="E271" s="35"/>
      <c r="F271" s="36"/>
      <c r="G271" s="37" t="str">
        <f aca="false">IF(OR(C271="",D271=""),"",D271*IF(E271="",IFERROR(INDEX(Ürünler!$D$5:$D$204,MATCH(C271,Ürünler!$A$5:$A$204,0)),0),E271))</f>
        <v/>
      </c>
      <c r="H271" s="37" t="str">
        <f aca="false">IF(G271="","",D271*IFERROR(INDEX(Ürünler!$C$5:$C$204,MATCH(C271,Ürünler!$A$5:$A$204,0)),0))</f>
        <v/>
      </c>
      <c r="I271" s="37" t="str">
        <f aca="false">IF(G271="","",G271-H271)</f>
        <v/>
      </c>
      <c r="J271" s="33"/>
    </row>
    <row r="272" customFormat="false" ht="15" hidden="false" customHeight="false" outlineLevel="0" collapsed="false">
      <c r="A272" s="32"/>
      <c r="B272" s="33"/>
      <c r="C272" s="33"/>
      <c r="D272" s="34"/>
      <c r="E272" s="35"/>
      <c r="F272" s="36"/>
      <c r="G272" s="37" t="str">
        <f aca="false">IF(OR(C272="",D272=""),"",D272*IF(E272="",IFERROR(INDEX(Ürünler!$D$5:$D$204,MATCH(C272,Ürünler!$A$5:$A$204,0)),0),E272))</f>
        <v/>
      </c>
      <c r="H272" s="37" t="str">
        <f aca="false">IF(G272="","",D272*IFERROR(INDEX(Ürünler!$C$5:$C$204,MATCH(C272,Ürünler!$A$5:$A$204,0)),0))</f>
        <v/>
      </c>
      <c r="I272" s="37" t="str">
        <f aca="false">IF(G272="","",G272-H272)</f>
        <v/>
      </c>
      <c r="J272" s="33"/>
    </row>
    <row r="273" customFormat="false" ht="15" hidden="false" customHeight="false" outlineLevel="0" collapsed="false">
      <c r="A273" s="32"/>
      <c r="B273" s="33"/>
      <c r="C273" s="33"/>
      <c r="D273" s="34"/>
      <c r="E273" s="35"/>
      <c r="F273" s="36"/>
      <c r="G273" s="37" t="str">
        <f aca="false">IF(OR(C273="",D273=""),"",D273*IF(E273="",IFERROR(INDEX(Ürünler!$D$5:$D$204,MATCH(C273,Ürünler!$A$5:$A$204,0)),0),E273))</f>
        <v/>
      </c>
      <c r="H273" s="37" t="str">
        <f aca="false">IF(G273="","",D273*IFERROR(INDEX(Ürünler!$C$5:$C$204,MATCH(C273,Ürünler!$A$5:$A$204,0)),0))</f>
        <v/>
      </c>
      <c r="I273" s="37" t="str">
        <f aca="false">IF(G273="","",G273-H273)</f>
        <v/>
      </c>
      <c r="J273" s="33"/>
    </row>
    <row r="274" customFormat="false" ht="15" hidden="false" customHeight="false" outlineLevel="0" collapsed="false">
      <c r="A274" s="32"/>
      <c r="B274" s="33"/>
      <c r="C274" s="33"/>
      <c r="D274" s="34"/>
      <c r="E274" s="35"/>
      <c r="F274" s="36"/>
      <c r="G274" s="37" t="str">
        <f aca="false">IF(OR(C274="",D274=""),"",D274*IF(E274="",IFERROR(INDEX(Ürünler!$D$5:$D$204,MATCH(C274,Ürünler!$A$5:$A$204,0)),0),E274))</f>
        <v/>
      </c>
      <c r="H274" s="37" t="str">
        <f aca="false">IF(G274="","",D274*IFERROR(INDEX(Ürünler!$C$5:$C$204,MATCH(C274,Ürünler!$A$5:$A$204,0)),0))</f>
        <v/>
      </c>
      <c r="I274" s="37" t="str">
        <f aca="false">IF(G274="","",G274-H274)</f>
        <v/>
      </c>
      <c r="J274" s="33"/>
    </row>
    <row r="275" customFormat="false" ht="15" hidden="false" customHeight="false" outlineLevel="0" collapsed="false">
      <c r="A275" s="32"/>
      <c r="B275" s="33"/>
      <c r="C275" s="33"/>
      <c r="D275" s="34"/>
      <c r="E275" s="35"/>
      <c r="F275" s="36"/>
      <c r="G275" s="37" t="str">
        <f aca="false">IF(OR(C275="",D275=""),"",D275*IF(E275="",IFERROR(INDEX(Ürünler!$D$5:$D$204,MATCH(C275,Ürünler!$A$5:$A$204,0)),0),E275))</f>
        <v/>
      </c>
      <c r="H275" s="37" t="str">
        <f aca="false">IF(G275="","",D275*IFERROR(INDEX(Ürünler!$C$5:$C$204,MATCH(C275,Ürünler!$A$5:$A$204,0)),0))</f>
        <v/>
      </c>
      <c r="I275" s="37" t="str">
        <f aca="false">IF(G275="","",G275-H275)</f>
        <v/>
      </c>
      <c r="J275" s="33"/>
    </row>
    <row r="276" customFormat="false" ht="15" hidden="false" customHeight="false" outlineLevel="0" collapsed="false">
      <c r="A276" s="32"/>
      <c r="B276" s="33"/>
      <c r="C276" s="33"/>
      <c r="D276" s="34"/>
      <c r="E276" s="35"/>
      <c r="F276" s="36"/>
      <c r="G276" s="37" t="str">
        <f aca="false">IF(OR(C276="",D276=""),"",D276*IF(E276="",IFERROR(INDEX(Ürünler!$D$5:$D$204,MATCH(C276,Ürünler!$A$5:$A$204,0)),0),E276))</f>
        <v/>
      </c>
      <c r="H276" s="37" t="str">
        <f aca="false">IF(G276="","",D276*IFERROR(INDEX(Ürünler!$C$5:$C$204,MATCH(C276,Ürünler!$A$5:$A$204,0)),0))</f>
        <v/>
      </c>
      <c r="I276" s="37" t="str">
        <f aca="false">IF(G276="","",G276-H276)</f>
        <v/>
      </c>
      <c r="J276" s="33"/>
    </row>
    <row r="277" customFormat="false" ht="15" hidden="false" customHeight="false" outlineLevel="0" collapsed="false">
      <c r="A277" s="32"/>
      <c r="B277" s="33"/>
      <c r="C277" s="33"/>
      <c r="D277" s="34"/>
      <c r="E277" s="35"/>
      <c r="F277" s="36"/>
      <c r="G277" s="37" t="str">
        <f aca="false">IF(OR(C277="",D277=""),"",D277*IF(E277="",IFERROR(INDEX(Ürünler!$D$5:$D$204,MATCH(C277,Ürünler!$A$5:$A$204,0)),0),E277))</f>
        <v/>
      </c>
      <c r="H277" s="37" t="str">
        <f aca="false">IF(G277="","",D277*IFERROR(INDEX(Ürünler!$C$5:$C$204,MATCH(C277,Ürünler!$A$5:$A$204,0)),0))</f>
        <v/>
      </c>
      <c r="I277" s="37" t="str">
        <f aca="false">IF(G277="","",G277-H277)</f>
        <v/>
      </c>
      <c r="J277" s="33"/>
    </row>
    <row r="278" customFormat="false" ht="15" hidden="false" customHeight="false" outlineLevel="0" collapsed="false">
      <c r="A278" s="32"/>
      <c r="B278" s="33"/>
      <c r="C278" s="33"/>
      <c r="D278" s="34"/>
      <c r="E278" s="35"/>
      <c r="F278" s="36"/>
      <c r="G278" s="37" t="str">
        <f aca="false">IF(OR(C278="",D278=""),"",D278*IF(E278="",IFERROR(INDEX(Ürünler!$D$5:$D$204,MATCH(C278,Ürünler!$A$5:$A$204,0)),0),E278))</f>
        <v/>
      </c>
      <c r="H278" s="37" t="str">
        <f aca="false">IF(G278="","",D278*IFERROR(INDEX(Ürünler!$C$5:$C$204,MATCH(C278,Ürünler!$A$5:$A$204,0)),0))</f>
        <v/>
      </c>
      <c r="I278" s="37" t="str">
        <f aca="false">IF(G278="","",G278-H278)</f>
        <v/>
      </c>
      <c r="J278" s="33"/>
    </row>
    <row r="279" customFormat="false" ht="15" hidden="false" customHeight="false" outlineLevel="0" collapsed="false">
      <c r="A279" s="32"/>
      <c r="B279" s="33"/>
      <c r="C279" s="33"/>
      <c r="D279" s="34"/>
      <c r="E279" s="35"/>
      <c r="F279" s="36"/>
      <c r="G279" s="37" t="str">
        <f aca="false">IF(OR(C279="",D279=""),"",D279*IF(E279="",IFERROR(INDEX(Ürünler!$D$5:$D$204,MATCH(C279,Ürünler!$A$5:$A$204,0)),0),E279))</f>
        <v/>
      </c>
      <c r="H279" s="37" t="str">
        <f aca="false">IF(G279="","",D279*IFERROR(INDEX(Ürünler!$C$5:$C$204,MATCH(C279,Ürünler!$A$5:$A$204,0)),0))</f>
        <v/>
      </c>
      <c r="I279" s="37" t="str">
        <f aca="false">IF(G279="","",G279-H279)</f>
        <v/>
      </c>
      <c r="J279" s="33"/>
    </row>
    <row r="280" customFormat="false" ht="15" hidden="false" customHeight="false" outlineLevel="0" collapsed="false">
      <c r="A280" s="32"/>
      <c r="B280" s="33"/>
      <c r="C280" s="33"/>
      <c r="D280" s="34"/>
      <c r="E280" s="35"/>
      <c r="F280" s="36"/>
      <c r="G280" s="37" t="str">
        <f aca="false">IF(OR(C280="",D280=""),"",D280*IF(E280="",IFERROR(INDEX(Ürünler!$D$5:$D$204,MATCH(C280,Ürünler!$A$5:$A$204,0)),0),E280))</f>
        <v/>
      </c>
      <c r="H280" s="37" t="str">
        <f aca="false">IF(G280="","",D280*IFERROR(INDEX(Ürünler!$C$5:$C$204,MATCH(C280,Ürünler!$A$5:$A$204,0)),0))</f>
        <v/>
      </c>
      <c r="I280" s="37" t="str">
        <f aca="false">IF(G280="","",G280-H280)</f>
        <v/>
      </c>
      <c r="J280" s="33"/>
    </row>
    <row r="281" customFormat="false" ht="15" hidden="false" customHeight="false" outlineLevel="0" collapsed="false">
      <c r="A281" s="32"/>
      <c r="B281" s="33"/>
      <c r="C281" s="33"/>
      <c r="D281" s="34"/>
      <c r="E281" s="35"/>
      <c r="F281" s="36"/>
      <c r="G281" s="37" t="str">
        <f aca="false">IF(OR(C281="",D281=""),"",D281*IF(E281="",IFERROR(INDEX(Ürünler!$D$5:$D$204,MATCH(C281,Ürünler!$A$5:$A$204,0)),0),E281))</f>
        <v/>
      </c>
      <c r="H281" s="37" t="str">
        <f aca="false">IF(G281="","",D281*IFERROR(INDEX(Ürünler!$C$5:$C$204,MATCH(C281,Ürünler!$A$5:$A$204,0)),0))</f>
        <v/>
      </c>
      <c r="I281" s="37" t="str">
        <f aca="false">IF(G281="","",G281-H281)</f>
        <v/>
      </c>
      <c r="J281" s="33"/>
    </row>
    <row r="282" customFormat="false" ht="15" hidden="false" customHeight="false" outlineLevel="0" collapsed="false">
      <c r="A282" s="32"/>
      <c r="B282" s="33"/>
      <c r="C282" s="33"/>
      <c r="D282" s="34"/>
      <c r="E282" s="35"/>
      <c r="F282" s="36"/>
      <c r="G282" s="37" t="str">
        <f aca="false">IF(OR(C282="",D282=""),"",D282*IF(E282="",IFERROR(INDEX(Ürünler!$D$5:$D$204,MATCH(C282,Ürünler!$A$5:$A$204,0)),0),E282))</f>
        <v/>
      </c>
      <c r="H282" s="37" t="str">
        <f aca="false">IF(G282="","",D282*IFERROR(INDEX(Ürünler!$C$5:$C$204,MATCH(C282,Ürünler!$A$5:$A$204,0)),0))</f>
        <v/>
      </c>
      <c r="I282" s="37" t="str">
        <f aca="false">IF(G282="","",G282-H282)</f>
        <v/>
      </c>
      <c r="J282" s="33"/>
    </row>
    <row r="283" customFormat="false" ht="15" hidden="false" customHeight="false" outlineLevel="0" collapsed="false">
      <c r="A283" s="32"/>
      <c r="B283" s="33"/>
      <c r="C283" s="33"/>
      <c r="D283" s="34"/>
      <c r="E283" s="35"/>
      <c r="F283" s="36"/>
      <c r="G283" s="37" t="str">
        <f aca="false">IF(OR(C283="",D283=""),"",D283*IF(E283="",IFERROR(INDEX(Ürünler!$D$5:$D$204,MATCH(C283,Ürünler!$A$5:$A$204,0)),0),E283))</f>
        <v/>
      </c>
      <c r="H283" s="37" t="str">
        <f aca="false">IF(G283="","",D283*IFERROR(INDEX(Ürünler!$C$5:$C$204,MATCH(C283,Ürünler!$A$5:$A$204,0)),0))</f>
        <v/>
      </c>
      <c r="I283" s="37" t="str">
        <f aca="false">IF(G283="","",G283-H283)</f>
        <v/>
      </c>
      <c r="J283" s="33"/>
    </row>
    <row r="284" customFormat="false" ht="15" hidden="false" customHeight="false" outlineLevel="0" collapsed="false">
      <c r="A284" s="32"/>
      <c r="B284" s="33"/>
      <c r="C284" s="33"/>
      <c r="D284" s="34"/>
      <c r="E284" s="35"/>
      <c r="F284" s="36"/>
      <c r="G284" s="37" t="str">
        <f aca="false">IF(OR(C284="",D284=""),"",D284*IF(E284="",IFERROR(INDEX(Ürünler!$D$5:$D$204,MATCH(C284,Ürünler!$A$5:$A$204,0)),0),E284))</f>
        <v/>
      </c>
      <c r="H284" s="37" t="str">
        <f aca="false">IF(G284="","",D284*IFERROR(INDEX(Ürünler!$C$5:$C$204,MATCH(C284,Ürünler!$A$5:$A$204,0)),0))</f>
        <v/>
      </c>
      <c r="I284" s="37" t="str">
        <f aca="false">IF(G284="","",G284-H284)</f>
        <v/>
      </c>
      <c r="J284" s="33"/>
    </row>
    <row r="285" customFormat="false" ht="15" hidden="false" customHeight="false" outlineLevel="0" collapsed="false">
      <c r="A285" s="32"/>
      <c r="B285" s="33"/>
      <c r="C285" s="33"/>
      <c r="D285" s="34"/>
      <c r="E285" s="35"/>
      <c r="F285" s="36"/>
      <c r="G285" s="37" t="str">
        <f aca="false">IF(OR(C285="",D285=""),"",D285*IF(E285="",IFERROR(INDEX(Ürünler!$D$5:$D$204,MATCH(C285,Ürünler!$A$5:$A$204,0)),0),E285))</f>
        <v/>
      </c>
      <c r="H285" s="37" t="str">
        <f aca="false">IF(G285="","",D285*IFERROR(INDEX(Ürünler!$C$5:$C$204,MATCH(C285,Ürünler!$A$5:$A$204,0)),0))</f>
        <v/>
      </c>
      <c r="I285" s="37" t="str">
        <f aca="false">IF(G285="","",G285-H285)</f>
        <v/>
      </c>
      <c r="J285" s="33"/>
    </row>
    <row r="286" customFormat="false" ht="15" hidden="false" customHeight="false" outlineLevel="0" collapsed="false">
      <c r="A286" s="32"/>
      <c r="B286" s="33"/>
      <c r="C286" s="33"/>
      <c r="D286" s="34"/>
      <c r="E286" s="35"/>
      <c r="F286" s="36"/>
      <c r="G286" s="37" t="str">
        <f aca="false">IF(OR(C286="",D286=""),"",D286*IF(E286="",IFERROR(INDEX(Ürünler!$D$5:$D$204,MATCH(C286,Ürünler!$A$5:$A$204,0)),0),E286))</f>
        <v/>
      </c>
      <c r="H286" s="37" t="str">
        <f aca="false">IF(G286="","",D286*IFERROR(INDEX(Ürünler!$C$5:$C$204,MATCH(C286,Ürünler!$A$5:$A$204,0)),0))</f>
        <v/>
      </c>
      <c r="I286" s="37" t="str">
        <f aca="false">IF(G286="","",G286-H286)</f>
        <v/>
      </c>
      <c r="J286" s="33"/>
    </row>
    <row r="287" customFormat="false" ht="15" hidden="false" customHeight="false" outlineLevel="0" collapsed="false">
      <c r="A287" s="32"/>
      <c r="B287" s="33"/>
      <c r="C287" s="33"/>
      <c r="D287" s="34"/>
      <c r="E287" s="35"/>
      <c r="F287" s="36"/>
      <c r="G287" s="37" t="str">
        <f aca="false">IF(OR(C287="",D287=""),"",D287*IF(E287="",IFERROR(INDEX(Ürünler!$D$5:$D$204,MATCH(C287,Ürünler!$A$5:$A$204,0)),0),E287))</f>
        <v/>
      </c>
      <c r="H287" s="37" t="str">
        <f aca="false">IF(G287="","",D287*IFERROR(INDEX(Ürünler!$C$5:$C$204,MATCH(C287,Ürünler!$A$5:$A$204,0)),0))</f>
        <v/>
      </c>
      <c r="I287" s="37" t="str">
        <f aca="false">IF(G287="","",G287-H287)</f>
        <v/>
      </c>
      <c r="J287" s="33"/>
    </row>
    <row r="288" customFormat="false" ht="15" hidden="false" customHeight="false" outlineLevel="0" collapsed="false">
      <c r="A288" s="32"/>
      <c r="B288" s="33"/>
      <c r="C288" s="33"/>
      <c r="D288" s="34"/>
      <c r="E288" s="35"/>
      <c r="F288" s="36"/>
      <c r="G288" s="37" t="str">
        <f aca="false">IF(OR(C288="",D288=""),"",D288*IF(E288="",IFERROR(INDEX(Ürünler!$D$5:$D$204,MATCH(C288,Ürünler!$A$5:$A$204,0)),0),E288))</f>
        <v/>
      </c>
      <c r="H288" s="37" t="str">
        <f aca="false">IF(G288="","",D288*IFERROR(INDEX(Ürünler!$C$5:$C$204,MATCH(C288,Ürünler!$A$5:$A$204,0)),0))</f>
        <v/>
      </c>
      <c r="I288" s="37" t="str">
        <f aca="false">IF(G288="","",G288-H288)</f>
        <v/>
      </c>
      <c r="J288" s="33"/>
    </row>
    <row r="289" customFormat="false" ht="15" hidden="false" customHeight="false" outlineLevel="0" collapsed="false">
      <c r="A289" s="32"/>
      <c r="B289" s="33"/>
      <c r="C289" s="33"/>
      <c r="D289" s="34"/>
      <c r="E289" s="35"/>
      <c r="F289" s="36"/>
      <c r="G289" s="37" t="str">
        <f aca="false">IF(OR(C289="",D289=""),"",D289*IF(E289="",IFERROR(INDEX(Ürünler!$D$5:$D$204,MATCH(C289,Ürünler!$A$5:$A$204,0)),0),E289))</f>
        <v/>
      </c>
      <c r="H289" s="37" t="str">
        <f aca="false">IF(G289="","",D289*IFERROR(INDEX(Ürünler!$C$5:$C$204,MATCH(C289,Ürünler!$A$5:$A$204,0)),0))</f>
        <v/>
      </c>
      <c r="I289" s="37" t="str">
        <f aca="false">IF(G289="","",G289-H289)</f>
        <v/>
      </c>
      <c r="J289" s="33"/>
    </row>
    <row r="290" customFormat="false" ht="15" hidden="false" customHeight="false" outlineLevel="0" collapsed="false">
      <c r="A290" s="32"/>
      <c r="B290" s="33"/>
      <c r="C290" s="33"/>
      <c r="D290" s="34"/>
      <c r="E290" s="35"/>
      <c r="F290" s="36"/>
      <c r="G290" s="37" t="str">
        <f aca="false">IF(OR(C290="",D290=""),"",D290*IF(E290="",IFERROR(INDEX(Ürünler!$D$5:$D$204,MATCH(C290,Ürünler!$A$5:$A$204,0)),0),E290))</f>
        <v/>
      </c>
      <c r="H290" s="37" t="str">
        <f aca="false">IF(G290="","",D290*IFERROR(INDEX(Ürünler!$C$5:$C$204,MATCH(C290,Ürünler!$A$5:$A$204,0)),0))</f>
        <v/>
      </c>
      <c r="I290" s="37" t="str">
        <f aca="false">IF(G290="","",G290-H290)</f>
        <v/>
      </c>
      <c r="J290" s="33"/>
    </row>
    <row r="291" customFormat="false" ht="15" hidden="false" customHeight="false" outlineLevel="0" collapsed="false">
      <c r="A291" s="32"/>
      <c r="B291" s="33"/>
      <c r="C291" s="33"/>
      <c r="D291" s="34"/>
      <c r="E291" s="35"/>
      <c r="F291" s="36"/>
      <c r="G291" s="37" t="str">
        <f aca="false">IF(OR(C291="",D291=""),"",D291*IF(E291="",IFERROR(INDEX(Ürünler!$D$5:$D$204,MATCH(C291,Ürünler!$A$5:$A$204,0)),0),E291))</f>
        <v/>
      </c>
      <c r="H291" s="37" t="str">
        <f aca="false">IF(G291="","",D291*IFERROR(INDEX(Ürünler!$C$5:$C$204,MATCH(C291,Ürünler!$A$5:$A$204,0)),0))</f>
        <v/>
      </c>
      <c r="I291" s="37" t="str">
        <f aca="false">IF(G291="","",G291-H291)</f>
        <v/>
      </c>
      <c r="J291" s="33"/>
    </row>
    <row r="292" customFormat="false" ht="15" hidden="false" customHeight="false" outlineLevel="0" collapsed="false">
      <c r="A292" s="32"/>
      <c r="B292" s="33"/>
      <c r="C292" s="33"/>
      <c r="D292" s="34"/>
      <c r="E292" s="35"/>
      <c r="F292" s="36"/>
      <c r="G292" s="37" t="str">
        <f aca="false">IF(OR(C292="",D292=""),"",D292*IF(E292="",IFERROR(INDEX(Ürünler!$D$5:$D$204,MATCH(C292,Ürünler!$A$5:$A$204,0)),0),E292))</f>
        <v/>
      </c>
      <c r="H292" s="37" t="str">
        <f aca="false">IF(G292="","",D292*IFERROR(INDEX(Ürünler!$C$5:$C$204,MATCH(C292,Ürünler!$A$5:$A$204,0)),0))</f>
        <v/>
      </c>
      <c r="I292" s="37" t="str">
        <f aca="false">IF(G292="","",G292-H292)</f>
        <v/>
      </c>
      <c r="J292" s="33"/>
    </row>
    <row r="293" customFormat="false" ht="15" hidden="false" customHeight="false" outlineLevel="0" collapsed="false">
      <c r="A293" s="32"/>
      <c r="B293" s="33"/>
      <c r="C293" s="33"/>
      <c r="D293" s="34"/>
      <c r="E293" s="35"/>
      <c r="F293" s="36"/>
      <c r="G293" s="37" t="str">
        <f aca="false">IF(OR(C293="",D293=""),"",D293*IF(E293="",IFERROR(INDEX(Ürünler!$D$5:$D$204,MATCH(C293,Ürünler!$A$5:$A$204,0)),0),E293))</f>
        <v/>
      </c>
      <c r="H293" s="37" t="str">
        <f aca="false">IF(G293="","",D293*IFERROR(INDEX(Ürünler!$C$5:$C$204,MATCH(C293,Ürünler!$A$5:$A$204,0)),0))</f>
        <v/>
      </c>
      <c r="I293" s="37" t="str">
        <f aca="false">IF(G293="","",G293-H293)</f>
        <v/>
      </c>
      <c r="J293" s="33"/>
    </row>
    <row r="294" customFormat="false" ht="15" hidden="false" customHeight="false" outlineLevel="0" collapsed="false">
      <c r="A294" s="32"/>
      <c r="B294" s="33"/>
      <c r="C294" s="33"/>
      <c r="D294" s="34"/>
      <c r="E294" s="35"/>
      <c r="F294" s="36"/>
      <c r="G294" s="37" t="str">
        <f aca="false">IF(OR(C294="",D294=""),"",D294*IF(E294="",IFERROR(INDEX(Ürünler!$D$5:$D$204,MATCH(C294,Ürünler!$A$5:$A$204,0)),0),E294))</f>
        <v/>
      </c>
      <c r="H294" s="37" t="str">
        <f aca="false">IF(G294="","",D294*IFERROR(INDEX(Ürünler!$C$5:$C$204,MATCH(C294,Ürünler!$A$5:$A$204,0)),0))</f>
        <v/>
      </c>
      <c r="I294" s="37" t="str">
        <f aca="false">IF(G294="","",G294-H294)</f>
        <v/>
      </c>
      <c r="J294" s="33"/>
    </row>
    <row r="295" customFormat="false" ht="15" hidden="false" customHeight="false" outlineLevel="0" collapsed="false">
      <c r="A295" s="32"/>
      <c r="B295" s="33"/>
      <c r="C295" s="33"/>
      <c r="D295" s="34"/>
      <c r="E295" s="35"/>
      <c r="F295" s="36"/>
      <c r="G295" s="37" t="str">
        <f aca="false">IF(OR(C295="",D295=""),"",D295*IF(E295="",IFERROR(INDEX(Ürünler!$D$5:$D$204,MATCH(C295,Ürünler!$A$5:$A$204,0)),0),E295))</f>
        <v/>
      </c>
      <c r="H295" s="37" t="str">
        <f aca="false">IF(G295="","",D295*IFERROR(INDEX(Ürünler!$C$5:$C$204,MATCH(C295,Ürünler!$A$5:$A$204,0)),0))</f>
        <v/>
      </c>
      <c r="I295" s="37" t="str">
        <f aca="false">IF(G295="","",G295-H295)</f>
        <v/>
      </c>
      <c r="J295" s="33"/>
    </row>
    <row r="296" customFormat="false" ht="15" hidden="false" customHeight="false" outlineLevel="0" collapsed="false">
      <c r="A296" s="32"/>
      <c r="B296" s="33"/>
      <c r="C296" s="33"/>
      <c r="D296" s="34"/>
      <c r="E296" s="35"/>
      <c r="F296" s="36"/>
      <c r="G296" s="37" t="str">
        <f aca="false">IF(OR(C296="",D296=""),"",D296*IF(E296="",IFERROR(INDEX(Ürünler!$D$5:$D$204,MATCH(C296,Ürünler!$A$5:$A$204,0)),0),E296))</f>
        <v/>
      </c>
      <c r="H296" s="37" t="str">
        <f aca="false">IF(G296="","",D296*IFERROR(INDEX(Ürünler!$C$5:$C$204,MATCH(C296,Ürünler!$A$5:$A$204,0)),0))</f>
        <v/>
      </c>
      <c r="I296" s="37" t="str">
        <f aca="false">IF(G296="","",G296-H296)</f>
        <v/>
      </c>
      <c r="J296" s="33"/>
    </row>
    <row r="297" customFormat="false" ht="15" hidden="false" customHeight="false" outlineLevel="0" collapsed="false">
      <c r="A297" s="32"/>
      <c r="B297" s="33"/>
      <c r="C297" s="33"/>
      <c r="D297" s="34"/>
      <c r="E297" s="35"/>
      <c r="F297" s="36"/>
      <c r="G297" s="37" t="str">
        <f aca="false">IF(OR(C297="",D297=""),"",D297*IF(E297="",IFERROR(INDEX(Ürünler!$D$5:$D$204,MATCH(C297,Ürünler!$A$5:$A$204,0)),0),E297))</f>
        <v/>
      </c>
      <c r="H297" s="37" t="str">
        <f aca="false">IF(G297="","",D297*IFERROR(INDEX(Ürünler!$C$5:$C$204,MATCH(C297,Ürünler!$A$5:$A$204,0)),0))</f>
        <v/>
      </c>
      <c r="I297" s="37" t="str">
        <f aca="false">IF(G297="","",G297-H297)</f>
        <v/>
      </c>
      <c r="J297" s="33"/>
    </row>
    <row r="298" customFormat="false" ht="15" hidden="false" customHeight="false" outlineLevel="0" collapsed="false">
      <c r="A298" s="32"/>
      <c r="B298" s="33"/>
      <c r="C298" s="33"/>
      <c r="D298" s="34"/>
      <c r="E298" s="35"/>
      <c r="F298" s="36"/>
      <c r="G298" s="37" t="str">
        <f aca="false">IF(OR(C298="",D298=""),"",D298*IF(E298="",IFERROR(INDEX(Ürünler!$D$5:$D$204,MATCH(C298,Ürünler!$A$5:$A$204,0)),0),E298))</f>
        <v/>
      </c>
      <c r="H298" s="37" t="str">
        <f aca="false">IF(G298="","",D298*IFERROR(INDEX(Ürünler!$C$5:$C$204,MATCH(C298,Ürünler!$A$5:$A$204,0)),0))</f>
        <v/>
      </c>
      <c r="I298" s="37" t="str">
        <f aca="false">IF(G298="","",G298-H298)</f>
        <v/>
      </c>
      <c r="J298" s="33"/>
    </row>
    <row r="299" customFormat="false" ht="15" hidden="false" customHeight="false" outlineLevel="0" collapsed="false">
      <c r="A299" s="32"/>
      <c r="B299" s="33"/>
      <c r="C299" s="33"/>
      <c r="D299" s="34"/>
      <c r="E299" s="35"/>
      <c r="F299" s="36"/>
      <c r="G299" s="37" t="str">
        <f aca="false">IF(OR(C299="",D299=""),"",D299*IF(E299="",IFERROR(INDEX(Ürünler!$D$5:$D$204,MATCH(C299,Ürünler!$A$5:$A$204,0)),0),E299))</f>
        <v/>
      </c>
      <c r="H299" s="37" t="str">
        <f aca="false">IF(G299="","",D299*IFERROR(INDEX(Ürünler!$C$5:$C$204,MATCH(C299,Ürünler!$A$5:$A$204,0)),0))</f>
        <v/>
      </c>
      <c r="I299" s="37" t="str">
        <f aca="false">IF(G299="","",G299-H299)</f>
        <v/>
      </c>
      <c r="J299" s="33"/>
    </row>
    <row r="300" customFormat="false" ht="15" hidden="false" customHeight="false" outlineLevel="0" collapsed="false">
      <c r="A300" s="32"/>
      <c r="B300" s="33"/>
      <c r="C300" s="33"/>
      <c r="D300" s="34"/>
      <c r="E300" s="35"/>
      <c r="F300" s="36"/>
      <c r="G300" s="37" t="str">
        <f aca="false">IF(OR(C300="",D300=""),"",D300*IF(E300="",IFERROR(INDEX(Ürünler!$D$5:$D$204,MATCH(C300,Ürünler!$A$5:$A$204,0)),0),E300))</f>
        <v/>
      </c>
      <c r="H300" s="37" t="str">
        <f aca="false">IF(G300="","",D300*IFERROR(INDEX(Ürünler!$C$5:$C$204,MATCH(C300,Ürünler!$A$5:$A$204,0)),0))</f>
        <v/>
      </c>
      <c r="I300" s="37" t="str">
        <f aca="false">IF(G300="","",G300-H300)</f>
        <v/>
      </c>
      <c r="J300" s="33"/>
    </row>
    <row r="301" customFormat="false" ht="15" hidden="false" customHeight="false" outlineLevel="0" collapsed="false">
      <c r="A301" s="32"/>
      <c r="B301" s="33"/>
      <c r="C301" s="33"/>
      <c r="D301" s="34"/>
      <c r="E301" s="35"/>
      <c r="F301" s="36"/>
      <c r="G301" s="37" t="str">
        <f aca="false">IF(OR(C301="",D301=""),"",D301*IF(E301="",IFERROR(INDEX(Ürünler!$D$5:$D$204,MATCH(C301,Ürünler!$A$5:$A$204,0)),0),E301))</f>
        <v/>
      </c>
      <c r="H301" s="37" t="str">
        <f aca="false">IF(G301="","",D301*IFERROR(INDEX(Ürünler!$C$5:$C$204,MATCH(C301,Ürünler!$A$5:$A$204,0)),0))</f>
        <v/>
      </c>
      <c r="I301" s="37" t="str">
        <f aca="false">IF(G301="","",G301-H301)</f>
        <v/>
      </c>
      <c r="J301" s="33"/>
    </row>
    <row r="302" customFormat="false" ht="15" hidden="false" customHeight="false" outlineLevel="0" collapsed="false">
      <c r="A302" s="32"/>
      <c r="B302" s="33"/>
      <c r="C302" s="33"/>
      <c r="D302" s="34"/>
      <c r="E302" s="35"/>
      <c r="F302" s="36"/>
      <c r="G302" s="37" t="str">
        <f aca="false">IF(OR(C302="",D302=""),"",D302*IF(E302="",IFERROR(INDEX(Ürünler!$D$5:$D$204,MATCH(C302,Ürünler!$A$5:$A$204,0)),0),E302))</f>
        <v/>
      </c>
      <c r="H302" s="37" t="str">
        <f aca="false">IF(G302="","",D302*IFERROR(INDEX(Ürünler!$C$5:$C$204,MATCH(C302,Ürünler!$A$5:$A$204,0)),0))</f>
        <v/>
      </c>
      <c r="I302" s="37" t="str">
        <f aca="false">IF(G302="","",G302-H302)</f>
        <v/>
      </c>
      <c r="J302" s="33"/>
    </row>
    <row r="303" customFormat="false" ht="15" hidden="false" customHeight="false" outlineLevel="0" collapsed="false">
      <c r="A303" s="32"/>
      <c r="B303" s="33"/>
      <c r="C303" s="33"/>
      <c r="D303" s="34"/>
      <c r="E303" s="35"/>
      <c r="F303" s="36"/>
      <c r="G303" s="37" t="str">
        <f aca="false">IF(OR(C303="",D303=""),"",D303*IF(E303="",IFERROR(INDEX(Ürünler!$D$5:$D$204,MATCH(C303,Ürünler!$A$5:$A$204,0)),0),E303))</f>
        <v/>
      </c>
      <c r="H303" s="37" t="str">
        <f aca="false">IF(G303="","",D303*IFERROR(INDEX(Ürünler!$C$5:$C$204,MATCH(C303,Ürünler!$A$5:$A$204,0)),0))</f>
        <v/>
      </c>
      <c r="I303" s="37" t="str">
        <f aca="false">IF(G303="","",G303-H303)</f>
        <v/>
      </c>
      <c r="J303" s="33"/>
    </row>
    <row r="304" customFormat="false" ht="15" hidden="false" customHeight="false" outlineLevel="0" collapsed="false">
      <c r="A304" s="32"/>
      <c r="B304" s="33"/>
      <c r="C304" s="33"/>
      <c r="D304" s="34"/>
      <c r="E304" s="35"/>
      <c r="F304" s="36"/>
      <c r="G304" s="37" t="str">
        <f aca="false">IF(OR(C304="",D304=""),"",D304*IF(E304="",IFERROR(INDEX(Ürünler!$D$5:$D$204,MATCH(C304,Ürünler!$A$5:$A$204,0)),0),E304))</f>
        <v/>
      </c>
      <c r="H304" s="37" t="str">
        <f aca="false">IF(G304="","",D304*IFERROR(INDEX(Ürünler!$C$5:$C$204,MATCH(C304,Ürünler!$A$5:$A$204,0)),0))</f>
        <v/>
      </c>
      <c r="I304" s="37" t="str">
        <f aca="false">IF(G304="","",G304-H304)</f>
        <v/>
      </c>
      <c r="J304" s="33"/>
    </row>
    <row r="305" customFormat="false" ht="15" hidden="false" customHeight="false" outlineLevel="0" collapsed="false">
      <c r="A305" s="32"/>
      <c r="B305" s="33"/>
      <c r="C305" s="33"/>
      <c r="D305" s="34"/>
      <c r="E305" s="35"/>
      <c r="F305" s="36"/>
      <c r="G305" s="37" t="str">
        <f aca="false">IF(OR(C305="",D305=""),"",D305*IF(E305="",IFERROR(INDEX(Ürünler!$D$5:$D$204,MATCH(C305,Ürünler!$A$5:$A$204,0)),0),E305))</f>
        <v/>
      </c>
      <c r="H305" s="37" t="str">
        <f aca="false">IF(G305="","",D305*IFERROR(INDEX(Ürünler!$C$5:$C$204,MATCH(C305,Ürünler!$A$5:$A$204,0)),0))</f>
        <v/>
      </c>
      <c r="I305" s="37" t="str">
        <f aca="false">IF(G305="","",G305-H305)</f>
        <v/>
      </c>
      <c r="J305" s="33"/>
    </row>
    <row r="306" customFormat="false" ht="15" hidden="false" customHeight="false" outlineLevel="0" collapsed="false">
      <c r="A306" s="32"/>
      <c r="B306" s="33"/>
      <c r="C306" s="33"/>
      <c r="D306" s="34"/>
      <c r="E306" s="35"/>
      <c r="F306" s="36"/>
      <c r="G306" s="37" t="str">
        <f aca="false">IF(OR(C306="",D306=""),"",D306*IF(E306="",IFERROR(INDEX(Ürünler!$D$5:$D$204,MATCH(C306,Ürünler!$A$5:$A$204,0)),0),E306))</f>
        <v/>
      </c>
      <c r="H306" s="37" t="str">
        <f aca="false">IF(G306="","",D306*IFERROR(INDEX(Ürünler!$C$5:$C$204,MATCH(C306,Ürünler!$A$5:$A$204,0)),0))</f>
        <v/>
      </c>
      <c r="I306" s="37" t="str">
        <f aca="false">IF(G306="","",G306-H306)</f>
        <v/>
      </c>
      <c r="J306" s="33"/>
    </row>
    <row r="307" customFormat="false" ht="15" hidden="false" customHeight="false" outlineLevel="0" collapsed="false">
      <c r="A307" s="32"/>
      <c r="B307" s="33"/>
      <c r="C307" s="33"/>
      <c r="D307" s="34"/>
      <c r="E307" s="35"/>
      <c r="F307" s="36"/>
      <c r="G307" s="37" t="str">
        <f aca="false">IF(OR(C307="",D307=""),"",D307*IF(E307="",IFERROR(INDEX(Ürünler!$D$5:$D$204,MATCH(C307,Ürünler!$A$5:$A$204,0)),0),E307))</f>
        <v/>
      </c>
      <c r="H307" s="37" t="str">
        <f aca="false">IF(G307="","",D307*IFERROR(INDEX(Ürünler!$C$5:$C$204,MATCH(C307,Ürünler!$A$5:$A$204,0)),0))</f>
        <v/>
      </c>
      <c r="I307" s="37" t="str">
        <f aca="false">IF(G307="","",G307-H307)</f>
        <v/>
      </c>
      <c r="J307" s="33"/>
    </row>
    <row r="308" customFormat="false" ht="15" hidden="false" customHeight="false" outlineLevel="0" collapsed="false">
      <c r="A308" s="32"/>
      <c r="B308" s="33"/>
      <c r="C308" s="33"/>
      <c r="D308" s="34"/>
      <c r="E308" s="35"/>
      <c r="F308" s="36"/>
      <c r="G308" s="37" t="str">
        <f aca="false">IF(OR(C308="",D308=""),"",D308*IF(E308="",IFERROR(INDEX(Ürünler!$D$5:$D$204,MATCH(C308,Ürünler!$A$5:$A$204,0)),0),E308))</f>
        <v/>
      </c>
      <c r="H308" s="37" t="str">
        <f aca="false">IF(G308="","",D308*IFERROR(INDEX(Ürünler!$C$5:$C$204,MATCH(C308,Ürünler!$A$5:$A$204,0)),0))</f>
        <v/>
      </c>
      <c r="I308" s="37" t="str">
        <f aca="false">IF(G308="","",G308-H308)</f>
        <v/>
      </c>
      <c r="J308" s="33"/>
    </row>
    <row r="309" customFormat="false" ht="15" hidden="false" customHeight="false" outlineLevel="0" collapsed="false">
      <c r="A309" s="32"/>
      <c r="B309" s="33"/>
      <c r="C309" s="33"/>
      <c r="D309" s="34"/>
      <c r="E309" s="35"/>
      <c r="F309" s="36"/>
      <c r="G309" s="37" t="str">
        <f aca="false">IF(OR(C309="",D309=""),"",D309*IF(E309="",IFERROR(INDEX(Ürünler!$D$5:$D$204,MATCH(C309,Ürünler!$A$5:$A$204,0)),0),E309))</f>
        <v/>
      </c>
      <c r="H309" s="37" t="str">
        <f aca="false">IF(G309="","",D309*IFERROR(INDEX(Ürünler!$C$5:$C$204,MATCH(C309,Ürünler!$A$5:$A$204,0)),0))</f>
        <v/>
      </c>
      <c r="I309" s="37" t="str">
        <f aca="false">IF(G309="","",G309-H309)</f>
        <v/>
      </c>
      <c r="J309" s="33"/>
    </row>
    <row r="310" customFormat="false" ht="15" hidden="false" customHeight="false" outlineLevel="0" collapsed="false">
      <c r="A310" s="32"/>
      <c r="B310" s="33"/>
      <c r="C310" s="33"/>
      <c r="D310" s="34"/>
      <c r="E310" s="35"/>
      <c r="F310" s="36"/>
      <c r="G310" s="37" t="str">
        <f aca="false">IF(OR(C310="",D310=""),"",D310*IF(E310="",IFERROR(INDEX(Ürünler!$D$5:$D$204,MATCH(C310,Ürünler!$A$5:$A$204,0)),0),E310))</f>
        <v/>
      </c>
      <c r="H310" s="37" t="str">
        <f aca="false">IF(G310="","",D310*IFERROR(INDEX(Ürünler!$C$5:$C$204,MATCH(C310,Ürünler!$A$5:$A$204,0)),0))</f>
        <v/>
      </c>
      <c r="I310" s="37" t="str">
        <f aca="false">IF(G310="","",G310-H310)</f>
        <v/>
      </c>
      <c r="J310" s="33"/>
    </row>
    <row r="311" customFormat="false" ht="15" hidden="false" customHeight="false" outlineLevel="0" collapsed="false">
      <c r="A311" s="32"/>
      <c r="B311" s="33"/>
      <c r="C311" s="33"/>
      <c r="D311" s="34"/>
      <c r="E311" s="35"/>
      <c r="F311" s="36"/>
      <c r="G311" s="37" t="str">
        <f aca="false">IF(OR(C311="",D311=""),"",D311*IF(E311="",IFERROR(INDEX(Ürünler!$D$5:$D$204,MATCH(C311,Ürünler!$A$5:$A$204,0)),0),E311))</f>
        <v/>
      </c>
      <c r="H311" s="37" t="str">
        <f aca="false">IF(G311="","",D311*IFERROR(INDEX(Ürünler!$C$5:$C$204,MATCH(C311,Ürünler!$A$5:$A$204,0)),0))</f>
        <v/>
      </c>
      <c r="I311" s="37" t="str">
        <f aca="false">IF(G311="","",G311-H311)</f>
        <v/>
      </c>
      <c r="J311" s="33"/>
    </row>
    <row r="312" customFormat="false" ht="15" hidden="false" customHeight="false" outlineLevel="0" collapsed="false">
      <c r="A312" s="32"/>
      <c r="B312" s="33"/>
      <c r="C312" s="33"/>
      <c r="D312" s="34"/>
      <c r="E312" s="35"/>
      <c r="F312" s="36"/>
      <c r="G312" s="37" t="str">
        <f aca="false">IF(OR(C312="",D312=""),"",D312*IF(E312="",IFERROR(INDEX(Ürünler!$D$5:$D$204,MATCH(C312,Ürünler!$A$5:$A$204,0)),0),E312))</f>
        <v/>
      </c>
      <c r="H312" s="37" t="str">
        <f aca="false">IF(G312="","",D312*IFERROR(INDEX(Ürünler!$C$5:$C$204,MATCH(C312,Ürünler!$A$5:$A$204,0)),0))</f>
        <v/>
      </c>
      <c r="I312" s="37" t="str">
        <f aca="false">IF(G312="","",G312-H312)</f>
        <v/>
      </c>
      <c r="J312" s="33"/>
    </row>
    <row r="313" customFormat="false" ht="15" hidden="false" customHeight="false" outlineLevel="0" collapsed="false">
      <c r="A313" s="32"/>
      <c r="B313" s="33"/>
      <c r="C313" s="33"/>
      <c r="D313" s="34"/>
      <c r="E313" s="35"/>
      <c r="F313" s="36"/>
      <c r="G313" s="37" t="str">
        <f aca="false">IF(OR(C313="",D313=""),"",D313*IF(E313="",IFERROR(INDEX(Ürünler!$D$5:$D$204,MATCH(C313,Ürünler!$A$5:$A$204,0)),0),E313))</f>
        <v/>
      </c>
      <c r="H313" s="37" t="str">
        <f aca="false">IF(G313="","",D313*IFERROR(INDEX(Ürünler!$C$5:$C$204,MATCH(C313,Ürünler!$A$5:$A$204,0)),0))</f>
        <v/>
      </c>
      <c r="I313" s="37" t="str">
        <f aca="false">IF(G313="","",G313-H313)</f>
        <v/>
      </c>
      <c r="J313" s="33"/>
    </row>
    <row r="314" customFormat="false" ht="15" hidden="false" customHeight="false" outlineLevel="0" collapsed="false">
      <c r="A314" s="32"/>
      <c r="B314" s="33"/>
      <c r="C314" s="33"/>
      <c r="D314" s="34"/>
      <c r="E314" s="35"/>
      <c r="F314" s="36"/>
      <c r="G314" s="37" t="str">
        <f aca="false">IF(OR(C314="",D314=""),"",D314*IF(E314="",IFERROR(INDEX(Ürünler!$D$5:$D$204,MATCH(C314,Ürünler!$A$5:$A$204,0)),0),E314))</f>
        <v/>
      </c>
      <c r="H314" s="37" t="str">
        <f aca="false">IF(G314="","",D314*IFERROR(INDEX(Ürünler!$C$5:$C$204,MATCH(C314,Ürünler!$A$5:$A$204,0)),0))</f>
        <v/>
      </c>
      <c r="I314" s="37" t="str">
        <f aca="false">IF(G314="","",G314-H314)</f>
        <v/>
      </c>
      <c r="J314" s="33"/>
    </row>
    <row r="315" customFormat="false" ht="15" hidden="false" customHeight="false" outlineLevel="0" collapsed="false">
      <c r="A315" s="32"/>
      <c r="B315" s="33"/>
      <c r="C315" s="33"/>
      <c r="D315" s="34"/>
      <c r="E315" s="35"/>
      <c r="F315" s="36"/>
      <c r="G315" s="37" t="str">
        <f aca="false">IF(OR(C315="",D315=""),"",D315*IF(E315="",IFERROR(INDEX(Ürünler!$D$5:$D$204,MATCH(C315,Ürünler!$A$5:$A$204,0)),0),E315))</f>
        <v/>
      </c>
      <c r="H315" s="37" t="str">
        <f aca="false">IF(G315="","",D315*IFERROR(INDEX(Ürünler!$C$5:$C$204,MATCH(C315,Ürünler!$A$5:$A$204,0)),0))</f>
        <v/>
      </c>
      <c r="I315" s="37" t="str">
        <f aca="false">IF(G315="","",G315-H315)</f>
        <v/>
      </c>
      <c r="J315" s="33"/>
    </row>
    <row r="316" customFormat="false" ht="15" hidden="false" customHeight="false" outlineLevel="0" collapsed="false">
      <c r="A316" s="32"/>
      <c r="B316" s="33"/>
      <c r="C316" s="33"/>
      <c r="D316" s="34"/>
      <c r="E316" s="35"/>
      <c r="F316" s="36"/>
      <c r="G316" s="37" t="str">
        <f aca="false">IF(OR(C316="",D316=""),"",D316*IF(E316="",IFERROR(INDEX(Ürünler!$D$5:$D$204,MATCH(C316,Ürünler!$A$5:$A$204,0)),0),E316))</f>
        <v/>
      </c>
      <c r="H316" s="37" t="str">
        <f aca="false">IF(G316="","",D316*IFERROR(INDEX(Ürünler!$C$5:$C$204,MATCH(C316,Ürünler!$A$5:$A$204,0)),0))</f>
        <v/>
      </c>
      <c r="I316" s="37" t="str">
        <f aca="false">IF(G316="","",G316-H316)</f>
        <v/>
      </c>
      <c r="J316" s="33"/>
    </row>
    <row r="317" customFormat="false" ht="15" hidden="false" customHeight="false" outlineLevel="0" collapsed="false">
      <c r="A317" s="32"/>
      <c r="B317" s="33"/>
      <c r="C317" s="33"/>
      <c r="D317" s="34"/>
      <c r="E317" s="35"/>
      <c r="F317" s="36"/>
      <c r="G317" s="37" t="str">
        <f aca="false">IF(OR(C317="",D317=""),"",D317*IF(E317="",IFERROR(INDEX(Ürünler!$D$5:$D$204,MATCH(C317,Ürünler!$A$5:$A$204,0)),0),E317))</f>
        <v/>
      </c>
      <c r="H317" s="37" t="str">
        <f aca="false">IF(G317="","",D317*IFERROR(INDEX(Ürünler!$C$5:$C$204,MATCH(C317,Ürünler!$A$5:$A$204,0)),0))</f>
        <v/>
      </c>
      <c r="I317" s="37" t="str">
        <f aca="false">IF(G317="","",G317-H317)</f>
        <v/>
      </c>
      <c r="J317" s="33"/>
    </row>
    <row r="318" customFormat="false" ht="15" hidden="false" customHeight="false" outlineLevel="0" collapsed="false">
      <c r="A318" s="32"/>
      <c r="B318" s="33"/>
      <c r="C318" s="33"/>
      <c r="D318" s="34"/>
      <c r="E318" s="35"/>
      <c r="F318" s="36"/>
      <c r="G318" s="37" t="str">
        <f aca="false">IF(OR(C318="",D318=""),"",D318*IF(E318="",IFERROR(INDEX(Ürünler!$D$5:$D$204,MATCH(C318,Ürünler!$A$5:$A$204,0)),0),E318))</f>
        <v/>
      </c>
      <c r="H318" s="37" t="str">
        <f aca="false">IF(G318="","",D318*IFERROR(INDEX(Ürünler!$C$5:$C$204,MATCH(C318,Ürünler!$A$5:$A$204,0)),0))</f>
        <v/>
      </c>
      <c r="I318" s="37" t="str">
        <f aca="false">IF(G318="","",G318-H318)</f>
        <v/>
      </c>
      <c r="J318" s="33"/>
    </row>
    <row r="319" customFormat="false" ht="15" hidden="false" customHeight="false" outlineLevel="0" collapsed="false">
      <c r="A319" s="32"/>
      <c r="B319" s="33"/>
      <c r="C319" s="33"/>
      <c r="D319" s="34"/>
      <c r="E319" s="35"/>
      <c r="F319" s="36"/>
      <c r="G319" s="37" t="str">
        <f aca="false">IF(OR(C319="",D319=""),"",D319*IF(E319="",IFERROR(INDEX(Ürünler!$D$5:$D$204,MATCH(C319,Ürünler!$A$5:$A$204,0)),0),E319))</f>
        <v/>
      </c>
      <c r="H319" s="37" t="str">
        <f aca="false">IF(G319="","",D319*IFERROR(INDEX(Ürünler!$C$5:$C$204,MATCH(C319,Ürünler!$A$5:$A$204,0)),0))</f>
        <v/>
      </c>
      <c r="I319" s="37" t="str">
        <f aca="false">IF(G319="","",G319-H319)</f>
        <v/>
      </c>
      <c r="J319" s="33"/>
    </row>
    <row r="320" customFormat="false" ht="15" hidden="false" customHeight="false" outlineLevel="0" collapsed="false">
      <c r="A320" s="32"/>
      <c r="B320" s="33"/>
      <c r="C320" s="33"/>
      <c r="D320" s="34"/>
      <c r="E320" s="35"/>
      <c r="F320" s="36"/>
      <c r="G320" s="37" t="str">
        <f aca="false">IF(OR(C320="",D320=""),"",D320*IF(E320="",IFERROR(INDEX(Ürünler!$D$5:$D$204,MATCH(C320,Ürünler!$A$5:$A$204,0)),0),E320))</f>
        <v/>
      </c>
      <c r="H320" s="37" t="str">
        <f aca="false">IF(G320="","",D320*IFERROR(INDEX(Ürünler!$C$5:$C$204,MATCH(C320,Ürünler!$A$5:$A$204,0)),0))</f>
        <v/>
      </c>
      <c r="I320" s="37" t="str">
        <f aca="false">IF(G320="","",G320-H320)</f>
        <v/>
      </c>
      <c r="J320" s="33"/>
    </row>
    <row r="321" customFormat="false" ht="15" hidden="false" customHeight="false" outlineLevel="0" collapsed="false">
      <c r="A321" s="32"/>
      <c r="B321" s="33"/>
      <c r="C321" s="33"/>
      <c r="D321" s="34"/>
      <c r="E321" s="35"/>
      <c r="F321" s="36"/>
      <c r="G321" s="37" t="str">
        <f aca="false">IF(OR(C321="",D321=""),"",D321*IF(E321="",IFERROR(INDEX(Ürünler!$D$5:$D$204,MATCH(C321,Ürünler!$A$5:$A$204,0)),0),E321))</f>
        <v/>
      </c>
      <c r="H321" s="37" t="str">
        <f aca="false">IF(G321="","",D321*IFERROR(INDEX(Ürünler!$C$5:$C$204,MATCH(C321,Ürünler!$A$5:$A$204,0)),0))</f>
        <v/>
      </c>
      <c r="I321" s="37" t="str">
        <f aca="false">IF(G321="","",G321-H321)</f>
        <v/>
      </c>
      <c r="J321" s="33"/>
    </row>
    <row r="322" customFormat="false" ht="15" hidden="false" customHeight="false" outlineLevel="0" collapsed="false">
      <c r="A322" s="32"/>
      <c r="B322" s="33"/>
      <c r="C322" s="33"/>
      <c r="D322" s="34"/>
      <c r="E322" s="35"/>
      <c r="F322" s="36"/>
      <c r="G322" s="37" t="str">
        <f aca="false">IF(OR(C322="",D322=""),"",D322*IF(E322="",IFERROR(INDEX(Ürünler!$D$5:$D$204,MATCH(C322,Ürünler!$A$5:$A$204,0)),0),E322))</f>
        <v/>
      </c>
      <c r="H322" s="37" t="str">
        <f aca="false">IF(G322="","",D322*IFERROR(INDEX(Ürünler!$C$5:$C$204,MATCH(C322,Ürünler!$A$5:$A$204,0)),0))</f>
        <v/>
      </c>
      <c r="I322" s="37" t="str">
        <f aca="false">IF(G322="","",G322-H322)</f>
        <v/>
      </c>
      <c r="J322" s="33"/>
    </row>
    <row r="323" customFormat="false" ht="15" hidden="false" customHeight="false" outlineLevel="0" collapsed="false">
      <c r="A323" s="32"/>
      <c r="B323" s="33"/>
      <c r="C323" s="33"/>
      <c r="D323" s="34"/>
      <c r="E323" s="35"/>
      <c r="F323" s="36"/>
      <c r="G323" s="37" t="str">
        <f aca="false">IF(OR(C323="",D323=""),"",D323*IF(E323="",IFERROR(INDEX(Ürünler!$D$5:$D$204,MATCH(C323,Ürünler!$A$5:$A$204,0)),0),E323))</f>
        <v/>
      </c>
      <c r="H323" s="37" t="str">
        <f aca="false">IF(G323="","",D323*IFERROR(INDEX(Ürünler!$C$5:$C$204,MATCH(C323,Ürünler!$A$5:$A$204,0)),0))</f>
        <v/>
      </c>
      <c r="I323" s="37" t="str">
        <f aca="false">IF(G323="","",G323-H323)</f>
        <v/>
      </c>
      <c r="J323" s="33"/>
    </row>
    <row r="324" customFormat="false" ht="15" hidden="false" customHeight="false" outlineLevel="0" collapsed="false">
      <c r="A324" s="32"/>
      <c r="B324" s="33"/>
      <c r="C324" s="33"/>
      <c r="D324" s="34"/>
      <c r="E324" s="35"/>
      <c r="F324" s="36"/>
      <c r="G324" s="37" t="str">
        <f aca="false">IF(OR(C324="",D324=""),"",D324*IF(E324="",IFERROR(INDEX(Ürünler!$D$5:$D$204,MATCH(C324,Ürünler!$A$5:$A$204,0)),0),E324))</f>
        <v/>
      </c>
      <c r="H324" s="37" t="str">
        <f aca="false">IF(G324="","",D324*IFERROR(INDEX(Ürünler!$C$5:$C$204,MATCH(C324,Ürünler!$A$5:$A$204,0)),0))</f>
        <v/>
      </c>
      <c r="I324" s="37" t="str">
        <f aca="false">IF(G324="","",G324-H324)</f>
        <v/>
      </c>
      <c r="J324" s="33"/>
    </row>
    <row r="325" customFormat="false" ht="15" hidden="false" customHeight="false" outlineLevel="0" collapsed="false">
      <c r="A325" s="32"/>
      <c r="B325" s="33"/>
      <c r="C325" s="33"/>
      <c r="D325" s="34"/>
      <c r="E325" s="35"/>
      <c r="F325" s="36"/>
      <c r="G325" s="37" t="str">
        <f aca="false">IF(OR(C325="",D325=""),"",D325*IF(E325="",IFERROR(INDEX(Ürünler!$D$5:$D$204,MATCH(C325,Ürünler!$A$5:$A$204,0)),0),E325))</f>
        <v/>
      </c>
      <c r="H325" s="37" t="str">
        <f aca="false">IF(G325="","",D325*IFERROR(INDEX(Ürünler!$C$5:$C$204,MATCH(C325,Ürünler!$A$5:$A$204,0)),0))</f>
        <v/>
      </c>
      <c r="I325" s="37" t="str">
        <f aca="false">IF(G325="","",G325-H325)</f>
        <v/>
      </c>
      <c r="J325" s="33"/>
    </row>
    <row r="326" customFormat="false" ht="15" hidden="false" customHeight="false" outlineLevel="0" collapsed="false">
      <c r="A326" s="32"/>
      <c r="B326" s="33"/>
      <c r="C326" s="33"/>
      <c r="D326" s="34"/>
      <c r="E326" s="35"/>
      <c r="F326" s="36"/>
      <c r="G326" s="37" t="str">
        <f aca="false">IF(OR(C326="",D326=""),"",D326*IF(E326="",IFERROR(INDEX(Ürünler!$D$5:$D$204,MATCH(C326,Ürünler!$A$5:$A$204,0)),0),E326))</f>
        <v/>
      </c>
      <c r="H326" s="37" t="str">
        <f aca="false">IF(G326="","",D326*IFERROR(INDEX(Ürünler!$C$5:$C$204,MATCH(C326,Ürünler!$A$5:$A$204,0)),0))</f>
        <v/>
      </c>
      <c r="I326" s="37" t="str">
        <f aca="false">IF(G326="","",G326-H326)</f>
        <v/>
      </c>
      <c r="J326" s="33"/>
    </row>
    <row r="327" customFormat="false" ht="15" hidden="false" customHeight="false" outlineLevel="0" collapsed="false">
      <c r="A327" s="32"/>
      <c r="B327" s="33"/>
      <c r="C327" s="33"/>
      <c r="D327" s="34"/>
      <c r="E327" s="35"/>
      <c r="F327" s="36"/>
      <c r="G327" s="37" t="str">
        <f aca="false">IF(OR(C327="",D327=""),"",D327*IF(E327="",IFERROR(INDEX(Ürünler!$D$5:$D$204,MATCH(C327,Ürünler!$A$5:$A$204,0)),0),E327))</f>
        <v/>
      </c>
      <c r="H327" s="37" t="str">
        <f aca="false">IF(G327="","",D327*IFERROR(INDEX(Ürünler!$C$5:$C$204,MATCH(C327,Ürünler!$A$5:$A$204,0)),0))</f>
        <v/>
      </c>
      <c r="I327" s="37" t="str">
        <f aca="false">IF(G327="","",G327-H327)</f>
        <v/>
      </c>
      <c r="J327" s="33"/>
    </row>
    <row r="328" customFormat="false" ht="15" hidden="false" customHeight="false" outlineLevel="0" collapsed="false">
      <c r="A328" s="32"/>
      <c r="B328" s="33"/>
      <c r="C328" s="33"/>
      <c r="D328" s="34"/>
      <c r="E328" s="35"/>
      <c r="F328" s="36"/>
      <c r="G328" s="37" t="str">
        <f aca="false">IF(OR(C328="",D328=""),"",D328*IF(E328="",IFERROR(INDEX(Ürünler!$D$5:$D$204,MATCH(C328,Ürünler!$A$5:$A$204,0)),0),E328))</f>
        <v/>
      </c>
      <c r="H328" s="37" t="str">
        <f aca="false">IF(G328="","",D328*IFERROR(INDEX(Ürünler!$C$5:$C$204,MATCH(C328,Ürünler!$A$5:$A$204,0)),0))</f>
        <v/>
      </c>
      <c r="I328" s="37" t="str">
        <f aca="false">IF(G328="","",G328-H328)</f>
        <v/>
      </c>
      <c r="J328" s="33"/>
    </row>
    <row r="329" customFormat="false" ht="15" hidden="false" customHeight="false" outlineLevel="0" collapsed="false">
      <c r="A329" s="32"/>
      <c r="B329" s="33"/>
      <c r="C329" s="33"/>
      <c r="D329" s="34"/>
      <c r="E329" s="35"/>
      <c r="F329" s="36"/>
      <c r="G329" s="37" t="str">
        <f aca="false">IF(OR(C329="",D329=""),"",D329*IF(E329="",IFERROR(INDEX(Ürünler!$D$5:$D$204,MATCH(C329,Ürünler!$A$5:$A$204,0)),0),E329))</f>
        <v/>
      </c>
      <c r="H329" s="37" t="str">
        <f aca="false">IF(G329="","",D329*IFERROR(INDEX(Ürünler!$C$5:$C$204,MATCH(C329,Ürünler!$A$5:$A$204,0)),0))</f>
        <v/>
      </c>
      <c r="I329" s="37" t="str">
        <f aca="false">IF(G329="","",G329-H329)</f>
        <v/>
      </c>
      <c r="J329" s="33"/>
    </row>
    <row r="330" customFormat="false" ht="15" hidden="false" customHeight="false" outlineLevel="0" collapsed="false">
      <c r="A330" s="32"/>
      <c r="B330" s="33"/>
      <c r="C330" s="33"/>
      <c r="D330" s="34"/>
      <c r="E330" s="35"/>
      <c r="F330" s="36"/>
      <c r="G330" s="37" t="str">
        <f aca="false">IF(OR(C330="",D330=""),"",D330*IF(E330="",IFERROR(INDEX(Ürünler!$D$5:$D$204,MATCH(C330,Ürünler!$A$5:$A$204,0)),0),E330))</f>
        <v/>
      </c>
      <c r="H330" s="37" t="str">
        <f aca="false">IF(G330="","",D330*IFERROR(INDEX(Ürünler!$C$5:$C$204,MATCH(C330,Ürünler!$A$5:$A$204,0)),0))</f>
        <v/>
      </c>
      <c r="I330" s="37" t="str">
        <f aca="false">IF(G330="","",G330-H330)</f>
        <v/>
      </c>
      <c r="J330" s="33"/>
    </row>
    <row r="331" customFormat="false" ht="15" hidden="false" customHeight="false" outlineLevel="0" collapsed="false">
      <c r="A331" s="32"/>
      <c r="B331" s="33"/>
      <c r="C331" s="33"/>
      <c r="D331" s="34"/>
      <c r="E331" s="35"/>
      <c r="F331" s="36"/>
      <c r="G331" s="37" t="str">
        <f aca="false">IF(OR(C331="",D331=""),"",D331*IF(E331="",IFERROR(INDEX(Ürünler!$D$5:$D$204,MATCH(C331,Ürünler!$A$5:$A$204,0)),0),E331))</f>
        <v/>
      </c>
      <c r="H331" s="37" t="str">
        <f aca="false">IF(G331="","",D331*IFERROR(INDEX(Ürünler!$C$5:$C$204,MATCH(C331,Ürünler!$A$5:$A$204,0)),0))</f>
        <v/>
      </c>
      <c r="I331" s="37" t="str">
        <f aca="false">IF(G331="","",G331-H331)</f>
        <v/>
      </c>
      <c r="J331" s="33"/>
    </row>
    <row r="332" customFormat="false" ht="15" hidden="false" customHeight="false" outlineLevel="0" collapsed="false">
      <c r="A332" s="32"/>
      <c r="B332" s="33"/>
      <c r="C332" s="33"/>
      <c r="D332" s="34"/>
      <c r="E332" s="35"/>
      <c r="F332" s="36"/>
      <c r="G332" s="37" t="str">
        <f aca="false">IF(OR(C332="",D332=""),"",D332*IF(E332="",IFERROR(INDEX(Ürünler!$D$5:$D$204,MATCH(C332,Ürünler!$A$5:$A$204,0)),0),E332))</f>
        <v/>
      </c>
      <c r="H332" s="37" t="str">
        <f aca="false">IF(G332="","",D332*IFERROR(INDEX(Ürünler!$C$5:$C$204,MATCH(C332,Ürünler!$A$5:$A$204,0)),0))</f>
        <v/>
      </c>
      <c r="I332" s="37" t="str">
        <f aca="false">IF(G332="","",G332-H332)</f>
        <v/>
      </c>
      <c r="J332" s="33"/>
    </row>
    <row r="333" customFormat="false" ht="15" hidden="false" customHeight="false" outlineLevel="0" collapsed="false">
      <c r="A333" s="32"/>
      <c r="B333" s="33"/>
      <c r="C333" s="33"/>
      <c r="D333" s="34"/>
      <c r="E333" s="35"/>
      <c r="F333" s="36"/>
      <c r="G333" s="37" t="str">
        <f aca="false">IF(OR(C333="",D333=""),"",D333*IF(E333="",IFERROR(INDEX(Ürünler!$D$5:$D$204,MATCH(C333,Ürünler!$A$5:$A$204,0)),0),E333))</f>
        <v/>
      </c>
      <c r="H333" s="37" t="str">
        <f aca="false">IF(G333="","",D333*IFERROR(INDEX(Ürünler!$C$5:$C$204,MATCH(C333,Ürünler!$A$5:$A$204,0)),0))</f>
        <v/>
      </c>
      <c r="I333" s="37" t="str">
        <f aca="false">IF(G333="","",G333-H333)</f>
        <v/>
      </c>
      <c r="J333" s="33"/>
    </row>
    <row r="334" customFormat="false" ht="15" hidden="false" customHeight="false" outlineLevel="0" collapsed="false">
      <c r="A334" s="32"/>
      <c r="B334" s="33"/>
      <c r="C334" s="33"/>
      <c r="D334" s="34"/>
      <c r="E334" s="35"/>
      <c r="F334" s="36"/>
      <c r="G334" s="37" t="str">
        <f aca="false">IF(OR(C334="",D334=""),"",D334*IF(E334="",IFERROR(INDEX(Ürünler!$D$5:$D$204,MATCH(C334,Ürünler!$A$5:$A$204,0)),0),E334))</f>
        <v/>
      </c>
      <c r="H334" s="37" t="str">
        <f aca="false">IF(G334="","",D334*IFERROR(INDEX(Ürünler!$C$5:$C$204,MATCH(C334,Ürünler!$A$5:$A$204,0)),0))</f>
        <v/>
      </c>
      <c r="I334" s="37" t="str">
        <f aca="false">IF(G334="","",G334-H334)</f>
        <v/>
      </c>
      <c r="J334" s="33"/>
    </row>
    <row r="335" customFormat="false" ht="15" hidden="false" customHeight="false" outlineLevel="0" collapsed="false">
      <c r="A335" s="32"/>
      <c r="B335" s="33"/>
      <c r="C335" s="33"/>
      <c r="D335" s="34"/>
      <c r="E335" s="35"/>
      <c r="F335" s="36"/>
      <c r="G335" s="37" t="str">
        <f aca="false">IF(OR(C335="",D335=""),"",D335*IF(E335="",IFERROR(INDEX(Ürünler!$D$5:$D$204,MATCH(C335,Ürünler!$A$5:$A$204,0)),0),E335))</f>
        <v/>
      </c>
      <c r="H335" s="37" t="str">
        <f aca="false">IF(G335="","",D335*IFERROR(INDEX(Ürünler!$C$5:$C$204,MATCH(C335,Ürünler!$A$5:$A$204,0)),0))</f>
        <v/>
      </c>
      <c r="I335" s="37" t="str">
        <f aca="false">IF(G335="","",G335-H335)</f>
        <v/>
      </c>
      <c r="J335" s="33"/>
    </row>
    <row r="336" customFormat="false" ht="15" hidden="false" customHeight="false" outlineLevel="0" collapsed="false">
      <c r="A336" s="32"/>
      <c r="B336" s="33"/>
      <c r="C336" s="33"/>
      <c r="D336" s="34"/>
      <c r="E336" s="35"/>
      <c r="F336" s="36"/>
      <c r="G336" s="37" t="str">
        <f aca="false">IF(OR(C336="",D336=""),"",D336*IF(E336="",IFERROR(INDEX(Ürünler!$D$5:$D$204,MATCH(C336,Ürünler!$A$5:$A$204,0)),0),E336))</f>
        <v/>
      </c>
      <c r="H336" s="37" t="str">
        <f aca="false">IF(G336="","",D336*IFERROR(INDEX(Ürünler!$C$5:$C$204,MATCH(C336,Ürünler!$A$5:$A$204,0)),0))</f>
        <v/>
      </c>
      <c r="I336" s="37" t="str">
        <f aca="false">IF(G336="","",G336-H336)</f>
        <v/>
      </c>
      <c r="J336" s="33"/>
    </row>
    <row r="337" customFormat="false" ht="15" hidden="false" customHeight="false" outlineLevel="0" collapsed="false">
      <c r="A337" s="32"/>
      <c r="B337" s="33"/>
      <c r="C337" s="33"/>
      <c r="D337" s="34"/>
      <c r="E337" s="35"/>
      <c r="F337" s="36"/>
      <c r="G337" s="37" t="str">
        <f aca="false">IF(OR(C337="",D337=""),"",D337*IF(E337="",IFERROR(INDEX(Ürünler!$D$5:$D$204,MATCH(C337,Ürünler!$A$5:$A$204,0)),0),E337))</f>
        <v/>
      </c>
      <c r="H337" s="37" t="str">
        <f aca="false">IF(G337="","",D337*IFERROR(INDEX(Ürünler!$C$5:$C$204,MATCH(C337,Ürünler!$A$5:$A$204,0)),0))</f>
        <v/>
      </c>
      <c r="I337" s="37" t="str">
        <f aca="false">IF(G337="","",G337-H337)</f>
        <v/>
      </c>
      <c r="J337" s="33"/>
    </row>
    <row r="338" customFormat="false" ht="15" hidden="false" customHeight="false" outlineLevel="0" collapsed="false">
      <c r="A338" s="32"/>
      <c r="B338" s="33"/>
      <c r="C338" s="33"/>
      <c r="D338" s="34"/>
      <c r="E338" s="35"/>
      <c r="F338" s="36"/>
      <c r="G338" s="37" t="str">
        <f aca="false">IF(OR(C338="",D338=""),"",D338*IF(E338="",IFERROR(INDEX(Ürünler!$D$5:$D$204,MATCH(C338,Ürünler!$A$5:$A$204,0)),0),E338))</f>
        <v/>
      </c>
      <c r="H338" s="37" t="str">
        <f aca="false">IF(G338="","",D338*IFERROR(INDEX(Ürünler!$C$5:$C$204,MATCH(C338,Ürünler!$A$5:$A$204,0)),0))</f>
        <v/>
      </c>
      <c r="I338" s="37" t="str">
        <f aca="false">IF(G338="","",G338-H338)</f>
        <v/>
      </c>
      <c r="J338" s="33"/>
    </row>
    <row r="339" customFormat="false" ht="15" hidden="false" customHeight="false" outlineLevel="0" collapsed="false">
      <c r="A339" s="32"/>
      <c r="B339" s="33"/>
      <c r="C339" s="33"/>
      <c r="D339" s="34"/>
      <c r="E339" s="35"/>
      <c r="F339" s="36"/>
      <c r="G339" s="37" t="str">
        <f aca="false">IF(OR(C339="",D339=""),"",D339*IF(E339="",IFERROR(INDEX(Ürünler!$D$5:$D$204,MATCH(C339,Ürünler!$A$5:$A$204,0)),0),E339))</f>
        <v/>
      </c>
      <c r="H339" s="37" t="str">
        <f aca="false">IF(G339="","",D339*IFERROR(INDEX(Ürünler!$C$5:$C$204,MATCH(C339,Ürünler!$A$5:$A$204,0)),0))</f>
        <v/>
      </c>
      <c r="I339" s="37" t="str">
        <f aca="false">IF(G339="","",G339-H339)</f>
        <v/>
      </c>
      <c r="J339" s="33"/>
    </row>
    <row r="340" customFormat="false" ht="15" hidden="false" customHeight="false" outlineLevel="0" collapsed="false">
      <c r="A340" s="32"/>
      <c r="B340" s="33"/>
      <c r="C340" s="33"/>
      <c r="D340" s="34"/>
      <c r="E340" s="35"/>
      <c r="F340" s="36"/>
      <c r="G340" s="37" t="str">
        <f aca="false">IF(OR(C340="",D340=""),"",D340*IF(E340="",IFERROR(INDEX(Ürünler!$D$5:$D$204,MATCH(C340,Ürünler!$A$5:$A$204,0)),0),E340))</f>
        <v/>
      </c>
      <c r="H340" s="37" t="str">
        <f aca="false">IF(G340="","",D340*IFERROR(INDEX(Ürünler!$C$5:$C$204,MATCH(C340,Ürünler!$A$5:$A$204,0)),0))</f>
        <v/>
      </c>
      <c r="I340" s="37" t="str">
        <f aca="false">IF(G340="","",G340-H340)</f>
        <v/>
      </c>
      <c r="J340" s="33"/>
    </row>
    <row r="341" customFormat="false" ht="15" hidden="false" customHeight="false" outlineLevel="0" collapsed="false">
      <c r="A341" s="32"/>
      <c r="B341" s="33"/>
      <c r="C341" s="33"/>
      <c r="D341" s="34"/>
      <c r="E341" s="35"/>
      <c r="F341" s="36"/>
      <c r="G341" s="37" t="str">
        <f aca="false">IF(OR(C341="",D341=""),"",D341*IF(E341="",IFERROR(INDEX(Ürünler!$D$5:$D$204,MATCH(C341,Ürünler!$A$5:$A$204,0)),0),E341))</f>
        <v/>
      </c>
      <c r="H341" s="37" t="str">
        <f aca="false">IF(G341="","",D341*IFERROR(INDEX(Ürünler!$C$5:$C$204,MATCH(C341,Ürünler!$A$5:$A$204,0)),0))</f>
        <v/>
      </c>
      <c r="I341" s="37" t="str">
        <f aca="false">IF(G341="","",G341-H341)</f>
        <v/>
      </c>
      <c r="J341" s="33"/>
    </row>
    <row r="342" customFormat="false" ht="15" hidden="false" customHeight="false" outlineLevel="0" collapsed="false">
      <c r="A342" s="32"/>
      <c r="B342" s="33"/>
      <c r="C342" s="33"/>
      <c r="D342" s="34"/>
      <c r="E342" s="35"/>
      <c r="F342" s="36"/>
      <c r="G342" s="37" t="str">
        <f aca="false">IF(OR(C342="",D342=""),"",D342*IF(E342="",IFERROR(INDEX(Ürünler!$D$5:$D$204,MATCH(C342,Ürünler!$A$5:$A$204,0)),0),E342))</f>
        <v/>
      </c>
      <c r="H342" s="37" t="str">
        <f aca="false">IF(G342="","",D342*IFERROR(INDEX(Ürünler!$C$5:$C$204,MATCH(C342,Ürünler!$A$5:$A$204,0)),0))</f>
        <v/>
      </c>
      <c r="I342" s="37" t="str">
        <f aca="false">IF(G342="","",G342-H342)</f>
        <v/>
      </c>
      <c r="J342" s="33"/>
    </row>
    <row r="343" customFormat="false" ht="15" hidden="false" customHeight="false" outlineLevel="0" collapsed="false">
      <c r="A343" s="32"/>
      <c r="B343" s="33"/>
      <c r="C343" s="33"/>
      <c r="D343" s="34"/>
      <c r="E343" s="35"/>
      <c r="F343" s="36"/>
      <c r="G343" s="37" t="str">
        <f aca="false">IF(OR(C343="",D343=""),"",D343*IF(E343="",IFERROR(INDEX(Ürünler!$D$5:$D$204,MATCH(C343,Ürünler!$A$5:$A$204,0)),0),E343))</f>
        <v/>
      </c>
      <c r="H343" s="37" t="str">
        <f aca="false">IF(G343="","",D343*IFERROR(INDEX(Ürünler!$C$5:$C$204,MATCH(C343,Ürünler!$A$5:$A$204,0)),0))</f>
        <v/>
      </c>
      <c r="I343" s="37" t="str">
        <f aca="false">IF(G343="","",G343-H343)</f>
        <v/>
      </c>
      <c r="J343" s="33"/>
    </row>
    <row r="344" customFormat="false" ht="15" hidden="false" customHeight="false" outlineLevel="0" collapsed="false">
      <c r="A344" s="32"/>
      <c r="B344" s="33"/>
      <c r="C344" s="33"/>
      <c r="D344" s="34"/>
      <c r="E344" s="35"/>
      <c r="F344" s="36"/>
      <c r="G344" s="37" t="str">
        <f aca="false">IF(OR(C344="",D344=""),"",D344*IF(E344="",IFERROR(INDEX(Ürünler!$D$5:$D$204,MATCH(C344,Ürünler!$A$5:$A$204,0)),0),E344))</f>
        <v/>
      </c>
      <c r="H344" s="37" t="str">
        <f aca="false">IF(G344="","",D344*IFERROR(INDEX(Ürünler!$C$5:$C$204,MATCH(C344,Ürünler!$A$5:$A$204,0)),0))</f>
        <v/>
      </c>
      <c r="I344" s="37" t="str">
        <f aca="false">IF(G344="","",G344-H344)</f>
        <v/>
      </c>
      <c r="J344" s="33"/>
    </row>
    <row r="345" customFormat="false" ht="15" hidden="false" customHeight="false" outlineLevel="0" collapsed="false">
      <c r="A345" s="32"/>
      <c r="B345" s="33"/>
      <c r="C345" s="33"/>
      <c r="D345" s="34"/>
      <c r="E345" s="35"/>
      <c r="F345" s="36"/>
      <c r="G345" s="37" t="str">
        <f aca="false">IF(OR(C345="",D345=""),"",D345*IF(E345="",IFERROR(INDEX(Ürünler!$D$5:$D$204,MATCH(C345,Ürünler!$A$5:$A$204,0)),0),E345))</f>
        <v/>
      </c>
      <c r="H345" s="37" t="str">
        <f aca="false">IF(G345="","",D345*IFERROR(INDEX(Ürünler!$C$5:$C$204,MATCH(C345,Ürünler!$A$5:$A$204,0)),0))</f>
        <v/>
      </c>
      <c r="I345" s="37" t="str">
        <f aca="false">IF(G345="","",G345-H345)</f>
        <v/>
      </c>
      <c r="J345" s="33"/>
    </row>
    <row r="346" customFormat="false" ht="15" hidden="false" customHeight="false" outlineLevel="0" collapsed="false">
      <c r="A346" s="32"/>
      <c r="B346" s="33"/>
      <c r="C346" s="33"/>
      <c r="D346" s="34"/>
      <c r="E346" s="35"/>
      <c r="F346" s="36"/>
      <c r="G346" s="37" t="str">
        <f aca="false">IF(OR(C346="",D346=""),"",D346*IF(E346="",IFERROR(INDEX(Ürünler!$D$5:$D$204,MATCH(C346,Ürünler!$A$5:$A$204,0)),0),E346))</f>
        <v/>
      </c>
      <c r="H346" s="37" t="str">
        <f aca="false">IF(G346="","",D346*IFERROR(INDEX(Ürünler!$C$5:$C$204,MATCH(C346,Ürünler!$A$5:$A$204,0)),0))</f>
        <v/>
      </c>
      <c r="I346" s="37" t="str">
        <f aca="false">IF(G346="","",G346-H346)</f>
        <v/>
      </c>
      <c r="J346" s="33"/>
    </row>
    <row r="347" customFormat="false" ht="15" hidden="false" customHeight="false" outlineLevel="0" collapsed="false">
      <c r="A347" s="32"/>
      <c r="B347" s="33"/>
      <c r="C347" s="33"/>
      <c r="D347" s="34"/>
      <c r="E347" s="35"/>
      <c r="F347" s="36"/>
      <c r="G347" s="37" t="str">
        <f aca="false">IF(OR(C347="",D347=""),"",D347*IF(E347="",IFERROR(INDEX(Ürünler!$D$5:$D$204,MATCH(C347,Ürünler!$A$5:$A$204,0)),0),E347))</f>
        <v/>
      </c>
      <c r="H347" s="37" t="str">
        <f aca="false">IF(G347="","",D347*IFERROR(INDEX(Ürünler!$C$5:$C$204,MATCH(C347,Ürünler!$A$5:$A$204,0)),0))</f>
        <v/>
      </c>
      <c r="I347" s="37" t="str">
        <f aca="false">IF(G347="","",G347-H347)</f>
        <v/>
      </c>
      <c r="J347" s="33"/>
    </row>
    <row r="348" customFormat="false" ht="15" hidden="false" customHeight="false" outlineLevel="0" collapsed="false">
      <c r="A348" s="32"/>
      <c r="B348" s="33"/>
      <c r="C348" s="33"/>
      <c r="D348" s="34"/>
      <c r="E348" s="35"/>
      <c r="F348" s="36"/>
      <c r="G348" s="37" t="str">
        <f aca="false">IF(OR(C348="",D348=""),"",D348*IF(E348="",IFERROR(INDEX(Ürünler!$D$5:$D$204,MATCH(C348,Ürünler!$A$5:$A$204,0)),0),E348))</f>
        <v/>
      </c>
      <c r="H348" s="37" t="str">
        <f aca="false">IF(G348="","",D348*IFERROR(INDEX(Ürünler!$C$5:$C$204,MATCH(C348,Ürünler!$A$5:$A$204,0)),0))</f>
        <v/>
      </c>
      <c r="I348" s="37" t="str">
        <f aca="false">IF(G348="","",G348-H348)</f>
        <v/>
      </c>
      <c r="J348" s="33"/>
    </row>
    <row r="349" customFormat="false" ht="15" hidden="false" customHeight="false" outlineLevel="0" collapsed="false">
      <c r="A349" s="32"/>
      <c r="B349" s="33"/>
      <c r="C349" s="33"/>
      <c r="D349" s="34"/>
      <c r="E349" s="35"/>
      <c r="F349" s="36"/>
      <c r="G349" s="37" t="str">
        <f aca="false">IF(OR(C349="",D349=""),"",D349*IF(E349="",IFERROR(INDEX(Ürünler!$D$5:$D$204,MATCH(C349,Ürünler!$A$5:$A$204,0)),0),E349))</f>
        <v/>
      </c>
      <c r="H349" s="37" t="str">
        <f aca="false">IF(G349="","",D349*IFERROR(INDEX(Ürünler!$C$5:$C$204,MATCH(C349,Ürünler!$A$5:$A$204,0)),0))</f>
        <v/>
      </c>
      <c r="I349" s="37" t="str">
        <f aca="false">IF(G349="","",G349-H349)</f>
        <v/>
      </c>
      <c r="J349" s="33"/>
    </row>
    <row r="350" customFormat="false" ht="15" hidden="false" customHeight="false" outlineLevel="0" collapsed="false">
      <c r="A350" s="32"/>
      <c r="B350" s="33"/>
      <c r="C350" s="33"/>
      <c r="D350" s="34"/>
      <c r="E350" s="35"/>
      <c r="F350" s="36"/>
      <c r="G350" s="37" t="str">
        <f aca="false">IF(OR(C350="",D350=""),"",D350*IF(E350="",IFERROR(INDEX(Ürünler!$D$5:$D$204,MATCH(C350,Ürünler!$A$5:$A$204,0)),0),E350))</f>
        <v/>
      </c>
      <c r="H350" s="37" t="str">
        <f aca="false">IF(G350="","",D350*IFERROR(INDEX(Ürünler!$C$5:$C$204,MATCH(C350,Ürünler!$A$5:$A$204,0)),0))</f>
        <v/>
      </c>
      <c r="I350" s="37" t="str">
        <f aca="false">IF(G350="","",G350-H350)</f>
        <v/>
      </c>
      <c r="J350" s="33"/>
    </row>
    <row r="351" customFormat="false" ht="15" hidden="false" customHeight="false" outlineLevel="0" collapsed="false">
      <c r="A351" s="32"/>
      <c r="B351" s="33"/>
      <c r="C351" s="33"/>
      <c r="D351" s="34"/>
      <c r="E351" s="35"/>
      <c r="F351" s="36"/>
      <c r="G351" s="37" t="str">
        <f aca="false">IF(OR(C351="",D351=""),"",D351*IF(E351="",IFERROR(INDEX(Ürünler!$D$5:$D$204,MATCH(C351,Ürünler!$A$5:$A$204,0)),0),E351))</f>
        <v/>
      </c>
      <c r="H351" s="37" t="str">
        <f aca="false">IF(G351="","",D351*IFERROR(INDEX(Ürünler!$C$5:$C$204,MATCH(C351,Ürünler!$A$5:$A$204,0)),0))</f>
        <v/>
      </c>
      <c r="I351" s="37" t="str">
        <f aca="false">IF(G351="","",G351-H351)</f>
        <v/>
      </c>
      <c r="J351" s="33"/>
    </row>
    <row r="352" customFormat="false" ht="15" hidden="false" customHeight="false" outlineLevel="0" collapsed="false">
      <c r="A352" s="32"/>
      <c r="B352" s="33"/>
      <c r="C352" s="33"/>
      <c r="D352" s="34"/>
      <c r="E352" s="35"/>
      <c r="F352" s="36"/>
      <c r="G352" s="37" t="str">
        <f aca="false">IF(OR(C352="",D352=""),"",D352*IF(E352="",IFERROR(INDEX(Ürünler!$D$5:$D$204,MATCH(C352,Ürünler!$A$5:$A$204,0)),0),E352))</f>
        <v/>
      </c>
      <c r="H352" s="37" t="str">
        <f aca="false">IF(G352="","",D352*IFERROR(INDEX(Ürünler!$C$5:$C$204,MATCH(C352,Ürünler!$A$5:$A$204,0)),0))</f>
        <v/>
      </c>
      <c r="I352" s="37" t="str">
        <f aca="false">IF(G352="","",G352-H352)</f>
        <v/>
      </c>
      <c r="J352" s="33"/>
    </row>
    <row r="353" customFormat="false" ht="15" hidden="false" customHeight="false" outlineLevel="0" collapsed="false">
      <c r="A353" s="32"/>
      <c r="B353" s="33"/>
      <c r="C353" s="33"/>
      <c r="D353" s="34"/>
      <c r="E353" s="35"/>
      <c r="F353" s="36"/>
      <c r="G353" s="37" t="str">
        <f aca="false">IF(OR(C353="",D353=""),"",D353*IF(E353="",IFERROR(INDEX(Ürünler!$D$5:$D$204,MATCH(C353,Ürünler!$A$5:$A$204,0)),0),E353))</f>
        <v/>
      </c>
      <c r="H353" s="37" t="str">
        <f aca="false">IF(G353="","",D353*IFERROR(INDEX(Ürünler!$C$5:$C$204,MATCH(C353,Ürünler!$A$5:$A$204,0)),0))</f>
        <v/>
      </c>
      <c r="I353" s="37" t="str">
        <f aca="false">IF(G353="","",G353-H353)</f>
        <v/>
      </c>
      <c r="J353" s="33"/>
    </row>
    <row r="354" customFormat="false" ht="15" hidden="false" customHeight="false" outlineLevel="0" collapsed="false">
      <c r="A354" s="32"/>
      <c r="B354" s="33"/>
      <c r="C354" s="33"/>
      <c r="D354" s="34"/>
      <c r="E354" s="35"/>
      <c r="F354" s="36"/>
      <c r="G354" s="37" t="str">
        <f aca="false">IF(OR(C354="",D354=""),"",D354*IF(E354="",IFERROR(INDEX(Ürünler!$D$5:$D$204,MATCH(C354,Ürünler!$A$5:$A$204,0)),0),E354))</f>
        <v/>
      </c>
      <c r="H354" s="37" t="str">
        <f aca="false">IF(G354="","",D354*IFERROR(INDEX(Ürünler!$C$5:$C$204,MATCH(C354,Ürünler!$A$5:$A$204,0)),0))</f>
        <v/>
      </c>
      <c r="I354" s="37" t="str">
        <f aca="false">IF(G354="","",G354-H354)</f>
        <v/>
      </c>
      <c r="J354" s="33"/>
    </row>
    <row r="355" customFormat="false" ht="15" hidden="false" customHeight="false" outlineLevel="0" collapsed="false">
      <c r="A355" s="32"/>
      <c r="B355" s="33"/>
      <c r="C355" s="33"/>
      <c r="D355" s="34"/>
      <c r="E355" s="35"/>
      <c r="F355" s="36"/>
      <c r="G355" s="37" t="str">
        <f aca="false">IF(OR(C355="",D355=""),"",D355*IF(E355="",IFERROR(INDEX(Ürünler!$D$5:$D$204,MATCH(C355,Ürünler!$A$5:$A$204,0)),0),E355))</f>
        <v/>
      </c>
      <c r="H355" s="37" t="str">
        <f aca="false">IF(G355="","",D355*IFERROR(INDEX(Ürünler!$C$5:$C$204,MATCH(C355,Ürünler!$A$5:$A$204,0)),0))</f>
        <v/>
      </c>
      <c r="I355" s="37" t="str">
        <f aca="false">IF(G355="","",G355-H355)</f>
        <v/>
      </c>
      <c r="J355" s="33"/>
    </row>
    <row r="356" customFormat="false" ht="15" hidden="false" customHeight="false" outlineLevel="0" collapsed="false">
      <c r="A356" s="32"/>
      <c r="B356" s="33"/>
      <c r="C356" s="33"/>
      <c r="D356" s="34"/>
      <c r="E356" s="35"/>
      <c r="F356" s="36"/>
      <c r="G356" s="37" t="str">
        <f aca="false">IF(OR(C356="",D356=""),"",D356*IF(E356="",IFERROR(INDEX(Ürünler!$D$5:$D$204,MATCH(C356,Ürünler!$A$5:$A$204,0)),0),E356))</f>
        <v/>
      </c>
      <c r="H356" s="37" t="str">
        <f aca="false">IF(G356="","",D356*IFERROR(INDEX(Ürünler!$C$5:$C$204,MATCH(C356,Ürünler!$A$5:$A$204,0)),0))</f>
        <v/>
      </c>
      <c r="I356" s="37" t="str">
        <f aca="false">IF(G356="","",G356-H356)</f>
        <v/>
      </c>
      <c r="J356" s="33"/>
    </row>
    <row r="357" customFormat="false" ht="15" hidden="false" customHeight="false" outlineLevel="0" collapsed="false">
      <c r="A357" s="32"/>
      <c r="B357" s="33"/>
      <c r="C357" s="33"/>
      <c r="D357" s="34"/>
      <c r="E357" s="35"/>
      <c r="F357" s="36"/>
      <c r="G357" s="37" t="str">
        <f aca="false">IF(OR(C357="",D357=""),"",D357*IF(E357="",IFERROR(INDEX(Ürünler!$D$5:$D$204,MATCH(C357,Ürünler!$A$5:$A$204,0)),0),E357))</f>
        <v/>
      </c>
      <c r="H357" s="37" t="str">
        <f aca="false">IF(G357="","",D357*IFERROR(INDEX(Ürünler!$C$5:$C$204,MATCH(C357,Ürünler!$A$5:$A$204,0)),0))</f>
        <v/>
      </c>
      <c r="I357" s="37" t="str">
        <f aca="false">IF(G357="","",G357-H357)</f>
        <v/>
      </c>
      <c r="J357" s="33"/>
    </row>
    <row r="358" customFormat="false" ht="15" hidden="false" customHeight="false" outlineLevel="0" collapsed="false">
      <c r="A358" s="32"/>
      <c r="B358" s="33"/>
      <c r="C358" s="33"/>
      <c r="D358" s="34"/>
      <c r="E358" s="35"/>
      <c r="F358" s="36"/>
      <c r="G358" s="37" t="str">
        <f aca="false">IF(OR(C358="",D358=""),"",D358*IF(E358="",IFERROR(INDEX(Ürünler!$D$5:$D$204,MATCH(C358,Ürünler!$A$5:$A$204,0)),0),E358))</f>
        <v/>
      </c>
      <c r="H358" s="37" t="str">
        <f aca="false">IF(G358="","",D358*IFERROR(INDEX(Ürünler!$C$5:$C$204,MATCH(C358,Ürünler!$A$5:$A$204,0)),0))</f>
        <v/>
      </c>
      <c r="I358" s="37" t="str">
        <f aca="false">IF(G358="","",G358-H358)</f>
        <v/>
      </c>
      <c r="J358" s="33"/>
    </row>
    <row r="359" customFormat="false" ht="15" hidden="false" customHeight="false" outlineLevel="0" collapsed="false">
      <c r="A359" s="32"/>
      <c r="B359" s="33"/>
      <c r="C359" s="33"/>
      <c r="D359" s="34"/>
      <c r="E359" s="35"/>
      <c r="F359" s="36"/>
      <c r="G359" s="37" t="str">
        <f aca="false">IF(OR(C359="",D359=""),"",D359*IF(E359="",IFERROR(INDEX(Ürünler!$D$5:$D$204,MATCH(C359,Ürünler!$A$5:$A$204,0)),0),E359))</f>
        <v/>
      </c>
      <c r="H359" s="37" t="str">
        <f aca="false">IF(G359="","",D359*IFERROR(INDEX(Ürünler!$C$5:$C$204,MATCH(C359,Ürünler!$A$5:$A$204,0)),0))</f>
        <v/>
      </c>
      <c r="I359" s="37" t="str">
        <f aca="false">IF(G359="","",G359-H359)</f>
        <v/>
      </c>
      <c r="J359" s="33"/>
    </row>
    <row r="360" customFormat="false" ht="15" hidden="false" customHeight="false" outlineLevel="0" collapsed="false">
      <c r="A360" s="32"/>
      <c r="B360" s="33"/>
      <c r="C360" s="33"/>
      <c r="D360" s="34"/>
      <c r="E360" s="35"/>
      <c r="F360" s="36"/>
      <c r="G360" s="37" t="str">
        <f aca="false">IF(OR(C360="",D360=""),"",D360*IF(E360="",IFERROR(INDEX(Ürünler!$D$5:$D$204,MATCH(C360,Ürünler!$A$5:$A$204,0)),0),E360))</f>
        <v/>
      </c>
      <c r="H360" s="37" t="str">
        <f aca="false">IF(G360="","",D360*IFERROR(INDEX(Ürünler!$C$5:$C$204,MATCH(C360,Ürünler!$A$5:$A$204,0)),0))</f>
        <v/>
      </c>
      <c r="I360" s="37" t="str">
        <f aca="false">IF(G360="","",G360-H360)</f>
        <v/>
      </c>
      <c r="J360" s="33"/>
    </row>
    <row r="361" customFormat="false" ht="15" hidden="false" customHeight="false" outlineLevel="0" collapsed="false">
      <c r="A361" s="32"/>
      <c r="B361" s="33"/>
      <c r="C361" s="33"/>
      <c r="D361" s="34"/>
      <c r="E361" s="35"/>
      <c r="F361" s="36"/>
      <c r="G361" s="37" t="str">
        <f aca="false">IF(OR(C361="",D361=""),"",D361*IF(E361="",IFERROR(INDEX(Ürünler!$D$5:$D$204,MATCH(C361,Ürünler!$A$5:$A$204,0)),0),E361))</f>
        <v/>
      </c>
      <c r="H361" s="37" t="str">
        <f aca="false">IF(G361="","",D361*IFERROR(INDEX(Ürünler!$C$5:$C$204,MATCH(C361,Ürünler!$A$5:$A$204,0)),0))</f>
        <v/>
      </c>
      <c r="I361" s="37" t="str">
        <f aca="false">IF(G361="","",G361-H361)</f>
        <v/>
      </c>
      <c r="J361" s="33"/>
    </row>
    <row r="362" customFormat="false" ht="15" hidden="false" customHeight="false" outlineLevel="0" collapsed="false">
      <c r="A362" s="32"/>
      <c r="B362" s="33"/>
      <c r="C362" s="33"/>
      <c r="D362" s="34"/>
      <c r="E362" s="35"/>
      <c r="F362" s="36"/>
      <c r="G362" s="37" t="str">
        <f aca="false">IF(OR(C362="",D362=""),"",D362*IF(E362="",IFERROR(INDEX(Ürünler!$D$5:$D$204,MATCH(C362,Ürünler!$A$5:$A$204,0)),0),E362))</f>
        <v/>
      </c>
      <c r="H362" s="37" t="str">
        <f aca="false">IF(G362="","",D362*IFERROR(INDEX(Ürünler!$C$5:$C$204,MATCH(C362,Ürünler!$A$5:$A$204,0)),0))</f>
        <v/>
      </c>
      <c r="I362" s="37" t="str">
        <f aca="false">IF(G362="","",G362-H362)</f>
        <v/>
      </c>
      <c r="J362" s="33"/>
    </row>
    <row r="363" customFormat="false" ht="15" hidden="false" customHeight="false" outlineLevel="0" collapsed="false">
      <c r="A363" s="32"/>
      <c r="B363" s="33"/>
      <c r="C363" s="33"/>
      <c r="D363" s="34"/>
      <c r="E363" s="35"/>
      <c r="F363" s="36"/>
      <c r="G363" s="37" t="str">
        <f aca="false">IF(OR(C363="",D363=""),"",D363*IF(E363="",IFERROR(INDEX(Ürünler!$D$5:$D$204,MATCH(C363,Ürünler!$A$5:$A$204,0)),0),E363))</f>
        <v/>
      </c>
      <c r="H363" s="37" t="str">
        <f aca="false">IF(G363="","",D363*IFERROR(INDEX(Ürünler!$C$5:$C$204,MATCH(C363,Ürünler!$A$5:$A$204,0)),0))</f>
        <v/>
      </c>
      <c r="I363" s="37" t="str">
        <f aca="false">IF(G363="","",G363-H363)</f>
        <v/>
      </c>
      <c r="J363" s="33"/>
    </row>
    <row r="364" customFormat="false" ht="15" hidden="false" customHeight="false" outlineLevel="0" collapsed="false">
      <c r="A364" s="32"/>
      <c r="B364" s="33"/>
      <c r="C364" s="33"/>
      <c r="D364" s="34"/>
      <c r="E364" s="35"/>
      <c r="F364" s="36"/>
      <c r="G364" s="37" t="str">
        <f aca="false">IF(OR(C364="",D364=""),"",D364*IF(E364="",IFERROR(INDEX(Ürünler!$D$5:$D$204,MATCH(C364,Ürünler!$A$5:$A$204,0)),0),E364))</f>
        <v/>
      </c>
      <c r="H364" s="37" t="str">
        <f aca="false">IF(G364="","",D364*IFERROR(INDEX(Ürünler!$C$5:$C$204,MATCH(C364,Ürünler!$A$5:$A$204,0)),0))</f>
        <v/>
      </c>
      <c r="I364" s="37" t="str">
        <f aca="false">IF(G364="","",G364-H364)</f>
        <v/>
      </c>
      <c r="J364" s="33"/>
    </row>
    <row r="365" customFormat="false" ht="15" hidden="false" customHeight="false" outlineLevel="0" collapsed="false">
      <c r="A365" s="32"/>
      <c r="B365" s="33"/>
      <c r="C365" s="33"/>
      <c r="D365" s="34"/>
      <c r="E365" s="35"/>
      <c r="F365" s="36"/>
      <c r="G365" s="37" t="str">
        <f aca="false">IF(OR(C365="",D365=""),"",D365*IF(E365="",IFERROR(INDEX(Ürünler!$D$5:$D$204,MATCH(C365,Ürünler!$A$5:$A$204,0)),0),E365))</f>
        <v/>
      </c>
      <c r="H365" s="37" t="str">
        <f aca="false">IF(G365="","",D365*IFERROR(INDEX(Ürünler!$C$5:$C$204,MATCH(C365,Ürünler!$A$5:$A$204,0)),0))</f>
        <v/>
      </c>
      <c r="I365" s="37" t="str">
        <f aca="false">IF(G365="","",G365-H365)</f>
        <v/>
      </c>
      <c r="J365" s="33"/>
    </row>
    <row r="366" customFormat="false" ht="15" hidden="false" customHeight="false" outlineLevel="0" collapsed="false">
      <c r="A366" s="32"/>
      <c r="B366" s="33"/>
      <c r="C366" s="33"/>
      <c r="D366" s="34"/>
      <c r="E366" s="35"/>
      <c r="F366" s="36"/>
      <c r="G366" s="37" t="str">
        <f aca="false">IF(OR(C366="",D366=""),"",D366*IF(E366="",IFERROR(INDEX(Ürünler!$D$5:$D$204,MATCH(C366,Ürünler!$A$5:$A$204,0)),0),E366))</f>
        <v/>
      </c>
      <c r="H366" s="37" t="str">
        <f aca="false">IF(G366="","",D366*IFERROR(INDEX(Ürünler!$C$5:$C$204,MATCH(C366,Ürünler!$A$5:$A$204,0)),0))</f>
        <v/>
      </c>
      <c r="I366" s="37" t="str">
        <f aca="false">IF(G366="","",G366-H366)</f>
        <v/>
      </c>
      <c r="J366" s="33"/>
    </row>
    <row r="367" customFormat="false" ht="15" hidden="false" customHeight="false" outlineLevel="0" collapsed="false">
      <c r="A367" s="32"/>
      <c r="B367" s="33"/>
      <c r="C367" s="33"/>
      <c r="D367" s="34"/>
      <c r="E367" s="35"/>
      <c r="F367" s="36"/>
      <c r="G367" s="37" t="str">
        <f aca="false">IF(OR(C367="",D367=""),"",D367*IF(E367="",IFERROR(INDEX(Ürünler!$D$5:$D$204,MATCH(C367,Ürünler!$A$5:$A$204,0)),0),E367))</f>
        <v/>
      </c>
      <c r="H367" s="37" t="str">
        <f aca="false">IF(G367="","",D367*IFERROR(INDEX(Ürünler!$C$5:$C$204,MATCH(C367,Ürünler!$A$5:$A$204,0)),0))</f>
        <v/>
      </c>
      <c r="I367" s="37" t="str">
        <f aca="false">IF(G367="","",G367-H367)</f>
        <v/>
      </c>
      <c r="J367" s="33"/>
    </row>
    <row r="368" customFormat="false" ht="15" hidden="false" customHeight="false" outlineLevel="0" collapsed="false">
      <c r="A368" s="32"/>
      <c r="B368" s="33"/>
      <c r="C368" s="33"/>
      <c r="D368" s="34"/>
      <c r="E368" s="35"/>
      <c r="F368" s="36"/>
      <c r="G368" s="37" t="str">
        <f aca="false">IF(OR(C368="",D368=""),"",D368*IF(E368="",IFERROR(INDEX(Ürünler!$D$5:$D$204,MATCH(C368,Ürünler!$A$5:$A$204,0)),0),E368))</f>
        <v/>
      </c>
      <c r="H368" s="37" t="str">
        <f aca="false">IF(G368="","",D368*IFERROR(INDEX(Ürünler!$C$5:$C$204,MATCH(C368,Ürünler!$A$5:$A$204,0)),0))</f>
        <v/>
      </c>
      <c r="I368" s="37" t="str">
        <f aca="false">IF(G368="","",G368-H368)</f>
        <v/>
      </c>
      <c r="J368" s="33"/>
    </row>
    <row r="369" customFormat="false" ht="15" hidden="false" customHeight="false" outlineLevel="0" collapsed="false">
      <c r="A369" s="32"/>
      <c r="B369" s="33"/>
      <c r="C369" s="33"/>
      <c r="D369" s="34"/>
      <c r="E369" s="35"/>
      <c r="F369" s="36"/>
      <c r="G369" s="37" t="str">
        <f aca="false">IF(OR(C369="",D369=""),"",D369*IF(E369="",IFERROR(INDEX(Ürünler!$D$5:$D$204,MATCH(C369,Ürünler!$A$5:$A$204,0)),0),E369))</f>
        <v/>
      </c>
      <c r="H369" s="37" t="str">
        <f aca="false">IF(G369="","",D369*IFERROR(INDEX(Ürünler!$C$5:$C$204,MATCH(C369,Ürünler!$A$5:$A$204,0)),0))</f>
        <v/>
      </c>
      <c r="I369" s="37" t="str">
        <f aca="false">IF(G369="","",G369-H369)</f>
        <v/>
      </c>
      <c r="J369" s="33"/>
    </row>
    <row r="370" customFormat="false" ht="15" hidden="false" customHeight="false" outlineLevel="0" collapsed="false">
      <c r="A370" s="32"/>
      <c r="B370" s="33"/>
      <c r="C370" s="33"/>
      <c r="D370" s="34"/>
      <c r="E370" s="35"/>
      <c r="F370" s="36"/>
      <c r="G370" s="37" t="str">
        <f aca="false">IF(OR(C370="",D370=""),"",D370*IF(E370="",IFERROR(INDEX(Ürünler!$D$5:$D$204,MATCH(C370,Ürünler!$A$5:$A$204,0)),0),E370))</f>
        <v/>
      </c>
      <c r="H370" s="37" t="str">
        <f aca="false">IF(G370="","",D370*IFERROR(INDEX(Ürünler!$C$5:$C$204,MATCH(C370,Ürünler!$A$5:$A$204,0)),0))</f>
        <v/>
      </c>
      <c r="I370" s="37" t="str">
        <f aca="false">IF(G370="","",G370-H370)</f>
        <v/>
      </c>
      <c r="J370" s="33"/>
    </row>
    <row r="371" customFormat="false" ht="15" hidden="false" customHeight="false" outlineLevel="0" collapsed="false">
      <c r="A371" s="32"/>
      <c r="B371" s="33"/>
      <c r="C371" s="33"/>
      <c r="D371" s="34"/>
      <c r="E371" s="35"/>
      <c r="F371" s="36"/>
      <c r="G371" s="37" t="str">
        <f aca="false">IF(OR(C371="",D371=""),"",D371*IF(E371="",IFERROR(INDEX(Ürünler!$D$5:$D$204,MATCH(C371,Ürünler!$A$5:$A$204,0)),0),E371))</f>
        <v/>
      </c>
      <c r="H371" s="37" t="str">
        <f aca="false">IF(G371="","",D371*IFERROR(INDEX(Ürünler!$C$5:$C$204,MATCH(C371,Ürünler!$A$5:$A$204,0)),0))</f>
        <v/>
      </c>
      <c r="I371" s="37" t="str">
        <f aca="false">IF(G371="","",G371-H371)</f>
        <v/>
      </c>
      <c r="J371" s="33"/>
    </row>
    <row r="372" customFormat="false" ht="15" hidden="false" customHeight="false" outlineLevel="0" collapsed="false">
      <c r="A372" s="32"/>
      <c r="B372" s="33"/>
      <c r="C372" s="33"/>
      <c r="D372" s="34"/>
      <c r="E372" s="35"/>
      <c r="F372" s="36"/>
      <c r="G372" s="37" t="str">
        <f aca="false">IF(OR(C372="",D372=""),"",D372*IF(E372="",IFERROR(INDEX(Ürünler!$D$5:$D$204,MATCH(C372,Ürünler!$A$5:$A$204,0)),0),E372))</f>
        <v/>
      </c>
      <c r="H372" s="37" t="str">
        <f aca="false">IF(G372="","",D372*IFERROR(INDEX(Ürünler!$C$5:$C$204,MATCH(C372,Ürünler!$A$5:$A$204,0)),0))</f>
        <v/>
      </c>
      <c r="I372" s="37" t="str">
        <f aca="false">IF(G372="","",G372-H372)</f>
        <v/>
      </c>
      <c r="J372" s="33"/>
    </row>
    <row r="373" customFormat="false" ht="15" hidden="false" customHeight="false" outlineLevel="0" collapsed="false">
      <c r="A373" s="32"/>
      <c r="B373" s="33"/>
      <c r="C373" s="33"/>
      <c r="D373" s="34"/>
      <c r="E373" s="35"/>
      <c r="F373" s="36"/>
      <c r="G373" s="37" t="str">
        <f aca="false">IF(OR(C373="",D373=""),"",D373*IF(E373="",IFERROR(INDEX(Ürünler!$D$5:$D$204,MATCH(C373,Ürünler!$A$5:$A$204,0)),0),E373))</f>
        <v/>
      </c>
      <c r="H373" s="37" t="str">
        <f aca="false">IF(G373="","",D373*IFERROR(INDEX(Ürünler!$C$5:$C$204,MATCH(C373,Ürünler!$A$5:$A$204,0)),0))</f>
        <v/>
      </c>
      <c r="I373" s="37" t="str">
        <f aca="false">IF(G373="","",G373-H373)</f>
        <v/>
      </c>
      <c r="J373" s="33"/>
    </row>
    <row r="374" customFormat="false" ht="15" hidden="false" customHeight="false" outlineLevel="0" collapsed="false">
      <c r="A374" s="32"/>
      <c r="B374" s="33"/>
      <c r="C374" s="33"/>
      <c r="D374" s="34"/>
      <c r="E374" s="35"/>
      <c r="F374" s="36"/>
      <c r="G374" s="37" t="str">
        <f aca="false">IF(OR(C374="",D374=""),"",D374*IF(E374="",IFERROR(INDEX(Ürünler!$D$5:$D$204,MATCH(C374,Ürünler!$A$5:$A$204,0)),0),E374))</f>
        <v/>
      </c>
      <c r="H374" s="37" t="str">
        <f aca="false">IF(G374="","",D374*IFERROR(INDEX(Ürünler!$C$5:$C$204,MATCH(C374,Ürünler!$A$5:$A$204,0)),0))</f>
        <v/>
      </c>
      <c r="I374" s="37" t="str">
        <f aca="false">IF(G374="","",G374-H374)</f>
        <v/>
      </c>
      <c r="J374" s="33"/>
    </row>
    <row r="375" customFormat="false" ht="15" hidden="false" customHeight="false" outlineLevel="0" collapsed="false">
      <c r="A375" s="32"/>
      <c r="B375" s="33"/>
      <c r="C375" s="33"/>
      <c r="D375" s="34"/>
      <c r="E375" s="35"/>
      <c r="F375" s="36"/>
      <c r="G375" s="37" t="str">
        <f aca="false">IF(OR(C375="",D375=""),"",D375*IF(E375="",IFERROR(INDEX(Ürünler!$D$5:$D$204,MATCH(C375,Ürünler!$A$5:$A$204,0)),0),E375))</f>
        <v/>
      </c>
      <c r="H375" s="37" t="str">
        <f aca="false">IF(G375="","",D375*IFERROR(INDEX(Ürünler!$C$5:$C$204,MATCH(C375,Ürünler!$A$5:$A$204,0)),0))</f>
        <v/>
      </c>
      <c r="I375" s="37" t="str">
        <f aca="false">IF(G375="","",G375-H375)</f>
        <v/>
      </c>
      <c r="J375" s="33"/>
    </row>
    <row r="376" customFormat="false" ht="15" hidden="false" customHeight="false" outlineLevel="0" collapsed="false">
      <c r="A376" s="32"/>
      <c r="B376" s="33"/>
      <c r="C376" s="33"/>
      <c r="D376" s="34"/>
      <c r="E376" s="35"/>
      <c r="F376" s="36"/>
      <c r="G376" s="37" t="str">
        <f aca="false">IF(OR(C376="",D376=""),"",D376*IF(E376="",IFERROR(INDEX(Ürünler!$D$5:$D$204,MATCH(C376,Ürünler!$A$5:$A$204,0)),0),E376))</f>
        <v/>
      </c>
      <c r="H376" s="37" t="str">
        <f aca="false">IF(G376="","",D376*IFERROR(INDEX(Ürünler!$C$5:$C$204,MATCH(C376,Ürünler!$A$5:$A$204,0)),0))</f>
        <v/>
      </c>
      <c r="I376" s="37" t="str">
        <f aca="false">IF(G376="","",G376-H376)</f>
        <v/>
      </c>
      <c r="J376" s="33"/>
    </row>
    <row r="377" customFormat="false" ht="15" hidden="false" customHeight="false" outlineLevel="0" collapsed="false">
      <c r="A377" s="32"/>
      <c r="B377" s="33"/>
      <c r="C377" s="33"/>
      <c r="D377" s="34"/>
      <c r="E377" s="35"/>
      <c r="F377" s="36"/>
      <c r="G377" s="37" t="str">
        <f aca="false">IF(OR(C377="",D377=""),"",D377*IF(E377="",IFERROR(INDEX(Ürünler!$D$5:$D$204,MATCH(C377,Ürünler!$A$5:$A$204,0)),0),E377))</f>
        <v/>
      </c>
      <c r="H377" s="37" t="str">
        <f aca="false">IF(G377="","",D377*IFERROR(INDEX(Ürünler!$C$5:$C$204,MATCH(C377,Ürünler!$A$5:$A$204,0)),0))</f>
        <v/>
      </c>
      <c r="I377" s="37" t="str">
        <f aca="false">IF(G377="","",G377-H377)</f>
        <v/>
      </c>
      <c r="J377" s="33"/>
    </row>
    <row r="378" customFormat="false" ht="15" hidden="false" customHeight="false" outlineLevel="0" collapsed="false">
      <c r="A378" s="32"/>
      <c r="B378" s="33"/>
      <c r="C378" s="33"/>
      <c r="D378" s="34"/>
      <c r="E378" s="35"/>
      <c r="F378" s="36"/>
      <c r="G378" s="37" t="str">
        <f aca="false">IF(OR(C378="",D378=""),"",D378*IF(E378="",IFERROR(INDEX(Ürünler!$D$5:$D$204,MATCH(C378,Ürünler!$A$5:$A$204,0)),0),E378))</f>
        <v/>
      </c>
      <c r="H378" s="37" t="str">
        <f aca="false">IF(G378="","",D378*IFERROR(INDEX(Ürünler!$C$5:$C$204,MATCH(C378,Ürünler!$A$5:$A$204,0)),0))</f>
        <v/>
      </c>
      <c r="I378" s="37" t="str">
        <f aca="false">IF(G378="","",G378-H378)</f>
        <v/>
      </c>
      <c r="J378" s="33"/>
    </row>
    <row r="379" customFormat="false" ht="15" hidden="false" customHeight="false" outlineLevel="0" collapsed="false">
      <c r="A379" s="32"/>
      <c r="B379" s="33"/>
      <c r="C379" s="33"/>
      <c r="D379" s="34"/>
      <c r="E379" s="35"/>
      <c r="F379" s="36"/>
      <c r="G379" s="37" t="str">
        <f aca="false">IF(OR(C379="",D379=""),"",D379*IF(E379="",IFERROR(INDEX(Ürünler!$D$5:$D$204,MATCH(C379,Ürünler!$A$5:$A$204,0)),0),E379))</f>
        <v/>
      </c>
      <c r="H379" s="37" t="str">
        <f aca="false">IF(G379="","",D379*IFERROR(INDEX(Ürünler!$C$5:$C$204,MATCH(C379,Ürünler!$A$5:$A$204,0)),0))</f>
        <v/>
      </c>
      <c r="I379" s="37" t="str">
        <f aca="false">IF(G379="","",G379-H379)</f>
        <v/>
      </c>
      <c r="J379" s="33"/>
    </row>
    <row r="380" customFormat="false" ht="15" hidden="false" customHeight="false" outlineLevel="0" collapsed="false">
      <c r="A380" s="32"/>
      <c r="B380" s="33"/>
      <c r="C380" s="33"/>
      <c r="D380" s="34"/>
      <c r="E380" s="35"/>
      <c r="F380" s="36"/>
      <c r="G380" s="37" t="str">
        <f aca="false">IF(OR(C380="",D380=""),"",D380*IF(E380="",IFERROR(INDEX(Ürünler!$D$5:$D$204,MATCH(C380,Ürünler!$A$5:$A$204,0)),0),E380))</f>
        <v/>
      </c>
      <c r="H380" s="37" t="str">
        <f aca="false">IF(G380="","",D380*IFERROR(INDEX(Ürünler!$C$5:$C$204,MATCH(C380,Ürünler!$A$5:$A$204,0)),0))</f>
        <v/>
      </c>
      <c r="I380" s="37" t="str">
        <f aca="false">IF(G380="","",G380-H380)</f>
        <v/>
      </c>
      <c r="J380" s="33"/>
    </row>
    <row r="381" customFormat="false" ht="15" hidden="false" customHeight="false" outlineLevel="0" collapsed="false">
      <c r="A381" s="32"/>
      <c r="B381" s="33"/>
      <c r="C381" s="33"/>
      <c r="D381" s="34"/>
      <c r="E381" s="35"/>
      <c r="F381" s="36"/>
      <c r="G381" s="37" t="str">
        <f aca="false">IF(OR(C381="",D381=""),"",D381*IF(E381="",IFERROR(INDEX(Ürünler!$D$5:$D$204,MATCH(C381,Ürünler!$A$5:$A$204,0)),0),E381))</f>
        <v/>
      </c>
      <c r="H381" s="37" t="str">
        <f aca="false">IF(G381="","",D381*IFERROR(INDEX(Ürünler!$C$5:$C$204,MATCH(C381,Ürünler!$A$5:$A$204,0)),0))</f>
        <v/>
      </c>
      <c r="I381" s="37" t="str">
        <f aca="false">IF(G381="","",G381-H381)</f>
        <v/>
      </c>
      <c r="J381" s="33"/>
    </row>
    <row r="382" customFormat="false" ht="15" hidden="false" customHeight="false" outlineLevel="0" collapsed="false">
      <c r="A382" s="32"/>
      <c r="B382" s="33"/>
      <c r="C382" s="33"/>
      <c r="D382" s="34"/>
      <c r="E382" s="35"/>
      <c r="F382" s="36"/>
      <c r="G382" s="37" t="str">
        <f aca="false">IF(OR(C382="",D382=""),"",D382*IF(E382="",IFERROR(INDEX(Ürünler!$D$5:$D$204,MATCH(C382,Ürünler!$A$5:$A$204,0)),0),E382))</f>
        <v/>
      </c>
      <c r="H382" s="37" t="str">
        <f aca="false">IF(G382="","",D382*IFERROR(INDEX(Ürünler!$C$5:$C$204,MATCH(C382,Ürünler!$A$5:$A$204,0)),0))</f>
        <v/>
      </c>
      <c r="I382" s="37" t="str">
        <f aca="false">IF(G382="","",G382-H382)</f>
        <v/>
      </c>
      <c r="J382" s="33"/>
    </row>
    <row r="383" customFormat="false" ht="15" hidden="false" customHeight="false" outlineLevel="0" collapsed="false">
      <c r="A383" s="32"/>
      <c r="B383" s="33"/>
      <c r="C383" s="33"/>
      <c r="D383" s="34"/>
      <c r="E383" s="35"/>
      <c r="F383" s="36"/>
      <c r="G383" s="37" t="str">
        <f aca="false">IF(OR(C383="",D383=""),"",D383*IF(E383="",IFERROR(INDEX(Ürünler!$D$5:$D$204,MATCH(C383,Ürünler!$A$5:$A$204,0)),0),E383))</f>
        <v/>
      </c>
      <c r="H383" s="37" t="str">
        <f aca="false">IF(G383="","",D383*IFERROR(INDEX(Ürünler!$C$5:$C$204,MATCH(C383,Ürünler!$A$5:$A$204,0)),0))</f>
        <v/>
      </c>
      <c r="I383" s="37" t="str">
        <f aca="false">IF(G383="","",G383-H383)</f>
        <v/>
      </c>
      <c r="J383" s="33"/>
    </row>
    <row r="384" customFormat="false" ht="15" hidden="false" customHeight="false" outlineLevel="0" collapsed="false">
      <c r="A384" s="32"/>
      <c r="B384" s="33"/>
      <c r="C384" s="33"/>
      <c r="D384" s="34"/>
      <c r="E384" s="35"/>
      <c r="F384" s="36"/>
      <c r="G384" s="37" t="str">
        <f aca="false">IF(OR(C384="",D384=""),"",D384*IF(E384="",IFERROR(INDEX(Ürünler!$D$5:$D$204,MATCH(C384,Ürünler!$A$5:$A$204,0)),0),E384))</f>
        <v/>
      </c>
      <c r="H384" s="37" t="str">
        <f aca="false">IF(G384="","",D384*IFERROR(INDEX(Ürünler!$C$5:$C$204,MATCH(C384,Ürünler!$A$5:$A$204,0)),0))</f>
        <v/>
      </c>
      <c r="I384" s="37" t="str">
        <f aca="false">IF(G384="","",G384-H384)</f>
        <v/>
      </c>
      <c r="J384" s="33"/>
    </row>
    <row r="385" customFormat="false" ht="15" hidden="false" customHeight="false" outlineLevel="0" collapsed="false">
      <c r="A385" s="32"/>
      <c r="B385" s="33"/>
      <c r="C385" s="33"/>
      <c r="D385" s="34"/>
      <c r="E385" s="35"/>
      <c r="F385" s="36"/>
      <c r="G385" s="37" t="str">
        <f aca="false">IF(OR(C385="",D385=""),"",D385*IF(E385="",IFERROR(INDEX(Ürünler!$D$5:$D$204,MATCH(C385,Ürünler!$A$5:$A$204,0)),0),E385))</f>
        <v/>
      </c>
      <c r="H385" s="37" t="str">
        <f aca="false">IF(G385="","",D385*IFERROR(INDEX(Ürünler!$C$5:$C$204,MATCH(C385,Ürünler!$A$5:$A$204,0)),0))</f>
        <v/>
      </c>
      <c r="I385" s="37" t="str">
        <f aca="false">IF(G385="","",G385-H385)</f>
        <v/>
      </c>
      <c r="J385" s="33"/>
    </row>
    <row r="386" customFormat="false" ht="15" hidden="false" customHeight="false" outlineLevel="0" collapsed="false">
      <c r="A386" s="32"/>
      <c r="B386" s="33"/>
      <c r="C386" s="33"/>
      <c r="D386" s="34"/>
      <c r="E386" s="35"/>
      <c r="F386" s="36"/>
      <c r="G386" s="37" t="str">
        <f aca="false">IF(OR(C386="",D386=""),"",D386*IF(E386="",IFERROR(INDEX(Ürünler!$D$5:$D$204,MATCH(C386,Ürünler!$A$5:$A$204,0)),0),E386))</f>
        <v/>
      </c>
      <c r="H386" s="37" t="str">
        <f aca="false">IF(G386="","",D386*IFERROR(INDEX(Ürünler!$C$5:$C$204,MATCH(C386,Ürünler!$A$5:$A$204,0)),0))</f>
        <v/>
      </c>
      <c r="I386" s="37" t="str">
        <f aca="false">IF(G386="","",G386-H386)</f>
        <v/>
      </c>
      <c r="J386" s="33"/>
    </row>
    <row r="387" customFormat="false" ht="15" hidden="false" customHeight="false" outlineLevel="0" collapsed="false">
      <c r="A387" s="32"/>
      <c r="B387" s="33"/>
      <c r="C387" s="33"/>
      <c r="D387" s="34"/>
      <c r="E387" s="35"/>
      <c r="F387" s="36"/>
      <c r="G387" s="37" t="str">
        <f aca="false">IF(OR(C387="",D387=""),"",D387*IF(E387="",IFERROR(INDEX(Ürünler!$D$5:$D$204,MATCH(C387,Ürünler!$A$5:$A$204,0)),0),E387))</f>
        <v/>
      </c>
      <c r="H387" s="37" t="str">
        <f aca="false">IF(G387="","",D387*IFERROR(INDEX(Ürünler!$C$5:$C$204,MATCH(C387,Ürünler!$A$5:$A$204,0)),0))</f>
        <v/>
      </c>
      <c r="I387" s="37" t="str">
        <f aca="false">IF(G387="","",G387-H387)</f>
        <v/>
      </c>
      <c r="J387" s="33"/>
    </row>
    <row r="388" customFormat="false" ht="15" hidden="false" customHeight="false" outlineLevel="0" collapsed="false">
      <c r="A388" s="32"/>
      <c r="B388" s="33"/>
      <c r="C388" s="33"/>
      <c r="D388" s="34"/>
      <c r="E388" s="35"/>
      <c r="F388" s="36"/>
      <c r="G388" s="37" t="str">
        <f aca="false">IF(OR(C388="",D388=""),"",D388*IF(E388="",IFERROR(INDEX(Ürünler!$D$5:$D$204,MATCH(C388,Ürünler!$A$5:$A$204,0)),0),E388))</f>
        <v/>
      </c>
      <c r="H388" s="37" t="str">
        <f aca="false">IF(G388="","",D388*IFERROR(INDEX(Ürünler!$C$5:$C$204,MATCH(C388,Ürünler!$A$5:$A$204,0)),0))</f>
        <v/>
      </c>
      <c r="I388" s="37" t="str">
        <f aca="false">IF(G388="","",G388-H388)</f>
        <v/>
      </c>
      <c r="J388" s="33"/>
    </row>
    <row r="389" customFormat="false" ht="15" hidden="false" customHeight="false" outlineLevel="0" collapsed="false">
      <c r="A389" s="32"/>
      <c r="B389" s="33"/>
      <c r="C389" s="33"/>
      <c r="D389" s="34"/>
      <c r="E389" s="35"/>
      <c r="F389" s="36"/>
      <c r="G389" s="37" t="str">
        <f aca="false">IF(OR(C389="",D389=""),"",D389*IF(E389="",IFERROR(INDEX(Ürünler!$D$5:$D$204,MATCH(C389,Ürünler!$A$5:$A$204,0)),0),E389))</f>
        <v/>
      </c>
      <c r="H389" s="37" t="str">
        <f aca="false">IF(G389="","",D389*IFERROR(INDEX(Ürünler!$C$5:$C$204,MATCH(C389,Ürünler!$A$5:$A$204,0)),0))</f>
        <v/>
      </c>
      <c r="I389" s="37" t="str">
        <f aca="false">IF(G389="","",G389-H389)</f>
        <v/>
      </c>
      <c r="J389" s="33"/>
    </row>
    <row r="390" customFormat="false" ht="15" hidden="false" customHeight="false" outlineLevel="0" collapsed="false">
      <c r="A390" s="32"/>
      <c r="B390" s="33"/>
      <c r="C390" s="33"/>
      <c r="D390" s="34"/>
      <c r="E390" s="35"/>
      <c r="F390" s="36"/>
      <c r="G390" s="37" t="str">
        <f aca="false">IF(OR(C390="",D390=""),"",D390*IF(E390="",IFERROR(INDEX(Ürünler!$D$5:$D$204,MATCH(C390,Ürünler!$A$5:$A$204,0)),0),E390))</f>
        <v/>
      </c>
      <c r="H390" s="37" t="str">
        <f aca="false">IF(G390="","",D390*IFERROR(INDEX(Ürünler!$C$5:$C$204,MATCH(C390,Ürünler!$A$5:$A$204,0)),0))</f>
        <v/>
      </c>
      <c r="I390" s="37" t="str">
        <f aca="false">IF(G390="","",G390-H390)</f>
        <v/>
      </c>
      <c r="J390" s="33"/>
    </row>
    <row r="391" customFormat="false" ht="15" hidden="false" customHeight="false" outlineLevel="0" collapsed="false">
      <c r="A391" s="32"/>
      <c r="B391" s="33"/>
      <c r="C391" s="33"/>
      <c r="D391" s="34"/>
      <c r="E391" s="35"/>
      <c r="F391" s="36"/>
      <c r="G391" s="37" t="str">
        <f aca="false">IF(OR(C391="",D391=""),"",D391*IF(E391="",IFERROR(INDEX(Ürünler!$D$5:$D$204,MATCH(C391,Ürünler!$A$5:$A$204,0)),0),E391))</f>
        <v/>
      </c>
      <c r="H391" s="37" t="str">
        <f aca="false">IF(G391="","",D391*IFERROR(INDEX(Ürünler!$C$5:$C$204,MATCH(C391,Ürünler!$A$5:$A$204,0)),0))</f>
        <v/>
      </c>
      <c r="I391" s="37" t="str">
        <f aca="false">IF(G391="","",G391-H391)</f>
        <v/>
      </c>
      <c r="J391" s="33"/>
    </row>
    <row r="392" customFormat="false" ht="15" hidden="false" customHeight="false" outlineLevel="0" collapsed="false">
      <c r="A392" s="32"/>
      <c r="B392" s="33"/>
      <c r="C392" s="33"/>
      <c r="D392" s="34"/>
      <c r="E392" s="35"/>
      <c r="F392" s="36"/>
      <c r="G392" s="37" t="str">
        <f aca="false">IF(OR(C392="",D392=""),"",D392*IF(E392="",IFERROR(INDEX(Ürünler!$D$5:$D$204,MATCH(C392,Ürünler!$A$5:$A$204,0)),0),E392))</f>
        <v/>
      </c>
      <c r="H392" s="37" t="str">
        <f aca="false">IF(G392="","",D392*IFERROR(INDEX(Ürünler!$C$5:$C$204,MATCH(C392,Ürünler!$A$5:$A$204,0)),0))</f>
        <v/>
      </c>
      <c r="I392" s="37" t="str">
        <f aca="false">IF(G392="","",G392-H392)</f>
        <v/>
      </c>
      <c r="J392" s="33"/>
    </row>
    <row r="393" customFormat="false" ht="15" hidden="false" customHeight="false" outlineLevel="0" collapsed="false">
      <c r="A393" s="32"/>
      <c r="B393" s="33"/>
      <c r="C393" s="33"/>
      <c r="D393" s="34"/>
      <c r="E393" s="35"/>
      <c r="F393" s="36"/>
      <c r="G393" s="37" t="str">
        <f aca="false">IF(OR(C393="",D393=""),"",D393*IF(E393="",IFERROR(INDEX(Ürünler!$D$5:$D$204,MATCH(C393,Ürünler!$A$5:$A$204,0)),0),E393))</f>
        <v/>
      </c>
      <c r="H393" s="37" t="str">
        <f aca="false">IF(G393="","",D393*IFERROR(INDEX(Ürünler!$C$5:$C$204,MATCH(C393,Ürünler!$A$5:$A$204,0)),0))</f>
        <v/>
      </c>
      <c r="I393" s="37" t="str">
        <f aca="false">IF(G393="","",G393-H393)</f>
        <v/>
      </c>
      <c r="J393" s="33"/>
    </row>
    <row r="394" customFormat="false" ht="15" hidden="false" customHeight="false" outlineLevel="0" collapsed="false">
      <c r="A394" s="32"/>
      <c r="B394" s="33"/>
      <c r="C394" s="33"/>
      <c r="D394" s="34"/>
      <c r="E394" s="35"/>
      <c r="F394" s="36"/>
      <c r="G394" s="37" t="str">
        <f aca="false">IF(OR(C394="",D394=""),"",D394*IF(E394="",IFERROR(INDEX(Ürünler!$D$5:$D$204,MATCH(C394,Ürünler!$A$5:$A$204,0)),0),E394))</f>
        <v/>
      </c>
      <c r="H394" s="37" t="str">
        <f aca="false">IF(G394="","",D394*IFERROR(INDEX(Ürünler!$C$5:$C$204,MATCH(C394,Ürünler!$A$5:$A$204,0)),0))</f>
        <v/>
      </c>
      <c r="I394" s="37" t="str">
        <f aca="false">IF(G394="","",G394-H394)</f>
        <v/>
      </c>
      <c r="J394" s="33"/>
    </row>
    <row r="395" customFormat="false" ht="15" hidden="false" customHeight="false" outlineLevel="0" collapsed="false">
      <c r="A395" s="32"/>
      <c r="B395" s="33"/>
      <c r="C395" s="33"/>
      <c r="D395" s="34"/>
      <c r="E395" s="35"/>
      <c r="F395" s="36"/>
      <c r="G395" s="37" t="str">
        <f aca="false">IF(OR(C395="",D395=""),"",D395*IF(E395="",IFERROR(INDEX(Ürünler!$D$5:$D$204,MATCH(C395,Ürünler!$A$5:$A$204,0)),0),E395))</f>
        <v/>
      </c>
      <c r="H395" s="37" t="str">
        <f aca="false">IF(G395="","",D395*IFERROR(INDEX(Ürünler!$C$5:$C$204,MATCH(C395,Ürünler!$A$5:$A$204,0)),0))</f>
        <v/>
      </c>
      <c r="I395" s="37" t="str">
        <f aca="false">IF(G395="","",G395-H395)</f>
        <v/>
      </c>
      <c r="J395" s="33"/>
    </row>
    <row r="396" customFormat="false" ht="15" hidden="false" customHeight="false" outlineLevel="0" collapsed="false">
      <c r="A396" s="32"/>
      <c r="B396" s="33"/>
      <c r="C396" s="33"/>
      <c r="D396" s="34"/>
      <c r="E396" s="35"/>
      <c r="F396" s="36"/>
      <c r="G396" s="37" t="str">
        <f aca="false">IF(OR(C396="",D396=""),"",D396*IF(E396="",IFERROR(INDEX(Ürünler!$D$5:$D$204,MATCH(C396,Ürünler!$A$5:$A$204,0)),0),E396))</f>
        <v/>
      </c>
      <c r="H396" s="37" t="str">
        <f aca="false">IF(G396="","",D396*IFERROR(INDEX(Ürünler!$C$5:$C$204,MATCH(C396,Ürünler!$A$5:$A$204,0)),0))</f>
        <v/>
      </c>
      <c r="I396" s="37" t="str">
        <f aca="false">IF(G396="","",G396-H396)</f>
        <v/>
      </c>
      <c r="J396" s="33"/>
    </row>
    <row r="397" customFormat="false" ht="15" hidden="false" customHeight="false" outlineLevel="0" collapsed="false">
      <c r="A397" s="32"/>
      <c r="B397" s="33"/>
      <c r="C397" s="33"/>
      <c r="D397" s="34"/>
      <c r="E397" s="35"/>
      <c r="F397" s="36"/>
      <c r="G397" s="37" t="str">
        <f aca="false">IF(OR(C397="",D397=""),"",D397*IF(E397="",IFERROR(INDEX(Ürünler!$D$5:$D$204,MATCH(C397,Ürünler!$A$5:$A$204,0)),0),E397))</f>
        <v/>
      </c>
      <c r="H397" s="37" t="str">
        <f aca="false">IF(G397="","",D397*IFERROR(INDEX(Ürünler!$C$5:$C$204,MATCH(C397,Ürünler!$A$5:$A$204,0)),0))</f>
        <v/>
      </c>
      <c r="I397" s="37" t="str">
        <f aca="false">IF(G397="","",G397-H397)</f>
        <v/>
      </c>
      <c r="J397" s="33"/>
    </row>
    <row r="398" customFormat="false" ht="15" hidden="false" customHeight="false" outlineLevel="0" collapsed="false">
      <c r="A398" s="32"/>
      <c r="B398" s="33"/>
      <c r="C398" s="33"/>
      <c r="D398" s="34"/>
      <c r="E398" s="35"/>
      <c r="F398" s="36"/>
      <c r="G398" s="37" t="str">
        <f aca="false">IF(OR(C398="",D398=""),"",D398*IF(E398="",IFERROR(INDEX(Ürünler!$D$5:$D$204,MATCH(C398,Ürünler!$A$5:$A$204,0)),0),E398))</f>
        <v/>
      </c>
      <c r="H398" s="37" t="str">
        <f aca="false">IF(G398="","",D398*IFERROR(INDEX(Ürünler!$C$5:$C$204,MATCH(C398,Ürünler!$A$5:$A$204,0)),0))</f>
        <v/>
      </c>
      <c r="I398" s="37" t="str">
        <f aca="false">IF(G398="","",G398-H398)</f>
        <v/>
      </c>
      <c r="J398" s="33"/>
    </row>
    <row r="399" customFormat="false" ht="15" hidden="false" customHeight="false" outlineLevel="0" collapsed="false">
      <c r="A399" s="32"/>
      <c r="B399" s="33"/>
      <c r="C399" s="33"/>
      <c r="D399" s="34"/>
      <c r="E399" s="35"/>
      <c r="F399" s="36"/>
      <c r="G399" s="37" t="str">
        <f aca="false">IF(OR(C399="",D399=""),"",D399*IF(E399="",IFERROR(INDEX(Ürünler!$D$5:$D$204,MATCH(C399,Ürünler!$A$5:$A$204,0)),0),E399))</f>
        <v/>
      </c>
      <c r="H399" s="37" t="str">
        <f aca="false">IF(G399="","",D399*IFERROR(INDEX(Ürünler!$C$5:$C$204,MATCH(C399,Ürünler!$A$5:$A$204,0)),0))</f>
        <v/>
      </c>
      <c r="I399" s="37" t="str">
        <f aca="false">IF(G399="","",G399-H399)</f>
        <v/>
      </c>
      <c r="J399" s="33"/>
    </row>
    <row r="400" customFormat="false" ht="15" hidden="false" customHeight="false" outlineLevel="0" collapsed="false">
      <c r="A400" s="32"/>
      <c r="B400" s="33"/>
      <c r="C400" s="33"/>
      <c r="D400" s="34"/>
      <c r="E400" s="35"/>
      <c r="F400" s="36"/>
      <c r="G400" s="37" t="str">
        <f aca="false">IF(OR(C400="",D400=""),"",D400*IF(E400="",IFERROR(INDEX(Ürünler!$D$5:$D$204,MATCH(C400,Ürünler!$A$5:$A$204,0)),0),E400))</f>
        <v/>
      </c>
      <c r="H400" s="37" t="str">
        <f aca="false">IF(G400="","",D400*IFERROR(INDEX(Ürünler!$C$5:$C$204,MATCH(C400,Ürünler!$A$5:$A$204,0)),0))</f>
        <v/>
      </c>
      <c r="I400" s="37" t="str">
        <f aca="false">IF(G400="","",G400-H400)</f>
        <v/>
      </c>
      <c r="J400" s="33"/>
    </row>
    <row r="401" customFormat="false" ht="15" hidden="false" customHeight="false" outlineLevel="0" collapsed="false">
      <c r="A401" s="32"/>
      <c r="B401" s="33"/>
      <c r="C401" s="33"/>
      <c r="D401" s="34"/>
      <c r="E401" s="35"/>
      <c r="F401" s="36"/>
      <c r="G401" s="37" t="str">
        <f aca="false">IF(OR(C401="",D401=""),"",D401*IF(E401="",IFERROR(INDEX(Ürünler!$D$5:$D$204,MATCH(C401,Ürünler!$A$5:$A$204,0)),0),E401))</f>
        <v/>
      </c>
      <c r="H401" s="37" t="str">
        <f aca="false">IF(G401="","",D401*IFERROR(INDEX(Ürünler!$C$5:$C$204,MATCH(C401,Ürünler!$A$5:$A$204,0)),0))</f>
        <v/>
      </c>
      <c r="I401" s="37" t="str">
        <f aca="false">IF(G401="","",G401-H401)</f>
        <v/>
      </c>
      <c r="J401" s="33"/>
    </row>
    <row r="402" customFormat="false" ht="15" hidden="false" customHeight="false" outlineLevel="0" collapsed="false">
      <c r="A402" s="32"/>
      <c r="B402" s="33"/>
      <c r="C402" s="33"/>
      <c r="D402" s="34"/>
      <c r="E402" s="35"/>
      <c r="F402" s="36"/>
      <c r="G402" s="37" t="str">
        <f aca="false">IF(OR(C402="",D402=""),"",D402*IF(E402="",IFERROR(INDEX(Ürünler!$D$5:$D$204,MATCH(C402,Ürünler!$A$5:$A$204,0)),0),E402))</f>
        <v/>
      </c>
      <c r="H402" s="37" t="str">
        <f aca="false">IF(G402="","",D402*IFERROR(INDEX(Ürünler!$C$5:$C$204,MATCH(C402,Ürünler!$A$5:$A$204,0)),0))</f>
        <v/>
      </c>
      <c r="I402" s="37" t="str">
        <f aca="false">IF(G402="","",G402-H402)</f>
        <v/>
      </c>
      <c r="J402" s="33"/>
    </row>
    <row r="403" customFormat="false" ht="15" hidden="false" customHeight="false" outlineLevel="0" collapsed="false">
      <c r="A403" s="32"/>
      <c r="B403" s="33"/>
      <c r="C403" s="33"/>
      <c r="D403" s="34"/>
      <c r="E403" s="35"/>
      <c r="F403" s="36"/>
      <c r="G403" s="37" t="str">
        <f aca="false">IF(OR(C403="",D403=""),"",D403*IF(E403="",IFERROR(INDEX(Ürünler!$D$5:$D$204,MATCH(C403,Ürünler!$A$5:$A$204,0)),0),E403))</f>
        <v/>
      </c>
      <c r="H403" s="37" t="str">
        <f aca="false">IF(G403="","",D403*IFERROR(INDEX(Ürünler!$C$5:$C$204,MATCH(C403,Ürünler!$A$5:$A$204,0)),0))</f>
        <v/>
      </c>
      <c r="I403" s="37" t="str">
        <f aca="false">IF(G403="","",G403-H403)</f>
        <v/>
      </c>
      <c r="J403" s="33"/>
    </row>
    <row r="404" customFormat="false" ht="15" hidden="false" customHeight="false" outlineLevel="0" collapsed="false">
      <c r="A404" s="32"/>
      <c r="B404" s="33"/>
      <c r="C404" s="33"/>
      <c r="D404" s="34"/>
      <c r="E404" s="35"/>
      <c r="F404" s="36"/>
      <c r="G404" s="37" t="str">
        <f aca="false">IF(OR(C404="",D404=""),"",D404*IF(E404="",IFERROR(INDEX(Ürünler!$D$5:$D$204,MATCH(C404,Ürünler!$A$5:$A$204,0)),0),E404))</f>
        <v/>
      </c>
      <c r="H404" s="37" t="str">
        <f aca="false">IF(G404="","",D404*IFERROR(INDEX(Ürünler!$C$5:$C$204,MATCH(C404,Ürünler!$A$5:$A$204,0)),0))</f>
        <v/>
      </c>
      <c r="I404" s="37" t="str">
        <f aca="false">IF(G404="","",G404-H404)</f>
        <v/>
      </c>
      <c r="J404" s="33"/>
    </row>
    <row r="405" customFormat="false" ht="15" hidden="false" customHeight="false" outlineLevel="0" collapsed="false">
      <c r="A405" s="32"/>
      <c r="B405" s="33"/>
      <c r="C405" s="33"/>
      <c r="D405" s="34"/>
      <c r="E405" s="35"/>
      <c r="F405" s="36"/>
      <c r="G405" s="37" t="str">
        <f aca="false">IF(OR(C405="",D405=""),"",D405*IF(E405="",IFERROR(INDEX(Ürünler!$D$5:$D$204,MATCH(C405,Ürünler!$A$5:$A$204,0)),0),E405))</f>
        <v/>
      </c>
      <c r="H405" s="37" t="str">
        <f aca="false">IF(G405="","",D405*IFERROR(INDEX(Ürünler!$C$5:$C$204,MATCH(C405,Ürünler!$A$5:$A$204,0)),0))</f>
        <v/>
      </c>
      <c r="I405" s="37" t="str">
        <f aca="false">IF(G405="","",G405-H405)</f>
        <v/>
      </c>
      <c r="J405" s="33"/>
    </row>
    <row r="406" customFormat="false" ht="15" hidden="false" customHeight="false" outlineLevel="0" collapsed="false">
      <c r="A406" s="32"/>
      <c r="B406" s="33"/>
      <c r="C406" s="33"/>
      <c r="D406" s="34"/>
      <c r="E406" s="35"/>
      <c r="F406" s="36"/>
      <c r="G406" s="37" t="str">
        <f aca="false">IF(OR(C406="",D406=""),"",D406*IF(E406="",IFERROR(INDEX(Ürünler!$D$5:$D$204,MATCH(C406,Ürünler!$A$5:$A$204,0)),0),E406))</f>
        <v/>
      </c>
      <c r="H406" s="37" t="str">
        <f aca="false">IF(G406="","",D406*IFERROR(INDEX(Ürünler!$C$5:$C$204,MATCH(C406,Ürünler!$A$5:$A$204,0)),0))</f>
        <v/>
      </c>
      <c r="I406" s="37" t="str">
        <f aca="false">IF(G406="","",G406-H406)</f>
        <v/>
      </c>
      <c r="J406" s="33"/>
    </row>
    <row r="407" customFormat="false" ht="15" hidden="false" customHeight="false" outlineLevel="0" collapsed="false">
      <c r="A407" s="32"/>
      <c r="B407" s="33"/>
      <c r="C407" s="33"/>
      <c r="D407" s="34"/>
      <c r="E407" s="35"/>
      <c r="F407" s="36"/>
      <c r="G407" s="37" t="str">
        <f aca="false">IF(OR(C407="",D407=""),"",D407*IF(E407="",IFERROR(INDEX(Ürünler!$D$5:$D$204,MATCH(C407,Ürünler!$A$5:$A$204,0)),0),E407))</f>
        <v/>
      </c>
      <c r="H407" s="37" t="str">
        <f aca="false">IF(G407="","",D407*IFERROR(INDEX(Ürünler!$C$5:$C$204,MATCH(C407,Ürünler!$A$5:$A$204,0)),0))</f>
        <v/>
      </c>
      <c r="I407" s="37" t="str">
        <f aca="false">IF(G407="","",G407-H407)</f>
        <v/>
      </c>
      <c r="J407" s="33"/>
    </row>
    <row r="408" customFormat="false" ht="15" hidden="false" customHeight="false" outlineLevel="0" collapsed="false">
      <c r="A408" s="32"/>
      <c r="B408" s="33"/>
      <c r="C408" s="33"/>
      <c r="D408" s="34"/>
      <c r="E408" s="35"/>
      <c r="F408" s="36"/>
      <c r="G408" s="37" t="str">
        <f aca="false">IF(OR(C408="",D408=""),"",D408*IF(E408="",IFERROR(INDEX(Ürünler!$D$5:$D$204,MATCH(C408,Ürünler!$A$5:$A$204,0)),0),E408))</f>
        <v/>
      </c>
      <c r="H408" s="37" t="str">
        <f aca="false">IF(G408="","",D408*IFERROR(INDEX(Ürünler!$C$5:$C$204,MATCH(C408,Ürünler!$A$5:$A$204,0)),0))</f>
        <v/>
      </c>
      <c r="I408" s="37" t="str">
        <f aca="false">IF(G408="","",G408-H408)</f>
        <v/>
      </c>
      <c r="J408" s="33"/>
    </row>
    <row r="409" customFormat="false" ht="15" hidden="false" customHeight="false" outlineLevel="0" collapsed="false">
      <c r="A409" s="32"/>
      <c r="B409" s="33"/>
      <c r="C409" s="33"/>
      <c r="D409" s="34"/>
      <c r="E409" s="35"/>
      <c r="F409" s="36"/>
      <c r="G409" s="37" t="str">
        <f aca="false">IF(OR(C409="",D409=""),"",D409*IF(E409="",IFERROR(INDEX(Ürünler!$D$5:$D$204,MATCH(C409,Ürünler!$A$5:$A$204,0)),0),E409))</f>
        <v/>
      </c>
      <c r="H409" s="37" t="str">
        <f aca="false">IF(G409="","",D409*IFERROR(INDEX(Ürünler!$C$5:$C$204,MATCH(C409,Ürünler!$A$5:$A$204,0)),0))</f>
        <v/>
      </c>
      <c r="I409" s="37" t="str">
        <f aca="false">IF(G409="","",G409-H409)</f>
        <v/>
      </c>
      <c r="J409" s="33"/>
    </row>
    <row r="410" customFormat="false" ht="15" hidden="false" customHeight="false" outlineLevel="0" collapsed="false">
      <c r="A410" s="32"/>
      <c r="B410" s="33"/>
      <c r="C410" s="33"/>
      <c r="D410" s="34"/>
      <c r="E410" s="35"/>
      <c r="F410" s="36"/>
      <c r="G410" s="37" t="str">
        <f aca="false">IF(OR(C410="",D410=""),"",D410*IF(E410="",IFERROR(INDEX(Ürünler!$D$5:$D$204,MATCH(C410,Ürünler!$A$5:$A$204,0)),0),E410))</f>
        <v/>
      </c>
      <c r="H410" s="37" t="str">
        <f aca="false">IF(G410="","",D410*IFERROR(INDEX(Ürünler!$C$5:$C$204,MATCH(C410,Ürünler!$A$5:$A$204,0)),0))</f>
        <v/>
      </c>
      <c r="I410" s="37" t="str">
        <f aca="false">IF(G410="","",G410-H410)</f>
        <v/>
      </c>
      <c r="J410" s="33"/>
    </row>
    <row r="411" customFormat="false" ht="15" hidden="false" customHeight="false" outlineLevel="0" collapsed="false">
      <c r="A411" s="32"/>
      <c r="B411" s="33"/>
      <c r="C411" s="33"/>
      <c r="D411" s="34"/>
      <c r="E411" s="35"/>
      <c r="F411" s="36"/>
      <c r="G411" s="37" t="str">
        <f aca="false">IF(OR(C411="",D411=""),"",D411*IF(E411="",IFERROR(INDEX(Ürünler!$D$5:$D$204,MATCH(C411,Ürünler!$A$5:$A$204,0)),0),E411))</f>
        <v/>
      </c>
      <c r="H411" s="37" t="str">
        <f aca="false">IF(G411="","",D411*IFERROR(INDEX(Ürünler!$C$5:$C$204,MATCH(C411,Ürünler!$A$5:$A$204,0)),0))</f>
        <v/>
      </c>
      <c r="I411" s="37" t="str">
        <f aca="false">IF(G411="","",G411-H411)</f>
        <v/>
      </c>
      <c r="J411" s="33"/>
    </row>
    <row r="412" customFormat="false" ht="15" hidden="false" customHeight="false" outlineLevel="0" collapsed="false">
      <c r="A412" s="32"/>
      <c r="B412" s="33"/>
      <c r="C412" s="33"/>
      <c r="D412" s="34"/>
      <c r="E412" s="35"/>
      <c r="F412" s="36"/>
      <c r="G412" s="37" t="str">
        <f aca="false">IF(OR(C412="",D412=""),"",D412*IF(E412="",IFERROR(INDEX(Ürünler!$D$5:$D$204,MATCH(C412,Ürünler!$A$5:$A$204,0)),0),E412))</f>
        <v/>
      </c>
      <c r="H412" s="37" t="str">
        <f aca="false">IF(G412="","",D412*IFERROR(INDEX(Ürünler!$C$5:$C$204,MATCH(C412,Ürünler!$A$5:$A$204,0)),0))</f>
        <v/>
      </c>
      <c r="I412" s="37" t="str">
        <f aca="false">IF(G412="","",G412-H412)</f>
        <v/>
      </c>
      <c r="J412" s="33"/>
    </row>
    <row r="413" customFormat="false" ht="15" hidden="false" customHeight="false" outlineLevel="0" collapsed="false">
      <c r="A413" s="32"/>
      <c r="B413" s="33"/>
      <c r="C413" s="33"/>
      <c r="D413" s="34"/>
      <c r="E413" s="35"/>
      <c r="F413" s="36"/>
      <c r="G413" s="37" t="str">
        <f aca="false">IF(OR(C413="",D413=""),"",D413*IF(E413="",IFERROR(INDEX(Ürünler!$D$5:$D$204,MATCH(C413,Ürünler!$A$5:$A$204,0)),0),E413))</f>
        <v/>
      </c>
      <c r="H413" s="37" t="str">
        <f aca="false">IF(G413="","",D413*IFERROR(INDEX(Ürünler!$C$5:$C$204,MATCH(C413,Ürünler!$A$5:$A$204,0)),0))</f>
        <v/>
      </c>
      <c r="I413" s="37" t="str">
        <f aca="false">IF(G413="","",G413-H413)</f>
        <v/>
      </c>
      <c r="J413" s="33"/>
    </row>
    <row r="414" customFormat="false" ht="15" hidden="false" customHeight="false" outlineLevel="0" collapsed="false">
      <c r="A414" s="32"/>
      <c r="B414" s="33"/>
      <c r="C414" s="33"/>
      <c r="D414" s="34"/>
      <c r="E414" s="35"/>
      <c r="F414" s="36"/>
      <c r="G414" s="37" t="str">
        <f aca="false">IF(OR(C414="",D414=""),"",D414*IF(E414="",IFERROR(INDEX(Ürünler!$D$5:$D$204,MATCH(C414,Ürünler!$A$5:$A$204,0)),0),E414))</f>
        <v/>
      </c>
      <c r="H414" s="37" t="str">
        <f aca="false">IF(G414="","",D414*IFERROR(INDEX(Ürünler!$C$5:$C$204,MATCH(C414,Ürünler!$A$5:$A$204,0)),0))</f>
        <v/>
      </c>
      <c r="I414" s="37" t="str">
        <f aca="false">IF(G414="","",G414-H414)</f>
        <v/>
      </c>
      <c r="J414" s="33"/>
    </row>
    <row r="415" customFormat="false" ht="15" hidden="false" customHeight="false" outlineLevel="0" collapsed="false">
      <c r="A415" s="32"/>
      <c r="B415" s="33"/>
      <c r="C415" s="33"/>
      <c r="D415" s="34"/>
      <c r="E415" s="35"/>
      <c r="F415" s="36"/>
      <c r="G415" s="37" t="str">
        <f aca="false">IF(OR(C415="",D415=""),"",D415*IF(E415="",IFERROR(INDEX(Ürünler!$D$5:$D$204,MATCH(C415,Ürünler!$A$5:$A$204,0)),0),E415))</f>
        <v/>
      </c>
      <c r="H415" s="37" t="str">
        <f aca="false">IF(G415="","",D415*IFERROR(INDEX(Ürünler!$C$5:$C$204,MATCH(C415,Ürünler!$A$5:$A$204,0)),0))</f>
        <v/>
      </c>
      <c r="I415" s="37" t="str">
        <f aca="false">IF(G415="","",G415-H415)</f>
        <v/>
      </c>
      <c r="J415" s="33"/>
    </row>
    <row r="416" customFormat="false" ht="15" hidden="false" customHeight="false" outlineLevel="0" collapsed="false">
      <c r="A416" s="32"/>
      <c r="B416" s="33"/>
      <c r="C416" s="33"/>
      <c r="D416" s="34"/>
      <c r="E416" s="35"/>
      <c r="F416" s="36"/>
      <c r="G416" s="37" t="str">
        <f aca="false">IF(OR(C416="",D416=""),"",D416*IF(E416="",IFERROR(INDEX(Ürünler!$D$5:$D$204,MATCH(C416,Ürünler!$A$5:$A$204,0)),0),E416))</f>
        <v/>
      </c>
      <c r="H416" s="37" t="str">
        <f aca="false">IF(G416="","",D416*IFERROR(INDEX(Ürünler!$C$5:$C$204,MATCH(C416,Ürünler!$A$5:$A$204,0)),0))</f>
        <v/>
      </c>
      <c r="I416" s="37" t="str">
        <f aca="false">IF(G416="","",G416-H416)</f>
        <v/>
      </c>
      <c r="J416" s="33"/>
    </row>
    <row r="417" customFormat="false" ht="15" hidden="false" customHeight="false" outlineLevel="0" collapsed="false">
      <c r="A417" s="32"/>
      <c r="B417" s="33"/>
      <c r="C417" s="33"/>
      <c r="D417" s="34"/>
      <c r="E417" s="35"/>
      <c r="F417" s="36"/>
      <c r="G417" s="37" t="str">
        <f aca="false">IF(OR(C417="",D417=""),"",D417*IF(E417="",IFERROR(INDEX(Ürünler!$D$5:$D$204,MATCH(C417,Ürünler!$A$5:$A$204,0)),0),E417))</f>
        <v/>
      </c>
      <c r="H417" s="37" t="str">
        <f aca="false">IF(G417="","",D417*IFERROR(INDEX(Ürünler!$C$5:$C$204,MATCH(C417,Ürünler!$A$5:$A$204,0)),0))</f>
        <v/>
      </c>
      <c r="I417" s="37" t="str">
        <f aca="false">IF(G417="","",G417-H417)</f>
        <v/>
      </c>
      <c r="J417" s="33"/>
    </row>
    <row r="418" customFormat="false" ht="15" hidden="false" customHeight="false" outlineLevel="0" collapsed="false">
      <c r="A418" s="32"/>
      <c r="B418" s="33"/>
      <c r="C418" s="33"/>
      <c r="D418" s="34"/>
      <c r="E418" s="35"/>
      <c r="F418" s="36"/>
      <c r="G418" s="37" t="str">
        <f aca="false">IF(OR(C418="",D418=""),"",D418*IF(E418="",IFERROR(INDEX(Ürünler!$D$5:$D$204,MATCH(C418,Ürünler!$A$5:$A$204,0)),0),E418))</f>
        <v/>
      </c>
      <c r="H418" s="37" t="str">
        <f aca="false">IF(G418="","",D418*IFERROR(INDEX(Ürünler!$C$5:$C$204,MATCH(C418,Ürünler!$A$5:$A$204,0)),0))</f>
        <v/>
      </c>
      <c r="I418" s="37" t="str">
        <f aca="false">IF(G418="","",G418-H418)</f>
        <v/>
      </c>
      <c r="J418" s="33"/>
    </row>
    <row r="419" customFormat="false" ht="15" hidden="false" customHeight="false" outlineLevel="0" collapsed="false">
      <c r="A419" s="32"/>
      <c r="B419" s="33"/>
      <c r="C419" s="33"/>
      <c r="D419" s="34"/>
      <c r="E419" s="35"/>
      <c r="F419" s="36"/>
      <c r="G419" s="37" t="str">
        <f aca="false">IF(OR(C419="",D419=""),"",D419*IF(E419="",IFERROR(INDEX(Ürünler!$D$5:$D$204,MATCH(C419,Ürünler!$A$5:$A$204,0)),0),E419))</f>
        <v/>
      </c>
      <c r="H419" s="37" t="str">
        <f aca="false">IF(G419="","",D419*IFERROR(INDEX(Ürünler!$C$5:$C$204,MATCH(C419,Ürünler!$A$5:$A$204,0)),0))</f>
        <v/>
      </c>
      <c r="I419" s="37" t="str">
        <f aca="false">IF(G419="","",G419-H419)</f>
        <v/>
      </c>
      <c r="J419" s="33"/>
    </row>
    <row r="420" customFormat="false" ht="15" hidden="false" customHeight="false" outlineLevel="0" collapsed="false">
      <c r="A420" s="32"/>
      <c r="B420" s="33"/>
      <c r="C420" s="33"/>
      <c r="D420" s="34"/>
      <c r="E420" s="35"/>
      <c r="F420" s="36"/>
      <c r="G420" s="37" t="str">
        <f aca="false">IF(OR(C420="",D420=""),"",D420*IF(E420="",IFERROR(INDEX(Ürünler!$D$5:$D$204,MATCH(C420,Ürünler!$A$5:$A$204,0)),0),E420))</f>
        <v/>
      </c>
      <c r="H420" s="37" t="str">
        <f aca="false">IF(G420="","",D420*IFERROR(INDEX(Ürünler!$C$5:$C$204,MATCH(C420,Ürünler!$A$5:$A$204,0)),0))</f>
        <v/>
      </c>
      <c r="I420" s="37" t="str">
        <f aca="false">IF(G420="","",G420-H420)</f>
        <v/>
      </c>
      <c r="J420" s="33"/>
    </row>
    <row r="421" customFormat="false" ht="15" hidden="false" customHeight="false" outlineLevel="0" collapsed="false">
      <c r="A421" s="32"/>
      <c r="B421" s="33"/>
      <c r="C421" s="33"/>
      <c r="D421" s="34"/>
      <c r="E421" s="35"/>
      <c r="F421" s="36"/>
      <c r="G421" s="37" t="str">
        <f aca="false">IF(OR(C421="",D421=""),"",D421*IF(E421="",IFERROR(INDEX(Ürünler!$D$5:$D$204,MATCH(C421,Ürünler!$A$5:$A$204,0)),0),E421))</f>
        <v/>
      </c>
      <c r="H421" s="37" t="str">
        <f aca="false">IF(G421="","",D421*IFERROR(INDEX(Ürünler!$C$5:$C$204,MATCH(C421,Ürünler!$A$5:$A$204,0)),0))</f>
        <v/>
      </c>
      <c r="I421" s="37" t="str">
        <f aca="false">IF(G421="","",G421-H421)</f>
        <v/>
      </c>
      <c r="J421" s="33"/>
    </row>
    <row r="422" customFormat="false" ht="15" hidden="false" customHeight="false" outlineLevel="0" collapsed="false">
      <c r="A422" s="32"/>
      <c r="B422" s="33"/>
      <c r="C422" s="33"/>
      <c r="D422" s="34"/>
      <c r="E422" s="35"/>
      <c r="F422" s="36"/>
      <c r="G422" s="37" t="str">
        <f aca="false">IF(OR(C422="",D422=""),"",D422*IF(E422="",IFERROR(INDEX(Ürünler!$D$5:$D$204,MATCH(C422,Ürünler!$A$5:$A$204,0)),0),E422))</f>
        <v/>
      </c>
      <c r="H422" s="37" t="str">
        <f aca="false">IF(G422="","",D422*IFERROR(INDEX(Ürünler!$C$5:$C$204,MATCH(C422,Ürünler!$A$5:$A$204,0)),0))</f>
        <v/>
      </c>
      <c r="I422" s="37" t="str">
        <f aca="false">IF(G422="","",G422-H422)</f>
        <v/>
      </c>
      <c r="J422" s="33"/>
    </row>
    <row r="423" customFormat="false" ht="15" hidden="false" customHeight="false" outlineLevel="0" collapsed="false">
      <c r="A423" s="32"/>
      <c r="B423" s="33"/>
      <c r="C423" s="33"/>
      <c r="D423" s="34"/>
      <c r="E423" s="35"/>
      <c r="F423" s="36"/>
      <c r="G423" s="37" t="str">
        <f aca="false">IF(OR(C423="",D423=""),"",D423*IF(E423="",IFERROR(INDEX(Ürünler!$D$5:$D$204,MATCH(C423,Ürünler!$A$5:$A$204,0)),0),E423))</f>
        <v/>
      </c>
      <c r="H423" s="37" t="str">
        <f aca="false">IF(G423="","",D423*IFERROR(INDEX(Ürünler!$C$5:$C$204,MATCH(C423,Ürünler!$A$5:$A$204,0)),0))</f>
        <v/>
      </c>
      <c r="I423" s="37" t="str">
        <f aca="false">IF(G423="","",G423-H423)</f>
        <v/>
      </c>
      <c r="J423" s="33"/>
    </row>
    <row r="424" customFormat="false" ht="15" hidden="false" customHeight="false" outlineLevel="0" collapsed="false">
      <c r="A424" s="32"/>
      <c r="B424" s="33"/>
      <c r="C424" s="33"/>
      <c r="D424" s="34"/>
      <c r="E424" s="35"/>
      <c r="F424" s="36"/>
      <c r="G424" s="37" t="str">
        <f aca="false">IF(OR(C424="",D424=""),"",D424*IF(E424="",IFERROR(INDEX(Ürünler!$D$5:$D$204,MATCH(C424,Ürünler!$A$5:$A$204,0)),0),E424))</f>
        <v/>
      </c>
      <c r="H424" s="37" t="str">
        <f aca="false">IF(G424="","",D424*IFERROR(INDEX(Ürünler!$C$5:$C$204,MATCH(C424,Ürünler!$A$5:$A$204,0)),0))</f>
        <v/>
      </c>
      <c r="I424" s="37" t="str">
        <f aca="false">IF(G424="","",G424-H424)</f>
        <v/>
      </c>
      <c r="J424" s="33"/>
    </row>
    <row r="425" customFormat="false" ht="15" hidden="false" customHeight="false" outlineLevel="0" collapsed="false">
      <c r="A425" s="32"/>
      <c r="B425" s="33"/>
      <c r="C425" s="33"/>
      <c r="D425" s="34"/>
      <c r="E425" s="35"/>
      <c r="F425" s="36"/>
      <c r="G425" s="37" t="str">
        <f aca="false">IF(OR(C425="",D425=""),"",D425*IF(E425="",IFERROR(INDEX(Ürünler!$D$5:$D$204,MATCH(C425,Ürünler!$A$5:$A$204,0)),0),E425))</f>
        <v/>
      </c>
      <c r="H425" s="37" t="str">
        <f aca="false">IF(G425="","",D425*IFERROR(INDEX(Ürünler!$C$5:$C$204,MATCH(C425,Ürünler!$A$5:$A$204,0)),0))</f>
        <v/>
      </c>
      <c r="I425" s="37" t="str">
        <f aca="false">IF(G425="","",G425-H425)</f>
        <v/>
      </c>
      <c r="J425" s="33"/>
    </row>
    <row r="426" customFormat="false" ht="15" hidden="false" customHeight="false" outlineLevel="0" collapsed="false">
      <c r="A426" s="32"/>
      <c r="B426" s="33"/>
      <c r="C426" s="33"/>
      <c r="D426" s="34"/>
      <c r="E426" s="35"/>
      <c r="F426" s="36"/>
      <c r="G426" s="37" t="str">
        <f aca="false">IF(OR(C426="",D426=""),"",D426*IF(E426="",IFERROR(INDEX(Ürünler!$D$5:$D$204,MATCH(C426,Ürünler!$A$5:$A$204,0)),0),E426))</f>
        <v/>
      </c>
      <c r="H426" s="37" t="str">
        <f aca="false">IF(G426="","",D426*IFERROR(INDEX(Ürünler!$C$5:$C$204,MATCH(C426,Ürünler!$A$5:$A$204,0)),0))</f>
        <v/>
      </c>
      <c r="I426" s="37" t="str">
        <f aca="false">IF(G426="","",G426-H426)</f>
        <v/>
      </c>
      <c r="J426" s="33"/>
    </row>
    <row r="427" customFormat="false" ht="15" hidden="false" customHeight="false" outlineLevel="0" collapsed="false">
      <c r="A427" s="32"/>
      <c r="B427" s="33"/>
      <c r="C427" s="33"/>
      <c r="D427" s="34"/>
      <c r="E427" s="35"/>
      <c r="F427" s="36"/>
      <c r="G427" s="37" t="str">
        <f aca="false">IF(OR(C427="",D427=""),"",D427*IF(E427="",IFERROR(INDEX(Ürünler!$D$5:$D$204,MATCH(C427,Ürünler!$A$5:$A$204,0)),0),E427))</f>
        <v/>
      </c>
      <c r="H427" s="37" t="str">
        <f aca="false">IF(G427="","",D427*IFERROR(INDEX(Ürünler!$C$5:$C$204,MATCH(C427,Ürünler!$A$5:$A$204,0)),0))</f>
        <v/>
      </c>
      <c r="I427" s="37" t="str">
        <f aca="false">IF(G427="","",G427-H427)</f>
        <v/>
      </c>
      <c r="J427" s="33"/>
    </row>
    <row r="428" customFormat="false" ht="15" hidden="false" customHeight="false" outlineLevel="0" collapsed="false">
      <c r="A428" s="32"/>
      <c r="B428" s="33"/>
      <c r="C428" s="33"/>
      <c r="D428" s="34"/>
      <c r="E428" s="35"/>
      <c r="F428" s="36"/>
      <c r="G428" s="37" t="str">
        <f aca="false">IF(OR(C428="",D428=""),"",D428*IF(E428="",IFERROR(INDEX(Ürünler!$D$5:$D$204,MATCH(C428,Ürünler!$A$5:$A$204,0)),0),E428))</f>
        <v/>
      </c>
      <c r="H428" s="37" t="str">
        <f aca="false">IF(G428="","",D428*IFERROR(INDEX(Ürünler!$C$5:$C$204,MATCH(C428,Ürünler!$A$5:$A$204,0)),0))</f>
        <v/>
      </c>
      <c r="I428" s="37" t="str">
        <f aca="false">IF(G428="","",G428-H428)</f>
        <v/>
      </c>
      <c r="J428" s="33"/>
    </row>
    <row r="429" customFormat="false" ht="15" hidden="false" customHeight="false" outlineLevel="0" collapsed="false">
      <c r="A429" s="32"/>
      <c r="B429" s="33"/>
      <c r="C429" s="33"/>
      <c r="D429" s="34"/>
      <c r="E429" s="35"/>
      <c r="F429" s="36"/>
      <c r="G429" s="37" t="str">
        <f aca="false">IF(OR(C429="",D429=""),"",D429*IF(E429="",IFERROR(INDEX(Ürünler!$D$5:$D$204,MATCH(C429,Ürünler!$A$5:$A$204,0)),0),E429))</f>
        <v/>
      </c>
      <c r="H429" s="37" t="str">
        <f aca="false">IF(G429="","",D429*IFERROR(INDEX(Ürünler!$C$5:$C$204,MATCH(C429,Ürünler!$A$5:$A$204,0)),0))</f>
        <v/>
      </c>
      <c r="I429" s="37" t="str">
        <f aca="false">IF(G429="","",G429-H429)</f>
        <v/>
      </c>
      <c r="J429" s="33"/>
    </row>
    <row r="430" customFormat="false" ht="15" hidden="false" customHeight="false" outlineLevel="0" collapsed="false">
      <c r="A430" s="32"/>
      <c r="B430" s="33"/>
      <c r="C430" s="33"/>
      <c r="D430" s="34"/>
      <c r="E430" s="35"/>
      <c r="F430" s="36"/>
      <c r="G430" s="37" t="str">
        <f aca="false">IF(OR(C430="",D430=""),"",D430*IF(E430="",IFERROR(INDEX(Ürünler!$D$5:$D$204,MATCH(C430,Ürünler!$A$5:$A$204,0)),0),E430))</f>
        <v/>
      </c>
      <c r="H430" s="37" t="str">
        <f aca="false">IF(G430="","",D430*IFERROR(INDEX(Ürünler!$C$5:$C$204,MATCH(C430,Ürünler!$A$5:$A$204,0)),0))</f>
        <v/>
      </c>
      <c r="I430" s="37" t="str">
        <f aca="false">IF(G430="","",G430-H430)</f>
        <v/>
      </c>
      <c r="J430" s="33"/>
    </row>
    <row r="431" customFormat="false" ht="15" hidden="false" customHeight="false" outlineLevel="0" collapsed="false">
      <c r="A431" s="32"/>
      <c r="B431" s="33"/>
      <c r="C431" s="33"/>
      <c r="D431" s="34"/>
      <c r="E431" s="35"/>
      <c r="F431" s="36"/>
      <c r="G431" s="37" t="str">
        <f aca="false">IF(OR(C431="",D431=""),"",D431*IF(E431="",IFERROR(INDEX(Ürünler!$D$5:$D$204,MATCH(C431,Ürünler!$A$5:$A$204,0)),0),E431))</f>
        <v/>
      </c>
      <c r="H431" s="37" t="str">
        <f aca="false">IF(G431="","",D431*IFERROR(INDEX(Ürünler!$C$5:$C$204,MATCH(C431,Ürünler!$A$5:$A$204,0)),0))</f>
        <v/>
      </c>
      <c r="I431" s="37" t="str">
        <f aca="false">IF(G431="","",G431-H431)</f>
        <v/>
      </c>
      <c r="J431" s="33"/>
    </row>
    <row r="432" customFormat="false" ht="15" hidden="false" customHeight="false" outlineLevel="0" collapsed="false">
      <c r="A432" s="32"/>
      <c r="B432" s="33"/>
      <c r="C432" s="33"/>
      <c r="D432" s="34"/>
      <c r="E432" s="35"/>
      <c r="F432" s="36"/>
      <c r="G432" s="37" t="str">
        <f aca="false">IF(OR(C432="",D432=""),"",D432*IF(E432="",IFERROR(INDEX(Ürünler!$D$5:$D$204,MATCH(C432,Ürünler!$A$5:$A$204,0)),0),E432))</f>
        <v/>
      </c>
      <c r="H432" s="37" t="str">
        <f aca="false">IF(G432="","",D432*IFERROR(INDEX(Ürünler!$C$5:$C$204,MATCH(C432,Ürünler!$A$5:$A$204,0)),0))</f>
        <v/>
      </c>
      <c r="I432" s="37" t="str">
        <f aca="false">IF(G432="","",G432-H432)</f>
        <v/>
      </c>
      <c r="J432" s="33"/>
    </row>
    <row r="433" customFormat="false" ht="15" hidden="false" customHeight="false" outlineLevel="0" collapsed="false">
      <c r="A433" s="32"/>
      <c r="B433" s="33"/>
      <c r="C433" s="33"/>
      <c r="D433" s="34"/>
      <c r="E433" s="35"/>
      <c r="F433" s="36"/>
      <c r="G433" s="37" t="str">
        <f aca="false">IF(OR(C433="",D433=""),"",D433*IF(E433="",IFERROR(INDEX(Ürünler!$D$5:$D$204,MATCH(C433,Ürünler!$A$5:$A$204,0)),0),E433))</f>
        <v/>
      </c>
      <c r="H433" s="37" t="str">
        <f aca="false">IF(G433="","",D433*IFERROR(INDEX(Ürünler!$C$5:$C$204,MATCH(C433,Ürünler!$A$5:$A$204,0)),0))</f>
        <v/>
      </c>
      <c r="I433" s="37" t="str">
        <f aca="false">IF(G433="","",G433-H433)</f>
        <v/>
      </c>
      <c r="J433" s="33"/>
    </row>
    <row r="434" customFormat="false" ht="15" hidden="false" customHeight="false" outlineLevel="0" collapsed="false">
      <c r="A434" s="32"/>
      <c r="B434" s="33"/>
      <c r="C434" s="33"/>
      <c r="D434" s="34"/>
      <c r="E434" s="35"/>
      <c r="F434" s="36"/>
      <c r="G434" s="37" t="str">
        <f aca="false">IF(OR(C434="",D434=""),"",D434*IF(E434="",IFERROR(INDEX(Ürünler!$D$5:$D$204,MATCH(C434,Ürünler!$A$5:$A$204,0)),0),E434))</f>
        <v/>
      </c>
      <c r="H434" s="37" t="str">
        <f aca="false">IF(G434="","",D434*IFERROR(INDEX(Ürünler!$C$5:$C$204,MATCH(C434,Ürünler!$A$5:$A$204,0)),0))</f>
        <v/>
      </c>
      <c r="I434" s="37" t="str">
        <f aca="false">IF(G434="","",G434-H434)</f>
        <v/>
      </c>
      <c r="J434" s="33"/>
    </row>
    <row r="435" customFormat="false" ht="15" hidden="false" customHeight="false" outlineLevel="0" collapsed="false">
      <c r="A435" s="32"/>
      <c r="B435" s="33"/>
      <c r="C435" s="33"/>
      <c r="D435" s="34"/>
      <c r="E435" s="35"/>
      <c r="F435" s="36"/>
      <c r="G435" s="37" t="str">
        <f aca="false">IF(OR(C435="",D435=""),"",D435*IF(E435="",IFERROR(INDEX(Ürünler!$D$5:$D$204,MATCH(C435,Ürünler!$A$5:$A$204,0)),0),E435))</f>
        <v/>
      </c>
      <c r="H435" s="37" t="str">
        <f aca="false">IF(G435="","",D435*IFERROR(INDEX(Ürünler!$C$5:$C$204,MATCH(C435,Ürünler!$A$5:$A$204,0)),0))</f>
        <v/>
      </c>
      <c r="I435" s="37" t="str">
        <f aca="false">IF(G435="","",G435-H435)</f>
        <v/>
      </c>
      <c r="J435" s="33"/>
    </row>
    <row r="436" customFormat="false" ht="15" hidden="false" customHeight="false" outlineLevel="0" collapsed="false">
      <c r="A436" s="32"/>
      <c r="B436" s="33"/>
      <c r="C436" s="33"/>
      <c r="D436" s="34"/>
      <c r="E436" s="35"/>
      <c r="F436" s="36"/>
      <c r="G436" s="37" t="str">
        <f aca="false">IF(OR(C436="",D436=""),"",D436*IF(E436="",IFERROR(INDEX(Ürünler!$D$5:$D$204,MATCH(C436,Ürünler!$A$5:$A$204,0)),0),E436))</f>
        <v/>
      </c>
      <c r="H436" s="37" t="str">
        <f aca="false">IF(G436="","",D436*IFERROR(INDEX(Ürünler!$C$5:$C$204,MATCH(C436,Ürünler!$A$5:$A$204,0)),0))</f>
        <v/>
      </c>
      <c r="I436" s="37" t="str">
        <f aca="false">IF(G436="","",G436-H436)</f>
        <v/>
      </c>
      <c r="J436" s="33"/>
    </row>
    <row r="437" customFormat="false" ht="15" hidden="false" customHeight="false" outlineLevel="0" collapsed="false">
      <c r="A437" s="32"/>
      <c r="B437" s="33"/>
      <c r="C437" s="33"/>
      <c r="D437" s="34"/>
      <c r="E437" s="35"/>
      <c r="F437" s="36"/>
      <c r="G437" s="37" t="str">
        <f aca="false">IF(OR(C437="",D437=""),"",D437*IF(E437="",IFERROR(INDEX(Ürünler!$D$5:$D$204,MATCH(C437,Ürünler!$A$5:$A$204,0)),0),E437))</f>
        <v/>
      </c>
      <c r="H437" s="37" t="str">
        <f aca="false">IF(G437="","",D437*IFERROR(INDEX(Ürünler!$C$5:$C$204,MATCH(C437,Ürünler!$A$5:$A$204,0)),0))</f>
        <v/>
      </c>
      <c r="I437" s="37" t="str">
        <f aca="false">IF(G437="","",G437-H437)</f>
        <v/>
      </c>
      <c r="J437" s="33"/>
    </row>
    <row r="438" customFormat="false" ht="15" hidden="false" customHeight="false" outlineLevel="0" collapsed="false">
      <c r="A438" s="32"/>
      <c r="B438" s="33"/>
      <c r="C438" s="33"/>
      <c r="D438" s="34"/>
      <c r="E438" s="35"/>
      <c r="F438" s="36"/>
      <c r="G438" s="37" t="str">
        <f aca="false">IF(OR(C438="",D438=""),"",D438*IF(E438="",IFERROR(INDEX(Ürünler!$D$5:$D$204,MATCH(C438,Ürünler!$A$5:$A$204,0)),0),E438))</f>
        <v/>
      </c>
      <c r="H438" s="37" t="str">
        <f aca="false">IF(G438="","",D438*IFERROR(INDEX(Ürünler!$C$5:$C$204,MATCH(C438,Ürünler!$A$5:$A$204,0)),0))</f>
        <v/>
      </c>
      <c r="I438" s="37" t="str">
        <f aca="false">IF(G438="","",G438-H438)</f>
        <v/>
      </c>
      <c r="J438" s="33"/>
    </row>
    <row r="439" customFormat="false" ht="15" hidden="false" customHeight="false" outlineLevel="0" collapsed="false">
      <c r="A439" s="32"/>
      <c r="B439" s="33"/>
      <c r="C439" s="33"/>
      <c r="D439" s="34"/>
      <c r="E439" s="35"/>
      <c r="F439" s="36"/>
      <c r="G439" s="37" t="str">
        <f aca="false">IF(OR(C439="",D439=""),"",D439*IF(E439="",IFERROR(INDEX(Ürünler!$D$5:$D$204,MATCH(C439,Ürünler!$A$5:$A$204,0)),0),E439))</f>
        <v/>
      </c>
      <c r="H439" s="37" t="str">
        <f aca="false">IF(G439="","",D439*IFERROR(INDEX(Ürünler!$C$5:$C$204,MATCH(C439,Ürünler!$A$5:$A$204,0)),0))</f>
        <v/>
      </c>
      <c r="I439" s="37" t="str">
        <f aca="false">IF(G439="","",G439-H439)</f>
        <v/>
      </c>
      <c r="J439" s="33"/>
    </row>
    <row r="440" customFormat="false" ht="15" hidden="false" customHeight="false" outlineLevel="0" collapsed="false">
      <c r="A440" s="32"/>
      <c r="B440" s="33"/>
      <c r="C440" s="33"/>
      <c r="D440" s="34"/>
      <c r="E440" s="35"/>
      <c r="F440" s="36"/>
      <c r="G440" s="37" t="str">
        <f aca="false">IF(OR(C440="",D440=""),"",D440*IF(E440="",IFERROR(INDEX(Ürünler!$D$5:$D$204,MATCH(C440,Ürünler!$A$5:$A$204,0)),0),E440))</f>
        <v/>
      </c>
      <c r="H440" s="37" t="str">
        <f aca="false">IF(G440="","",D440*IFERROR(INDEX(Ürünler!$C$5:$C$204,MATCH(C440,Ürünler!$A$5:$A$204,0)),0))</f>
        <v/>
      </c>
      <c r="I440" s="37" t="str">
        <f aca="false">IF(G440="","",G440-H440)</f>
        <v/>
      </c>
      <c r="J440" s="33"/>
    </row>
    <row r="441" customFormat="false" ht="15" hidden="false" customHeight="false" outlineLevel="0" collapsed="false">
      <c r="A441" s="32"/>
      <c r="B441" s="33"/>
      <c r="C441" s="33"/>
      <c r="D441" s="34"/>
      <c r="E441" s="35"/>
      <c r="F441" s="36"/>
      <c r="G441" s="37" t="str">
        <f aca="false">IF(OR(C441="",D441=""),"",D441*IF(E441="",IFERROR(INDEX(Ürünler!$D$5:$D$204,MATCH(C441,Ürünler!$A$5:$A$204,0)),0),E441))</f>
        <v/>
      </c>
      <c r="H441" s="37" t="str">
        <f aca="false">IF(G441="","",D441*IFERROR(INDEX(Ürünler!$C$5:$C$204,MATCH(C441,Ürünler!$A$5:$A$204,0)),0))</f>
        <v/>
      </c>
      <c r="I441" s="37" t="str">
        <f aca="false">IF(G441="","",G441-H441)</f>
        <v/>
      </c>
      <c r="J441" s="33"/>
    </row>
    <row r="442" customFormat="false" ht="15" hidden="false" customHeight="false" outlineLevel="0" collapsed="false">
      <c r="A442" s="32"/>
      <c r="B442" s="33"/>
      <c r="C442" s="33"/>
      <c r="D442" s="34"/>
      <c r="E442" s="35"/>
      <c r="F442" s="36"/>
      <c r="G442" s="37" t="str">
        <f aca="false">IF(OR(C442="",D442=""),"",D442*IF(E442="",IFERROR(INDEX(Ürünler!$D$5:$D$204,MATCH(C442,Ürünler!$A$5:$A$204,0)),0),E442))</f>
        <v/>
      </c>
      <c r="H442" s="37" t="str">
        <f aca="false">IF(G442="","",D442*IFERROR(INDEX(Ürünler!$C$5:$C$204,MATCH(C442,Ürünler!$A$5:$A$204,0)),0))</f>
        <v/>
      </c>
      <c r="I442" s="37" t="str">
        <f aca="false">IF(G442="","",G442-H442)</f>
        <v/>
      </c>
      <c r="J442" s="33"/>
    </row>
    <row r="443" customFormat="false" ht="15" hidden="false" customHeight="false" outlineLevel="0" collapsed="false">
      <c r="A443" s="32"/>
      <c r="B443" s="33"/>
      <c r="C443" s="33"/>
      <c r="D443" s="34"/>
      <c r="E443" s="35"/>
      <c r="F443" s="36"/>
      <c r="G443" s="37" t="str">
        <f aca="false">IF(OR(C443="",D443=""),"",D443*IF(E443="",IFERROR(INDEX(Ürünler!$D$5:$D$204,MATCH(C443,Ürünler!$A$5:$A$204,0)),0),E443))</f>
        <v/>
      </c>
      <c r="H443" s="37" t="str">
        <f aca="false">IF(G443="","",D443*IFERROR(INDEX(Ürünler!$C$5:$C$204,MATCH(C443,Ürünler!$A$5:$A$204,0)),0))</f>
        <v/>
      </c>
      <c r="I443" s="37" t="str">
        <f aca="false">IF(G443="","",G443-H443)</f>
        <v/>
      </c>
      <c r="J443" s="33"/>
    </row>
    <row r="444" customFormat="false" ht="15" hidden="false" customHeight="false" outlineLevel="0" collapsed="false">
      <c r="A444" s="32"/>
      <c r="B444" s="33"/>
      <c r="C444" s="33"/>
      <c r="D444" s="34"/>
      <c r="E444" s="35"/>
      <c r="F444" s="36"/>
      <c r="G444" s="37" t="str">
        <f aca="false">IF(OR(C444="",D444=""),"",D444*IF(E444="",IFERROR(INDEX(Ürünler!$D$5:$D$204,MATCH(C444,Ürünler!$A$5:$A$204,0)),0),E444))</f>
        <v/>
      </c>
      <c r="H444" s="37" t="str">
        <f aca="false">IF(G444="","",D444*IFERROR(INDEX(Ürünler!$C$5:$C$204,MATCH(C444,Ürünler!$A$5:$A$204,0)),0))</f>
        <v/>
      </c>
      <c r="I444" s="37" t="str">
        <f aca="false">IF(G444="","",G444-H444)</f>
        <v/>
      </c>
      <c r="J444" s="33"/>
    </row>
    <row r="445" customFormat="false" ht="15" hidden="false" customHeight="false" outlineLevel="0" collapsed="false">
      <c r="A445" s="32"/>
      <c r="B445" s="33"/>
      <c r="C445" s="33"/>
      <c r="D445" s="34"/>
      <c r="E445" s="35"/>
      <c r="F445" s="36"/>
      <c r="G445" s="37" t="str">
        <f aca="false">IF(OR(C445="",D445=""),"",D445*IF(E445="",IFERROR(INDEX(Ürünler!$D$5:$D$204,MATCH(C445,Ürünler!$A$5:$A$204,0)),0),E445))</f>
        <v/>
      </c>
      <c r="H445" s="37" t="str">
        <f aca="false">IF(G445="","",D445*IFERROR(INDEX(Ürünler!$C$5:$C$204,MATCH(C445,Ürünler!$A$5:$A$204,0)),0))</f>
        <v/>
      </c>
      <c r="I445" s="37" t="str">
        <f aca="false">IF(G445="","",G445-H445)</f>
        <v/>
      </c>
      <c r="J445" s="33"/>
    </row>
    <row r="446" customFormat="false" ht="15" hidden="false" customHeight="false" outlineLevel="0" collapsed="false">
      <c r="A446" s="32"/>
      <c r="B446" s="33"/>
      <c r="C446" s="33"/>
      <c r="D446" s="34"/>
      <c r="E446" s="35"/>
      <c r="F446" s="36"/>
      <c r="G446" s="37" t="str">
        <f aca="false">IF(OR(C446="",D446=""),"",D446*IF(E446="",IFERROR(INDEX(Ürünler!$D$5:$D$204,MATCH(C446,Ürünler!$A$5:$A$204,0)),0),E446))</f>
        <v/>
      </c>
      <c r="H446" s="37" t="str">
        <f aca="false">IF(G446="","",D446*IFERROR(INDEX(Ürünler!$C$5:$C$204,MATCH(C446,Ürünler!$A$5:$A$204,0)),0))</f>
        <v/>
      </c>
      <c r="I446" s="37" t="str">
        <f aca="false">IF(G446="","",G446-H446)</f>
        <v/>
      </c>
      <c r="J446" s="33"/>
    </row>
    <row r="447" customFormat="false" ht="15" hidden="false" customHeight="false" outlineLevel="0" collapsed="false">
      <c r="A447" s="32"/>
      <c r="B447" s="33"/>
      <c r="C447" s="33"/>
      <c r="D447" s="34"/>
      <c r="E447" s="35"/>
      <c r="F447" s="36"/>
      <c r="G447" s="37" t="str">
        <f aca="false">IF(OR(C447="",D447=""),"",D447*IF(E447="",IFERROR(INDEX(Ürünler!$D$5:$D$204,MATCH(C447,Ürünler!$A$5:$A$204,0)),0),E447))</f>
        <v/>
      </c>
      <c r="H447" s="37" t="str">
        <f aca="false">IF(G447="","",D447*IFERROR(INDEX(Ürünler!$C$5:$C$204,MATCH(C447,Ürünler!$A$5:$A$204,0)),0))</f>
        <v/>
      </c>
      <c r="I447" s="37" t="str">
        <f aca="false">IF(G447="","",G447-H447)</f>
        <v/>
      </c>
      <c r="J447" s="33"/>
    </row>
    <row r="448" customFormat="false" ht="15" hidden="false" customHeight="false" outlineLevel="0" collapsed="false">
      <c r="A448" s="32"/>
      <c r="B448" s="33"/>
      <c r="C448" s="33"/>
      <c r="D448" s="34"/>
      <c r="E448" s="35"/>
      <c r="F448" s="36"/>
      <c r="G448" s="37" t="str">
        <f aca="false">IF(OR(C448="",D448=""),"",D448*IF(E448="",IFERROR(INDEX(Ürünler!$D$5:$D$204,MATCH(C448,Ürünler!$A$5:$A$204,0)),0),E448))</f>
        <v/>
      </c>
      <c r="H448" s="37" t="str">
        <f aca="false">IF(G448="","",D448*IFERROR(INDEX(Ürünler!$C$5:$C$204,MATCH(C448,Ürünler!$A$5:$A$204,0)),0))</f>
        <v/>
      </c>
      <c r="I448" s="37" t="str">
        <f aca="false">IF(G448="","",G448-H448)</f>
        <v/>
      </c>
      <c r="J448" s="33"/>
    </row>
    <row r="449" customFormat="false" ht="15" hidden="false" customHeight="false" outlineLevel="0" collapsed="false">
      <c r="A449" s="32"/>
      <c r="B449" s="33"/>
      <c r="C449" s="33"/>
      <c r="D449" s="34"/>
      <c r="E449" s="35"/>
      <c r="F449" s="36"/>
      <c r="G449" s="37" t="str">
        <f aca="false">IF(OR(C449="",D449=""),"",D449*IF(E449="",IFERROR(INDEX(Ürünler!$D$5:$D$204,MATCH(C449,Ürünler!$A$5:$A$204,0)),0),E449))</f>
        <v/>
      </c>
      <c r="H449" s="37" t="str">
        <f aca="false">IF(G449="","",D449*IFERROR(INDEX(Ürünler!$C$5:$C$204,MATCH(C449,Ürünler!$A$5:$A$204,0)),0))</f>
        <v/>
      </c>
      <c r="I449" s="37" t="str">
        <f aca="false">IF(G449="","",G449-H449)</f>
        <v/>
      </c>
      <c r="J449" s="33"/>
    </row>
    <row r="450" customFormat="false" ht="15" hidden="false" customHeight="false" outlineLevel="0" collapsed="false">
      <c r="A450" s="32"/>
      <c r="B450" s="33"/>
      <c r="C450" s="33"/>
      <c r="D450" s="34"/>
      <c r="E450" s="35"/>
      <c r="F450" s="36"/>
      <c r="G450" s="37" t="str">
        <f aca="false">IF(OR(C450="",D450=""),"",D450*IF(E450="",IFERROR(INDEX(Ürünler!$D$5:$D$204,MATCH(C450,Ürünler!$A$5:$A$204,0)),0),E450))</f>
        <v/>
      </c>
      <c r="H450" s="37" t="str">
        <f aca="false">IF(G450="","",D450*IFERROR(INDEX(Ürünler!$C$5:$C$204,MATCH(C450,Ürünler!$A$5:$A$204,0)),0))</f>
        <v/>
      </c>
      <c r="I450" s="37" t="str">
        <f aca="false">IF(G450="","",G450-H450)</f>
        <v/>
      </c>
      <c r="J450" s="33"/>
    </row>
    <row r="451" customFormat="false" ht="15" hidden="false" customHeight="false" outlineLevel="0" collapsed="false">
      <c r="A451" s="32"/>
      <c r="B451" s="33"/>
      <c r="C451" s="33"/>
      <c r="D451" s="34"/>
      <c r="E451" s="35"/>
      <c r="F451" s="36"/>
      <c r="G451" s="37" t="str">
        <f aca="false">IF(OR(C451="",D451=""),"",D451*IF(E451="",IFERROR(INDEX(Ürünler!$D$5:$D$204,MATCH(C451,Ürünler!$A$5:$A$204,0)),0),E451))</f>
        <v/>
      </c>
      <c r="H451" s="37" t="str">
        <f aca="false">IF(G451="","",D451*IFERROR(INDEX(Ürünler!$C$5:$C$204,MATCH(C451,Ürünler!$A$5:$A$204,0)),0))</f>
        <v/>
      </c>
      <c r="I451" s="37" t="str">
        <f aca="false">IF(G451="","",G451-H451)</f>
        <v/>
      </c>
      <c r="J451" s="33"/>
    </row>
    <row r="452" customFormat="false" ht="15" hidden="false" customHeight="false" outlineLevel="0" collapsed="false">
      <c r="A452" s="32"/>
      <c r="B452" s="33"/>
      <c r="C452" s="33"/>
      <c r="D452" s="34"/>
      <c r="E452" s="35"/>
      <c r="F452" s="36"/>
      <c r="G452" s="37" t="str">
        <f aca="false">IF(OR(C452="",D452=""),"",D452*IF(E452="",IFERROR(INDEX(Ürünler!$D$5:$D$204,MATCH(C452,Ürünler!$A$5:$A$204,0)),0),E452))</f>
        <v/>
      </c>
      <c r="H452" s="37" t="str">
        <f aca="false">IF(G452="","",D452*IFERROR(INDEX(Ürünler!$C$5:$C$204,MATCH(C452,Ürünler!$A$5:$A$204,0)),0))</f>
        <v/>
      </c>
      <c r="I452" s="37" t="str">
        <f aca="false">IF(G452="","",G452-H452)</f>
        <v/>
      </c>
      <c r="J452" s="33"/>
    </row>
    <row r="453" customFormat="false" ht="15" hidden="false" customHeight="false" outlineLevel="0" collapsed="false">
      <c r="A453" s="32"/>
      <c r="B453" s="33"/>
      <c r="C453" s="33"/>
      <c r="D453" s="34"/>
      <c r="E453" s="35"/>
      <c r="F453" s="36"/>
      <c r="G453" s="37" t="str">
        <f aca="false">IF(OR(C453="",D453=""),"",D453*IF(E453="",IFERROR(INDEX(Ürünler!$D$5:$D$204,MATCH(C453,Ürünler!$A$5:$A$204,0)),0),E453))</f>
        <v/>
      </c>
      <c r="H453" s="37" t="str">
        <f aca="false">IF(G453="","",D453*IFERROR(INDEX(Ürünler!$C$5:$C$204,MATCH(C453,Ürünler!$A$5:$A$204,0)),0))</f>
        <v/>
      </c>
      <c r="I453" s="37" t="str">
        <f aca="false">IF(G453="","",G453-H453)</f>
        <v/>
      </c>
      <c r="J453" s="33"/>
    </row>
    <row r="454" customFormat="false" ht="15" hidden="false" customHeight="false" outlineLevel="0" collapsed="false">
      <c r="A454" s="32"/>
      <c r="B454" s="33"/>
      <c r="C454" s="33"/>
      <c r="D454" s="34"/>
      <c r="E454" s="35"/>
      <c r="F454" s="36"/>
      <c r="G454" s="37" t="str">
        <f aca="false">IF(OR(C454="",D454=""),"",D454*IF(E454="",IFERROR(INDEX(Ürünler!$D$5:$D$204,MATCH(C454,Ürünler!$A$5:$A$204,0)),0),E454))</f>
        <v/>
      </c>
      <c r="H454" s="37" t="str">
        <f aca="false">IF(G454="","",D454*IFERROR(INDEX(Ürünler!$C$5:$C$204,MATCH(C454,Ürünler!$A$5:$A$204,0)),0))</f>
        <v/>
      </c>
      <c r="I454" s="37" t="str">
        <f aca="false">IF(G454="","",G454-H454)</f>
        <v/>
      </c>
      <c r="J454" s="33"/>
    </row>
    <row r="455" customFormat="false" ht="15" hidden="false" customHeight="false" outlineLevel="0" collapsed="false">
      <c r="A455" s="32"/>
      <c r="B455" s="33"/>
      <c r="C455" s="33"/>
      <c r="D455" s="34"/>
      <c r="E455" s="35"/>
      <c r="F455" s="36"/>
      <c r="G455" s="37" t="str">
        <f aca="false">IF(OR(C455="",D455=""),"",D455*IF(E455="",IFERROR(INDEX(Ürünler!$D$5:$D$204,MATCH(C455,Ürünler!$A$5:$A$204,0)),0),E455))</f>
        <v/>
      </c>
      <c r="H455" s="37" t="str">
        <f aca="false">IF(G455="","",D455*IFERROR(INDEX(Ürünler!$C$5:$C$204,MATCH(C455,Ürünler!$A$5:$A$204,0)),0))</f>
        <v/>
      </c>
      <c r="I455" s="37" t="str">
        <f aca="false">IF(G455="","",G455-H455)</f>
        <v/>
      </c>
      <c r="J455" s="33"/>
    </row>
    <row r="456" customFormat="false" ht="15" hidden="false" customHeight="false" outlineLevel="0" collapsed="false">
      <c r="A456" s="32"/>
      <c r="B456" s="33"/>
      <c r="C456" s="33"/>
      <c r="D456" s="34"/>
      <c r="E456" s="35"/>
      <c r="F456" s="36"/>
      <c r="G456" s="37" t="str">
        <f aca="false">IF(OR(C456="",D456=""),"",D456*IF(E456="",IFERROR(INDEX(Ürünler!$D$5:$D$204,MATCH(C456,Ürünler!$A$5:$A$204,0)),0),E456))</f>
        <v/>
      </c>
      <c r="H456" s="37" t="str">
        <f aca="false">IF(G456="","",D456*IFERROR(INDEX(Ürünler!$C$5:$C$204,MATCH(C456,Ürünler!$A$5:$A$204,0)),0))</f>
        <v/>
      </c>
      <c r="I456" s="37" t="str">
        <f aca="false">IF(G456="","",G456-H456)</f>
        <v/>
      </c>
      <c r="J456" s="33"/>
    </row>
    <row r="457" customFormat="false" ht="15" hidden="false" customHeight="false" outlineLevel="0" collapsed="false">
      <c r="A457" s="32"/>
      <c r="B457" s="33"/>
      <c r="C457" s="33"/>
      <c r="D457" s="34"/>
      <c r="E457" s="35"/>
      <c r="F457" s="36"/>
      <c r="G457" s="37" t="str">
        <f aca="false">IF(OR(C457="",D457=""),"",D457*IF(E457="",IFERROR(INDEX(Ürünler!$D$5:$D$204,MATCH(C457,Ürünler!$A$5:$A$204,0)),0),E457))</f>
        <v/>
      </c>
      <c r="H457" s="37" t="str">
        <f aca="false">IF(G457="","",D457*IFERROR(INDEX(Ürünler!$C$5:$C$204,MATCH(C457,Ürünler!$A$5:$A$204,0)),0))</f>
        <v/>
      </c>
      <c r="I457" s="37" t="str">
        <f aca="false">IF(G457="","",G457-H457)</f>
        <v/>
      </c>
      <c r="J457" s="33"/>
    </row>
    <row r="458" customFormat="false" ht="15" hidden="false" customHeight="false" outlineLevel="0" collapsed="false">
      <c r="A458" s="32"/>
      <c r="B458" s="33"/>
      <c r="C458" s="33"/>
      <c r="D458" s="34"/>
      <c r="E458" s="35"/>
      <c r="F458" s="36"/>
      <c r="G458" s="37" t="str">
        <f aca="false">IF(OR(C458="",D458=""),"",D458*IF(E458="",IFERROR(INDEX(Ürünler!$D$5:$D$204,MATCH(C458,Ürünler!$A$5:$A$204,0)),0),E458))</f>
        <v/>
      </c>
      <c r="H458" s="37" t="str">
        <f aca="false">IF(G458="","",D458*IFERROR(INDEX(Ürünler!$C$5:$C$204,MATCH(C458,Ürünler!$A$5:$A$204,0)),0))</f>
        <v/>
      </c>
      <c r="I458" s="37" t="str">
        <f aca="false">IF(G458="","",G458-H458)</f>
        <v/>
      </c>
      <c r="J458" s="33"/>
    </row>
    <row r="459" customFormat="false" ht="15" hidden="false" customHeight="false" outlineLevel="0" collapsed="false">
      <c r="A459" s="32"/>
      <c r="B459" s="33"/>
      <c r="C459" s="33"/>
      <c r="D459" s="34"/>
      <c r="E459" s="35"/>
      <c r="F459" s="36"/>
      <c r="G459" s="37" t="str">
        <f aca="false">IF(OR(C459="",D459=""),"",D459*IF(E459="",IFERROR(INDEX(Ürünler!$D$5:$D$204,MATCH(C459,Ürünler!$A$5:$A$204,0)),0),E459))</f>
        <v/>
      </c>
      <c r="H459" s="37" t="str">
        <f aca="false">IF(G459="","",D459*IFERROR(INDEX(Ürünler!$C$5:$C$204,MATCH(C459,Ürünler!$A$5:$A$204,0)),0))</f>
        <v/>
      </c>
      <c r="I459" s="37" t="str">
        <f aca="false">IF(G459="","",G459-H459)</f>
        <v/>
      </c>
      <c r="J459" s="33"/>
    </row>
    <row r="460" customFormat="false" ht="15" hidden="false" customHeight="false" outlineLevel="0" collapsed="false">
      <c r="A460" s="32"/>
      <c r="B460" s="33"/>
      <c r="C460" s="33"/>
      <c r="D460" s="34"/>
      <c r="E460" s="35"/>
      <c r="F460" s="36"/>
      <c r="G460" s="37" t="str">
        <f aca="false">IF(OR(C460="",D460=""),"",D460*IF(E460="",IFERROR(INDEX(Ürünler!$D$5:$D$204,MATCH(C460,Ürünler!$A$5:$A$204,0)),0),E460))</f>
        <v/>
      </c>
      <c r="H460" s="37" t="str">
        <f aca="false">IF(G460="","",D460*IFERROR(INDEX(Ürünler!$C$5:$C$204,MATCH(C460,Ürünler!$A$5:$A$204,0)),0))</f>
        <v/>
      </c>
      <c r="I460" s="37" t="str">
        <f aca="false">IF(G460="","",G460-H460)</f>
        <v/>
      </c>
      <c r="J460" s="33"/>
    </row>
    <row r="461" customFormat="false" ht="15" hidden="false" customHeight="false" outlineLevel="0" collapsed="false">
      <c r="A461" s="32"/>
      <c r="B461" s="33"/>
      <c r="C461" s="33"/>
      <c r="D461" s="34"/>
      <c r="E461" s="35"/>
      <c r="F461" s="36"/>
      <c r="G461" s="37" t="str">
        <f aca="false">IF(OR(C461="",D461=""),"",D461*IF(E461="",IFERROR(INDEX(Ürünler!$D$5:$D$204,MATCH(C461,Ürünler!$A$5:$A$204,0)),0),E461))</f>
        <v/>
      </c>
      <c r="H461" s="37" t="str">
        <f aca="false">IF(G461="","",D461*IFERROR(INDEX(Ürünler!$C$5:$C$204,MATCH(C461,Ürünler!$A$5:$A$204,0)),0))</f>
        <v/>
      </c>
      <c r="I461" s="37" t="str">
        <f aca="false">IF(G461="","",G461-H461)</f>
        <v/>
      </c>
      <c r="J461" s="33"/>
    </row>
    <row r="462" customFormat="false" ht="15" hidden="false" customHeight="false" outlineLevel="0" collapsed="false">
      <c r="A462" s="32"/>
      <c r="B462" s="33"/>
      <c r="C462" s="33"/>
      <c r="D462" s="34"/>
      <c r="E462" s="35"/>
      <c r="F462" s="36"/>
      <c r="G462" s="37" t="str">
        <f aca="false">IF(OR(C462="",D462=""),"",D462*IF(E462="",IFERROR(INDEX(Ürünler!$D$5:$D$204,MATCH(C462,Ürünler!$A$5:$A$204,0)),0),E462))</f>
        <v/>
      </c>
      <c r="H462" s="37" t="str">
        <f aca="false">IF(G462="","",D462*IFERROR(INDEX(Ürünler!$C$5:$C$204,MATCH(C462,Ürünler!$A$5:$A$204,0)),0))</f>
        <v/>
      </c>
      <c r="I462" s="37" t="str">
        <f aca="false">IF(G462="","",G462-H462)</f>
        <v/>
      </c>
      <c r="J462" s="33"/>
    </row>
    <row r="463" customFormat="false" ht="15" hidden="false" customHeight="false" outlineLevel="0" collapsed="false">
      <c r="A463" s="32"/>
      <c r="B463" s="33"/>
      <c r="C463" s="33"/>
      <c r="D463" s="34"/>
      <c r="E463" s="35"/>
      <c r="F463" s="36"/>
      <c r="G463" s="37" t="str">
        <f aca="false">IF(OR(C463="",D463=""),"",D463*IF(E463="",IFERROR(INDEX(Ürünler!$D$5:$D$204,MATCH(C463,Ürünler!$A$5:$A$204,0)),0),E463))</f>
        <v/>
      </c>
      <c r="H463" s="37" t="str">
        <f aca="false">IF(G463="","",D463*IFERROR(INDEX(Ürünler!$C$5:$C$204,MATCH(C463,Ürünler!$A$5:$A$204,0)),0))</f>
        <v/>
      </c>
      <c r="I463" s="37" t="str">
        <f aca="false">IF(G463="","",G463-H463)</f>
        <v/>
      </c>
      <c r="J463" s="33"/>
    </row>
    <row r="464" customFormat="false" ht="15" hidden="false" customHeight="false" outlineLevel="0" collapsed="false">
      <c r="A464" s="32"/>
      <c r="B464" s="33"/>
      <c r="C464" s="33"/>
      <c r="D464" s="34"/>
      <c r="E464" s="35"/>
      <c r="F464" s="36"/>
      <c r="G464" s="37" t="str">
        <f aca="false">IF(OR(C464="",D464=""),"",D464*IF(E464="",IFERROR(INDEX(Ürünler!$D$5:$D$204,MATCH(C464,Ürünler!$A$5:$A$204,0)),0),E464))</f>
        <v/>
      </c>
      <c r="H464" s="37" t="str">
        <f aca="false">IF(G464="","",D464*IFERROR(INDEX(Ürünler!$C$5:$C$204,MATCH(C464,Ürünler!$A$5:$A$204,0)),0))</f>
        <v/>
      </c>
      <c r="I464" s="37" t="str">
        <f aca="false">IF(G464="","",G464-H464)</f>
        <v/>
      </c>
      <c r="J464" s="33"/>
    </row>
    <row r="465" customFormat="false" ht="15" hidden="false" customHeight="false" outlineLevel="0" collapsed="false">
      <c r="A465" s="32"/>
      <c r="B465" s="33"/>
      <c r="C465" s="33"/>
      <c r="D465" s="34"/>
      <c r="E465" s="35"/>
      <c r="F465" s="36"/>
      <c r="G465" s="37" t="str">
        <f aca="false">IF(OR(C465="",D465=""),"",D465*IF(E465="",IFERROR(INDEX(Ürünler!$D$5:$D$204,MATCH(C465,Ürünler!$A$5:$A$204,0)),0),E465))</f>
        <v/>
      </c>
      <c r="H465" s="37" t="str">
        <f aca="false">IF(G465="","",D465*IFERROR(INDEX(Ürünler!$C$5:$C$204,MATCH(C465,Ürünler!$A$5:$A$204,0)),0))</f>
        <v/>
      </c>
      <c r="I465" s="37" t="str">
        <f aca="false">IF(G465="","",G465-H465)</f>
        <v/>
      </c>
      <c r="J465" s="33"/>
    </row>
    <row r="466" customFormat="false" ht="15" hidden="false" customHeight="false" outlineLevel="0" collapsed="false">
      <c r="A466" s="32"/>
      <c r="B466" s="33"/>
      <c r="C466" s="33"/>
      <c r="D466" s="34"/>
      <c r="E466" s="35"/>
      <c r="F466" s="36"/>
      <c r="G466" s="37" t="str">
        <f aca="false">IF(OR(C466="",D466=""),"",D466*IF(E466="",IFERROR(INDEX(Ürünler!$D$5:$D$204,MATCH(C466,Ürünler!$A$5:$A$204,0)),0),E466))</f>
        <v/>
      </c>
      <c r="H466" s="37" t="str">
        <f aca="false">IF(G466="","",D466*IFERROR(INDEX(Ürünler!$C$5:$C$204,MATCH(C466,Ürünler!$A$5:$A$204,0)),0))</f>
        <v/>
      </c>
      <c r="I466" s="37" t="str">
        <f aca="false">IF(G466="","",G466-H466)</f>
        <v/>
      </c>
      <c r="J466" s="33"/>
    </row>
    <row r="467" customFormat="false" ht="15" hidden="false" customHeight="false" outlineLevel="0" collapsed="false">
      <c r="A467" s="32"/>
      <c r="B467" s="33"/>
      <c r="C467" s="33"/>
      <c r="D467" s="34"/>
      <c r="E467" s="35"/>
      <c r="F467" s="36"/>
      <c r="G467" s="37" t="str">
        <f aca="false">IF(OR(C467="",D467=""),"",D467*IF(E467="",IFERROR(INDEX(Ürünler!$D$5:$D$204,MATCH(C467,Ürünler!$A$5:$A$204,0)),0),E467))</f>
        <v/>
      </c>
      <c r="H467" s="37" t="str">
        <f aca="false">IF(G467="","",D467*IFERROR(INDEX(Ürünler!$C$5:$C$204,MATCH(C467,Ürünler!$A$5:$A$204,0)),0))</f>
        <v/>
      </c>
      <c r="I467" s="37" t="str">
        <f aca="false">IF(G467="","",G467-H467)</f>
        <v/>
      </c>
      <c r="J467" s="33"/>
    </row>
    <row r="468" customFormat="false" ht="15" hidden="false" customHeight="false" outlineLevel="0" collapsed="false">
      <c r="A468" s="32"/>
      <c r="B468" s="33"/>
      <c r="C468" s="33"/>
      <c r="D468" s="34"/>
      <c r="E468" s="35"/>
      <c r="F468" s="36"/>
      <c r="G468" s="37" t="str">
        <f aca="false">IF(OR(C468="",D468=""),"",D468*IF(E468="",IFERROR(INDEX(Ürünler!$D$5:$D$204,MATCH(C468,Ürünler!$A$5:$A$204,0)),0),E468))</f>
        <v/>
      </c>
      <c r="H468" s="37" t="str">
        <f aca="false">IF(G468="","",D468*IFERROR(INDEX(Ürünler!$C$5:$C$204,MATCH(C468,Ürünler!$A$5:$A$204,0)),0))</f>
        <v/>
      </c>
      <c r="I468" s="37" t="str">
        <f aca="false">IF(G468="","",G468-H468)</f>
        <v/>
      </c>
      <c r="J468" s="33"/>
    </row>
    <row r="469" customFormat="false" ht="15" hidden="false" customHeight="false" outlineLevel="0" collapsed="false">
      <c r="A469" s="32"/>
      <c r="B469" s="33"/>
      <c r="C469" s="33"/>
      <c r="D469" s="34"/>
      <c r="E469" s="35"/>
      <c r="F469" s="36"/>
      <c r="G469" s="37" t="str">
        <f aca="false">IF(OR(C469="",D469=""),"",D469*IF(E469="",IFERROR(INDEX(Ürünler!$D$5:$D$204,MATCH(C469,Ürünler!$A$5:$A$204,0)),0),E469))</f>
        <v/>
      </c>
      <c r="H469" s="37" t="str">
        <f aca="false">IF(G469="","",D469*IFERROR(INDEX(Ürünler!$C$5:$C$204,MATCH(C469,Ürünler!$A$5:$A$204,0)),0))</f>
        <v/>
      </c>
      <c r="I469" s="37" t="str">
        <f aca="false">IF(G469="","",G469-H469)</f>
        <v/>
      </c>
      <c r="J469" s="33"/>
    </row>
    <row r="470" customFormat="false" ht="15" hidden="false" customHeight="false" outlineLevel="0" collapsed="false">
      <c r="A470" s="32"/>
      <c r="B470" s="33"/>
      <c r="C470" s="33"/>
      <c r="D470" s="34"/>
      <c r="E470" s="35"/>
      <c r="F470" s="36"/>
      <c r="G470" s="37" t="str">
        <f aca="false">IF(OR(C470="",D470=""),"",D470*IF(E470="",IFERROR(INDEX(Ürünler!$D$5:$D$204,MATCH(C470,Ürünler!$A$5:$A$204,0)),0),E470))</f>
        <v/>
      </c>
      <c r="H470" s="37" t="str">
        <f aca="false">IF(G470="","",D470*IFERROR(INDEX(Ürünler!$C$5:$C$204,MATCH(C470,Ürünler!$A$5:$A$204,0)),0))</f>
        <v/>
      </c>
      <c r="I470" s="37" t="str">
        <f aca="false">IF(G470="","",G470-H470)</f>
        <v/>
      </c>
      <c r="J470" s="33"/>
    </row>
    <row r="471" customFormat="false" ht="15" hidden="false" customHeight="false" outlineLevel="0" collapsed="false">
      <c r="A471" s="32"/>
      <c r="B471" s="33"/>
      <c r="C471" s="33"/>
      <c r="D471" s="34"/>
      <c r="E471" s="35"/>
      <c r="F471" s="36"/>
      <c r="G471" s="37" t="str">
        <f aca="false">IF(OR(C471="",D471=""),"",D471*IF(E471="",IFERROR(INDEX(Ürünler!$D$5:$D$204,MATCH(C471,Ürünler!$A$5:$A$204,0)),0),E471))</f>
        <v/>
      </c>
      <c r="H471" s="37" t="str">
        <f aca="false">IF(G471="","",D471*IFERROR(INDEX(Ürünler!$C$5:$C$204,MATCH(C471,Ürünler!$A$5:$A$204,0)),0))</f>
        <v/>
      </c>
      <c r="I471" s="37" t="str">
        <f aca="false">IF(G471="","",G471-H471)</f>
        <v/>
      </c>
      <c r="J471" s="33"/>
    </row>
    <row r="472" customFormat="false" ht="15" hidden="false" customHeight="false" outlineLevel="0" collapsed="false">
      <c r="A472" s="32"/>
      <c r="B472" s="33"/>
      <c r="C472" s="33"/>
      <c r="D472" s="34"/>
      <c r="E472" s="35"/>
      <c r="F472" s="36"/>
      <c r="G472" s="37" t="str">
        <f aca="false">IF(OR(C472="",D472=""),"",D472*IF(E472="",IFERROR(INDEX(Ürünler!$D$5:$D$204,MATCH(C472,Ürünler!$A$5:$A$204,0)),0),E472))</f>
        <v/>
      </c>
      <c r="H472" s="37" t="str">
        <f aca="false">IF(G472="","",D472*IFERROR(INDEX(Ürünler!$C$5:$C$204,MATCH(C472,Ürünler!$A$5:$A$204,0)),0))</f>
        <v/>
      </c>
      <c r="I472" s="37" t="str">
        <f aca="false">IF(G472="","",G472-H472)</f>
        <v/>
      </c>
      <c r="J472" s="33"/>
    </row>
    <row r="473" customFormat="false" ht="15" hidden="false" customHeight="false" outlineLevel="0" collapsed="false">
      <c r="A473" s="32"/>
      <c r="B473" s="33"/>
      <c r="C473" s="33"/>
      <c r="D473" s="34"/>
      <c r="E473" s="35"/>
      <c r="F473" s="36"/>
      <c r="G473" s="37" t="str">
        <f aca="false">IF(OR(C473="",D473=""),"",D473*IF(E473="",IFERROR(INDEX(Ürünler!$D$5:$D$204,MATCH(C473,Ürünler!$A$5:$A$204,0)),0),E473))</f>
        <v/>
      </c>
      <c r="H473" s="37" t="str">
        <f aca="false">IF(G473="","",D473*IFERROR(INDEX(Ürünler!$C$5:$C$204,MATCH(C473,Ürünler!$A$5:$A$204,0)),0))</f>
        <v/>
      </c>
      <c r="I473" s="37" t="str">
        <f aca="false">IF(G473="","",G473-H473)</f>
        <v/>
      </c>
      <c r="J473" s="33"/>
    </row>
    <row r="474" customFormat="false" ht="15" hidden="false" customHeight="false" outlineLevel="0" collapsed="false">
      <c r="A474" s="32"/>
      <c r="B474" s="33"/>
      <c r="C474" s="33"/>
      <c r="D474" s="34"/>
      <c r="E474" s="35"/>
      <c r="F474" s="36"/>
      <c r="G474" s="37" t="str">
        <f aca="false">IF(OR(C474="",D474=""),"",D474*IF(E474="",IFERROR(INDEX(Ürünler!$D$5:$D$204,MATCH(C474,Ürünler!$A$5:$A$204,0)),0),E474))</f>
        <v/>
      </c>
      <c r="H474" s="37" t="str">
        <f aca="false">IF(G474="","",D474*IFERROR(INDEX(Ürünler!$C$5:$C$204,MATCH(C474,Ürünler!$A$5:$A$204,0)),0))</f>
        <v/>
      </c>
      <c r="I474" s="37" t="str">
        <f aca="false">IF(G474="","",G474-H474)</f>
        <v/>
      </c>
      <c r="J474" s="33"/>
    </row>
    <row r="475" customFormat="false" ht="15" hidden="false" customHeight="false" outlineLevel="0" collapsed="false">
      <c r="A475" s="32"/>
      <c r="B475" s="33"/>
      <c r="C475" s="33"/>
      <c r="D475" s="34"/>
      <c r="E475" s="35"/>
      <c r="F475" s="36"/>
      <c r="G475" s="37" t="str">
        <f aca="false">IF(OR(C475="",D475=""),"",D475*IF(E475="",IFERROR(INDEX(Ürünler!$D$5:$D$204,MATCH(C475,Ürünler!$A$5:$A$204,0)),0),E475))</f>
        <v/>
      </c>
      <c r="H475" s="37" t="str">
        <f aca="false">IF(G475="","",D475*IFERROR(INDEX(Ürünler!$C$5:$C$204,MATCH(C475,Ürünler!$A$5:$A$204,0)),0))</f>
        <v/>
      </c>
      <c r="I475" s="37" t="str">
        <f aca="false">IF(G475="","",G475-H475)</f>
        <v/>
      </c>
      <c r="J475" s="33"/>
    </row>
    <row r="476" customFormat="false" ht="15" hidden="false" customHeight="false" outlineLevel="0" collapsed="false">
      <c r="A476" s="32"/>
      <c r="B476" s="33"/>
      <c r="C476" s="33"/>
      <c r="D476" s="34"/>
      <c r="E476" s="35"/>
      <c r="F476" s="36"/>
      <c r="G476" s="37" t="str">
        <f aca="false">IF(OR(C476="",D476=""),"",D476*IF(E476="",IFERROR(INDEX(Ürünler!$D$5:$D$204,MATCH(C476,Ürünler!$A$5:$A$204,0)),0),E476))</f>
        <v/>
      </c>
      <c r="H476" s="37" t="str">
        <f aca="false">IF(G476="","",D476*IFERROR(INDEX(Ürünler!$C$5:$C$204,MATCH(C476,Ürünler!$A$5:$A$204,0)),0))</f>
        <v/>
      </c>
      <c r="I476" s="37" t="str">
        <f aca="false">IF(G476="","",G476-H476)</f>
        <v/>
      </c>
      <c r="J476" s="33"/>
    </row>
    <row r="477" customFormat="false" ht="15" hidden="false" customHeight="false" outlineLevel="0" collapsed="false">
      <c r="A477" s="32"/>
      <c r="B477" s="33"/>
      <c r="C477" s="33"/>
      <c r="D477" s="34"/>
      <c r="E477" s="35"/>
      <c r="F477" s="36"/>
      <c r="G477" s="37" t="str">
        <f aca="false">IF(OR(C477="",D477=""),"",D477*IF(E477="",IFERROR(INDEX(Ürünler!$D$5:$D$204,MATCH(C477,Ürünler!$A$5:$A$204,0)),0),E477))</f>
        <v/>
      </c>
      <c r="H477" s="37" t="str">
        <f aca="false">IF(G477="","",D477*IFERROR(INDEX(Ürünler!$C$5:$C$204,MATCH(C477,Ürünler!$A$5:$A$204,0)),0))</f>
        <v/>
      </c>
      <c r="I477" s="37" t="str">
        <f aca="false">IF(G477="","",G477-H477)</f>
        <v/>
      </c>
      <c r="J477" s="33"/>
    </row>
    <row r="478" customFormat="false" ht="15" hidden="false" customHeight="false" outlineLevel="0" collapsed="false">
      <c r="A478" s="32"/>
      <c r="B478" s="33"/>
      <c r="C478" s="33"/>
      <c r="D478" s="34"/>
      <c r="E478" s="35"/>
      <c r="F478" s="36"/>
      <c r="G478" s="37" t="str">
        <f aca="false">IF(OR(C478="",D478=""),"",D478*IF(E478="",IFERROR(INDEX(Ürünler!$D$5:$D$204,MATCH(C478,Ürünler!$A$5:$A$204,0)),0),E478))</f>
        <v/>
      </c>
      <c r="H478" s="37" t="str">
        <f aca="false">IF(G478="","",D478*IFERROR(INDEX(Ürünler!$C$5:$C$204,MATCH(C478,Ürünler!$A$5:$A$204,0)),0))</f>
        <v/>
      </c>
      <c r="I478" s="37" t="str">
        <f aca="false">IF(G478="","",G478-H478)</f>
        <v/>
      </c>
      <c r="J478" s="33"/>
    </row>
    <row r="479" customFormat="false" ht="15" hidden="false" customHeight="false" outlineLevel="0" collapsed="false">
      <c r="A479" s="32"/>
      <c r="B479" s="33"/>
      <c r="C479" s="33"/>
      <c r="D479" s="34"/>
      <c r="E479" s="35"/>
      <c r="F479" s="36"/>
      <c r="G479" s="37" t="str">
        <f aca="false">IF(OR(C479="",D479=""),"",D479*IF(E479="",IFERROR(INDEX(Ürünler!$D$5:$D$204,MATCH(C479,Ürünler!$A$5:$A$204,0)),0),E479))</f>
        <v/>
      </c>
      <c r="H479" s="37" t="str">
        <f aca="false">IF(G479="","",D479*IFERROR(INDEX(Ürünler!$C$5:$C$204,MATCH(C479,Ürünler!$A$5:$A$204,0)),0))</f>
        <v/>
      </c>
      <c r="I479" s="37" t="str">
        <f aca="false">IF(G479="","",G479-H479)</f>
        <v/>
      </c>
      <c r="J479" s="33"/>
    </row>
    <row r="480" customFormat="false" ht="15" hidden="false" customHeight="false" outlineLevel="0" collapsed="false">
      <c r="A480" s="32"/>
      <c r="B480" s="33"/>
      <c r="C480" s="33"/>
      <c r="D480" s="34"/>
      <c r="E480" s="35"/>
      <c r="F480" s="36"/>
      <c r="G480" s="37" t="str">
        <f aca="false">IF(OR(C480="",D480=""),"",D480*IF(E480="",IFERROR(INDEX(Ürünler!$D$5:$D$204,MATCH(C480,Ürünler!$A$5:$A$204,0)),0),E480))</f>
        <v/>
      </c>
      <c r="H480" s="37" t="str">
        <f aca="false">IF(G480="","",D480*IFERROR(INDEX(Ürünler!$C$5:$C$204,MATCH(C480,Ürünler!$A$5:$A$204,0)),0))</f>
        <v/>
      </c>
      <c r="I480" s="37" t="str">
        <f aca="false">IF(G480="","",G480-H480)</f>
        <v/>
      </c>
      <c r="J480" s="33"/>
    </row>
    <row r="481" customFormat="false" ht="15" hidden="false" customHeight="false" outlineLevel="0" collapsed="false">
      <c r="A481" s="32"/>
      <c r="B481" s="33"/>
      <c r="C481" s="33"/>
      <c r="D481" s="34"/>
      <c r="E481" s="35"/>
      <c r="F481" s="36"/>
      <c r="G481" s="37" t="str">
        <f aca="false">IF(OR(C481="",D481=""),"",D481*IF(E481="",IFERROR(INDEX(Ürünler!$D$5:$D$204,MATCH(C481,Ürünler!$A$5:$A$204,0)),0),E481))</f>
        <v/>
      </c>
      <c r="H481" s="37" t="str">
        <f aca="false">IF(G481="","",D481*IFERROR(INDEX(Ürünler!$C$5:$C$204,MATCH(C481,Ürünler!$A$5:$A$204,0)),0))</f>
        <v/>
      </c>
      <c r="I481" s="37" t="str">
        <f aca="false">IF(G481="","",G481-H481)</f>
        <v/>
      </c>
      <c r="J481" s="33"/>
    </row>
    <row r="482" customFormat="false" ht="15" hidden="false" customHeight="false" outlineLevel="0" collapsed="false">
      <c r="A482" s="32"/>
      <c r="B482" s="33"/>
      <c r="C482" s="33"/>
      <c r="D482" s="34"/>
      <c r="E482" s="35"/>
      <c r="F482" s="36"/>
      <c r="G482" s="37" t="str">
        <f aca="false">IF(OR(C482="",D482=""),"",D482*IF(E482="",IFERROR(INDEX(Ürünler!$D$5:$D$204,MATCH(C482,Ürünler!$A$5:$A$204,0)),0),E482))</f>
        <v/>
      </c>
      <c r="H482" s="37" t="str">
        <f aca="false">IF(G482="","",D482*IFERROR(INDEX(Ürünler!$C$5:$C$204,MATCH(C482,Ürünler!$A$5:$A$204,0)),0))</f>
        <v/>
      </c>
      <c r="I482" s="37" t="str">
        <f aca="false">IF(G482="","",G482-H482)</f>
        <v/>
      </c>
      <c r="J482" s="33"/>
    </row>
    <row r="483" customFormat="false" ht="15" hidden="false" customHeight="false" outlineLevel="0" collapsed="false">
      <c r="A483" s="32"/>
      <c r="B483" s="33"/>
      <c r="C483" s="33"/>
      <c r="D483" s="34"/>
      <c r="E483" s="35"/>
      <c r="F483" s="36"/>
      <c r="G483" s="37" t="str">
        <f aca="false">IF(OR(C483="",D483=""),"",D483*IF(E483="",IFERROR(INDEX(Ürünler!$D$5:$D$204,MATCH(C483,Ürünler!$A$5:$A$204,0)),0),E483))</f>
        <v/>
      </c>
      <c r="H483" s="37" t="str">
        <f aca="false">IF(G483="","",D483*IFERROR(INDEX(Ürünler!$C$5:$C$204,MATCH(C483,Ürünler!$A$5:$A$204,0)),0))</f>
        <v/>
      </c>
      <c r="I483" s="37" t="str">
        <f aca="false">IF(G483="","",G483-H483)</f>
        <v/>
      </c>
      <c r="J483" s="33"/>
    </row>
    <row r="484" customFormat="false" ht="15" hidden="false" customHeight="false" outlineLevel="0" collapsed="false">
      <c r="A484" s="32"/>
      <c r="B484" s="33"/>
      <c r="C484" s="33"/>
      <c r="D484" s="34"/>
      <c r="E484" s="35"/>
      <c r="F484" s="36"/>
      <c r="G484" s="37" t="str">
        <f aca="false">IF(OR(C484="",D484=""),"",D484*IF(E484="",IFERROR(INDEX(Ürünler!$D$5:$D$204,MATCH(C484,Ürünler!$A$5:$A$204,0)),0),E484))</f>
        <v/>
      </c>
      <c r="H484" s="37" t="str">
        <f aca="false">IF(G484="","",D484*IFERROR(INDEX(Ürünler!$C$5:$C$204,MATCH(C484,Ürünler!$A$5:$A$204,0)),0))</f>
        <v/>
      </c>
      <c r="I484" s="37" t="str">
        <f aca="false">IF(G484="","",G484-H484)</f>
        <v/>
      </c>
      <c r="J484" s="33"/>
    </row>
    <row r="485" customFormat="false" ht="15" hidden="false" customHeight="false" outlineLevel="0" collapsed="false">
      <c r="A485" s="32"/>
      <c r="B485" s="33"/>
      <c r="C485" s="33"/>
      <c r="D485" s="34"/>
      <c r="E485" s="35"/>
      <c r="F485" s="36"/>
      <c r="G485" s="37" t="str">
        <f aca="false">IF(OR(C485="",D485=""),"",D485*IF(E485="",IFERROR(INDEX(Ürünler!$D$5:$D$204,MATCH(C485,Ürünler!$A$5:$A$204,0)),0),E485))</f>
        <v/>
      </c>
      <c r="H485" s="37" t="str">
        <f aca="false">IF(G485="","",D485*IFERROR(INDEX(Ürünler!$C$5:$C$204,MATCH(C485,Ürünler!$A$5:$A$204,0)),0))</f>
        <v/>
      </c>
      <c r="I485" s="37" t="str">
        <f aca="false">IF(G485="","",G485-H485)</f>
        <v/>
      </c>
      <c r="J485" s="33"/>
    </row>
    <row r="486" customFormat="false" ht="15" hidden="false" customHeight="false" outlineLevel="0" collapsed="false">
      <c r="A486" s="32"/>
      <c r="B486" s="33"/>
      <c r="C486" s="33"/>
      <c r="D486" s="34"/>
      <c r="E486" s="35"/>
      <c r="F486" s="36"/>
      <c r="G486" s="37" t="str">
        <f aca="false">IF(OR(C486="",D486=""),"",D486*IF(E486="",IFERROR(INDEX(Ürünler!$D$5:$D$204,MATCH(C486,Ürünler!$A$5:$A$204,0)),0),E486))</f>
        <v/>
      </c>
      <c r="H486" s="37" t="str">
        <f aca="false">IF(G486="","",D486*IFERROR(INDEX(Ürünler!$C$5:$C$204,MATCH(C486,Ürünler!$A$5:$A$204,0)),0))</f>
        <v/>
      </c>
      <c r="I486" s="37" t="str">
        <f aca="false">IF(G486="","",G486-H486)</f>
        <v/>
      </c>
      <c r="J486" s="33"/>
    </row>
    <row r="487" customFormat="false" ht="15" hidden="false" customHeight="false" outlineLevel="0" collapsed="false">
      <c r="A487" s="32"/>
      <c r="B487" s="33"/>
      <c r="C487" s="33"/>
      <c r="D487" s="34"/>
      <c r="E487" s="35"/>
      <c r="F487" s="36"/>
      <c r="G487" s="37" t="str">
        <f aca="false">IF(OR(C487="",D487=""),"",D487*IF(E487="",IFERROR(INDEX(Ürünler!$D$5:$D$204,MATCH(C487,Ürünler!$A$5:$A$204,0)),0),E487))</f>
        <v/>
      </c>
      <c r="H487" s="37" t="str">
        <f aca="false">IF(G487="","",D487*IFERROR(INDEX(Ürünler!$C$5:$C$204,MATCH(C487,Ürünler!$A$5:$A$204,0)),0))</f>
        <v/>
      </c>
      <c r="I487" s="37" t="str">
        <f aca="false">IF(G487="","",G487-H487)</f>
        <v/>
      </c>
      <c r="J487" s="33"/>
    </row>
    <row r="488" customFormat="false" ht="15" hidden="false" customHeight="false" outlineLevel="0" collapsed="false">
      <c r="A488" s="32"/>
      <c r="B488" s="33"/>
      <c r="C488" s="33"/>
      <c r="D488" s="34"/>
      <c r="E488" s="35"/>
      <c r="F488" s="36"/>
      <c r="G488" s="37" t="str">
        <f aca="false">IF(OR(C488="",D488=""),"",D488*IF(E488="",IFERROR(INDEX(Ürünler!$D$5:$D$204,MATCH(C488,Ürünler!$A$5:$A$204,0)),0),E488))</f>
        <v/>
      </c>
      <c r="H488" s="37" t="str">
        <f aca="false">IF(G488="","",D488*IFERROR(INDEX(Ürünler!$C$5:$C$204,MATCH(C488,Ürünler!$A$5:$A$204,0)),0))</f>
        <v/>
      </c>
      <c r="I488" s="37" t="str">
        <f aca="false">IF(G488="","",G488-H488)</f>
        <v/>
      </c>
      <c r="J488" s="33"/>
    </row>
    <row r="489" customFormat="false" ht="15" hidden="false" customHeight="false" outlineLevel="0" collapsed="false">
      <c r="A489" s="32"/>
      <c r="B489" s="33"/>
      <c r="C489" s="33"/>
      <c r="D489" s="34"/>
      <c r="E489" s="35"/>
      <c r="F489" s="36"/>
      <c r="G489" s="37" t="str">
        <f aca="false">IF(OR(C489="",D489=""),"",D489*IF(E489="",IFERROR(INDEX(Ürünler!$D$5:$D$204,MATCH(C489,Ürünler!$A$5:$A$204,0)),0),E489))</f>
        <v/>
      </c>
      <c r="H489" s="37" t="str">
        <f aca="false">IF(G489="","",D489*IFERROR(INDEX(Ürünler!$C$5:$C$204,MATCH(C489,Ürünler!$A$5:$A$204,0)),0))</f>
        <v/>
      </c>
      <c r="I489" s="37" t="str">
        <f aca="false">IF(G489="","",G489-H489)</f>
        <v/>
      </c>
      <c r="J489" s="33"/>
    </row>
    <row r="490" customFormat="false" ht="15" hidden="false" customHeight="false" outlineLevel="0" collapsed="false">
      <c r="A490" s="32"/>
      <c r="B490" s="33"/>
      <c r="C490" s="33"/>
      <c r="D490" s="34"/>
      <c r="E490" s="35"/>
      <c r="F490" s="36"/>
      <c r="G490" s="37" t="str">
        <f aca="false">IF(OR(C490="",D490=""),"",D490*IF(E490="",IFERROR(INDEX(Ürünler!$D$5:$D$204,MATCH(C490,Ürünler!$A$5:$A$204,0)),0),E490))</f>
        <v/>
      </c>
      <c r="H490" s="37" t="str">
        <f aca="false">IF(G490="","",D490*IFERROR(INDEX(Ürünler!$C$5:$C$204,MATCH(C490,Ürünler!$A$5:$A$204,0)),0))</f>
        <v/>
      </c>
      <c r="I490" s="37" t="str">
        <f aca="false">IF(G490="","",G490-H490)</f>
        <v/>
      </c>
      <c r="J490" s="33"/>
    </row>
    <row r="491" customFormat="false" ht="15" hidden="false" customHeight="false" outlineLevel="0" collapsed="false">
      <c r="A491" s="32"/>
      <c r="B491" s="33"/>
      <c r="C491" s="33"/>
      <c r="D491" s="34"/>
      <c r="E491" s="35"/>
      <c r="F491" s="36"/>
      <c r="G491" s="37" t="str">
        <f aca="false">IF(OR(C491="",D491=""),"",D491*IF(E491="",IFERROR(INDEX(Ürünler!$D$5:$D$204,MATCH(C491,Ürünler!$A$5:$A$204,0)),0),E491))</f>
        <v/>
      </c>
      <c r="H491" s="37" t="str">
        <f aca="false">IF(G491="","",D491*IFERROR(INDEX(Ürünler!$C$5:$C$204,MATCH(C491,Ürünler!$A$5:$A$204,0)),0))</f>
        <v/>
      </c>
      <c r="I491" s="37" t="str">
        <f aca="false">IF(G491="","",G491-H491)</f>
        <v/>
      </c>
      <c r="J491" s="33"/>
    </row>
    <row r="492" customFormat="false" ht="15" hidden="false" customHeight="false" outlineLevel="0" collapsed="false">
      <c r="A492" s="32"/>
      <c r="B492" s="33"/>
      <c r="C492" s="33"/>
      <c r="D492" s="34"/>
      <c r="E492" s="35"/>
      <c r="F492" s="36"/>
      <c r="G492" s="37" t="str">
        <f aca="false">IF(OR(C492="",D492=""),"",D492*IF(E492="",IFERROR(INDEX(Ürünler!$D$5:$D$204,MATCH(C492,Ürünler!$A$5:$A$204,0)),0),E492))</f>
        <v/>
      </c>
      <c r="H492" s="37" t="str">
        <f aca="false">IF(G492="","",D492*IFERROR(INDEX(Ürünler!$C$5:$C$204,MATCH(C492,Ürünler!$A$5:$A$204,0)),0))</f>
        <v/>
      </c>
      <c r="I492" s="37" t="str">
        <f aca="false">IF(G492="","",G492-H492)</f>
        <v/>
      </c>
      <c r="J492" s="33"/>
    </row>
    <row r="493" customFormat="false" ht="15" hidden="false" customHeight="false" outlineLevel="0" collapsed="false">
      <c r="A493" s="32"/>
      <c r="B493" s="33"/>
      <c r="C493" s="33"/>
      <c r="D493" s="34"/>
      <c r="E493" s="35"/>
      <c r="F493" s="36"/>
      <c r="G493" s="37" t="str">
        <f aca="false">IF(OR(C493="",D493=""),"",D493*IF(E493="",IFERROR(INDEX(Ürünler!$D$5:$D$204,MATCH(C493,Ürünler!$A$5:$A$204,0)),0),E493))</f>
        <v/>
      </c>
      <c r="H493" s="37" t="str">
        <f aca="false">IF(G493="","",D493*IFERROR(INDEX(Ürünler!$C$5:$C$204,MATCH(C493,Ürünler!$A$5:$A$204,0)),0))</f>
        <v/>
      </c>
      <c r="I493" s="37" t="str">
        <f aca="false">IF(G493="","",G493-H493)</f>
        <v/>
      </c>
      <c r="J493" s="33"/>
    </row>
    <row r="494" customFormat="false" ht="15" hidden="false" customHeight="false" outlineLevel="0" collapsed="false">
      <c r="A494" s="32"/>
      <c r="B494" s="33"/>
      <c r="C494" s="33"/>
      <c r="D494" s="34"/>
      <c r="E494" s="35"/>
      <c r="F494" s="36"/>
      <c r="G494" s="37" t="str">
        <f aca="false">IF(OR(C494="",D494=""),"",D494*IF(E494="",IFERROR(INDEX(Ürünler!$D$5:$D$204,MATCH(C494,Ürünler!$A$5:$A$204,0)),0),E494))</f>
        <v/>
      </c>
      <c r="H494" s="37" t="str">
        <f aca="false">IF(G494="","",D494*IFERROR(INDEX(Ürünler!$C$5:$C$204,MATCH(C494,Ürünler!$A$5:$A$204,0)),0))</f>
        <v/>
      </c>
      <c r="I494" s="37" t="str">
        <f aca="false">IF(G494="","",G494-H494)</f>
        <v/>
      </c>
      <c r="J494" s="33"/>
    </row>
    <row r="495" customFormat="false" ht="15" hidden="false" customHeight="false" outlineLevel="0" collapsed="false">
      <c r="A495" s="32"/>
      <c r="B495" s="33"/>
      <c r="C495" s="33"/>
      <c r="D495" s="34"/>
      <c r="E495" s="35"/>
      <c r="F495" s="36"/>
      <c r="G495" s="37" t="str">
        <f aca="false">IF(OR(C495="",D495=""),"",D495*IF(E495="",IFERROR(INDEX(Ürünler!$D$5:$D$204,MATCH(C495,Ürünler!$A$5:$A$204,0)),0),E495))</f>
        <v/>
      </c>
      <c r="H495" s="37" t="str">
        <f aca="false">IF(G495="","",D495*IFERROR(INDEX(Ürünler!$C$5:$C$204,MATCH(C495,Ürünler!$A$5:$A$204,0)),0))</f>
        <v/>
      </c>
      <c r="I495" s="37" t="str">
        <f aca="false">IF(G495="","",G495-H495)</f>
        <v/>
      </c>
      <c r="J495" s="33"/>
    </row>
    <row r="496" customFormat="false" ht="15" hidden="false" customHeight="false" outlineLevel="0" collapsed="false">
      <c r="A496" s="32"/>
      <c r="B496" s="33"/>
      <c r="C496" s="33"/>
      <c r="D496" s="34"/>
      <c r="E496" s="35"/>
      <c r="F496" s="36"/>
      <c r="G496" s="37" t="str">
        <f aca="false">IF(OR(C496="",D496=""),"",D496*IF(E496="",IFERROR(INDEX(Ürünler!$D$5:$D$204,MATCH(C496,Ürünler!$A$5:$A$204,0)),0),E496))</f>
        <v/>
      </c>
      <c r="H496" s="37" t="str">
        <f aca="false">IF(G496="","",D496*IFERROR(INDEX(Ürünler!$C$5:$C$204,MATCH(C496,Ürünler!$A$5:$A$204,0)),0))</f>
        <v/>
      </c>
      <c r="I496" s="37" t="str">
        <f aca="false">IF(G496="","",G496-H496)</f>
        <v/>
      </c>
      <c r="J496" s="33"/>
    </row>
    <row r="497" customFormat="false" ht="15" hidden="false" customHeight="false" outlineLevel="0" collapsed="false">
      <c r="A497" s="32"/>
      <c r="B497" s="33"/>
      <c r="C497" s="33"/>
      <c r="D497" s="34"/>
      <c r="E497" s="35"/>
      <c r="F497" s="36"/>
      <c r="G497" s="37" t="str">
        <f aca="false">IF(OR(C497="",D497=""),"",D497*IF(E497="",IFERROR(INDEX(Ürünler!$D$5:$D$204,MATCH(C497,Ürünler!$A$5:$A$204,0)),0),E497))</f>
        <v/>
      </c>
      <c r="H497" s="37" t="str">
        <f aca="false">IF(G497="","",D497*IFERROR(INDEX(Ürünler!$C$5:$C$204,MATCH(C497,Ürünler!$A$5:$A$204,0)),0))</f>
        <v/>
      </c>
      <c r="I497" s="37" t="str">
        <f aca="false">IF(G497="","",G497-H497)</f>
        <v/>
      </c>
      <c r="J497" s="33"/>
    </row>
    <row r="498" customFormat="false" ht="15" hidden="false" customHeight="false" outlineLevel="0" collapsed="false">
      <c r="A498" s="32"/>
      <c r="B498" s="33"/>
      <c r="C498" s="33"/>
      <c r="D498" s="34"/>
      <c r="E498" s="35"/>
      <c r="F498" s="36"/>
      <c r="G498" s="37" t="str">
        <f aca="false">IF(OR(C498="",D498=""),"",D498*IF(E498="",IFERROR(INDEX(Ürünler!$D$5:$D$204,MATCH(C498,Ürünler!$A$5:$A$204,0)),0),E498))</f>
        <v/>
      </c>
      <c r="H498" s="37" t="str">
        <f aca="false">IF(G498="","",D498*IFERROR(INDEX(Ürünler!$C$5:$C$204,MATCH(C498,Ürünler!$A$5:$A$204,0)),0))</f>
        <v/>
      </c>
      <c r="I498" s="37" t="str">
        <f aca="false">IF(G498="","",G498-H498)</f>
        <v/>
      </c>
      <c r="J498" s="33"/>
    </row>
    <row r="499" customFormat="false" ht="15" hidden="false" customHeight="false" outlineLevel="0" collapsed="false">
      <c r="A499" s="32"/>
      <c r="B499" s="33"/>
      <c r="C499" s="33"/>
      <c r="D499" s="34"/>
      <c r="E499" s="35"/>
      <c r="F499" s="36"/>
      <c r="G499" s="37" t="str">
        <f aca="false">IF(OR(C499="",D499=""),"",D499*IF(E499="",IFERROR(INDEX(Ürünler!$D$5:$D$204,MATCH(C499,Ürünler!$A$5:$A$204,0)),0),E499))</f>
        <v/>
      </c>
      <c r="H499" s="37" t="str">
        <f aca="false">IF(G499="","",D499*IFERROR(INDEX(Ürünler!$C$5:$C$204,MATCH(C499,Ürünler!$A$5:$A$204,0)),0))</f>
        <v/>
      </c>
      <c r="I499" s="37" t="str">
        <f aca="false">IF(G499="","",G499-H499)</f>
        <v/>
      </c>
      <c r="J499" s="33"/>
    </row>
    <row r="500" customFormat="false" ht="15" hidden="false" customHeight="false" outlineLevel="0" collapsed="false">
      <c r="A500" s="32"/>
      <c r="B500" s="33"/>
      <c r="C500" s="33"/>
      <c r="D500" s="34"/>
      <c r="E500" s="35"/>
      <c r="F500" s="36"/>
      <c r="G500" s="37" t="str">
        <f aca="false">IF(OR(C500="",D500=""),"",D500*IF(E500="",IFERROR(INDEX(Ürünler!$D$5:$D$204,MATCH(C500,Ürünler!$A$5:$A$204,0)),0),E500))</f>
        <v/>
      </c>
      <c r="H500" s="37" t="str">
        <f aca="false">IF(G500="","",D500*IFERROR(INDEX(Ürünler!$C$5:$C$204,MATCH(C500,Ürünler!$A$5:$A$204,0)),0))</f>
        <v/>
      </c>
      <c r="I500" s="37" t="str">
        <f aca="false">IF(G500="","",G500-H500)</f>
        <v/>
      </c>
      <c r="J500" s="33"/>
    </row>
    <row r="501" customFormat="false" ht="15" hidden="false" customHeight="false" outlineLevel="0" collapsed="false">
      <c r="A501" s="32"/>
      <c r="B501" s="33"/>
      <c r="C501" s="33"/>
      <c r="D501" s="34"/>
      <c r="E501" s="35"/>
      <c r="F501" s="36"/>
      <c r="G501" s="37" t="str">
        <f aca="false">IF(OR(C501="",D501=""),"",D501*IF(E501="",IFERROR(INDEX(Ürünler!$D$5:$D$204,MATCH(C501,Ürünler!$A$5:$A$204,0)),0),E501))</f>
        <v/>
      </c>
      <c r="H501" s="37" t="str">
        <f aca="false">IF(G501="","",D501*IFERROR(INDEX(Ürünler!$C$5:$C$204,MATCH(C501,Ürünler!$A$5:$A$204,0)),0))</f>
        <v/>
      </c>
      <c r="I501" s="37" t="str">
        <f aca="false">IF(G501="","",G501-H501)</f>
        <v/>
      </c>
      <c r="J501" s="33"/>
    </row>
    <row r="502" customFormat="false" ht="15" hidden="false" customHeight="false" outlineLevel="0" collapsed="false">
      <c r="A502" s="32"/>
      <c r="B502" s="33"/>
      <c r="C502" s="33"/>
      <c r="D502" s="34"/>
      <c r="E502" s="35"/>
      <c r="F502" s="36"/>
      <c r="G502" s="37" t="str">
        <f aca="false">IF(OR(C502="",D502=""),"",D502*IF(E502="",IFERROR(INDEX(Ürünler!$D$5:$D$204,MATCH(C502,Ürünler!$A$5:$A$204,0)),0),E502))</f>
        <v/>
      </c>
      <c r="H502" s="37" t="str">
        <f aca="false">IF(G502="","",D502*IFERROR(INDEX(Ürünler!$C$5:$C$204,MATCH(C502,Ürünler!$A$5:$A$204,0)),0))</f>
        <v/>
      </c>
      <c r="I502" s="37" t="str">
        <f aca="false">IF(G502="","",G502-H502)</f>
        <v/>
      </c>
      <c r="J502" s="33"/>
    </row>
    <row r="503" customFormat="false" ht="15" hidden="false" customHeight="false" outlineLevel="0" collapsed="false">
      <c r="A503" s="32"/>
      <c r="B503" s="33"/>
      <c r="C503" s="33"/>
      <c r="D503" s="34"/>
      <c r="E503" s="35"/>
      <c r="F503" s="36"/>
      <c r="G503" s="37" t="str">
        <f aca="false">IF(OR(C503="",D503=""),"",D503*IF(E503="",IFERROR(INDEX(Ürünler!$D$5:$D$204,MATCH(C503,Ürünler!$A$5:$A$204,0)),0),E503))</f>
        <v/>
      </c>
      <c r="H503" s="37" t="str">
        <f aca="false">IF(G503="","",D503*IFERROR(INDEX(Ürünler!$C$5:$C$204,MATCH(C503,Ürünler!$A$5:$A$204,0)),0))</f>
        <v/>
      </c>
      <c r="I503" s="37" t="str">
        <f aca="false">IF(G503="","",G503-H503)</f>
        <v/>
      </c>
      <c r="J503" s="33"/>
    </row>
    <row r="504" customFormat="false" ht="15" hidden="false" customHeight="false" outlineLevel="0" collapsed="false">
      <c r="A504" s="32"/>
      <c r="B504" s="33"/>
      <c r="C504" s="33"/>
      <c r="D504" s="34"/>
      <c r="E504" s="35"/>
      <c r="F504" s="36"/>
      <c r="G504" s="37" t="str">
        <f aca="false">IF(OR(C504="",D504=""),"",D504*IF(E504="",IFERROR(INDEX(Ürünler!$D$5:$D$204,MATCH(C504,Ürünler!$A$5:$A$204,0)),0),E504))</f>
        <v/>
      </c>
      <c r="H504" s="37" t="str">
        <f aca="false">IF(G504="","",D504*IFERROR(INDEX(Ürünler!$C$5:$C$204,MATCH(C504,Ürünler!$A$5:$A$204,0)),0))</f>
        <v/>
      </c>
      <c r="I504" s="37" t="str">
        <f aca="false">IF(G504="","",G504-H504)</f>
        <v/>
      </c>
      <c r="J504" s="33"/>
    </row>
    <row r="505" customFormat="false" ht="15" hidden="false" customHeight="false" outlineLevel="0" collapsed="false">
      <c r="A505" s="32"/>
      <c r="B505" s="33"/>
      <c r="C505" s="33"/>
      <c r="D505" s="34"/>
      <c r="E505" s="35"/>
      <c r="F505" s="36"/>
      <c r="G505" s="37" t="str">
        <f aca="false">IF(OR(C505="",D505=""),"",D505*IF(E505="",IFERROR(INDEX(Ürünler!$D$5:$D$204,MATCH(C505,Ürünler!$A$5:$A$204,0)),0),E505))</f>
        <v/>
      </c>
      <c r="H505" s="37" t="str">
        <f aca="false">IF(G505="","",D505*IFERROR(INDEX(Ürünler!$C$5:$C$204,MATCH(C505,Ürünler!$A$5:$A$204,0)),0))</f>
        <v/>
      </c>
      <c r="I505" s="37" t="str">
        <f aca="false">IF(G505="","",G505-H505)</f>
        <v/>
      </c>
      <c r="J505" s="33"/>
    </row>
    <row r="506" customFormat="false" ht="15" hidden="false" customHeight="false" outlineLevel="0" collapsed="false">
      <c r="A506" s="32"/>
      <c r="B506" s="33"/>
      <c r="C506" s="33"/>
      <c r="D506" s="34"/>
      <c r="E506" s="35"/>
      <c r="F506" s="36"/>
      <c r="G506" s="37" t="str">
        <f aca="false">IF(OR(C506="",D506=""),"",D506*IF(E506="",IFERROR(INDEX(Ürünler!$D$5:$D$204,MATCH(C506,Ürünler!$A$5:$A$204,0)),0),E506))</f>
        <v/>
      </c>
      <c r="H506" s="37" t="str">
        <f aca="false">IF(G506="","",D506*IFERROR(INDEX(Ürünler!$C$5:$C$204,MATCH(C506,Ürünler!$A$5:$A$204,0)),0))</f>
        <v/>
      </c>
      <c r="I506" s="37" t="str">
        <f aca="false">IF(G506="","",G506-H506)</f>
        <v/>
      </c>
      <c r="J506" s="33"/>
    </row>
    <row r="507" customFormat="false" ht="15" hidden="false" customHeight="false" outlineLevel="0" collapsed="false">
      <c r="A507" s="32"/>
      <c r="B507" s="33"/>
      <c r="C507" s="33"/>
      <c r="D507" s="34"/>
      <c r="E507" s="35"/>
      <c r="F507" s="36"/>
      <c r="G507" s="37" t="str">
        <f aca="false">IF(OR(C507="",D507=""),"",D507*IF(E507="",IFERROR(INDEX(Ürünler!$D$5:$D$204,MATCH(C507,Ürünler!$A$5:$A$204,0)),0),E507))</f>
        <v/>
      </c>
      <c r="H507" s="37" t="str">
        <f aca="false">IF(G507="","",D507*IFERROR(INDEX(Ürünler!$C$5:$C$204,MATCH(C507,Ürünler!$A$5:$A$204,0)),0))</f>
        <v/>
      </c>
      <c r="I507" s="37" t="str">
        <f aca="false">IF(G507="","",G507-H507)</f>
        <v/>
      </c>
      <c r="J507" s="33"/>
    </row>
    <row r="508" customFormat="false" ht="15" hidden="false" customHeight="false" outlineLevel="0" collapsed="false">
      <c r="A508" s="32"/>
      <c r="B508" s="33"/>
      <c r="C508" s="33"/>
      <c r="D508" s="34"/>
      <c r="E508" s="35"/>
      <c r="F508" s="36"/>
      <c r="G508" s="37" t="str">
        <f aca="false">IF(OR(C508="",D508=""),"",D508*IF(E508="",IFERROR(INDEX(Ürünler!$D$5:$D$204,MATCH(C508,Ürünler!$A$5:$A$204,0)),0),E508))</f>
        <v/>
      </c>
      <c r="H508" s="37" t="str">
        <f aca="false">IF(G508="","",D508*IFERROR(INDEX(Ürünler!$C$5:$C$204,MATCH(C508,Ürünler!$A$5:$A$204,0)),0))</f>
        <v/>
      </c>
      <c r="I508" s="37" t="str">
        <f aca="false">IF(G508="","",G508-H508)</f>
        <v/>
      </c>
      <c r="J508" s="33"/>
    </row>
    <row r="509" customFormat="false" ht="15" hidden="false" customHeight="false" outlineLevel="0" collapsed="false">
      <c r="A509" s="32"/>
      <c r="B509" s="33"/>
      <c r="C509" s="33"/>
      <c r="D509" s="34"/>
      <c r="E509" s="35"/>
      <c r="F509" s="36"/>
      <c r="G509" s="37" t="str">
        <f aca="false">IF(OR(C509="",D509=""),"",D509*IF(E509="",IFERROR(INDEX(Ürünler!$D$5:$D$204,MATCH(C509,Ürünler!$A$5:$A$204,0)),0),E509))</f>
        <v/>
      </c>
      <c r="H509" s="37" t="str">
        <f aca="false">IF(G509="","",D509*IFERROR(INDEX(Ürünler!$C$5:$C$204,MATCH(C509,Ürünler!$A$5:$A$204,0)),0))</f>
        <v/>
      </c>
      <c r="I509" s="37" t="str">
        <f aca="false">IF(G509="","",G509-H509)</f>
        <v/>
      </c>
      <c r="J509" s="33"/>
    </row>
    <row r="510" customFormat="false" ht="15" hidden="false" customHeight="false" outlineLevel="0" collapsed="false">
      <c r="A510" s="32"/>
      <c r="B510" s="33"/>
      <c r="C510" s="33"/>
      <c r="D510" s="34"/>
      <c r="E510" s="35"/>
      <c r="F510" s="36"/>
      <c r="G510" s="37" t="str">
        <f aca="false">IF(OR(C510="",D510=""),"",D510*IF(E510="",IFERROR(INDEX(Ürünler!$D$5:$D$204,MATCH(C510,Ürünler!$A$5:$A$204,0)),0),E510))</f>
        <v/>
      </c>
      <c r="H510" s="37" t="str">
        <f aca="false">IF(G510="","",D510*IFERROR(INDEX(Ürünler!$C$5:$C$204,MATCH(C510,Ürünler!$A$5:$A$204,0)),0))</f>
        <v/>
      </c>
      <c r="I510" s="37" t="str">
        <f aca="false">IF(G510="","",G510-H510)</f>
        <v/>
      </c>
      <c r="J510" s="33"/>
    </row>
    <row r="511" customFormat="false" ht="15" hidden="false" customHeight="false" outlineLevel="0" collapsed="false">
      <c r="A511" s="32"/>
      <c r="B511" s="33"/>
      <c r="C511" s="33"/>
      <c r="D511" s="34"/>
      <c r="E511" s="35"/>
      <c r="F511" s="36"/>
      <c r="G511" s="37" t="str">
        <f aca="false">IF(OR(C511="",D511=""),"",D511*IF(E511="",IFERROR(INDEX(Ürünler!$D$5:$D$204,MATCH(C511,Ürünler!$A$5:$A$204,0)),0),E511))</f>
        <v/>
      </c>
      <c r="H511" s="37" t="str">
        <f aca="false">IF(G511="","",D511*IFERROR(INDEX(Ürünler!$C$5:$C$204,MATCH(C511,Ürünler!$A$5:$A$204,0)),0))</f>
        <v/>
      </c>
      <c r="I511" s="37" t="str">
        <f aca="false">IF(G511="","",G511-H511)</f>
        <v/>
      </c>
      <c r="J511" s="33"/>
    </row>
    <row r="512" customFormat="false" ht="15" hidden="false" customHeight="false" outlineLevel="0" collapsed="false">
      <c r="A512" s="32"/>
      <c r="B512" s="33"/>
      <c r="C512" s="33"/>
      <c r="D512" s="34"/>
      <c r="E512" s="35"/>
      <c r="F512" s="36"/>
      <c r="G512" s="37" t="str">
        <f aca="false">IF(OR(C512="",D512=""),"",D512*IF(E512="",IFERROR(INDEX(Ürünler!$D$5:$D$204,MATCH(C512,Ürünler!$A$5:$A$204,0)),0),E512))</f>
        <v/>
      </c>
      <c r="H512" s="37" t="str">
        <f aca="false">IF(G512="","",D512*IFERROR(INDEX(Ürünler!$C$5:$C$204,MATCH(C512,Ürünler!$A$5:$A$204,0)),0))</f>
        <v/>
      </c>
      <c r="I512" s="37" t="str">
        <f aca="false">IF(G512="","",G512-H512)</f>
        <v/>
      </c>
      <c r="J512" s="33"/>
    </row>
    <row r="513" customFormat="false" ht="15" hidden="false" customHeight="false" outlineLevel="0" collapsed="false">
      <c r="A513" s="32"/>
      <c r="B513" s="33"/>
      <c r="C513" s="33"/>
      <c r="D513" s="34"/>
      <c r="E513" s="35"/>
      <c r="F513" s="36"/>
      <c r="G513" s="37" t="str">
        <f aca="false">IF(OR(C513="",D513=""),"",D513*IF(E513="",IFERROR(INDEX(Ürünler!$D$5:$D$204,MATCH(C513,Ürünler!$A$5:$A$204,0)),0),E513))</f>
        <v/>
      </c>
      <c r="H513" s="37" t="str">
        <f aca="false">IF(G513="","",D513*IFERROR(INDEX(Ürünler!$C$5:$C$204,MATCH(C513,Ürünler!$A$5:$A$204,0)),0))</f>
        <v/>
      </c>
      <c r="I513" s="37" t="str">
        <f aca="false">IF(G513="","",G513-H513)</f>
        <v/>
      </c>
      <c r="J513" s="33"/>
    </row>
    <row r="514" customFormat="false" ht="15" hidden="false" customHeight="false" outlineLevel="0" collapsed="false">
      <c r="A514" s="32"/>
      <c r="B514" s="33"/>
      <c r="C514" s="33"/>
      <c r="D514" s="34"/>
      <c r="E514" s="35"/>
      <c r="F514" s="36"/>
      <c r="G514" s="37" t="str">
        <f aca="false">IF(OR(C514="",D514=""),"",D514*IF(E514="",IFERROR(INDEX(Ürünler!$D$5:$D$204,MATCH(C514,Ürünler!$A$5:$A$204,0)),0),E514))</f>
        <v/>
      </c>
      <c r="H514" s="37" t="str">
        <f aca="false">IF(G514="","",D514*IFERROR(INDEX(Ürünler!$C$5:$C$204,MATCH(C514,Ürünler!$A$5:$A$204,0)),0))</f>
        <v/>
      </c>
      <c r="I514" s="37" t="str">
        <f aca="false">IF(G514="","",G514-H514)</f>
        <v/>
      </c>
      <c r="J514" s="33"/>
    </row>
    <row r="515" customFormat="false" ht="15" hidden="false" customHeight="false" outlineLevel="0" collapsed="false">
      <c r="A515" s="32"/>
      <c r="B515" s="33"/>
      <c r="C515" s="33"/>
      <c r="D515" s="34"/>
      <c r="E515" s="35"/>
      <c r="F515" s="36"/>
      <c r="G515" s="37" t="str">
        <f aca="false">IF(OR(C515="",D515=""),"",D515*IF(E515="",IFERROR(INDEX(Ürünler!$D$5:$D$204,MATCH(C515,Ürünler!$A$5:$A$204,0)),0),E515))</f>
        <v/>
      </c>
      <c r="H515" s="37" t="str">
        <f aca="false">IF(G515="","",D515*IFERROR(INDEX(Ürünler!$C$5:$C$204,MATCH(C515,Ürünler!$A$5:$A$204,0)),0))</f>
        <v/>
      </c>
      <c r="I515" s="37" t="str">
        <f aca="false">IF(G515="","",G515-H515)</f>
        <v/>
      </c>
      <c r="J515" s="33"/>
    </row>
    <row r="516" customFormat="false" ht="15" hidden="false" customHeight="false" outlineLevel="0" collapsed="false">
      <c r="A516" s="32"/>
      <c r="B516" s="33"/>
      <c r="C516" s="33"/>
      <c r="D516" s="34"/>
      <c r="E516" s="35"/>
      <c r="F516" s="36"/>
      <c r="G516" s="37" t="str">
        <f aca="false">IF(OR(C516="",D516=""),"",D516*IF(E516="",IFERROR(INDEX(Ürünler!$D$5:$D$204,MATCH(C516,Ürünler!$A$5:$A$204,0)),0),E516))</f>
        <v/>
      </c>
      <c r="H516" s="37" t="str">
        <f aca="false">IF(G516="","",D516*IFERROR(INDEX(Ürünler!$C$5:$C$204,MATCH(C516,Ürünler!$A$5:$A$204,0)),0))</f>
        <v/>
      </c>
      <c r="I516" s="37" t="str">
        <f aca="false">IF(G516="","",G516-H516)</f>
        <v/>
      </c>
      <c r="J516" s="33"/>
    </row>
    <row r="517" customFormat="false" ht="15" hidden="false" customHeight="false" outlineLevel="0" collapsed="false">
      <c r="A517" s="32"/>
      <c r="B517" s="33"/>
      <c r="C517" s="33"/>
      <c r="D517" s="34"/>
      <c r="E517" s="35"/>
      <c r="F517" s="36"/>
      <c r="G517" s="37" t="str">
        <f aca="false">IF(OR(C517="",D517=""),"",D517*IF(E517="",IFERROR(INDEX(Ürünler!$D$5:$D$204,MATCH(C517,Ürünler!$A$5:$A$204,0)),0),E517))</f>
        <v/>
      </c>
      <c r="H517" s="37" t="str">
        <f aca="false">IF(G517="","",D517*IFERROR(INDEX(Ürünler!$C$5:$C$204,MATCH(C517,Ürünler!$A$5:$A$204,0)),0))</f>
        <v/>
      </c>
      <c r="I517" s="37" t="str">
        <f aca="false">IF(G517="","",G517-H517)</f>
        <v/>
      </c>
      <c r="J517" s="33"/>
    </row>
    <row r="518" customFormat="false" ht="15" hidden="false" customHeight="false" outlineLevel="0" collapsed="false">
      <c r="A518" s="32"/>
      <c r="B518" s="33"/>
      <c r="C518" s="33"/>
      <c r="D518" s="34"/>
      <c r="E518" s="35"/>
      <c r="F518" s="36"/>
      <c r="G518" s="37" t="str">
        <f aca="false">IF(OR(C518="",D518=""),"",D518*IF(E518="",IFERROR(INDEX(Ürünler!$D$5:$D$204,MATCH(C518,Ürünler!$A$5:$A$204,0)),0),E518))</f>
        <v/>
      </c>
      <c r="H518" s="37" t="str">
        <f aca="false">IF(G518="","",D518*IFERROR(INDEX(Ürünler!$C$5:$C$204,MATCH(C518,Ürünler!$A$5:$A$204,0)),0))</f>
        <v/>
      </c>
      <c r="I518" s="37" t="str">
        <f aca="false">IF(G518="","",G518-H518)</f>
        <v/>
      </c>
      <c r="J518" s="33"/>
    </row>
    <row r="519" customFormat="false" ht="15" hidden="false" customHeight="false" outlineLevel="0" collapsed="false">
      <c r="A519" s="32"/>
      <c r="B519" s="33"/>
      <c r="C519" s="33"/>
      <c r="D519" s="34"/>
      <c r="E519" s="35"/>
      <c r="F519" s="36"/>
      <c r="G519" s="37" t="str">
        <f aca="false">IF(OR(C519="",D519=""),"",D519*IF(E519="",IFERROR(INDEX(Ürünler!$D$5:$D$204,MATCH(C519,Ürünler!$A$5:$A$204,0)),0),E519))</f>
        <v/>
      </c>
      <c r="H519" s="37" t="str">
        <f aca="false">IF(G519="","",D519*IFERROR(INDEX(Ürünler!$C$5:$C$204,MATCH(C519,Ürünler!$A$5:$A$204,0)),0))</f>
        <v/>
      </c>
      <c r="I519" s="37" t="str">
        <f aca="false">IF(G519="","",G519-H519)</f>
        <v/>
      </c>
      <c r="J519" s="33"/>
    </row>
    <row r="520" customFormat="false" ht="15" hidden="false" customHeight="false" outlineLevel="0" collapsed="false">
      <c r="A520" s="32"/>
      <c r="B520" s="33"/>
      <c r="C520" s="33"/>
      <c r="D520" s="34"/>
      <c r="E520" s="35"/>
      <c r="F520" s="36"/>
      <c r="G520" s="37" t="str">
        <f aca="false">IF(OR(C520="",D520=""),"",D520*IF(E520="",IFERROR(INDEX(Ürünler!$D$5:$D$204,MATCH(C520,Ürünler!$A$5:$A$204,0)),0),E520))</f>
        <v/>
      </c>
      <c r="H520" s="37" t="str">
        <f aca="false">IF(G520="","",D520*IFERROR(INDEX(Ürünler!$C$5:$C$204,MATCH(C520,Ürünler!$A$5:$A$204,0)),0))</f>
        <v/>
      </c>
      <c r="I520" s="37" t="str">
        <f aca="false">IF(G520="","",G520-H520)</f>
        <v/>
      </c>
      <c r="J520" s="33"/>
    </row>
    <row r="521" customFormat="false" ht="15" hidden="false" customHeight="false" outlineLevel="0" collapsed="false">
      <c r="A521" s="32"/>
      <c r="B521" s="33"/>
      <c r="C521" s="33"/>
      <c r="D521" s="34"/>
      <c r="E521" s="35"/>
      <c r="F521" s="36"/>
      <c r="G521" s="37" t="str">
        <f aca="false">IF(OR(C521="",D521=""),"",D521*IF(E521="",IFERROR(INDEX(Ürünler!$D$5:$D$204,MATCH(C521,Ürünler!$A$5:$A$204,0)),0),E521))</f>
        <v/>
      </c>
      <c r="H521" s="37" t="str">
        <f aca="false">IF(G521="","",D521*IFERROR(INDEX(Ürünler!$C$5:$C$204,MATCH(C521,Ürünler!$A$5:$A$204,0)),0))</f>
        <v/>
      </c>
      <c r="I521" s="37" t="str">
        <f aca="false">IF(G521="","",G521-H521)</f>
        <v/>
      </c>
      <c r="J521" s="33"/>
    </row>
    <row r="522" customFormat="false" ht="15" hidden="false" customHeight="false" outlineLevel="0" collapsed="false">
      <c r="A522" s="32"/>
      <c r="B522" s="33"/>
      <c r="C522" s="33"/>
      <c r="D522" s="34"/>
      <c r="E522" s="35"/>
      <c r="F522" s="36"/>
      <c r="G522" s="37" t="str">
        <f aca="false">IF(OR(C522="",D522=""),"",D522*IF(E522="",IFERROR(INDEX(Ürünler!$D$5:$D$204,MATCH(C522,Ürünler!$A$5:$A$204,0)),0),E522))</f>
        <v/>
      </c>
      <c r="H522" s="37" t="str">
        <f aca="false">IF(G522="","",D522*IFERROR(INDEX(Ürünler!$C$5:$C$204,MATCH(C522,Ürünler!$A$5:$A$204,0)),0))</f>
        <v/>
      </c>
      <c r="I522" s="37" t="str">
        <f aca="false">IF(G522="","",G522-H522)</f>
        <v/>
      </c>
      <c r="J522" s="33"/>
    </row>
    <row r="523" customFormat="false" ht="15" hidden="false" customHeight="false" outlineLevel="0" collapsed="false">
      <c r="A523" s="32"/>
      <c r="B523" s="33"/>
      <c r="C523" s="33"/>
      <c r="D523" s="34"/>
      <c r="E523" s="35"/>
      <c r="F523" s="36"/>
      <c r="G523" s="37" t="str">
        <f aca="false">IF(OR(C523="",D523=""),"",D523*IF(E523="",IFERROR(INDEX(Ürünler!$D$5:$D$204,MATCH(C523,Ürünler!$A$5:$A$204,0)),0),E523))</f>
        <v/>
      </c>
      <c r="H523" s="37" t="str">
        <f aca="false">IF(G523="","",D523*IFERROR(INDEX(Ürünler!$C$5:$C$204,MATCH(C523,Ürünler!$A$5:$A$204,0)),0))</f>
        <v/>
      </c>
      <c r="I523" s="37" t="str">
        <f aca="false">IF(G523="","",G523-H523)</f>
        <v/>
      </c>
      <c r="J523" s="33"/>
    </row>
    <row r="524" customFormat="false" ht="15" hidden="false" customHeight="false" outlineLevel="0" collapsed="false">
      <c r="A524" s="32"/>
      <c r="B524" s="33"/>
      <c r="C524" s="33"/>
      <c r="D524" s="34"/>
      <c r="E524" s="35"/>
      <c r="F524" s="36"/>
      <c r="G524" s="37" t="str">
        <f aca="false">IF(OR(C524="",D524=""),"",D524*IF(E524="",IFERROR(INDEX(Ürünler!$D$5:$D$204,MATCH(C524,Ürünler!$A$5:$A$204,0)),0),E524))</f>
        <v/>
      </c>
      <c r="H524" s="37" t="str">
        <f aca="false">IF(G524="","",D524*IFERROR(INDEX(Ürünler!$C$5:$C$204,MATCH(C524,Ürünler!$A$5:$A$204,0)),0))</f>
        <v/>
      </c>
      <c r="I524" s="37" t="str">
        <f aca="false">IF(G524="","",G524-H524)</f>
        <v/>
      </c>
      <c r="J524" s="33"/>
    </row>
    <row r="525" customFormat="false" ht="15" hidden="false" customHeight="false" outlineLevel="0" collapsed="false">
      <c r="A525" s="32"/>
      <c r="B525" s="33"/>
      <c r="C525" s="33"/>
      <c r="D525" s="34"/>
      <c r="E525" s="35"/>
      <c r="F525" s="36"/>
      <c r="G525" s="37" t="str">
        <f aca="false">IF(OR(C525="",D525=""),"",D525*IF(E525="",IFERROR(INDEX(Ürünler!$D$5:$D$204,MATCH(C525,Ürünler!$A$5:$A$204,0)),0),E525))</f>
        <v/>
      </c>
      <c r="H525" s="37" t="str">
        <f aca="false">IF(G525="","",D525*IFERROR(INDEX(Ürünler!$C$5:$C$204,MATCH(C525,Ürünler!$A$5:$A$204,0)),0))</f>
        <v/>
      </c>
      <c r="I525" s="37" t="str">
        <f aca="false">IF(G525="","",G525-H525)</f>
        <v/>
      </c>
      <c r="J525" s="33"/>
    </row>
    <row r="526" customFormat="false" ht="15" hidden="false" customHeight="false" outlineLevel="0" collapsed="false">
      <c r="A526" s="32"/>
      <c r="B526" s="33"/>
      <c r="C526" s="33"/>
      <c r="D526" s="34"/>
      <c r="E526" s="35"/>
      <c r="F526" s="36"/>
      <c r="G526" s="37" t="str">
        <f aca="false">IF(OR(C526="",D526=""),"",D526*IF(E526="",IFERROR(INDEX(Ürünler!$D$5:$D$204,MATCH(C526,Ürünler!$A$5:$A$204,0)),0),E526))</f>
        <v/>
      </c>
      <c r="H526" s="37" t="str">
        <f aca="false">IF(G526="","",D526*IFERROR(INDEX(Ürünler!$C$5:$C$204,MATCH(C526,Ürünler!$A$5:$A$204,0)),0))</f>
        <v/>
      </c>
      <c r="I526" s="37" t="str">
        <f aca="false">IF(G526="","",G526-H526)</f>
        <v/>
      </c>
      <c r="J526" s="33"/>
    </row>
    <row r="527" customFormat="false" ht="15" hidden="false" customHeight="false" outlineLevel="0" collapsed="false">
      <c r="A527" s="32"/>
      <c r="B527" s="33"/>
      <c r="C527" s="33"/>
      <c r="D527" s="34"/>
      <c r="E527" s="35"/>
      <c r="F527" s="36"/>
      <c r="G527" s="37" t="str">
        <f aca="false">IF(OR(C527="",D527=""),"",D527*IF(E527="",IFERROR(INDEX(Ürünler!$D$5:$D$204,MATCH(C527,Ürünler!$A$5:$A$204,0)),0),E527))</f>
        <v/>
      </c>
      <c r="H527" s="37" t="str">
        <f aca="false">IF(G527="","",D527*IFERROR(INDEX(Ürünler!$C$5:$C$204,MATCH(C527,Ürünler!$A$5:$A$204,0)),0))</f>
        <v/>
      </c>
      <c r="I527" s="37" t="str">
        <f aca="false">IF(G527="","",G527-H527)</f>
        <v/>
      </c>
      <c r="J527" s="33"/>
    </row>
    <row r="528" customFormat="false" ht="15" hidden="false" customHeight="false" outlineLevel="0" collapsed="false">
      <c r="A528" s="32"/>
      <c r="B528" s="33"/>
      <c r="C528" s="33"/>
      <c r="D528" s="34"/>
      <c r="E528" s="35"/>
      <c r="F528" s="36"/>
      <c r="G528" s="37" t="str">
        <f aca="false">IF(OR(C528="",D528=""),"",D528*IF(E528="",IFERROR(INDEX(Ürünler!$D$5:$D$204,MATCH(C528,Ürünler!$A$5:$A$204,0)),0),E528))</f>
        <v/>
      </c>
      <c r="H528" s="37" t="str">
        <f aca="false">IF(G528="","",D528*IFERROR(INDEX(Ürünler!$C$5:$C$204,MATCH(C528,Ürünler!$A$5:$A$204,0)),0))</f>
        <v/>
      </c>
      <c r="I528" s="37" t="str">
        <f aca="false">IF(G528="","",G528-H528)</f>
        <v/>
      </c>
      <c r="J528" s="33"/>
    </row>
    <row r="529" customFormat="false" ht="15" hidden="false" customHeight="false" outlineLevel="0" collapsed="false">
      <c r="A529" s="32"/>
      <c r="B529" s="33"/>
      <c r="C529" s="33"/>
      <c r="D529" s="34"/>
      <c r="E529" s="35"/>
      <c r="F529" s="36"/>
      <c r="G529" s="37" t="str">
        <f aca="false">IF(OR(C529="",D529=""),"",D529*IF(E529="",IFERROR(INDEX(Ürünler!$D$5:$D$204,MATCH(C529,Ürünler!$A$5:$A$204,0)),0),E529))</f>
        <v/>
      </c>
      <c r="H529" s="37" t="str">
        <f aca="false">IF(G529="","",D529*IFERROR(INDEX(Ürünler!$C$5:$C$204,MATCH(C529,Ürünler!$A$5:$A$204,0)),0))</f>
        <v/>
      </c>
      <c r="I529" s="37" t="str">
        <f aca="false">IF(G529="","",G529-H529)</f>
        <v/>
      </c>
      <c r="J529" s="33"/>
    </row>
    <row r="530" customFormat="false" ht="15" hidden="false" customHeight="false" outlineLevel="0" collapsed="false">
      <c r="A530" s="32"/>
      <c r="B530" s="33"/>
      <c r="C530" s="33"/>
      <c r="D530" s="34"/>
      <c r="E530" s="35"/>
      <c r="F530" s="36"/>
      <c r="G530" s="37" t="str">
        <f aca="false">IF(OR(C530="",D530=""),"",D530*IF(E530="",IFERROR(INDEX(Ürünler!$D$5:$D$204,MATCH(C530,Ürünler!$A$5:$A$204,0)),0),E530))</f>
        <v/>
      </c>
      <c r="H530" s="37" t="str">
        <f aca="false">IF(G530="","",D530*IFERROR(INDEX(Ürünler!$C$5:$C$204,MATCH(C530,Ürünler!$A$5:$A$204,0)),0))</f>
        <v/>
      </c>
      <c r="I530" s="37" t="str">
        <f aca="false">IF(G530="","",G530-H530)</f>
        <v/>
      </c>
      <c r="J530" s="33"/>
    </row>
    <row r="531" customFormat="false" ht="15" hidden="false" customHeight="false" outlineLevel="0" collapsed="false">
      <c r="A531" s="32"/>
      <c r="B531" s="33"/>
      <c r="C531" s="33"/>
      <c r="D531" s="34"/>
      <c r="E531" s="35"/>
      <c r="F531" s="36"/>
      <c r="G531" s="37" t="str">
        <f aca="false">IF(OR(C531="",D531=""),"",D531*IF(E531="",IFERROR(INDEX(Ürünler!$D$5:$D$204,MATCH(C531,Ürünler!$A$5:$A$204,0)),0),E531))</f>
        <v/>
      </c>
      <c r="H531" s="37" t="str">
        <f aca="false">IF(G531="","",D531*IFERROR(INDEX(Ürünler!$C$5:$C$204,MATCH(C531,Ürünler!$A$5:$A$204,0)),0))</f>
        <v/>
      </c>
      <c r="I531" s="37" t="str">
        <f aca="false">IF(G531="","",G531-H531)</f>
        <v/>
      </c>
      <c r="J531" s="33"/>
    </row>
    <row r="532" customFormat="false" ht="15" hidden="false" customHeight="false" outlineLevel="0" collapsed="false">
      <c r="A532" s="32"/>
      <c r="B532" s="33"/>
      <c r="C532" s="33"/>
      <c r="D532" s="34"/>
      <c r="E532" s="35"/>
      <c r="F532" s="36"/>
      <c r="G532" s="37" t="str">
        <f aca="false">IF(OR(C532="",D532=""),"",D532*IF(E532="",IFERROR(INDEX(Ürünler!$D$5:$D$204,MATCH(C532,Ürünler!$A$5:$A$204,0)),0),E532))</f>
        <v/>
      </c>
      <c r="H532" s="37" t="str">
        <f aca="false">IF(G532="","",D532*IFERROR(INDEX(Ürünler!$C$5:$C$204,MATCH(C532,Ürünler!$A$5:$A$204,0)),0))</f>
        <v/>
      </c>
      <c r="I532" s="37" t="str">
        <f aca="false">IF(G532="","",G532-H532)</f>
        <v/>
      </c>
      <c r="J532" s="33"/>
    </row>
    <row r="533" customFormat="false" ht="15" hidden="false" customHeight="false" outlineLevel="0" collapsed="false">
      <c r="A533" s="32"/>
      <c r="B533" s="33"/>
      <c r="C533" s="33"/>
      <c r="D533" s="34"/>
      <c r="E533" s="35"/>
      <c r="F533" s="36"/>
      <c r="G533" s="37" t="str">
        <f aca="false">IF(OR(C533="",D533=""),"",D533*IF(E533="",IFERROR(INDEX(Ürünler!$D$5:$D$204,MATCH(C533,Ürünler!$A$5:$A$204,0)),0),E533))</f>
        <v/>
      </c>
      <c r="H533" s="37" t="str">
        <f aca="false">IF(G533="","",D533*IFERROR(INDEX(Ürünler!$C$5:$C$204,MATCH(C533,Ürünler!$A$5:$A$204,0)),0))</f>
        <v/>
      </c>
      <c r="I533" s="37" t="str">
        <f aca="false">IF(G533="","",G533-H533)</f>
        <v/>
      </c>
      <c r="J533" s="33"/>
    </row>
    <row r="534" customFormat="false" ht="15" hidden="false" customHeight="false" outlineLevel="0" collapsed="false">
      <c r="A534" s="32"/>
      <c r="B534" s="33"/>
      <c r="C534" s="33"/>
      <c r="D534" s="34"/>
      <c r="E534" s="35"/>
      <c r="F534" s="36"/>
      <c r="G534" s="37" t="str">
        <f aca="false">IF(OR(C534="",D534=""),"",D534*IF(E534="",IFERROR(INDEX(Ürünler!$D$5:$D$204,MATCH(C534,Ürünler!$A$5:$A$204,0)),0),E534))</f>
        <v/>
      </c>
      <c r="H534" s="37" t="str">
        <f aca="false">IF(G534="","",D534*IFERROR(INDEX(Ürünler!$C$5:$C$204,MATCH(C534,Ürünler!$A$5:$A$204,0)),0))</f>
        <v/>
      </c>
      <c r="I534" s="37" t="str">
        <f aca="false">IF(G534="","",G534-H534)</f>
        <v/>
      </c>
      <c r="J534" s="33"/>
    </row>
    <row r="535" customFormat="false" ht="15" hidden="false" customHeight="false" outlineLevel="0" collapsed="false">
      <c r="A535" s="32"/>
      <c r="B535" s="33"/>
      <c r="C535" s="33"/>
      <c r="D535" s="34"/>
      <c r="E535" s="35"/>
      <c r="F535" s="36"/>
      <c r="G535" s="37" t="str">
        <f aca="false">IF(OR(C535="",D535=""),"",D535*IF(E535="",IFERROR(INDEX(Ürünler!$D$5:$D$204,MATCH(C535,Ürünler!$A$5:$A$204,0)),0),E535))</f>
        <v/>
      </c>
      <c r="H535" s="37" t="str">
        <f aca="false">IF(G535="","",D535*IFERROR(INDEX(Ürünler!$C$5:$C$204,MATCH(C535,Ürünler!$A$5:$A$204,0)),0))</f>
        <v/>
      </c>
      <c r="I535" s="37" t="str">
        <f aca="false">IF(G535="","",G535-H535)</f>
        <v/>
      </c>
      <c r="J535" s="33"/>
    </row>
    <row r="536" customFormat="false" ht="15" hidden="false" customHeight="false" outlineLevel="0" collapsed="false">
      <c r="A536" s="32"/>
      <c r="B536" s="33"/>
      <c r="C536" s="33"/>
      <c r="D536" s="34"/>
      <c r="E536" s="35"/>
      <c r="F536" s="36"/>
      <c r="G536" s="37" t="str">
        <f aca="false">IF(OR(C536="",D536=""),"",D536*IF(E536="",IFERROR(INDEX(Ürünler!$D$5:$D$204,MATCH(C536,Ürünler!$A$5:$A$204,0)),0),E536))</f>
        <v/>
      </c>
      <c r="H536" s="37" t="str">
        <f aca="false">IF(G536="","",D536*IFERROR(INDEX(Ürünler!$C$5:$C$204,MATCH(C536,Ürünler!$A$5:$A$204,0)),0))</f>
        <v/>
      </c>
      <c r="I536" s="37" t="str">
        <f aca="false">IF(G536="","",G536-H536)</f>
        <v/>
      </c>
      <c r="J536" s="33"/>
    </row>
    <row r="537" customFormat="false" ht="15" hidden="false" customHeight="false" outlineLevel="0" collapsed="false">
      <c r="A537" s="32"/>
      <c r="B537" s="33"/>
      <c r="C537" s="33"/>
      <c r="D537" s="34"/>
      <c r="E537" s="35"/>
      <c r="F537" s="36"/>
      <c r="G537" s="37" t="str">
        <f aca="false">IF(OR(C537="",D537=""),"",D537*IF(E537="",IFERROR(INDEX(Ürünler!$D$5:$D$204,MATCH(C537,Ürünler!$A$5:$A$204,0)),0),E537))</f>
        <v/>
      </c>
      <c r="H537" s="37" t="str">
        <f aca="false">IF(G537="","",D537*IFERROR(INDEX(Ürünler!$C$5:$C$204,MATCH(C537,Ürünler!$A$5:$A$204,0)),0))</f>
        <v/>
      </c>
      <c r="I537" s="37" t="str">
        <f aca="false">IF(G537="","",G537-H537)</f>
        <v/>
      </c>
      <c r="J537" s="33"/>
    </row>
    <row r="538" customFormat="false" ht="15" hidden="false" customHeight="false" outlineLevel="0" collapsed="false">
      <c r="A538" s="32"/>
      <c r="B538" s="33"/>
      <c r="C538" s="33"/>
      <c r="D538" s="34"/>
      <c r="E538" s="35"/>
      <c r="F538" s="36"/>
      <c r="G538" s="37" t="str">
        <f aca="false">IF(OR(C538="",D538=""),"",D538*IF(E538="",IFERROR(INDEX(Ürünler!$D$5:$D$204,MATCH(C538,Ürünler!$A$5:$A$204,0)),0),E538))</f>
        <v/>
      </c>
      <c r="H538" s="37" t="str">
        <f aca="false">IF(G538="","",D538*IFERROR(INDEX(Ürünler!$C$5:$C$204,MATCH(C538,Ürünler!$A$5:$A$204,0)),0))</f>
        <v/>
      </c>
      <c r="I538" s="37" t="str">
        <f aca="false">IF(G538="","",G538-H538)</f>
        <v/>
      </c>
      <c r="J538" s="33"/>
    </row>
    <row r="539" customFormat="false" ht="15" hidden="false" customHeight="false" outlineLevel="0" collapsed="false">
      <c r="A539" s="32"/>
      <c r="B539" s="33"/>
      <c r="C539" s="33"/>
      <c r="D539" s="34"/>
      <c r="E539" s="35"/>
      <c r="F539" s="36"/>
      <c r="G539" s="37" t="str">
        <f aca="false">IF(OR(C539="",D539=""),"",D539*IF(E539="",IFERROR(INDEX(Ürünler!$D$5:$D$204,MATCH(C539,Ürünler!$A$5:$A$204,0)),0),E539))</f>
        <v/>
      </c>
      <c r="H539" s="37" t="str">
        <f aca="false">IF(G539="","",D539*IFERROR(INDEX(Ürünler!$C$5:$C$204,MATCH(C539,Ürünler!$A$5:$A$204,0)),0))</f>
        <v/>
      </c>
      <c r="I539" s="37" t="str">
        <f aca="false">IF(G539="","",G539-H539)</f>
        <v/>
      </c>
      <c r="J539" s="33"/>
    </row>
    <row r="540" customFormat="false" ht="15" hidden="false" customHeight="false" outlineLevel="0" collapsed="false">
      <c r="A540" s="32"/>
      <c r="B540" s="33"/>
      <c r="C540" s="33"/>
      <c r="D540" s="34"/>
      <c r="E540" s="35"/>
      <c r="F540" s="36"/>
      <c r="G540" s="37" t="str">
        <f aca="false">IF(OR(C540="",D540=""),"",D540*IF(E540="",IFERROR(INDEX(Ürünler!$D$5:$D$204,MATCH(C540,Ürünler!$A$5:$A$204,0)),0),E540))</f>
        <v/>
      </c>
      <c r="H540" s="37" t="str">
        <f aca="false">IF(G540="","",D540*IFERROR(INDEX(Ürünler!$C$5:$C$204,MATCH(C540,Ürünler!$A$5:$A$204,0)),0))</f>
        <v/>
      </c>
      <c r="I540" s="37" t="str">
        <f aca="false">IF(G540="","",G540-H540)</f>
        <v/>
      </c>
      <c r="J540" s="33"/>
    </row>
    <row r="541" customFormat="false" ht="15" hidden="false" customHeight="false" outlineLevel="0" collapsed="false">
      <c r="A541" s="32"/>
      <c r="B541" s="33"/>
      <c r="C541" s="33"/>
      <c r="D541" s="34"/>
      <c r="E541" s="35"/>
      <c r="F541" s="36"/>
      <c r="G541" s="37" t="str">
        <f aca="false">IF(OR(C541="",D541=""),"",D541*IF(E541="",IFERROR(INDEX(Ürünler!$D$5:$D$204,MATCH(C541,Ürünler!$A$5:$A$204,0)),0),E541))</f>
        <v/>
      </c>
      <c r="H541" s="37" t="str">
        <f aca="false">IF(G541="","",D541*IFERROR(INDEX(Ürünler!$C$5:$C$204,MATCH(C541,Ürünler!$A$5:$A$204,0)),0))</f>
        <v/>
      </c>
      <c r="I541" s="37" t="str">
        <f aca="false">IF(G541="","",G541-H541)</f>
        <v/>
      </c>
      <c r="J541" s="33"/>
    </row>
    <row r="542" customFormat="false" ht="15" hidden="false" customHeight="false" outlineLevel="0" collapsed="false">
      <c r="A542" s="32"/>
      <c r="B542" s="33"/>
      <c r="C542" s="33"/>
      <c r="D542" s="34"/>
      <c r="E542" s="35"/>
      <c r="F542" s="36"/>
      <c r="G542" s="37" t="str">
        <f aca="false">IF(OR(C542="",D542=""),"",D542*IF(E542="",IFERROR(INDEX(Ürünler!$D$5:$D$204,MATCH(C542,Ürünler!$A$5:$A$204,0)),0),E542))</f>
        <v/>
      </c>
      <c r="H542" s="37" t="str">
        <f aca="false">IF(G542="","",D542*IFERROR(INDEX(Ürünler!$C$5:$C$204,MATCH(C542,Ürünler!$A$5:$A$204,0)),0))</f>
        <v/>
      </c>
      <c r="I542" s="37" t="str">
        <f aca="false">IF(G542="","",G542-H542)</f>
        <v/>
      </c>
      <c r="J542" s="33"/>
    </row>
    <row r="543" customFormat="false" ht="15" hidden="false" customHeight="false" outlineLevel="0" collapsed="false">
      <c r="A543" s="32"/>
      <c r="B543" s="33"/>
      <c r="C543" s="33"/>
      <c r="D543" s="34"/>
      <c r="E543" s="35"/>
      <c r="F543" s="36"/>
      <c r="G543" s="37" t="str">
        <f aca="false">IF(OR(C543="",D543=""),"",D543*IF(E543="",IFERROR(INDEX(Ürünler!$D$5:$D$204,MATCH(C543,Ürünler!$A$5:$A$204,0)),0),E543))</f>
        <v/>
      </c>
      <c r="H543" s="37" t="str">
        <f aca="false">IF(G543="","",D543*IFERROR(INDEX(Ürünler!$C$5:$C$204,MATCH(C543,Ürünler!$A$5:$A$204,0)),0))</f>
        <v/>
      </c>
      <c r="I543" s="37" t="str">
        <f aca="false">IF(G543="","",G543-H543)</f>
        <v/>
      </c>
      <c r="J543" s="33"/>
    </row>
    <row r="544" customFormat="false" ht="15" hidden="false" customHeight="false" outlineLevel="0" collapsed="false">
      <c r="A544" s="32"/>
      <c r="B544" s="33"/>
      <c r="C544" s="33"/>
      <c r="D544" s="34"/>
      <c r="E544" s="35"/>
      <c r="F544" s="36"/>
      <c r="G544" s="37" t="str">
        <f aca="false">IF(OR(C544="",D544=""),"",D544*IF(E544="",IFERROR(INDEX(Ürünler!$D$5:$D$204,MATCH(C544,Ürünler!$A$5:$A$204,0)),0),E544))</f>
        <v/>
      </c>
      <c r="H544" s="37" t="str">
        <f aca="false">IF(G544="","",D544*IFERROR(INDEX(Ürünler!$C$5:$C$204,MATCH(C544,Ürünler!$A$5:$A$204,0)),0))</f>
        <v/>
      </c>
      <c r="I544" s="37" t="str">
        <f aca="false">IF(G544="","",G544-H544)</f>
        <v/>
      </c>
      <c r="J544" s="33"/>
    </row>
    <row r="545" customFormat="false" ht="15" hidden="false" customHeight="false" outlineLevel="0" collapsed="false">
      <c r="A545" s="32"/>
      <c r="B545" s="33"/>
      <c r="C545" s="33"/>
      <c r="D545" s="34"/>
      <c r="E545" s="35"/>
      <c r="F545" s="36"/>
      <c r="G545" s="37" t="str">
        <f aca="false">IF(OR(C545="",D545=""),"",D545*IF(E545="",IFERROR(INDEX(Ürünler!$D$5:$D$204,MATCH(C545,Ürünler!$A$5:$A$204,0)),0),E545))</f>
        <v/>
      </c>
      <c r="H545" s="37" t="str">
        <f aca="false">IF(G545="","",D545*IFERROR(INDEX(Ürünler!$C$5:$C$204,MATCH(C545,Ürünler!$A$5:$A$204,0)),0))</f>
        <v/>
      </c>
      <c r="I545" s="37" t="str">
        <f aca="false">IF(G545="","",G545-H545)</f>
        <v/>
      </c>
      <c r="J545" s="33"/>
    </row>
    <row r="546" customFormat="false" ht="15" hidden="false" customHeight="false" outlineLevel="0" collapsed="false">
      <c r="A546" s="32"/>
      <c r="B546" s="33"/>
      <c r="C546" s="33"/>
      <c r="D546" s="34"/>
      <c r="E546" s="35"/>
      <c r="F546" s="36"/>
      <c r="G546" s="37" t="str">
        <f aca="false">IF(OR(C546="",D546=""),"",D546*IF(E546="",IFERROR(INDEX(Ürünler!$D$5:$D$204,MATCH(C546,Ürünler!$A$5:$A$204,0)),0),E546))</f>
        <v/>
      </c>
      <c r="H546" s="37" t="str">
        <f aca="false">IF(G546="","",D546*IFERROR(INDEX(Ürünler!$C$5:$C$204,MATCH(C546,Ürünler!$A$5:$A$204,0)),0))</f>
        <v/>
      </c>
      <c r="I546" s="37" t="str">
        <f aca="false">IF(G546="","",G546-H546)</f>
        <v/>
      </c>
      <c r="J546" s="33"/>
    </row>
    <row r="547" customFormat="false" ht="15" hidden="false" customHeight="false" outlineLevel="0" collapsed="false">
      <c r="A547" s="32"/>
      <c r="B547" s="33"/>
      <c r="C547" s="33"/>
      <c r="D547" s="34"/>
      <c r="E547" s="35"/>
      <c r="F547" s="36"/>
      <c r="G547" s="37" t="str">
        <f aca="false">IF(OR(C547="",D547=""),"",D547*IF(E547="",IFERROR(INDEX(Ürünler!$D$5:$D$204,MATCH(C547,Ürünler!$A$5:$A$204,0)),0),E547))</f>
        <v/>
      </c>
      <c r="H547" s="37" t="str">
        <f aca="false">IF(G547="","",D547*IFERROR(INDEX(Ürünler!$C$5:$C$204,MATCH(C547,Ürünler!$A$5:$A$204,0)),0))</f>
        <v/>
      </c>
      <c r="I547" s="37" t="str">
        <f aca="false">IF(G547="","",G547-H547)</f>
        <v/>
      </c>
      <c r="J547" s="33"/>
    </row>
    <row r="548" customFormat="false" ht="15" hidden="false" customHeight="false" outlineLevel="0" collapsed="false">
      <c r="A548" s="32"/>
      <c r="B548" s="33"/>
      <c r="C548" s="33"/>
      <c r="D548" s="34"/>
      <c r="E548" s="35"/>
      <c r="F548" s="36"/>
      <c r="G548" s="37" t="str">
        <f aca="false">IF(OR(C548="",D548=""),"",D548*IF(E548="",IFERROR(INDEX(Ürünler!$D$5:$D$204,MATCH(C548,Ürünler!$A$5:$A$204,0)),0),E548))</f>
        <v/>
      </c>
      <c r="H548" s="37" t="str">
        <f aca="false">IF(G548="","",D548*IFERROR(INDEX(Ürünler!$C$5:$C$204,MATCH(C548,Ürünler!$A$5:$A$204,0)),0))</f>
        <v/>
      </c>
      <c r="I548" s="37" t="str">
        <f aca="false">IF(G548="","",G548-H548)</f>
        <v/>
      </c>
      <c r="J548" s="33"/>
    </row>
    <row r="549" customFormat="false" ht="15" hidden="false" customHeight="false" outlineLevel="0" collapsed="false">
      <c r="A549" s="32"/>
      <c r="B549" s="33"/>
      <c r="C549" s="33"/>
      <c r="D549" s="34"/>
      <c r="E549" s="35"/>
      <c r="F549" s="36"/>
      <c r="G549" s="37" t="str">
        <f aca="false">IF(OR(C549="",D549=""),"",D549*IF(E549="",IFERROR(INDEX(Ürünler!$D$5:$D$204,MATCH(C549,Ürünler!$A$5:$A$204,0)),0),E549))</f>
        <v/>
      </c>
      <c r="H549" s="37" t="str">
        <f aca="false">IF(G549="","",D549*IFERROR(INDEX(Ürünler!$C$5:$C$204,MATCH(C549,Ürünler!$A$5:$A$204,0)),0))</f>
        <v/>
      </c>
      <c r="I549" s="37" t="str">
        <f aca="false">IF(G549="","",G549-H549)</f>
        <v/>
      </c>
      <c r="J549" s="33"/>
    </row>
    <row r="550" customFormat="false" ht="15" hidden="false" customHeight="false" outlineLevel="0" collapsed="false">
      <c r="A550" s="32"/>
      <c r="B550" s="33"/>
      <c r="C550" s="33"/>
      <c r="D550" s="34"/>
      <c r="E550" s="35"/>
      <c r="F550" s="36"/>
      <c r="G550" s="37" t="str">
        <f aca="false">IF(OR(C550="",D550=""),"",D550*IF(E550="",IFERROR(INDEX(Ürünler!$D$5:$D$204,MATCH(C550,Ürünler!$A$5:$A$204,0)),0),E550))</f>
        <v/>
      </c>
      <c r="H550" s="37" t="str">
        <f aca="false">IF(G550="","",D550*IFERROR(INDEX(Ürünler!$C$5:$C$204,MATCH(C550,Ürünler!$A$5:$A$204,0)),0))</f>
        <v/>
      </c>
      <c r="I550" s="37" t="str">
        <f aca="false">IF(G550="","",G550-H550)</f>
        <v/>
      </c>
      <c r="J550" s="33"/>
    </row>
    <row r="551" customFormat="false" ht="15" hidden="false" customHeight="false" outlineLevel="0" collapsed="false">
      <c r="A551" s="32"/>
      <c r="B551" s="33"/>
      <c r="C551" s="33"/>
      <c r="D551" s="34"/>
      <c r="E551" s="35"/>
      <c r="F551" s="36"/>
      <c r="G551" s="37" t="str">
        <f aca="false">IF(OR(C551="",D551=""),"",D551*IF(E551="",IFERROR(INDEX(Ürünler!$D$5:$D$204,MATCH(C551,Ürünler!$A$5:$A$204,0)),0),E551))</f>
        <v/>
      </c>
      <c r="H551" s="37" t="str">
        <f aca="false">IF(G551="","",D551*IFERROR(INDEX(Ürünler!$C$5:$C$204,MATCH(C551,Ürünler!$A$5:$A$204,0)),0))</f>
        <v/>
      </c>
      <c r="I551" s="37" t="str">
        <f aca="false">IF(G551="","",G551-H551)</f>
        <v/>
      </c>
      <c r="J551" s="33"/>
    </row>
    <row r="552" customFormat="false" ht="15" hidden="false" customHeight="false" outlineLevel="0" collapsed="false">
      <c r="A552" s="32"/>
      <c r="B552" s="33"/>
      <c r="C552" s="33"/>
      <c r="D552" s="34"/>
      <c r="E552" s="35"/>
      <c r="F552" s="36"/>
      <c r="G552" s="37" t="str">
        <f aca="false">IF(OR(C552="",D552=""),"",D552*IF(E552="",IFERROR(INDEX(Ürünler!$D$5:$D$204,MATCH(C552,Ürünler!$A$5:$A$204,0)),0),E552))</f>
        <v/>
      </c>
      <c r="H552" s="37" t="str">
        <f aca="false">IF(G552="","",D552*IFERROR(INDEX(Ürünler!$C$5:$C$204,MATCH(C552,Ürünler!$A$5:$A$204,0)),0))</f>
        <v/>
      </c>
      <c r="I552" s="37" t="str">
        <f aca="false">IF(G552="","",G552-H552)</f>
        <v/>
      </c>
      <c r="J552" s="33"/>
    </row>
    <row r="553" customFormat="false" ht="15" hidden="false" customHeight="false" outlineLevel="0" collapsed="false">
      <c r="A553" s="32"/>
      <c r="B553" s="33"/>
      <c r="C553" s="33"/>
      <c r="D553" s="34"/>
      <c r="E553" s="35"/>
      <c r="F553" s="36"/>
      <c r="G553" s="37" t="str">
        <f aca="false">IF(OR(C553="",D553=""),"",D553*IF(E553="",IFERROR(INDEX(Ürünler!$D$5:$D$204,MATCH(C553,Ürünler!$A$5:$A$204,0)),0),E553))</f>
        <v/>
      </c>
      <c r="H553" s="37" t="str">
        <f aca="false">IF(G553="","",D553*IFERROR(INDEX(Ürünler!$C$5:$C$204,MATCH(C553,Ürünler!$A$5:$A$204,0)),0))</f>
        <v/>
      </c>
      <c r="I553" s="37" t="str">
        <f aca="false">IF(G553="","",G553-H553)</f>
        <v/>
      </c>
      <c r="J553" s="33"/>
    </row>
    <row r="554" customFormat="false" ht="15" hidden="false" customHeight="false" outlineLevel="0" collapsed="false">
      <c r="A554" s="32"/>
      <c r="B554" s="33"/>
      <c r="C554" s="33"/>
      <c r="D554" s="34"/>
      <c r="E554" s="35"/>
      <c r="F554" s="36"/>
      <c r="G554" s="37" t="str">
        <f aca="false">IF(OR(C554="",D554=""),"",D554*IF(E554="",IFERROR(INDEX(Ürünler!$D$5:$D$204,MATCH(C554,Ürünler!$A$5:$A$204,0)),0),E554))</f>
        <v/>
      </c>
      <c r="H554" s="37" t="str">
        <f aca="false">IF(G554="","",D554*IFERROR(INDEX(Ürünler!$C$5:$C$204,MATCH(C554,Ürünler!$A$5:$A$204,0)),0))</f>
        <v/>
      </c>
      <c r="I554" s="37" t="str">
        <f aca="false">IF(G554="","",G554-H554)</f>
        <v/>
      </c>
      <c r="J554" s="33"/>
    </row>
    <row r="555" customFormat="false" ht="15" hidden="false" customHeight="false" outlineLevel="0" collapsed="false">
      <c r="A555" s="32"/>
      <c r="B555" s="33"/>
      <c r="C555" s="33"/>
      <c r="D555" s="34"/>
      <c r="E555" s="35"/>
      <c r="F555" s="36"/>
      <c r="G555" s="37" t="str">
        <f aca="false">IF(OR(C555="",D555=""),"",D555*IF(E555="",IFERROR(INDEX(Ürünler!$D$5:$D$204,MATCH(C555,Ürünler!$A$5:$A$204,0)),0),E555))</f>
        <v/>
      </c>
      <c r="H555" s="37" t="str">
        <f aca="false">IF(G555="","",D555*IFERROR(INDEX(Ürünler!$C$5:$C$204,MATCH(C555,Ürünler!$A$5:$A$204,0)),0))</f>
        <v/>
      </c>
      <c r="I555" s="37" t="str">
        <f aca="false">IF(G555="","",G555-H555)</f>
        <v/>
      </c>
      <c r="J555" s="33"/>
    </row>
    <row r="556" customFormat="false" ht="15" hidden="false" customHeight="false" outlineLevel="0" collapsed="false">
      <c r="A556" s="32"/>
      <c r="B556" s="33"/>
      <c r="C556" s="33"/>
      <c r="D556" s="34"/>
      <c r="E556" s="35"/>
      <c r="F556" s="36"/>
      <c r="G556" s="37" t="str">
        <f aca="false">IF(OR(C556="",D556=""),"",D556*IF(E556="",IFERROR(INDEX(Ürünler!$D$5:$D$204,MATCH(C556,Ürünler!$A$5:$A$204,0)),0),E556))</f>
        <v/>
      </c>
      <c r="H556" s="37" t="str">
        <f aca="false">IF(G556="","",D556*IFERROR(INDEX(Ürünler!$C$5:$C$204,MATCH(C556,Ürünler!$A$5:$A$204,0)),0))</f>
        <v/>
      </c>
      <c r="I556" s="37" t="str">
        <f aca="false">IF(G556="","",G556-H556)</f>
        <v/>
      </c>
      <c r="J556" s="33"/>
    </row>
    <row r="557" customFormat="false" ht="15" hidden="false" customHeight="false" outlineLevel="0" collapsed="false">
      <c r="A557" s="32"/>
      <c r="B557" s="33"/>
      <c r="C557" s="33"/>
      <c r="D557" s="34"/>
      <c r="E557" s="35"/>
      <c r="F557" s="36"/>
      <c r="G557" s="37" t="str">
        <f aca="false">IF(OR(C557="",D557=""),"",D557*IF(E557="",IFERROR(INDEX(Ürünler!$D$5:$D$204,MATCH(C557,Ürünler!$A$5:$A$204,0)),0),E557))</f>
        <v/>
      </c>
      <c r="H557" s="37" t="str">
        <f aca="false">IF(G557="","",D557*IFERROR(INDEX(Ürünler!$C$5:$C$204,MATCH(C557,Ürünler!$A$5:$A$204,0)),0))</f>
        <v/>
      </c>
      <c r="I557" s="37" t="str">
        <f aca="false">IF(G557="","",G557-H557)</f>
        <v/>
      </c>
      <c r="J557" s="33"/>
    </row>
    <row r="558" customFormat="false" ht="15" hidden="false" customHeight="false" outlineLevel="0" collapsed="false">
      <c r="A558" s="32"/>
      <c r="B558" s="33"/>
      <c r="C558" s="33"/>
      <c r="D558" s="34"/>
      <c r="E558" s="35"/>
      <c r="F558" s="36"/>
      <c r="G558" s="37" t="str">
        <f aca="false">IF(OR(C558="",D558=""),"",D558*IF(E558="",IFERROR(INDEX(Ürünler!$D$5:$D$204,MATCH(C558,Ürünler!$A$5:$A$204,0)),0),E558))</f>
        <v/>
      </c>
      <c r="H558" s="37" t="str">
        <f aca="false">IF(G558="","",D558*IFERROR(INDEX(Ürünler!$C$5:$C$204,MATCH(C558,Ürünler!$A$5:$A$204,0)),0))</f>
        <v/>
      </c>
      <c r="I558" s="37" t="str">
        <f aca="false">IF(G558="","",G558-H558)</f>
        <v/>
      </c>
      <c r="J558" s="33"/>
    </row>
    <row r="559" customFormat="false" ht="15" hidden="false" customHeight="false" outlineLevel="0" collapsed="false">
      <c r="A559" s="32"/>
      <c r="B559" s="33"/>
      <c r="C559" s="33"/>
      <c r="D559" s="34"/>
      <c r="E559" s="35"/>
      <c r="F559" s="36"/>
      <c r="G559" s="37" t="str">
        <f aca="false">IF(OR(C559="",D559=""),"",D559*IF(E559="",IFERROR(INDEX(Ürünler!$D$5:$D$204,MATCH(C559,Ürünler!$A$5:$A$204,0)),0),E559))</f>
        <v/>
      </c>
      <c r="H559" s="37" t="str">
        <f aca="false">IF(G559="","",D559*IFERROR(INDEX(Ürünler!$C$5:$C$204,MATCH(C559,Ürünler!$A$5:$A$204,0)),0))</f>
        <v/>
      </c>
      <c r="I559" s="37" t="str">
        <f aca="false">IF(G559="","",G559-H559)</f>
        <v/>
      </c>
      <c r="J559" s="33"/>
    </row>
    <row r="560" customFormat="false" ht="15" hidden="false" customHeight="false" outlineLevel="0" collapsed="false">
      <c r="A560" s="32"/>
      <c r="B560" s="33"/>
      <c r="C560" s="33"/>
      <c r="D560" s="34"/>
      <c r="E560" s="35"/>
      <c r="F560" s="36"/>
      <c r="G560" s="37" t="str">
        <f aca="false">IF(OR(C560="",D560=""),"",D560*IF(E560="",IFERROR(INDEX(Ürünler!$D$5:$D$204,MATCH(C560,Ürünler!$A$5:$A$204,0)),0),E560))</f>
        <v/>
      </c>
      <c r="H560" s="37" t="str">
        <f aca="false">IF(G560="","",D560*IFERROR(INDEX(Ürünler!$C$5:$C$204,MATCH(C560,Ürünler!$A$5:$A$204,0)),0))</f>
        <v/>
      </c>
      <c r="I560" s="37" t="str">
        <f aca="false">IF(G560="","",G560-H560)</f>
        <v/>
      </c>
      <c r="J560" s="33"/>
    </row>
    <row r="561" customFormat="false" ht="15" hidden="false" customHeight="false" outlineLevel="0" collapsed="false">
      <c r="A561" s="32"/>
      <c r="B561" s="33"/>
      <c r="C561" s="33"/>
      <c r="D561" s="34"/>
      <c r="E561" s="35"/>
      <c r="F561" s="36"/>
      <c r="G561" s="37" t="str">
        <f aca="false">IF(OR(C561="",D561=""),"",D561*IF(E561="",IFERROR(INDEX(Ürünler!$D$5:$D$204,MATCH(C561,Ürünler!$A$5:$A$204,0)),0),E561))</f>
        <v/>
      </c>
      <c r="H561" s="37" t="str">
        <f aca="false">IF(G561="","",D561*IFERROR(INDEX(Ürünler!$C$5:$C$204,MATCH(C561,Ürünler!$A$5:$A$204,0)),0))</f>
        <v/>
      </c>
      <c r="I561" s="37" t="str">
        <f aca="false">IF(G561="","",G561-H561)</f>
        <v/>
      </c>
      <c r="J561" s="33"/>
    </row>
    <row r="562" customFormat="false" ht="15" hidden="false" customHeight="false" outlineLevel="0" collapsed="false">
      <c r="A562" s="32"/>
      <c r="B562" s="33"/>
      <c r="C562" s="33"/>
      <c r="D562" s="34"/>
      <c r="E562" s="35"/>
      <c r="F562" s="36"/>
      <c r="G562" s="37" t="str">
        <f aca="false">IF(OR(C562="",D562=""),"",D562*IF(E562="",IFERROR(INDEX(Ürünler!$D$5:$D$204,MATCH(C562,Ürünler!$A$5:$A$204,0)),0),E562))</f>
        <v/>
      </c>
      <c r="H562" s="37" t="str">
        <f aca="false">IF(G562="","",D562*IFERROR(INDEX(Ürünler!$C$5:$C$204,MATCH(C562,Ürünler!$A$5:$A$204,0)),0))</f>
        <v/>
      </c>
      <c r="I562" s="37" t="str">
        <f aca="false">IF(G562="","",G562-H562)</f>
        <v/>
      </c>
      <c r="J562" s="33"/>
    </row>
    <row r="563" customFormat="false" ht="15" hidden="false" customHeight="false" outlineLevel="0" collapsed="false">
      <c r="A563" s="32"/>
      <c r="B563" s="33"/>
      <c r="C563" s="33"/>
      <c r="D563" s="34"/>
      <c r="E563" s="35"/>
      <c r="F563" s="36"/>
      <c r="G563" s="37" t="str">
        <f aca="false">IF(OR(C563="",D563=""),"",D563*IF(E563="",IFERROR(INDEX(Ürünler!$D$5:$D$204,MATCH(C563,Ürünler!$A$5:$A$204,0)),0),E563))</f>
        <v/>
      </c>
      <c r="H563" s="37" t="str">
        <f aca="false">IF(G563="","",D563*IFERROR(INDEX(Ürünler!$C$5:$C$204,MATCH(C563,Ürünler!$A$5:$A$204,0)),0))</f>
        <v/>
      </c>
      <c r="I563" s="37" t="str">
        <f aca="false">IF(G563="","",G563-H563)</f>
        <v/>
      </c>
      <c r="J563" s="33"/>
    </row>
    <row r="564" customFormat="false" ht="15" hidden="false" customHeight="false" outlineLevel="0" collapsed="false">
      <c r="A564" s="32"/>
      <c r="B564" s="33"/>
      <c r="C564" s="33"/>
      <c r="D564" s="34"/>
      <c r="E564" s="35"/>
      <c r="F564" s="36"/>
      <c r="G564" s="37" t="str">
        <f aca="false">IF(OR(C564="",D564=""),"",D564*IF(E564="",IFERROR(INDEX(Ürünler!$D$5:$D$204,MATCH(C564,Ürünler!$A$5:$A$204,0)),0),E564))</f>
        <v/>
      </c>
      <c r="H564" s="37" t="str">
        <f aca="false">IF(G564="","",D564*IFERROR(INDEX(Ürünler!$C$5:$C$204,MATCH(C564,Ürünler!$A$5:$A$204,0)),0))</f>
        <v/>
      </c>
      <c r="I564" s="37" t="str">
        <f aca="false">IF(G564="","",G564-H564)</f>
        <v/>
      </c>
      <c r="J564" s="33"/>
    </row>
    <row r="565" customFormat="false" ht="15" hidden="false" customHeight="false" outlineLevel="0" collapsed="false">
      <c r="A565" s="32"/>
      <c r="B565" s="33"/>
      <c r="C565" s="33"/>
      <c r="D565" s="34"/>
      <c r="E565" s="35"/>
      <c r="F565" s="36"/>
      <c r="G565" s="37" t="str">
        <f aca="false">IF(OR(C565="",D565=""),"",D565*IF(E565="",IFERROR(INDEX(Ürünler!$D$5:$D$204,MATCH(C565,Ürünler!$A$5:$A$204,0)),0),E565))</f>
        <v/>
      </c>
      <c r="H565" s="37" t="str">
        <f aca="false">IF(G565="","",D565*IFERROR(INDEX(Ürünler!$C$5:$C$204,MATCH(C565,Ürünler!$A$5:$A$204,0)),0))</f>
        <v/>
      </c>
      <c r="I565" s="37" t="str">
        <f aca="false">IF(G565="","",G565-H565)</f>
        <v/>
      </c>
      <c r="J565" s="33"/>
    </row>
    <row r="566" customFormat="false" ht="15" hidden="false" customHeight="false" outlineLevel="0" collapsed="false">
      <c r="A566" s="32"/>
      <c r="B566" s="33"/>
      <c r="C566" s="33"/>
      <c r="D566" s="34"/>
      <c r="E566" s="35"/>
      <c r="F566" s="36"/>
      <c r="G566" s="37" t="str">
        <f aca="false">IF(OR(C566="",D566=""),"",D566*IF(E566="",IFERROR(INDEX(Ürünler!$D$5:$D$204,MATCH(C566,Ürünler!$A$5:$A$204,0)),0),E566))</f>
        <v/>
      </c>
      <c r="H566" s="37" t="str">
        <f aca="false">IF(G566="","",D566*IFERROR(INDEX(Ürünler!$C$5:$C$204,MATCH(C566,Ürünler!$A$5:$A$204,0)),0))</f>
        <v/>
      </c>
      <c r="I566" s="37" t="str">
        <f aca="false">IF(G566="","",G566-H566)</f>
        <v/>
      </c>
      <c r="J566" s="33"/>
    </row>
    <row r="567" customFormat="false" ht="15" hidden="false" customHeight="false" outlineLevel="0" collapsed="false">
      <c r="A567" s="32"/>
      <c r="B567" s="33"/>
      <c r="C567" s="33"/>
      <c r="D567" s="34"/>
      <c r="E567" s="35"/>
      <c r="F567" s="36"/>
      <c r="G567" s="37" t="str">
        <f aca="false">IF(OR(C567="",D567=""),"",D567*IF(E567="",IFERROR(INDEX(Ürünler!$D$5:$D$204,MATCH(C567,Ürünler!$A$5:$A$204,0)),0),E567))</f>
        <v/>
      </c>
      <c r="H567" s="37" t="str">
        <f aca="false">IF(G567="","",D567*IFERROR(INDEX(Ürünler!$C$5:$C$204,MATCH(C567,Ürünler!$A$5:$A$204,0)),0))</f>
        <v/>
      </c>
      <c r="I567" s="37" t="str">
        <f aca="false">IF(G567="","",G567-H567)</f>
        <v/>
      </c>
      <c r="J567" s="33"/>
    </row>
    <row r="568" customFormat="false" ht="15" hidden="false" customHeight="false" outlineLevel="0" collapsed="false">
      <c r="A568" s="32"/>
      <c r="B568" s="33"/>
      <c r="C568" s="33"/>
      <c r="D568" s="34"/>
      <c r="E568" s="35"/>
      <c r="F568" s="36"/>
      <c r="G568" s="37" t="str">
        <f aca="false">IF(OR(C568="",D568=""),"",D568*IF(E568="",IFERROR(INDEX(Ürünler!$D$5:$D$204,MATCH(C568,Ürünler!$A$5:$A$204,0)),0),E568))</f>
        <v/>
      </c>
      <c r="H568" s="37" t="str">
        <f aca="false">IF(G568="","",D568*IFERROR(INDEX(Ürünler!$C$5:$C$204,MATCH(C568,Ürünler!$A$5:$A$204,0)),0))</f>
        <v/>
      </c>
      <c r="I568" s="37" t="str">
        <f aca="false">IF(G568="","",G568-H568)</f>
        <v/>
      </c>
      <c r="J568" s="33"/>
    </row>
    <row r="569" customFormat="false" ht="15" hidden="false" customHeight="false" outlineLevel="0" collapsed="false">
      <c r="A569" s="32"/>
      <c r="B569" s="33"/>
      <c r="C569" s="33"/>
      <c r="D569" s="34"/>
      <c r="E569" s="35"/>
      <c r="F569" s="36"/>
      <c r="G569" s="37" t="str">
        <f aca="false">IF(OR(C569="",D569=""),"",D569*IF(E569="",IFERROR(INDEX(Ürünler!$D$5:$D$204,MATCH(C569,Ürünler!$A$5:$A$204,0)),0),E569))</f>
        <v/>
      </c>
      <c r="H569" s="37" t="str">
        <f aca="false">IF(G569="","",D569*IFERROR(INDEX(Ürünler!$C$5:$C$204,MATCH(C569,Ürünler!$A$5:$A$204,0)),0))</f>
        <v/>
      </c>
      <c r="I569" s="37" t="str">
        <f aca="false">IF(G569="","",G569-H569)</f>
        <v/>
      </c>
      <c r="J569" s="33"/>
    </row>
    <row r="570" customFormat="false" ht="15" hidden="false" customHeight="false" outlineLevel="0" collapsed="false">
      <c r="A570" s="32"/>
      <c r="B570" s="33"/>
      <c r="C570" s="33"/>
      <c r="D570" s="34"/>
      <c r="E570" s="35"/>
      <c r="F570" s="36"/>
      <c r="G570" s="37" t="str">
        <f aca="false">IF(OR(C570="",D570=""),"",D570*IF(E570="",IFERROR(INDEX(Ürünler!$D$5:$D$204,MATCH(C570,Ürünler!$A$5:$A$204,0)),0),E570))</f>
        <v/>
      </c>
      <c r="H570" s="37" t="str">
        <f aca="false">IF(G570="","",D570*IFERROR(INDEX(Ürünler!$C$5:$C$204,MATCH(C570,Ürünler!$A$5:$A$204,0)),0))</f>
        <v/>
      </c>
      <c r="I570" s="37" t="str">
        <f aca="false">IF(G570="","",G570-H570)</f>
        <v/>
      </c>
      <c r="J570" s="33"/>
    </row>
    <row r="571" customFormat="false" ht="15" hidden="false" customHeight="false" outlineLevel="0" collapsed="false">
      <c r="A571" s="32"/>
      <c r="B571" s="33"/>
      <c r="C571" s="33"/>
      <c r="D571" s="34"/>
      <c r="E571" s="35"/>
      <c r="F571" s="36"/>
      <c r="G571" s="37" t="str">
        <f aca="false">IF(OR(C571="",D571=""),"",D571*IF(E571="",IFERROR(INDEX(Ürünler!$D$5:$D$204,MATCH(C571,Ürünler!$A$5:$A$204,0)),0),E571))</f>
        <v/>
      </c>
      <c r="H571" s="37" t="str">
        <f aca="false">IF(G571="","",D571*IFERROR(INDEX(Ürünler!$C$5:$C$204,MATCH(C571,Ürünler!$A$5:$A$204,0)),0))</f>
        <v/>
      </c>
      <c r="I571" s="37" t="str">
        <f aca="false">IF(G571="","",G571-H571)</f>
        <v/>
      </c>
      <c r="J571" s="33"/>
    </row>
    <row r="572" customFormat="false" ht="15" hidden="false" customHeight="false" outlineLevel="0" collapsed="false">
      <c r="A572" s="32"/>
      <c r="B572" s="33"/>
      <c r="C572" s="33"/>
      <c r="D572" s="34"/>
      <c r="E572" s="35"/>
      <c r="F572" s="36"/>
      <c r="G572" s="37" t="str">
        <f aca="false">IF(OR(C572="",D572=""),"",D572*IF(E572="",IFERROR(INDEX(Ürünler!$D$5:$D$204,MATCH(C572,Ürünler!$A$5:$A$204,0)),0),E572))</f>
        <v/>
      </c>
      <c r="H572" s="37" t="str">
        <f aca="false">IF(G572="","",D572*IFERROR(INDEX(Ürünler!$C$5:$C$204,MATCH(C572,Ürünler!$A$5:$A$204,0)),0))</f>
        <v/>
      </c>
      <c r="I572" s="37" t="str">
        <f aca="false">IF(G572="","",G572-H572)</f>
        <v/>
      </c>
      <c r="J572" s="33"/>
    </row>
    <row r="573" customFormat="false" ht="15" hidden="false" customHeight="false" outlineLevel="0" collapsed="false">
      <c r="A573" s="32"/>
      <c r="B573" s="33"/>
      <c r="C573" s="33"/>
      <c r="D573" s="34"/>
      <c r="E573" s="35"/>
      <c r="F573" s="36"/>
      <c r="G573" s="37" t="str">
        <f aca="false">IF(OR(C573="",D573=""),"",D573*IF(E573="",IFERROR(INDEX(Ürünler!$D$5:$D$204,MATCH(C573,Ürünler!$A$5:$A$204,0)),0),E573))</f>
        <v/>
      </c>
      <c r="H573" s="37" t="str">
        <f aca="false">IF(G573="","",D573*IFERROR(INDEX(Ürünler!$C$5:$C$204,MATCH(C573,Ürünler!$A$5:$A$204,0)),0))</f>
        <v/>
      </c>
      <c r="I573" s="37" t="str">
        <f aca="false">IF(G573="","",G573-H573)</f>
        <v/>
      </c>
      <c r="J573" s="33"/>
    </row>
    <row r="574" customFormat="false" ht="15" hidden="false" customHeight="false" outlineLevel="0" collapsed="false">
      <c r="A574" s="32"/>
      <c r="B574" s="33"/>
      <c r="C574" s="33"/>
      <c r="D574" s="34"/>
      <c r="E574" s="35"/>
      <c r="F574" s="36"/>
      <c r="G574" s="37" t="str">
        <f aca="false">IF(OR(C574="",D574=""),"",D574*IF(E574="",IFERROR(INDEX(Ürünler!$D$5:$D$204,MATCH(C574,Ürünler!$A$5:$A$204,0)),0),E574))</f>
        <v/>
      </c>
      <c r="H574" s="37" t="str">
        <f aca="false">IF(G574="","",D574*IFERROR(INDEX(Ürünler!$C$5:$C$204,MATCH(C574,Ürünler!$A$5:$A$204,0)),0))</f>
        <v/>
      </c>
      <c r="I574" s="37" t="str">
        <f aca="false">IF(G574="","",G574-H574)</f>
        <v/>
      </c>
      <c r="J574" s="33"/>
    </row>
    <row r="575" customFormat="false" ht="15" hidden="false" customHeight="false" outlineLevel="0" collapsed="false">
      <c r="A575" s="32"/>
      <c r="B575" s="33"/>
      <c r="C575" s="33"/>
      <c r="D575" s="34"/>
      <c r="E575" s="35"/>
      <c r="F575" s="36"/>
      <c r="G575" s="37" t="str">
        <f aca="false">IF(OR(C575="",D575=""),"",D575*IF(E575="",IFERROR(INDEX(Ürünler!$D$5:$D$204,MATCH(C575,Ürünler!$A$5:$A$204,0)),0),E575))</f>
        <v/>
      </c>
      <c r="H575" s="37" t="str">
        <f aca="false">IF(G575="","",D575*IFERROR(INDEX(Ürünler!$C$5:$C$204,MATCH(C575,Ürünler!$A$5:$A$204,0)),0))</f>
        <v/>
      </c>
      <c r="I575" s="37" t="str">
        <f aca="false">IF(G575="","",G575-H575)</f>
        <v/>
      </c>
      <c r="J575" s="33"/>
    </row>
    <row r="576" customFormat="false" ht="15" hidden="false" customHeight="false" outlineLevel="0" collapsed="false">
      <c r="A576" s="32"/>
      <c r="B576" s="33"/>
      <c r="C576" s="33"/>
      <c r="D576" s="34"/>
      <c r="E576" s="35"/>
      <c r="F576" s="36"/>
      <c r="G576" s="37" t="str">
        <f aca="false">IF(OR(C576="",D576=""),"",D576*IF(E576="",IFERROR(INDEX(Ürünler!$D$5:$D$204,MATCH(C576,Ürünler!$A$5:$A$204,0)),0),E576))</f>
        <v/>
      </c>
      <c r="H576" s="37" t="str">
        <f aca="false">IF(G576="","",D576*IFERROR(INDEX(Ürünler!$C$5:$C$204,MATCH(C576,Ürünler!$A$5:$A$204,0)),0))</f>
        <v/>
      </c>
      <c r="I576" s="37" t="str">
        <f aca="false">IF(G576="","",G576-H576)</f>
        <v/>
      </c>
      <c r="J576" s="33"/>
    </row>
    <row r="577" customFormat="false" ht="15" hidden="false" customHeight="false" outlineLevel="0" collapsed="false">
      <c r="A577" s="32"/>
      <c r="B577" s="33"/>
      <c r="C577" s="33"/>
      <c r="D577" s="34"/>
      <c r="E577" s="35"/>
      <c r="F577" s="36"/>
      <c r="G577" s="37" t="str">
        <f aca="false">IF(OR(C577="",D577=""),"",D577*IF(E577="",IFERROR(INDEX(Ürünler!$D$5:$D$204,MATCH(C577,Ürünler!$A$5:$A$204,0)),0),E577))</f>
        <v/>
      </c>
      <c r="H577" s="37" t="str">
        <f aca="false">IF(G577="","",D577*IFERROR(INDEX(Ürünler!$C$5:$C$204,MATCH(C577,Ürünler!$A$5:$A$204,0)),0))</f>
        <v/>
      </c>
      <c r="I577" s="37" t="str">
        <f aca="false">IF(G577="","",G577-H577)</f>
        <v/>
      </c>
      <c r="J577" s="33"/>
    </row>
    <row r="578" customFormat="false" ht="15" hidden="false" customHeight="false" outlineLevel="0" collapsed="false">
      <c r="A578" s="32"/>
      <c r="B578" s="33"/>
      <c r="C578" s="33"/>
      <c r="D578" s="34"/>
      <c r="E578" s="35"/>
      <c r="F578" s="36"/>
      <c r="G578" s="37" t="str">
        <f aca="false">IF(OR(C578="",D578=""),"",D578*IF(E578="",IFERROR(INDEX(Ürünler!$D$5:$D$204,MATCH(C578,Ürünler!$A$5:$A$204,0)),0),E578))</f>
        <v/>
      </c>
      <c r="H578" s="37" t="str">
        <f aca="false">IF(G578="","",D578*IFERROR(INDEX(Ürünler!$C$5:$C$204,MATCH(C578,Ürünler!$A$5:$A$204,0)),0))</f>
        <v/>
      </c>
      <c r="I578" s="37" t="str">
        <f aca="false">IF(G578="","",G578-H578)</f>
        <v/>
      </c>
      <c r="J578" s="33"/>
    </row>
    <row r="579" customFormat="false" ht="15" hidden="false" customHeight="false" outlineLevel="0" collapsed="false">
      <c r="A579" s="32"/>
      <c r="B579" s="33"/>
      <c r="C579" s="33"/>
      <c r="D579" s="34"/>
      <c r="E579" s="35"/>
      <c r="F579" s="36"/>
      <c r="G579" s="37" t="str">
        <f aca="false">IF(OR(C579="",D579=""),"",D579*IF(E579="",IFERROR(INDEX(Ürünler!$D$5:$D$204,MATCH(C579,Ürünler!$A$5:$A$204,0)),0),E579))</f>
        <v/>
      </c>
      <c r="H579" s="37" t="str">
        <f aca="false">IF(G579="","",D579*IFERROR(INDEX(Ürünler!$C$5:$C$204,MATCH(C579,Ürünler!$A$5:$A$204,0)),0))</f>
        <v/>
      </c>
      <c r="I579" s="37" t="str">
        <f aca="false">IF(G579="","",G579-H579)</f>
        <v/>
      </c>
      <c r="J579" s="33"/>
    </row>
    <row r="580" customFormat="false" ht="15" hidden="false" customHeight="false" outlineLevel="0" collapsed="false">
      <c r="A580" s="32"/>
      <c r="B580" s="33"/>
      <c r="C580" s="33"/>
      <c r="D580" s="34"/>
      <c r="E580" s="35"/>
      <c r="F580" s="36"/>
      <c r="G580" s="37" t="str">
        <f aca="false">IF(OR(C580="",D580=""),"",D580*IF(E580="",IFERROR(INDEX(Ürünler!$D$5:$D$204,MATCH(C580,Ürünler!$A$5:$A$204,0)),0),E580))</f>
        <v/>
      </c>
      <c r="H580" s="37" t="str">
        <f aca="false">IF(G580="","",D580*IFERROR(INDEX(Ürünler!$C$5:$C$204,MATCH(C580,Ürünler!$A$5:$A$204,0)),0))</f>
        <v/>
      </c>
      <c r="I580" s="37" t="str">
        <f aca="false">IF(G580="","",G580-H580)</f>
        <v/>
      </c>
      <c r="J580" s="33"/>
    </row>
    <row r="581" customFormat="false" ht="15" hidden="false" customHeight="false" outlineLevel="0" collapsed="false">
      <c r="A581" s="32"/>
      <c r="B581" s="33"/>
      <c r="C581" s="33"/>
      <c r="D581" s="34"/>
      <c r="E581" s="35"/>
      <c r="F581" s="36"/>
      <c r="G581" s="37" t="str">
        <f aca="false">IF(OR(C581="",D581=""),"",D581*IF(E581="",IFERROR(INDEX(Ürünler!$D$5:$D$204,MATCH(C581,Ürünler!$A$5:$A$204,0)),0),E581))</f>
        <v/>
      </c>
      <c r="H581" s="37" t="str">
        <f aca="false">IF(G581="","",D581*IFERROR(INDEX(Ürünler!$C$5:$C$204,MATCH(C581,Ürünler!$A$5:$A$204,0)),0))</f>
        <v/>
      </c>
      <c r="I581" s="37" t="str">
        <f aca="false">IF(G581="","",G581-H581)</f>
        <v/>
      </c>
      <c r="J581" s="33"/>
    </row>
    <row r="582" customFormat="false" ht="15" hidden="false" customHeight="false" outlineLevel="0" collapsed="false">
      <c r="A582" s="32"/>
      <c r="B582" s="33"/>
      <c r="C582" s="33"/>
      <c r="D582" s="34"/>
      <c r="E582" s="35"/>
      <c r="F582" s="36"/>
      <c r="G582" s="37" t="str">
        <f aca="false">IF(OR(C582="",D582=""),"",D582*IF(E582="",IFERROR(INDEX(Ürünler!$D$5:$D$204,MATCH(C582,Ürünler!$A$5:$A$204,0)),0),E582))</f>
        <v/>
      </c>
      <c r="H582" s="37" t="str">
        <f aca="false">IF(G582="","",D582*IFERROR(INDEX(Ürünler!$C$5:$C$204,MATCH(C582,Ürünler!$A$5:$A$204,0)),0))</f>
        <v/>
      </c>
      <c r="I582" s="37" t="str">
        <f aca="false">IF(G582="","",G582-H582)</f>
        <v/>
      </c>
      <c r="J582" s="33"/>
    </row>
    <row r="583" customFormat="false" ht="15" hidden="false" customHeight="false" outlineLevel="0" collapsed="false">
      <c r="A583" s="32"/>
      <c r="B583" s="33"/>
      <c r="C583" s="33"/>
      <c r="D583" s="34"/>
      <c r="E583" s="35"/>
      <c r="F583" s="36"/>
      <c r="G583" s="37" t="str">
        <f aca="false">IF(OR(C583="",D583=""),"",D583*IF(E583="",IFERROR(INDEX(Ürünler!$D$5:$D$204,MATCH(C583,Ürünler!$A$5:$A$204,0)),0),E583))</f>
        <v/>
      </c>
      <c r="H583" s="37" t="str">
        <f aca="false">IF(G583="","",D583*IFERROR(INDEX(Ürünler!$C$5:$C$204,MATCH(C583,Ürünler!$A$5:$A$204,0)),0))</f>
        <v/>
      </c>
      <c r="I583" s="37" t="str">
        <f aca="false">IF(G583="","",G583-H583)</f>
        <v/>
      </c>
      <c r="J583" s="33"/>
    </row>
    <row r="584" customFormat="false" ht="15" hidden="false" customHeight="false" outlineLevel="0" collapsed="false">
      <c r="A584" s="32"/>
      <c r="B584" s="33"/>
      <c r="C584" s="33"/>
      <c r="D584" s="34"/>
      <c r="E584" s="35"/>
      <c r="F584" s="36"/>
      <c r="G584" s="37" t="str">
        <f aca="false">IF(OR(C584="",D584=""),"",D584*IF(E584="",IFERROR(INDEX(Ürünler!$D$5:$D$204,MATCH(C584,Ürünler!$A$5:$A$204,0)),0),E584))</f>
        <v/>
      </c>
      <c r="H584" s="37" t="str">
        <f aca="false">IF(G584="","",D584*IFERROR(INDEX(Ürünler!$C$5:$C$204,MATCH(C584,Ürünler!$A$5:$A$204,0)),0))</f>
        <v/>
      </c>
      <c r="I584" s="37" t="str">
        <f aca="false">IF(G584="","",G584-H584)</f>
        <v/>
      </c>
      <c r="J584" s="33"/>
    </row>
    <row r="585" customFormat="false" ht="15" hidden="false" customHeight="false" outlineLevel="0" collapsed="false">
      <c r="A585" s="32"/>
      <c r="B585" s="33"/>
      <c r="C585" s="33"/>
      <c r="D585" s="34"/>
      <c r="E585" s="35"/>
      <c r="F585" s="36"/>
      <c r="G585" s="37" t="str">
        <f aca="false">IF(OR(C585="",D585=""),"",D585*IF(E585="",IFERROR(INDEX(Ürünler!$D$5:$D$204,MATCH(C585,Ürünler!$A$5:$A$204,0)),0),E585))</f>
        <v/>
      </c>
      <c r="H585" s="37" t="str">
        <f aca="false">IF(G585="","",D585*IFERROR(INDEX(Ürünler!$C$5:$C$204,MATCH(C585,Ürünler!$A$5:$A$204,0)),0))</f>
        <v/>
      </c>
      <c r="I585" s="37" t="str">
        <f aca="false">IF(G585="","",G585-H585)</f>
        <v/>
      </c>
      <c r="J585" s="33"/>
    </row>
    <row r="586" customFormat="false" ht="15" hidden="false" customHeight="false" outlineLevel="0" collapsed="false">
      <c r="A586" s="32"/>
      <c r="B586" s="33"/>
      <c r="C586" s="33"/>
      <c r="D586" s="34"/>
      <c r="E586" s="35"/>
      <c r="F586" s="36"/>
      <c r="G586" s="37" t="str">
        <f aca="false">IF(OR(C586="",D586=""),"",D586*IF(E586="",IFERROR(INDEX(Ürünler!$D$5:$D$204,MATCH(C586,Ürünler!$A$5:$A$204,0)),0),E586))</f>
        <v/>
      </c>
      <c r="H586" s="37" t="str">
        <f aca="false">IF(G586="","",D586*IFERROR(INDEX(Ürünler!$C$5:$C$204,MATCH(C586,Ürünler!$A$5:$A$204,0)),0))</f>
        <v/>
      </c>
      <c r="I586" s="37" t="str">
        <f aca="false">IF(G586="","",G586-H586)</f>
        <v/>
      </c>
      <c r="J586" s="33"/>
    </row>
    <row r="587" customFormat="false" ht="15" hidden="false" customHeight="false" outlineLevel="0" collapsed="false">
      <c r="A587" s="32"/>
      <c r="B587" s="33"/>
      <c r="C587" s="33"/>
      <c r="D587" s="34"/>
      <c r="E587" s="35"/>
      <c r="F587" s="36"/>
      <c r="G587" s="37" t="str">
        <f aca="false">IF(OR(C587="",D587=""),"",D587*IF(E587="",IFERROR(INDEX(Ürünler!$D$5:$D$204,MATCH(C587,Ürünler!$A$5:$A$204,0)),0),E587))</f>
        <v/>
      </c>
      <c r="H587" s="37" t="str">
        <f aca="false">IF(G587="","",D587*IFERROR(INDEX(Ürünler!$C$5:$C$204,MATCH(C587,Ürünler!$A$5:$A$204,0)),0))</f>
        <v/>
      </c>
      <c r="I587" s="37" t="str">
        <f aca="false">IF(G587="","",G587-H587)</f>
        <v/>
      </c>
      <c r="J587" s="33"/>
    </row>
    <row r="588" customFormat="false" ht="15" hidden="false" customHeight="false" outlineLevel="0" collapsed="false">
      <c r="A588" s="32"/>
      <c r="B588" s="33"/>
      <c r="C588" s="33"/>
      <c r="D588" s="34"/>
      <c r="E588" s="35"/>
      <c r="F588" s="36"/>
      <c r="G588" s="37" t="str">
        <f aca="false">IF(OR(C588="",D588=""),"",D588*IF(E588="",IFERROR(INDEX(Ürünler!$D$5:$D$204,MATCH(C588,Ürünler!$A$5:$A$204,0)),0),E588))</f>
        <v/>
      </c>
      <c r="H588" s="37" t="str">
        <f aca="false">IF(G588="","",D588*IFERROR(INDEX(Ürünler!$C$5:$C$204,MATCH(C588,Ürünler!$A$5:$A$204,0)),0))</f>
        <v/>
      </c>
      <c r="I588" s="37" t="str">
        <f aca="false">IF(G588="","",G588-H588)</f>
        <v/>
      </c>
      <c r="J588" s="33"/>
    </row>
    <row r="589" customFormat="false" ht="15" hidden="false" customHeight="false" outlineLevel="0" collapsed="false">
      <c r="A589" s="32"/>
      <c r="B589" s="33"/>
      <c r="C589" s="33"/>
      <c r="D589" s="34"/>
      <c r="E589" s="35"/>
      <c r="F589" s="36"/>
      <c r="G589" s="37" t="str">
        <f aca="false">IF(OR(C589="",D589=""),"",D589*IF(E589="",IFERROR(INDEX(Ürünler!$D$5:$D$204,MATCH(C589,Ürünler!$A$5:$A$204,0)),0),E589))</f>
        <v/>
      </c>
      <c r="H589" s="37" t="str">
        <f aca="false">IF(G589="","",D589*IFERROR(INDEX(Ürünler!$C$5:$C$204,MATCH(C589,Ürünler!$A$5:$A$204,0)),0))</f>
        <v/>
      </c>
      <c r="I589" s="37" t="str">
        <f aca="false">IF(G589="","",G589-H589)</f>
        <v/>
      </c>
      <c r="J589" s="33"/>
    </row>
    <row r="590" customFormat="false" ht="15" hidden="false" customHeight="false" outlineLevel="0" collapsed="false">
      <c r="A590" s="32"/>
      <c r="B590" s="33"/>
      <c r="C590" s="33"/>
      <c r="D590" s="34"/>
      <c r="E590" s="35"/>
      <c r="F590" s="36"/>
      <c r="G590" s="37" t="str">
        <f aca="false">IF(OR(C590="",D590=""),"",D590*IF(E590="",IFERROR(INDEX(Ürünler!$D$5:$D$204,MATCH(C590,Ürünler!$A$5:$A$204,0)),0),E590))</f>
        <v/>
      </c>
      <c r="H590" s="37" t="str">
        <f aca="false">IF(G590="","",D590*IFERROR(INDEX(Ürünler!$C$5:$C$204,MATCH(C590,Ürünler!$A$5:$A$204,0)),0))</f>
        <v/>
      </c>
      <c r="I590" s="37" t="str">
        <f aca="false">IF(G590="","",G590-H590)</f>
        <v/>
      </c>
      <c r="J590" s="33"/>
    </row>
    <row r="591" customFormat="false" ht="15" hidden="false" customHeight="false" outlineLevel="0" collapsed="false">
      <c r="A591" s="32"/>
      <c r="B591" s="33"/>
      <c r="C591" s="33"/>
      <c r="D591" s="34"/>
      <c r="E591" s="35"/>
      <c r="F591" s="36"/>
      <c r="G591" s="37" t="str">
        <f aca="false">IF(OR(C591="",D591=""),"",D591*IF(E591="",IFERROR(INDEX(Ürünler!$D$5:$D$204,MATCH(C591,Ürünler!$A$5:$A$204,0)),0),E591))</f>
        <v/>
      </c>
      <c r="H591" s="37" t="str">
        <f aca="false">IF(G591="","",D591*IFERROR(INDEX(Ürünler!$C$5:$C$204,MATCH(C591,Ürünler!$A$5:$A$204,0)),0))</f>
        <v/>
      </c>
      <c r="I591" s="37" t="str">
        <f aca="false">IF(G591="","",G591-H591)</f>
        <v/>
      </c>
      <c r="J591" s="33"/>
    </row>
    <row r="592" customFormat="false" ht="15" hidden="false" customHeight="false" outlineLevel="0" collapsed="false">
      <c r="A592" s="32"/>
      <c r="B592" s="33"/>
      <c r="C592" s="33"/>
      <c r="D592" s="34"/>
      <c r="E592" s="35"/>
      <c r="F592" s="36"/>
      <c r="G592" s="37" t="str">
        <f aca="false">IF(OR(C592="",D592=""),"",D592*IF(E592="",IFERROR(INDEX(Ürünler!$D$5:$D$204,MATCH(C592,Ürünler!$A$5:$A$204,0)),0),E592))</f>
        <v/>
      </c>
      <c r="H592" s="37" t="str">
        <f aca="false">IF(G592="","",D592*IFERROR(INDEX(Ürünler!$C$5:$C$204,MATCH(C592,Ürünler!$A$5:$A$204,0)),0))</f>
        <v/>
      </c>
      <c r="I592" s="37" t="str">
        <f aca="false">IF(G592="","",G592-H592)</f>
        <v/>
      </c>
      <c r="J592" s="33"/>
    </row>
    <row r="593" customFormat="false" ht="15" hidden="false" customHeight="false" outlineLevel="0" collapsed="false">
      <c r="A593" s="32"/>
      <c r="B593" s="33"/>
      <c r="C593" s="33"/>
      <c r="D593" s="34"/>
      <c r="E593" s="35"/>
      <c r="F593" s="36"/>
      <c r="G593" s="37" t="str">
        <f aca="false">IF(OR(C593="",D593=""),"",D593*IF(E593="",IFERROR(INDEX(Ürünler!$D$5:$D$204,MATCH(C593,Ürünler!$A$5:$A$204,0)),0),E593))</f>
        <v/>
      </c>
      <c r="H593" s="37" t="str">
        <f aca="false">IF(G593="","",D593*IFERROR(INDEX(Ürünler!$C$5:$C$204,MATCH(C593,Ürünler!$A$5:$A$204,0)),0))</f>
        <v/>
      </c>
      <c r="I593" s="37" t="str">
        <f aca="false">IF(G593="","",G593-H593)</f>
        <v/>
      </c>
      <c r="J593" s="33"/>
    </row>
    <row r="594" customFormat="false" ht="15" hidden="false" customHeight="false" outlineLevel="0" collapsed="false">
      <c r="A594" s="32"/>
      <c r="B594" s="33"/>
      <c r="C594" s="33"/>
      <c r="D594" s="34"/>
      <c r="E594" s="35"/>
      <c r="F594" s="36"/>
      <c r="G594" s="37" t="str">
        <f aca="false">IF(OR(C594="",D594=""),"",D594*IF(E594="",IFERROR(INDEX(Ürünler!$D$5:$D$204,MATCH(C594,Ürünler!$A$5:$A$204,0)),0),E594))</f>
        <v/>
      </c>
      <c r="H594" s="37" t="str">
        <f aca="false">IF(G594="","",D594*IFERROR(INDEX(Ürünler!$C$5:$C$204,MATCH(C594,Ürünler!$A$5:$A$204,0)),0))</f>
        <v/>
      </c>
      <c r="I594" s="37" t="str">
        <f aca="false">IF(G594="","",G594-H594)</f>
        <v/>
      </c>
      <c r="J594" s="33"/>
    </row>
    <row r="595" customFormat="false" ht="15" hidden="false" customHeight="false" outlineLevel="0" collapsed="false">
      <c r="A595" s="32"/>
      <c r="B595" s="33"/>
      <c r="C595" s="33"/>
      <c r="D595" s="34"/>
      <c r="E595" s="35"/>
      <c r="F595" s="36"/>
      <c r="G595" s="37" t="str">
        <f aca="false">IF(OR(C595="",D595=""),"",D595*IF(E595="",IFERROR(INDEX(Ürünler!$D$5:$D$204,MATCH(C595,Ürünler!$A$5:$A$204,0)),0),E595))</f>
        <v/>
      </c>
      <c r="H595" s="37" t="str">
        <f aca="false">IF(G595="","",D595*IFERROR(INDEX(Ürünler!$C$5:$C$204,MATCH(C595,Ürünler!$A$5:$A$204,0)),0))</f>
        <v/>
      </c>
      <c r="I595" s="37" t="str">
        <f aca="false">IF(G595="","",G595-H595)</f>
        <v/>
      </c>
      <c r="J595" s="33"/>
    </row>
    <row r="596" customFormat="false" ht="15" hidden="false" customHeight="false" outlineLevel="0" collapsed="false">
      <c r="A596" s="32"/>
      <c r="B596" s="33"/>
      <c r="C596" s="33"/>
      <c r="D596" s="34"/>
      <c r="E596" s="35"/>
      <c r="F596" s="36"/>
      <c r="G596" s="37" t="str">
        <f aca="false">IF(OR(C596="",D596=""),"",D596*IF(E596="",IFERROR(INDEX(Ürünler!$D$5:$D$204,MATCH(C596,Ürünler!$A$5:$A$204,0)),0),E596))</f>
        <v/>
      </c>
      <c r="H596" s="37" t="str">
        <f aca="false">IF(G596="","",D596*IFERROR(INDEX(Ürünler!$C$5:$C$204,MATCH(C596,Ürünler!$A$5:$A$204,0)),0))</f>
        <v/>
      </c>
      <c r="I596" s="37" t="str">
        <f aca="false">IF(G596="","",G596-H596)</f>
        <v/>
      </c>
      <c r="J596" s="33"/>
    </row>
    <row r="597" customFormat="false" ht="15" hidden="false" customHeight="false" outlineLevel="0" collapsed="false">
      <c r="A597" s="32"/>
      <c r="B597" s="33"/>
      <c r="C597" s="33"/>
      <c r="D597" s="34"/>
      <c r="E597" s="35"/>
      <c r="F597" s="36"/>
      <c r="G597" s="37" t="str">
        <f aca="false">IF(OR(C597="",D597=""),"",D597*IF(E597="",IFERROR(INDEX(Ürünler!$D$5:$D$204,MATCH(C597,Ürünler!$A$5:$A$204,0)),0),E597))</f>
        <v/>
      </c>
      <c r="H597" s="37" t="str">
        <f aca="false">IF(G597="","",D597*IFERROR(INDEX(Ürünler!$C$5:$C$204,MATCH(C597,Ürünler!$A$5:$A$204,0)),0))</f>
        <v/>
      </c>
      <c r="I597" s="37" t="str">
        <f aca="false">IF(G597="","",G597-H597)</f>
        <v/>
      </c>
      <c r="J597" s="33"/>
    </row>
    <row r="598" customFormat="false" ht="15" hidden="false" customHeight="false" outlineLevel="0" collapsed="false">
      <c r="A598" s="32"/>
      <c r="B598" s="33"/>
      <c r="C598" s="33"/>
      <c r="D598" s="34"/>
      <c r="E598" s="35"/>
      <c r="F598" s="36"/>
      <c r="G598" s="37" t="str">
        <f aca="false">IF(OR(C598="",D598=""),"",D598*IF(E598="",IFERROR(INDEX(Ürünler!$D$5:$D$204,MATCH(C598,Ürünler!$A$5:$A$204,0)),0),E598))</f>
        <v/>
      </c>
      <c r="H598" s="37" t="str">
        <f aca="false">IF(G598="","",D598*IFERROR(INDEX(Ürünler!$C$5:$C$204,MATCH(C598,Ürünler!$A$5:$A$204,0)),0))</f>
        <v/>
      </c>
      <c r="I598" s="37" t="str">
        <f aca="false">IF(G598="","",G598-H598)</f>
        <v/>
      </c>
      <c r="J598" s="33"/>
    </row>
    <row r="599" customFormat="false" ht="15" hidden="false" customHeight="false" outlineLevel="0" collapsed="false">
      <c r="A599" s="32"/>
      <c r="B599" s="33"/>
      <c r="C599" s="33"/>
      <c r="D599" s="34"/>
      <c r="E599" s="35"/>
      <c r="F599" s="36"/>
      <c r="G599" s="37" t="str">
        <f aca="false">IF(OR(C599="",D599=""),"",D599*IF(E599="",IFERROR(INDEX(Ürünler!$D$5:$D$204,MATCH(C599,Ürünler!$A$5:$A$204,0)),0),E599))</f>
        <v/>
      </c>
      <c r="H599" s="37" t="str">
        <f aca="false">IF(G599="","",D599*IFERROR(INDEX(Ürünler!$C$5:$C$204,MATCH(C599,Ürünler!$A$5:$A$204,0)),0))</f>
        <v/>
      </c>
      <c r="I599" s="37" t="str">
        <f aca="false">IF(G599="","",G599-H599)</f>
        <v/>
      </c>
      <c r="J599" s="33"/>
    </row>
    <row r="600" customFormat="false" ht="15" hidden="false" customHeight="false" outlineLevel="0" collapsed="false">
      <c r="A600" s="32"/>
      <c r="B600" s="33"/>
      <c r="C600" s="33"/>
      <c r="D600" s="34"/>
      <c r="E600" s="35"/>
      <c r="F600" s="36"/>
      <c r="G600" s="37" t="str">
        <f aca="false">IF(OR(C600="",D600=""),"",D600*IF(E600="",IFERROR(INDEX(Ürünler!$D$5:$D$204,MATCH(C600,Ürünler!$A$5:$A$204,0)),0),E600))</f>
        <v/>
      </c>
      <c r="H600" s="37" t="str">
        <f aca="false">IF(G600="","",D600*IFERROR(INDEX(Ürünler!$C$5:$C$204,MATCH(C600,Ürünler!$A$5:$A$204,0)),0))</f>
        <v/>
      </c>
      <c r="I600" s="37" t="str">
        <f aca="false">IF(G600="","",G600-H600)</f>
        <v/>
      </c>
      <c r="J600" s="33"/>
    </row>
    <row r="601" customFormat="false" ht="15" hidden="false" customHeight="false" outlineLevel="0" collapsed="false">
      <c r="A601" s="32"/>
      <c r="B601" s="33"/>
      <c r="C601" s="33"/>
      <c r="D601" s="34"/>
      <c r="E601" s="35"/>
      <c r="F601" s="36"/>
      <c r="G601" s="37" t="str">
        <f aca="false">IF(OR(C601="",D601=""),"",D601*IF(E601="",IFERROR(INDEX(Ürünler!$D$5:$D$204,MATCH(C601,Ürünler!$A$5:$A$204,0)),0),E601))</f>
        <v/>
      </c>
      <c r="H601" s="37" t="str">
        <f aca="false">IF(G601="","",D601*IFERROR(INDEX(Ürünler!$C$5:$C$204,MATCH(C601,Ürünler!$A$5:$A$204,0)),0))</f>
        <v/>
      </c>
      <c r="I601" s="37" t="str">
        <f aca="false">IF(G601="","",G601-H601)</f>
        <v/>
      </c>
      <c r="J601" s="33"/>
    </row>
    <row r="602" customFormat="false" ht="15" hidden="false" customHeight="false" outlineLevel="0" collapsed="false">
      <c r="A602" s="32"/>
      <c r="B602" s="33"/>
      <c r="C602" s="33"/>
      <c r="D602" s="34"/>
      <c r="E602" s="35"/>
      <c r="F602" s="36"/>
      <c r="G602" s="37" t="str">
        <f aca="false">IF(OR(C602="",D602=""),"",D602*IF(E602="",IFERROR(INDEX(Ürünler!$D$5:$D$204,MATCH(C602,Ürünler!$A$5:$A$204,0)),0),E602))</f>
        <v/>
      </c>
      <c r="H602" s="37" t="str">
        <f aca="false">IF(G602="","",D602*IFERROR(INDEX(Ürünler!$C$5:$C$204,MATCH(C602,Ürünler!$A$5:$A$204,0)),0))</f>
        <v/>
      </c>
      <c r="I602" s="37" t="str">
        <f aca="false">IF(G602="","",G602-H602)</f>
        <v/>
      </c>
      <c r="J602" s="33"/>
    </row>
    <row r="603" customFormat="false" ht="15" hidden="false" customHeight="false" outlineLevel="0" collapsed="false">
      <c r="A603" s="32"/>
      <c r="B603" s="33"/>
      <c r="C603" s="33"/>
      <c r="D603" s="34"/>
      <c r="E603" s="35"/>
      <c r="F603" s="36"/>
      <c r="G603" s="37" t="str">
        <f aca="false">IF(OR(C603="",D603=""),"",D603*IF(E603="",IFERROR(INDEX(Ürünler!$D$5:$D$204,MATCH(C603,Ürünler!$A$5:$A$204,0)),0),E603))</f>
        <v/>
      </c>
      <c r="H603" s="37" t="str">
        <f aca="false">IF(G603="","",D603*IFERROR(INDEX(Ürünler!$C$5:$C$204,MATCH(C603,Ürünler!$A$5:$A$204,0)),0))</f>
        <v/>
      </c>
      <c r="I603" s="37" t="str">
        <f aca="false">IF(G603="","",G603-H603)</f>
        <v/>
      </c>
      <c r="J603" s="33"/>
    </row>
    <row r="604" customFormat="false" ht="15" hidden="false" customHeight="false" outlineLevel="0" collapsed="false">
      <c r="A604" s="32"/>
      <c r="B604" s="33"/>
      <c r="C604" s="33"/>
      <c r="D604" s="34"/>
      <c r="E604" s="35"/>
      <c r="F604" s="36"/>
      <c r="G604" s="37" t="str">
        <f aca="false">IF(OR(C604="",D604=""),"",D604*IF(E604="",IFERROR(INDEX(Ürünler!$D$5:$D$204,MATCH(C604,Ürünler!$A$5:$A$204,0)),0),E604))</f>
        <v/>
      </c>
      <c r="H604" s="37" t="str">
        <f aca="false">IF(G604="","",D604*IFERROR(INDEX(Ürünler!$C$5:$C$204,MATCH(C604,Ürünler!$A$5:$A$204,0)),0))</f>
        <v/>
      </c>
      <c r="I604" s="37" t="str">
        <f aca="false">IF(G604="","",G604-H604)</f>
        <v/>
      </c>
      <c r="J604" s="33"/>
    </row>
    <row r="605" customFormat="false" ht="15" hidden="false" customHeight="false" outlineLevel="0" collapsed="false">
      <c r="A605" s="32"/>
      <c r="B605" s="33"/>
      <c r="C605" s="33"/>
      <c r="D605" s="34"/>
      <c r="E605" s="35"/>
      <c r="F605" s="36"/>
      <c r="G605" s="37" t="str">
        <f aca="false">IF(OR(C605="",D605=""),"",D605*IF(E605="",IFERROR(INDEX(Ürünler!$D$5:$D$204,MATCH(C605,Ürünler!$A$5:$A$204,0)),0),E605))</f>
        <v/>
      </c>
      <c r="H605" s="37" t="str">
        <f aca="false">IF(G605="","",D605*IFERROR(INDEX(Ürünler!$C$5:$C$204,MATCH(C605,Ürünler!$A$5:$A$204,0)),0))</f>
        <v/>
      </c>
      <c r="I605" s="37" t="str">
        <f aca="false">IF(G605="","",G605-H605)</f>
        <v/>
      </c>
      <c r="J605" s="33"/>
    </row>
    <row r="606" customFormat="false" ht="15" hidden="false" customHeight="false" outlineLevel="0" collapsed="false">
      <c r="A606" s="32"/>
      <c r="B606" s="33"/>
      <c r="C606" s="33"/>
      <c r="D606" s="34"/>
      <c r="E606" s="35"/>
      <c r="F606" s="36"/>
      <c r="G606" s="37" t="str">
        <f aca="false">IF(OR(C606="",D606=""),"",D606*IF(E606="",IFERROR(INDEX(Ürünler!$D$5:$D$204,MATCH(C606,Ürünler!$A$5:$A$204,0)),0),E606))</f>
        <v/>
      </c>
      <c r="H606" s="37" t="str">
        <f aca="false">IF(G606="","",D606*IFERROR(INDEX(Ürünler!$C$5:$C$204,MATCH(C606,Ürünler!$A$5:$A$204,0)),0))</f>
        <v/>
      </c>
      <c r="I606" s="37" t="str">
        <f aca="false">IF(G606="","",G606-H606)</f>
        <v/>
      </c>
      <c r="J606" s="33"/>
    </row>
    <row r="607" customFormat="false" ht="15" hidden="false" customHeight="false" outlineLevel="0" collapsed="false">
      <c r="A607" s="32"/>
      <c r="B607" s="33"/>
      <c r="C607" s="33"/>
      <c r="D607" s="34"/>
      <c r="E607" s="35"/>
      <c r="F607" s="36"/>
      <c r="G607" s="37" t="str">
        <f aca="false">IF(OR(C607="",D607=""),"",D607*IF(E607="",IFERROR(INDEX(Ürünler!$D$5:$D$204,MATCH(C607,Ürünler!$A$5:$A$204,0)),0),E607))</f>
        <v/>
      </c>
      <c r="H607" s="37" t="str">
        <f aca="false">IF(G607="","",D607*IFERROR(INDEX(Ürünler!$C$5:$C$204,MATCH(C607,Ürünler!$A$5:$A$204,0)),0))</f>
        <v/>
      </c>
      <c r="I607" s="37" t="str">
        <f aca="false">IF(G607="","",G607-H607)</f>
        <v/>
      </c>
      <c r="J607" s="33"/>
    </row>
    <row r="608" customFormat="false" ht="15" hidden="false" customHeight="false" outlineLevel="0" collapsed="false">
      <c r="A608" s="32"/>
      <c r="B608" s="33"/>
      <c r="C608" s="33"/>
      <c r="D608" s="34"/>
      <c r="E608" s="35"/>
      <c r="F608" s="36"/>
      <c r="G608" s="37" t="str">
        <f aca="false">IF(OR(C608="",D608=""),"",D608*IF(E608="",IFERROR(INDEX(Ürünler!$D$5:$D$204,MATCH(C608,Ürünler!$A$5:$A$204,0)),0),E608))</f>
        <v/>
      </c>
      <c r="H608" s="37" t="str">
        <f aca="false">IF(G608="","",D608*IFERROR(INDEX(Ürünler!$C$5:$C$204,MATCH(C608,Ürünler!$A$5:$A$204,0)),0))</f>
        <v/>
      </c>
      <c r="I608" s="37" t="str">
        <f aca="false">IF(G608="","",G608-H608)</f>
        <v/>
      </c>
      <c r="J608" s="33"/>
    </row>
    <row r="609" customFormat="false" ht="15" hidden="false" customHeight="false" outlineLevel="0" collapsed="false">
      <c r="A609" s="32"/>
      <c r="B609" s="33"/>
      <c r="C609" s="33"/>
      <c r="D609" s="34"/>
      <c r="E609" s="35"/>
      <c r="F609" s="36"/>
      <c r="G609" s="37" t="str">
        <f aca="false">IF(OR(C609="",D609=""),"",D609*IF(E609="",IFERROR(INDEX(Ürünler!$D$5:$D$204,MATCH(C609,Ürünler!$A$5:$A$204,0)),0),E609))</f>
        <v/>
      </c>
      <c r="H609" s="37" t="str">
        <f aca="false">IF(G609="","",D609*IFERROR(INDEX(Ürünler!$C$5:$C$204,MATCH(C609,Ürünler!$A$5:$A$204,0)),0))</f>
        <v/>
      </c>
      <c r="I609" s="37" t="str">
        <f aca="false">IF(G609="","",G609-H609)</f>
        <v/>
      </c>
      <c r="J609" s="33"/>
    </row>
    <row r="610" customFormat="false" ht="15" hidden="false" customHeight="false" outlineLevel="0" collapsed="false">
      <c r="A610" s="32"/>
      <c r="B610" s="33"/>
      <c r="C610" s="33"/>
      <c r="D610" s="34"/>
      <c r="E610" s="35"/>
      <c r="F610" s="36"/>
      <c r="G610" s="37" t="str">
        <f aca="false">IF(OR(C610="",D610=""),"",D610*IF(E610="",IFERROR(INDEX(Ürünler!$D$5:$D$204,MATCH(C610,Ürünler!$A$5:$A$204,0)),0),E610))</f>
        <v/>
      </c>
      <c r="H610" s="37" t="str">
        <f aca="false">IF(G610="","",D610*IFERROR(INDEX(Ürünler!$C$5:$C$204,MATCH(C610,Ürünler!$A$5:$A$204,0)),0))</f>
        <v/>
      </c>
      <c r="I610" s="37" t="str">
        <f aca="false">IF(G610="","",G610-H610)</f>
        <v/>
      </c>
      <c r="J610" s="33"/>
    </row>
    <row r="611" customFormat="false" ht="15" hidden="false" customHeight="false" outlineLevel="0" collapsed="false">
      <c r="A611" s="32"/>
      <c r="B611" s="33"/>
      <c r="C611" s="33"/>
      <c r="D611" s="34"/>
      <c r="E611" s="35"/>
      <c r="F611" s="36"/>
      <c r="G611" s="37" t="str">
        <f aca="false">IF(OR(C611="",D611=""),"",D611*IF(E611="",IFERROR(INDEX(Ürünler!$D$5:$D$204,MATCH(C611,Ürünler!$A$5:$A$204,0)),0),E611))</f>
        <v/>
      </c>
      <c r="H611" s="37" t="str">
        <f aca="false">IF(G611="","",D611*IFERROR(INDEX(Ürünler!$C$5:$C$204,MATCH(C611,Ürünler!$A$5:$A$204,0)),0))</f>
        <v/>
      </c>
      <c r="I611" s="37" t="str">
        <f aca="false">IF(G611="","",G611-H611)</f>
        <v/>
      </c>
      <c r="J611" s="33"/>
    </row>
    <row r="612" customFormat="false" ht="15" hidden="false" customHeight="false" outlineLevel="0" collapsed="false">
      <c r="A612" s="32"/>
      <c r="B612" s="33"/>
      <c r="C612" s="33"/>
      <c r="D612" s="34"/>
      <c r="E612" s="35"/>
      <c r="F612" s="36"/>
      <c r="G612" s="37" t="str">
        <f aca="false">IF(OR(C612="",D612=""),"",D612*IF(E612="",IFERROR(INDEX(Ürünler!$D$5:$D$204,MATCH(C612,Ürünler!$A$5:$A$204,0)),0),E612))</f>
        <v/>
      </c>
      <c r="H612" s="37" t="str">
        <f aca="false">IF(G612="","",D612*IFERROR(INDEX(Ürünler!$C$5:$C$204,MATCH(C612,Ürünler!$A$5:$A$204,0)),0))</f>
        <v/>
      </c>
      <c r="I612" s="37" t="str">
        <f aca="false">IF(G612="","",G612-H612)</f>
        <v/>
      </c>
      <c r="J612" s="33"/>
    </row>
    <row r="613" customFormat="false" ht="15" hidden="false" customHeight="false" outlineLevel="0" collapsed="false">
      <c r="A613" s="32"/>
      <c r="B613" s="33"/>
      <c r="C613" s="33"/>
      <c r="D613" s="34"/>
      <c r="E613" s="35"/>
      <c r="F613" s="36"/>
      <c r="G613" s="37" t="str">
        <f aca="false">IF(OR(C613="",D613=""),"",D613*IF(E613="",IFERROR(INDEX(Ürünler!$D$5:$D$204,MATCH(C613,Ürünler!$A$5:$A$204,0)),0),E613))</f>
        <v/>
      </c>
      <c r="H613" s="37" t="str">
        <f aca="false">IF(G613="","",D613*IFERROR(INDEX(Ürünler!$C$5:$C$204,MATCH(C613,Ürünler!$A$5:$A$204,0)),0))</f>
        <v/>
      </c>
      <c r="I613" s="37" t="str">
        <f aca="false">IF(G613="","",G613-H613)</f>
        <v/>
      </c>
      <c r="J613" s="33"/>
    </row>
    <row r="614" customFormat="false" ht="15" hidden="false" customHeight="false" outlineLevel="0" collapsed="false">
      <c r="A614" s="32"/>
      <c r="B614" s="33"/>
      <c r="C614" s="33"/>
      <c r="D614" s="34"/>
      <c r="E614" s="35"/>
      <c r="F614" s="36"/>
      <c r="G614" s="37" t="str">
        <f aca="false">IF(OR(C614="",D614=""),"",D614*IF(E614="",IFERROR(INDEX(Ürünler!$D$5:$D$204,MATCH(C614,Ürünler!$A$5:$A$204,0)),0),E614))</f>
        <v/>
      </c>
      <c r="H614" s="37" t="str">
        <f aca="false">IF(G614="","",D614*IFERROR(INDEX(Ürünler!$C$5:$C$204,MATCH(C614,Ürünler!$A$5:$A$204,0)),0))</f>
        <v/>
      </c>
      <c r="I614" s="37" t="str">
        <f aca="false">IF(G614="","",G614-H614)</f>
        <v/>
      </c>
      <c r="J614" s="33"/>
    </row>
    <row r="615" customFormat="false" ht="15" hidden="false" customHeight="false" outlineLevel="0" collapsed="false">
      <c r="A615" s="32"/>
      <c r="B615" s="33"/>
      <c r="C615" s="33"/>
      <c r="D615" s="34"/>
      <c r="E615" s="35"/>
      <c r="F615" s="36"/>
      <c r="G615" s="37" t="str">
        <f aca="false">IF(OR(C615="",D615=""),"",D615*IF(E615="",IFERROR(INDEX(Ürünler!$D$5:$D$204,MATCH(C615,Ürünler!$A$5:$A$204,0)),0),E615))</f>
        <v/>
      </c>
      <c r="H615" s="37" t="str">
        <f aca="false">IF(G615="","",D615*IFERROR(INDEX(Ürünler!$C$5:$C$204,MATCH(C615,Ürünler!$A$5:$A$204,0)),0))</f>
        <v/>
      </c>
      <c r="I615" s="37" t="str">
        <f aca="false">IF(G615="","",G615-H615)</f>
        <v/>
      </c>
      <c r="J615" s="33"/>
    </row>
    <row r="616" customFormat="false" ht="15" hidden="false" customHeight="false" outlineLevel="0" collapsed="false">
      <c r="A616" s="32"/>
      <c r="B616" s="33"/>
      <c r="C616" s="33"/>
      <c r="D616" s="34"/>
      <c r="E616" s="35"/>
      <c r="F616" s="36"/>
      <c r="G616" s="37" t="str">
        <f aca="false">IF(OR(C616="",D616=""),"",D616*IF(E616="",IFERROR(INDEX(Ürünler!$D$5:$D$204,MATCH(C616,Ürünler!$A$5:$A$204,0)),0),E616))</f>
        <v/>
      </c>
      <c r="H616" s="37" t="str">
        <f aca="false">IF(G616="","",D616*IFERROR(INDEX(Ürünler!$C$5:$C$204,MATCH(C616,Ürünler!$A$5:$A$204,0)),0))</f>
        <v/>
      </c>
      <c r="I616" s="37" t="str">
        <f aca="false">IF(G616="","",G616-H616)</f>
        <v/>
      </c>
      <c r="J616" s="33"/>
    </row>
    <row r="617" customFormat="false" ht="15" hidden="false" customHeight="false" outlineLevel="0" collapsed="false">
      <c r="A617" s="32"/>
      <c r="B617" s="33"/>
      <c r="C617" s="33"/>
      <c r="D617" s="34"/>
      <c r="E617" s="35"/>
      <c r="F617" s="36"/>
      <c r="G617" s="37" t="str">
        <f aca="false">IF(OR(C617="",D617=""),"",D617*IF(E617="",IFERROR(INDEX(Ürünler!$D$5:$D$204,MATCH(C617,Ürünler!$A$5:$A$204,0)),0),E617))</f>
        <v/>
      </c>
      <c r="H617" s="37" t="str">
        <f aca="false">IF(G617="","",D617*IFERROR(INDEX(Ürünler!$C$5:$C$204,MATCH(C617,Ürünler!$A$5:$A$204,0)),0))</f>
        <v/>
      </c>
      <c r="I617" s="37" t="str">
        <f aca="false">IF(G617="","",G617-H617)</f>
        <v/>
      </c>
      <c r="J617" s="33"/>
    </row>
    <row r="618" customFormat="false" ht="15" hidden="false" customHeight="false" outlineLevel="0" collapsed="false">
      <c r="A618" s="32"/>
      <c r="B618" s="33"/>
      <c r="C618" s="33"/>
      <c r="D618" s="34"/>
      <c r="E618" s="35"/>
      <c r="F618" s="36"/>
      <c r="G618" s="37" t="str">
        <f aca="false">IF(OR(C618="",D618=""),"",D618*IF(E618="",IFERROR(INDEX(Ürünler!$D$5:$D$204,MATCH(C618,Ürünler!$A$5:$A$204,0)),0),E618))</f>
        <v/>
      </c>
      <c r="H618" s="37" t="str">
        <f aca="false">IF(G618="","",D618*IFERROR(INDEX(Ürünler!$C$5:$C$204,MATCH(C618,Ürünler!$A$5:$A$204,0)),0))</f>
        <v/>
      </c>
      <c r="I618" s="37" t="str">
        <f aca="false">IF(G618="","",G618-H618)</f>
        <v/>
      </c>
      <c r="J618" s="33"/>
    </row>
    <row r="619" customFormat="false" ht="15" hidden="false" customHeight="false" outlineLevel="0" collapsed="false">
      <c r="A619" s="32"/>
      <c r="B619" s="33"/>
      <c r="C619" s="33"/>
      <c r="D619" s="34"/>
      <c r="E619" s="35"/>
      <c r="F619" s="36"/>
      <c r="G619" s="37" t="str">
        <f aca="false">IF(OR(C619="",D619=""),"",D619*IF(E619="",IFERROR(INDEX(Ürünler!$D$5:$D$204,MATCH(C619,Ürünler!$A$5:$A$204,0)),0),E619))</f>
        <v/>
      </c>
      <c r="H619" s="37" t="str">
        <f aca="false">IF(G619="","",D619*IFERROR(INDEX(Ürünler!$C$5:$C$204,MATCH(C619,Ürünler!$A$5:$A$204,0)),0))</f>
        <v/>
      </c>
      <c r="I619" s="37" t="str">
        <f aca="false">IF(G619="","",G619-H619)</f>
        <v/>
      </c>
      <c r="J619" s="33"/>
    </row>
    <row r="620" customFormat="false" ht="15" hidden="false" customHeight="false" outlineLevel="0" collapsed="false">
      <c r="A620" s="32"/>
      <c r="B620" s="33"/>
      <c r="C620" s="33"/>
      <c r="D620" s="34"/>
      <c r="E620" s="35"/>
      <c r="F620" s="36"/>
      <c r="G620" s="37" t="str">
        <f aca="false">IF(OR(C620="",D620=""),"",D620*IF(E620="",IFERROR(INDEX(Ürünler!$D$5:$D$204,MATCH(C620,Ürünler!$A$5:$A$204,0)),0),E620))</f>
        <v/>
      </c>
      <c r="H620" s="37" t="str">
        <f aca="false">IF(G620="","",D620*IFERROR(INDEX(Ürünler!$C$5:$C$204,MATCH(C620,Ürünler!$A$5:$A$204,0)),0))</f>
        <v/>
      </c>
      <c r="I620" s="37" t="str">
        <f aca="false">IF(G620="","",G620-H620)</f>
        <v/>
      </c>
      <c r="J620" s="33"/>
    </row>
    <row r="621" customFormat="false" ht="15" hidden="false" customHeight="false" outlineLevel="0" collapsed="false">
      <c r="A621" s="32"/>
      <c r="B621" s="33"/>
      <c r="C621" s="33"/>
      <c r="D621" s="34"/>
      <c r="E621" s="35"/>
      <c r="F621" s="36"/>
      <c r="G621" s="37" t="str">
        <f aca="false">IF(OR(C621="",D621=""),"",D621*IF(E621="",IFERROR(INDEX(Ürünler!$D$5:$D$204,MATCH(C621,Ürünler!$A$5:$A$204,0)),0),E621))</f>
        <v/>
      </c>
      <c r="H621" s="37" t="str">
        <f aca="false">IF(G621="","",D621*IFERROR(INDEX(Ürünler!$C$5:$C$204,MATCH(C621,Ürünler!$A$5:$A$204,0)),0))</f>
        <v/>
      </c>
      <c r="I621" s="37" t="str">
        <f aca="false">IF(G621="","",G621-H621)</f>
        <v/>
      </c>
      <c r="J621" s="33"/>
    </row>
    <row r="622" customFormat="false" ht="15" hidden="false" customHeight="false" outlineLevel="0" collapsed="false">
      <c r="A622" s="32"/>
      <c r="B622" s="33"/>
      <c r="C622" s="33"/>
      <c r="D622" s="34"/>
      <c r="E622" s="35"/>
      <c r="F622" s="36"/>
      <c r="G622" s="37" t="str">
        <f aca="false">IF(OR(C622="",D622=""),"",D622*IF(E622="",IFERROR(INDEX(Ürünler!$D$5:$D$204,MATCH(C622,Ürünler!$A$5:$A$204,0)),0),E622))</f>
        <v/>
      </c>
      <c r="H622" s="37" t="str">
        <f aca="false">IF(G622="","",D622*IFERROR(INDEX(Ürünler!$C$5:$C$204,MATCH(C622,Ürünler!$A$5:$A$204,0)),0))</f>
        <v/>
      </c>
      <c r="I622" s="37" t="str">
        <f aca="false">IF(G622="","",G622-H622)</f>
        <v/>
      </c>
      <c r="J622" s="33"/>
    </row>
    <row r="623" customFormat="false" ht="15" hidden="false" customHeight="false" outlineLevel="0" collapsed="false">
      <c r="A623" s="32"/>
      <c r="B623" s="33"/>
      <c r="C623" s="33"/>
      <c r="D623" s="34"/>
      <c r="E623" s="35"/>
      <c r="F623" s="36"/>
      <c r="G623" s="37" t="str">
        <f aca="false">IF(OR(C623="",D623=""),"",D623*IF(E623="",IFERROR(INDEX(Ürünler!$D$5:$D$204,MATCH(C623,Ürünler!$A$5:$A$204,0)),0),E623))</f>
        <v/>
      </c>
      <c r="H623" s="37" t="str">
        <f aca="false">IF(G623="","",D623*IFERROR(INDEX(Ürünler!$C$5:$C$204,MATCH(C623,Ürünler!$A$5:$A$204,0)),0))</f>
        <v/>
      </c>
      <c r="I623" s="37" t="str">
        <f aca="false">IF(G623="","",G623-H623)</f>
        <v/>
      </c>
      <c r="J623" s="33"/>
    </row>
    <row r="624" customFormat="false" ht="15" hidden="false" customHeight="false" outlineLevel="0" collapsed="false">
      <c r="A624" s="32"/>
      <c r="B624" s="33"/>
      <c r="C624" s="33"/>
      <c r="D624" s="34"/>
      <c r="E624" s="35"/>
      <c r="F624" s="36"/>
      <c r="G624" s="37" t="str">
        <f aca="false">IF(OR(C624="",D624=""),"",D624*IF(E624="",IFERROR(INDEX(Ürünler!$D$5:$D$204,MATCH(C624,Ürünler!$A$5:$A$204,0)),0),E624))</f>
        <v/>
      </c>
      <c r="H624" s="37" t="str">
        <f aca="false">IF(G624="","",D624*IFERROR(INDEX(Ürünler!$C$5:$C$204,MATCH(C624,Ürünler!$A$5:$A$204,0)),0))</f>
        <v/>
      </c>
      <c r="I624" s="37" t="str">
        <f aca="false">IF(G624="","",G624-H624)</f>
        <v/>
      </c>
      <c r="J624" s="33"/>
    </row>
    <row r="625" customFormat="false" ht="15" hidden="false" customHeight="false" outlineLevel="0" collapsed="false">
      <c r="A625" s="32"/>
      <c r="B625" s="33"/>
      <c r="C625" s="33"/>
      <c r="D625" s="34"/>
      <c r="E625" s="35"/>
      <c r="F625" s="36"/>
      <c r="G625" s="37" t="str">
        <f aca="false">IF(OR(C625="",D625=""),"",D625*IF(E625="",IFERROR(INDEX(Ürünler!$D$5:$D$204,MATCH(C625,Ürünler!$A$5:$A$204,0)),0),E625))</f>
        <v/>
      </c>
      <c r="H625" s="37" t="str">
        <f aca="false">IF(G625="","",D625*IFERROR(INDEX(Ürünler!$C$5:$C$204,MATCH(C625,Ürünler!$A$5:$A$204,0)),0))</f>
        <v/>
      </c>
      <c r="I625" s="37" t="str">
        <f aca="false">IF(G625="","",G625-H625)</f>
        <v/>
      </c>
      <c r="J625" s="33"/>
    </row>
    <row r="626" customFormat="false" ht="15" hidden="false" customHeight="false" outlineLevel="0" collapsed="false">
      <c r="A626" s="32"/>
      <c r="B626" s="33"/>
      <c r="C626" s="33"/>
      <c r="D626" s="34"/>
      <c r="E626" s="35"/>
      <c r="F626" s="36"/>
      <c r="G626" s="37" t="str">
        <f aca="false">IF(OR(C626="",D626=""),"",D626*IF(E626="",IFERROR(INDEX(Ürünler!$D$5:$D$204,MATCH(C626,Ürünler!$A$5:$A$204,0)),0),E626))</f>
        <v/>
      </c>
      <c r="H626" s="37" t="str">
        <f aca="false">IF(G626="","",D626*IFERROR(INDEX(Ürünler!$C$5:$C$204,MATCH(C626,Ürünler!$A$5:$A$204,0)),0))</f>
        <v/>
      </c>
      <c r="I626" s="37" t="str">
        <f aca="false">IF(G626="","",G626-H626)</f>
        <v/>
      </c>
      <c r="J626" s="33"/>
    </row>
    <row r="627" customFormat="false" ht="15" hidden="false" customHeight="false" outlineLevel="0" collapsed="false">
      <c r="A627" s="32"/>
      <c r="B627" s="33"/>
      <c r="C627" s="33"/>
      <c r="D627" s="34"/>
      <c r="E627" s="35"/>
      <c r="F627" s="36"/>
      <c r="G627" s="37" t="str">
        <f aca="false">IF(OR(C627="",D627=""),"",D627*IF(E627="",IFERROR(INDEX(Ürünler!$D$5:$D$204,MATCH(C627,Ürünler!$A$5:$A$204,0)),0),E627))</f>
        <v/>
      </c>
      <c r="H627" s="37" t="str">
        <f aca="false">IF(G627="","",D627*IFERROR(INDEX(Ürünler!$C$5:$C$204,MATCH(C627,Ürünler!$A$5:$A$204,0)),0))</f>
        <v/>
      </c>
      <c r="I627" s="37" t="str">
        <f aca="false">IF(G627="","",G627-H627)</f>
        <v/>
      </c>
      <c r="J627" s="33"/>
    </row>
    <row r="628" customFormat="false" ht="15" hidden="false" customHeight="false" outlineLevel="0" collapsed="false">
      <c r="A628" s="32"/>
      <c r="B628" s="33"/>
      <c r="C628" s="33"/>
      <c r="D628" s="34"/>
      <c r="E628" s="35"/>
      <c r="F628" s="36"/>
      <c r="G628" s="37" t="str">
        <f aca="false">IF(OR(C628="",D628=""),"",D628*IF(E628="",IFERROR(INDEX(Ürünler!$D$5:$D$204,MATCH(C628,Ürünler!$A$5:$A$204,0)),0),E628))</f>
        <v/>
      </c>
      <c r="H628" s="37" t="str">
        <f aca="false">IF(G628="","",D628*IFERROR(INDEX(Ürünler!$C$5:$C$204,MATCH(C628,Ürünler!$A$5:$A$204,0)),0))</f>
        <v/>
      </c>
      <c r="I628" s="37" t="str">
        <f aca="false">IF(G628="","",G628-H628)</f>
        <v/>
      </c>
      <c r="J628" s="33"/>
    </row>
    <row r="629" customFormat="false" ht="15" hidden="false" customHeight="false" outlineLevel="0" collapsed="false">
      <c r="A629" s="32"/>
      <c r="B629" s="33"/>
      <c r="C629" s="33"/>
      <c r="D629" s="34"/>
      <c r="E629" s="35"/>
      <c r="F629" s="36"/>
      <c r="G629" s="37" t="str">
        <f aca="false">IF(OR(C629="",D629=""),"",D629*IF(E629="",IFERROR(INDEX(Ürünler!$D$5:$D$204,MATCH(C629,Ürünler!$A$5:$A$204,0)),0),E629))</f>
        <v/>
      </c>
      <c r="H629" s="37" t="str">
        <f aca="false">IF(G629="","",D629*IFERROR(INDEX(Ürünler!$C$5:$C$204,MATCH(C629,Ürünler!$A$5:$A$204,0)),0))</f>
        <v/>
      </c>
      <c r="I629" s="37" t="str">
        <f aca="false">IF(G629="","",G629-H629)</f>
        <v/>
      </c>
      <c r="J629" s="33"/>
    </row>
    <row r="630" customFormat="false" ht="15" hidden="false" customHeight="false" outlineLevel="0" collapsed="false">
      <c r="A630" s="32"/>
      <c r="B630" s="33"/>
      <c r="C630" s="33"/>
      <c r="D630" s="34"/>
      <c r="E630" s="35"/>
      <c r="F630" s="36"/>
      <c r="G630" s="37" t="str">
        <f aca="false">IF(OR(C630="",D630=""),"",D630*IF(E630="",IFERROR(INDEX(Ürünler!$D$5:$D$204,MATCH(C630,Ürünler!$A$5:$A$204,0)),0),E630))</f>
        <v/>
      </c>
      <c r="H630" s="37" t="str">
        <f aca="false">IF(G630="","",D630*IFERROR(INDEX(Ürünler!$C$5:$C$204,MATCH(C630,Ürünler!$A$5:$A$204,0)),0))</f>
        <v/>
      </c>
      <c r="I630" s="37" t="str">
        <f aca="false">IF(G630="","",G630-H630)</f>
        <v/>
      </c>
      <c r="J630" s="33"/>
    </row>
    <row r="631" customFormat="false" ht="15" hidden="false" customHeight="false" outlineLevel="0" collapsed="false">
      <c r="A631" s="32"/>
      <c r="B631" s="33"/>
      <c r="C631" s="33"/>
      <c r="D631" s="34"/>
      <c r="E631" s="35"/>
      <c r="F631" s="36"/>
      <c r="G631" s="37" t="str">
        <f aca="false">IF(OR(C631="",D631=""),"",D631*IF(E631="",IFERROR(INDEX(Ürünler!$D$5:$D$204,MATCH(C631,Ürünler!$A$5:$A$204,0)),0),E631))</f>
        <v/>
      </c>
      <c r="H631" s="37" t="str">
        <f aca="false">IF(G631="","",D631*IFERROR(INDEX(Ürünler!$C$5:$C$204,MATCH(C631,Ürünler!$A$5:$A$204,0)),0))</f>
        <v/>
      </c>
      <c r="I631" s="37" t="str">
        <f aca="false">IF(G631="","",G631-H631)</f>
        <v/>
      </c>
      <c r="J631" s="33"/>
    </row>
    <row r="632" customFormat="false" ht="15" hidden="false" customHeight="false" outlineLevel="0" collapsed="false">
      <c r="A632" s="32"/>
      <c r="B632" s="33"/>
      <c r="C632" s="33"/>
      <c r="D632" s="34"/>
      <c r="E632" s="35"/>
      <c r="F632" s="36"/>
      <c r="G632" s="37" t="str">
        <f aca="false">IF(OR(C632="",D632=""),"",D632*IF(E632="",IFERROR(INDEX(Ürünler!$D$5:$D$204,MATCH(C632,Ürünler!$A$5:$A$204,0)),0),E632))</f>
        <v/>
      </c>
      <c r="H632" s="37" t="str">
        <f aca="false">IF(G632="","",D632*IFERROR(INDEX(Ürünler!$C$5:$C$204,MATCH(C632,Ürünler!$A$5:$A$204,0)),0))</f>
        <v/>
      </c>
      <c r="I632" s="37" t="str">
        <f aca="false">IF(G632="","",G632-H632)</f>
        <v/>
      </c>
      <c r="J632" s="33"/>
    </row>
    <row r="633" customFormat="false" ht="15" hidden="false" customHeight="false" outlineLevel="0" collapsed="false">
      <c r="A633" s="32"/>
      <c r="B633" s="33"/>
      <c r="C633" s="33"/>
      <c r="D633" s="34"/>
      <c r="E633" s="35"/>
      <c r="F633" s="36"/>
      <c r="G633" s="37" t="str">
        <f aca="false">IF(OR(C633="",D633=""),"",D633*IF(E633="",IFERROR(INDEX(Ürünler!$D$5:$D$204,MATCH(C633,Ürünler!$A$5:$A$204,0)),0),E633))</f>
        <v/>
      </c>
      <c r="H633" s="37" t="str">
        <f aca="false">IF(G633="","",D633*IFERROR(INDEX(Ürünler!$C$5:$C$204,MATCH(C633,Ürünler!$A$5:$A$204,0)),0))</f>
        <v/>
      </c>
      <c r="I633" s="37" t="str">
        <f aca="false">IF(G633="","",G633-H633)</f>
        <v/>
      </c>
      <c r="J633" s="33"/>
    </row>
    <row r="634" customFormat="false" ht="15" hidden="false" customHeight="false" outlineLevel="0" collapsed="false">
      <c r="A634" s="32"/>
      <c r="B634" s="33"/>
      <c r="C634" s="33"/>
      <c r="D634" s="34"/>
      <c r="E634" s="35"/>
      <c r="F634" s="36"/>
      <c r="G634" s="37" t="str">
        <f aca="false">IF(OR(C634="",D634=""),"",D634*IF(E634="",IFERROR(INDEX(Ürünler!$D$5:$D$204,MATCH(C634,Ürünler!$A$5:$A$204,0)),0),E634))</f>
        <v/>
      </c>
      <c r="H634" s="37" t="str">
        <f aca="false">IF(G634="","",D634*IFERROR(INDEX(Ürünler!$C$5:$C$204,MATCH(C634,Ürünler!$A$5:$A$204,0)),0))</f>
        <v/>
      </c>
      <c r="I634" s="37" t="str">
        <f aca="false">IF(G634="","",G634-H634)</f>
        <v/>
      </c>
      <c r="J634" s="33"/>
    </row>
    <row r="635" customFormat="false" ht="15" hidden="false" customHeight="false" outlineLevel="0" collapsed="false">
      <c r="A635" s="32"/>
      <c r="B635" s="33"/>
      <c r="C635" s="33"/>
      <c r="D635" s="34"/>
      <c r="E635" s="35"/>
      <c r="F635" s="36"/>
      <c r="G635" s="37" t="str">
        <f aca="false">IF(OR(C635="",D635=""),"",D635*IF(E635="",IFERROR(INDEX(Ürünler!$D$5:$D$204,MATCH(C635,Ürünler!$A$5:$A$204,0)),0),E635))</f>
        <v/>
      </c>
      <c r="H635" s="37" t="str">
        <f aca="false">IF(G635="","",D635*IFERROR(INDEX(Ürünler!$C$5:$C$204,MATCH(C635,Ürünler!$A$5:$A$204,0)),0))</f>
        <v/>
      </c>
      <c r="I635" s="37" t="str">
        <f aca="false">IF(G635="","",G635-H635)</f>
        <v/>
      </c>
      <c r="J635" s="33"/>
    </row>
    <row r="636" customFormat="false" ht="15" hidden="false" customHeight="false" outlineLevel="0" collapsed="false">
      <c r="A636" s="32"/>
      <c r="B636" s="33"/>
      <c r="C636" s="33"/>
      <c r="D636" s="34"/>
      <c r="E636" s="35"/>
      <c r="F636" s="36"/>
      <c r="G636" s="37" t="str">
        <f aca="false">IF(OR(C636="",D636=""),"",D636*IF(E636="",IFERROR(INDEX(Ürünler!$D$5:$D$204,MATCH(C636,Ürünler!$A$5:$A$204,0)),0),E636))</f>
        <v/>
      </c>
      <c r="H636" s="37" t="str">
        <f aca="false">IF(G636="","",D636*IFERROR(INDEX(Ürünler!$C$5:$C$204,MATCH(C636,Ürünler!$A$5:$A$204,0)),0))</f>
        <v/>
      </c>
      <c r="I636" s="37" t="str">
        <f aca="false">IF(G636="","",G636-H636)</f>
        <v/>
      </c>
      <c r="J636" s="33"/>
    </row>
    <row r="637" customFormat="false" ht="15" hidden="false" customHeight="false" outlineLevel="0" collapsed="false">
      <c r="A637" s="32"/>
      <c r="B637" s="33"/>
      <c r="C637" s="33"/>
      <c r="D637" s="34"/>
      <c r="E637" s="35"/>
      <c r="F637" s="36"/>
      <c r="G637" s="37" t="str">
        <f aca="false">IF(OR(C637="",D637=""),"",D637*IF(E637="",IFERROR(INDEX(Ürünler!$D$5:$D$204,MATCH(C637,Ürünler!$A$5:$A$204,0)),0),E637))</f>
        <v/>
      </c>
      <c r="H637" s="37" t="str">
        <f aca="false">IF(G637="","",D637*IFERROR(INDEX(Ürünler!$C$5:$C$204,MATCH(C637,Ürünler!$A$5:$A$204,0)),0))</f>
        <v/>
      </c>
      <c r="I637" s="37" t="str">
        <f aca="false">IF(G637="","",G637-H637)</f>
        <v/>
      </c>
      <c r="J637" s="33"/>
    </row>
    <row r="638" customFormat="false" ht="15" hidden="false" customHeight="false" outlineLevel="0" collapsed="false">
      <c r="A638" s="32"/>
      <c r="B638" s="33"/>
      <c r="C638" s="33"/>
      <c r="D638" s="34"/>
      <c r="E638" s="35"/>
      <c r="F638" s="36"/>
      <c r="G638" s="37" t="str">
        <f aca="false">IF(OR(C638="",D638=""),"",D638*IF(E638="",IFERROR(INDEX(Ürünler!$D$5:$D$204,MATCH(C638,Ürünler!$A$5:$A$204,0)),0),E638))</f>
        <v/>
      </c>
      <c r="H638" s="37" t="str">
        <f aca="false">IF(G638="","",D638*IFERROR(INDEX(Ürünler!$C$5:$C$204,MATCH(C638,Ürünler!$A$5:$A$204,0)),0))</f>
        <v/>
      </c>
      <c r="I638" s="37" t="str">
        <f aca="false">IF(G638="","",G638-H638)</f>
        <v/>
      </c>
      <c r="J638" s="33"/>
    </row>
    <row r="639" customFormat="false" ht="15" hidden="false" customHeight="false" outlineLevel="0" collapsed="false">
      <c r="A639" s="32"/>
      <c r="B639" s="33"/>
      <c r="C639" s="33"/>
      <c r="D639" s="34"/>
      <c r="E639" s="35"/>
      <c r="F639" s="36"/>
      <c r="G639" s="37" t="str">
        <f aca="false">IF(OR(C639="",D639=""),"",D639*IF(E639="",IFERROR(INDEX(Ürünler!$D$5:$D$204,MATCH(C639,Ürünler!$A$5:$A$204,0)),0),E639))</f>
        <v/>
      </c>
      <c r="H639" s="37" t="str">
        <f aca="false">IF(G639="","",D639*IFERROR(INDEX(Ürünler!$C$5:$C$204,MATCH(C639,Ürünler!$A$5:$A$204,0)),0))</f>
        <v/>
      </c>
      <c r="I639" s="37" t="str">
        <f aca="false">IF(G639="","",G639-H639)</f>
        <v/>
      </c>
      <c r="J639" s="33"/>
    </row>
    <row r="640" customFormat="false" ht="15" hidden="false" customHeight="false" outlineLevel="0" collapsed="false">
      <c r="A640" s="32"/>
      <c r="B640" s="33"/>
      <c r="C640" s="33"/>
      <c r="D640" s="34"/>
      <c r="E640" s="35"/>
      <c r="F640" s="36"/>
      <c r="G640" s="37" t="str">
        <f aca="false">IF(OR(C640="",D640=""),"",D640*IF(E640="",IFERROR(INDEX(Ürünler!$D$5:$D$204,MATCH(C640,Ürünler!$A$5:$A$204,0)),0),E640))</f>
        <v/>
      </c>
      <c r="H640" s="37" t="str">
        <f aca="false">IF(G640="","",D640*IFERROR(INDEX(Ürünler!$C$5:$C$204,MATCH(C640,Ürünler!$A$5:$A$204,0)),0))</f>
        <v/>
      </c>
      <c r="I640" s="37" t="str">
        <f aca="false">IF(G640="","",G640-H640)</f>
        <v/>
      </c>
      <c r="J640" s="33"/>
    </row>
    <row r="641" customFormat="false" ht="15" hidden="false" customHeight="false" outlineLevel="0" collapsed="false">
      <c r="A641" s="32"/>
      <c r="B641" s="33"/>
      <c r="C641" s="33"/>
      <c r="D641" s="34"/>
      <c r="E641" s="35"/>
      <c r="F641" s="36"/>
      <c r="G641" s="37" t="str">
        <f aca="false">IF(OR(C641="",D641=""),"",D641*IF(E641="",IFERROR(INDEX(Ürünler!$D$5:$D$204,MATCH(C641,Ürünler!$A$5:$A$204,0)),0),E641))</f>
        <v/>
      </c>
      <c r="H641" s="37" t="str">
        <f aca="false">IF(G641="","",D641*IFERROR(INDEX(Ürünler!$C$5:$C$204,MATCH(C641,Ürünler!$A$5:$A$204,0)),0))</f>
        <v/>
      </c>
      <c r="I641" s="37" t="str">
        <f aca="false">IF(G641="","",G641-H641)</f>
        <v/>
      </c>
      <c r="J641" s="33"/>
    </row>
    <row r="642" customFormat="false" ht="15" hidden="false" customHeight="false" outlineLevel="0" collapsed="false">
      <c r="A642" s="32"/>
      <c r="B642" s="33"/>
      <c r="C642" s="33"/>
      <c r="D642" s="34"/>
      <c r="E642" s="35"/>
      <c r="F642" s="36"/>
      <c r="G642" s="37" t="str">
        <f aca="false">IF(OR(C642="",D642=""),"",D642*IF(E642="",IFERROR(INDEX(Ürünler!$D$5:$D$204,MATCH(C642,Ürünler!$A$5:$A$204,0)),0),E642))</f>
        <v/>
      </c>
      <c r="H642" s="37" t="str">
        <f aca="false">IF(G642="","",D642*IFERROR(INDEX(Ürünler!$C$5:$C$204,MATCH(C642,Ürünler!$A$5:$A$204,0)),0))</f>
        <v/>
      </c>
      <c r="I642" s="37" t="str">
        <f aca="false">IF(G642="","",G642-H642)</f>
        <v/>
      </c>
      <c r="J642" s="33"/>
    </row>
    <row r="643" customFormat="false" ht="15" hidden="false" customHeight="false" outlineLevel="0" collapsed="false">
      <c r="A643" s="32"/>
      <c r="B643" s="33"/>
      <c r="C643" s="33"/>
      <c r="D643" s="34"/>
      <c r="E643" s="35"/>
      <c r="F643" s="36"/>
      <c r="G643" s="37" t="str">
        <f aca="false">IF(OR(C643="",D643=""),"",D643*IF(E643="",IFERROR(INDEX(Ürünler!$D$5:$D$204,MATCH(C643,Ürünler!$A$5:$A$204,0)),0),E643))</f>
        <v/>
      </c>
      <c r="H643" s="37" t="str">
        <f aca="false">IF(G643="","",D643*IFERROR(INDEX(Ürünler!$C$5:$C$204,MATCH(C643,Ürünler!$A$5:$A$204,0)),0))</f>
        <v/>
      </c>
      <c r="I643" s="37" t="str">
        <f aca="false">IF(G643="","",G643-H643)</f>
        <v/>
      </c>
      <c r="J643" s="33"/>
    </row>
    <row r="644" customFormat="false" ht="15" hidden="false" customHeight="false" outlineLevel="0" collapsed="false">
      <c r="A644" s="32"/>
      <c r="B644" s="33"/>
      <c r="C644" s="33"/>
      <c r="D644" s="34"/>
      <c r="E644" s="35"/>
      <c r="F644" s="36"/>
      <c r="G644" s="37" t="str">
        <f aca="false">IF(OR(C644="",D644=""),"",D644*IF(E644="",IFERROR(INDEX(Ürünler!$D$5:$D$204,MATCH(C644,Ürünler!$A$5:$A$204,0)),0),E644))</f>
        <v/>
      </c>
      <c r="H644" s="37" t="str">
        <f aca="false">IF(G644="","",D644*IFERROR(INDEX(Ürünler!$C$5:$C$204,MATCH(C644,Ürünler!$A$5:$A$204,0)),0))</f>
        <v/>
      </c>
      <c r="I644" s="37" t="str">
        <f aca="false">IF(G644="","",G644-H644)</f>
        <v/>
      </c>
      <c r="J644" s="33"/>
    </row>
    <row r="645" customFormat="false" ht="15" hidden="false" customHeight="false" outlineLevel="0" collapsed="false">
      <c r="A645" s="32"/>
      <c r="B645" s="33"/>
      <c r="C645" s="33"/>
      <c r="D645" s="34"/>
      <c r="E645" s="35"/>
      <c r="F645" s="36"/>
      <c r="G645" s="37" t="str">
        <f aca="false">IF(OR(C645="",D645=""),"",D645*IF(E645="",IFERROR(INDEX(Ürünler!$D$5:$D$204,MATCH(C645,Ürünler!$A$5:$A$204,0)),0),E645))</f>
        <v/>
      </c>
      <c r="H645" s="37" t="str">
        <f aca="false">IF(G645="","",D645*IFERROR(INDEX(Ürünler!$C$5:$C$204,MATCH(C645,Ürünler!$A$5:$A$204,0)),0))</f>
        <v/>
      </c>
      <c r="I645" s="37" t="str">
        <f aca="false">IF(G645="","",G645-H645)</f>
        <v/>
      </c>
      <c r="J645" s="33"/>
    </row>
    <row r="646" customFormat="false" ht="15" hidden="false" customHeight="false" outlineLevel="0" collapsed="false">
      <c r="A646" s="32"/>
      <c r="B646" s="33"/>
      <c r="C646" s="33"/>
      <c r="D646" s="34"/>
      <c r="E646" s="35"/>
      <c r="F646" s="36"/>
      <c r="G646" s="37" t="str">
        <f aca="false">IF(OR(C646="",D646=""),"",D646*IF(E646="",IFERROR(INDEX(Ürünler!$D$5:$D$204,MATCH(C646,Ürünler!$A$5:$A$204,0)),0),E646))</f>
        <v/>
      </c>
      <c r="H646" s="37" t="str">
        <f aca="false">IF(G646="","",D646*IFERROR(INDEX(Ürünler!$C$5:$C$204,MATCH(C646,Ürünler!$A$5:$A$204,0)),0))</f>
        <v/>
      </c>
      <c r="I646" s="37" t="str">
        <f aca="false">IF(G646="","",G646-H646)</f>
        <v/>
      </c>
      <c r="J646" s="33"/>
    </row>
    <row r="647" customFormat="false" ht="15" hidden="false" customHeight="false" outlineLevel="0" collapsed="false">
      <c r="A647" s="32"/>
      <c r="B647" s="33"/>
      <c r="C647" s="33"/>
      <c r="D647" s="34"/>
      <c r="E647" s="35"/>
      <c r="F647" s="36"/>
      <c r="G647" s="37" t="str">
        <f aca="false">IF(OR(C647="",D647=""),"",D647*IF(E647="",IFERROR(INDEX(Ürünler!$D$5:$D$204,MATCH(C647,Ürünler!$A$5:$A$204,0)),0),E647))</f>
        <v/>
      </c>
      <c r="H647" s="37" t="str">
        <f aca="false">IF(G647="","",D647*IFERROR(INDEX(Ürünler!$C$5:$C$204,MATCH(C647,Ürünler!$A$5:$A$204,0)),0))</f>
        <v/>
      </c>
      <c r="I647" s="37" t="str">
        <f aca="false">IF(G647="","",G647-H647)</f>
        <v/>
      </c>
      <c r="J647" s="33"/>
    </row>
    <row r="648" customFormat="false" ht="15" hidden="false" customHeight="false" outlineLevel="0" collapsed="false">
      <c r="A648" s="32"/>
      <c r="B648" s="33"/>
      <c r="C648" s="33"/>
      <c r="D648" s="34"/>
      <c r="E648" s="35"/>
      <c r="F648" s="36"/>
      <c r="G648" s="37" t="str">
        <f aca="false">IF(OR(C648="",D648=""),"",D648*IF(E648="",IFERROR(INDEX(Ürünler!$D$5:$D$204,MATCH(C648,Ürünler!$A$5:$A$204,0)),0),E648))</f>
        <v/>
      </c>
      <c r="H648" s="37" t="str">
        <f aca="false">IF(G648="","",D648*IFERROR(INDEX(Ürünler!$C$5:$C$204,MATCH(C648,Ürünler!$A$5:$A$204,0)),0))</f>
        <v/>
      </c>
      <c r="I648" s="37" t="str">
        <f aca="false">IF(G648="","",G648-H648)</f>
        <v/>
      </c>
      <c r="J648" s="33"/>
    </row>
    <row r="649" customFormat="false" ht="15" hidden="false" customHeight="false" outlineLevel="0" collapsed="false">
      <c r="A649" s="32"/>
      <c r="B649" s="33"/>
      <c r="C649" s="33"/>
      <c r="D649" s="34"/>
      <c r="E649" s="35"/>
      <c r="F649" s="36"/>
      <c r="G649" s="37" t="str">
        <f aca="false">IF(OR(C649="",D649=""),"",D649*IF(E649="",IFERROR(INDEX(Ürünler!$D$5:$D$204,MATCH(C649,Ürünler!$A$5:$A$204,0)),0),E649))</f>
        <v/>
      </c>
      <c r="H649" s="37" t="str">
        <f aca="false">IF(G649="","",D649*IFERROR(INDEX(Ürünler!$C$5:$C$204,MATCH(C649,Ürünler!$A$5:$A$204,0)),0))</f>
        <v/>
      </c>
      <c r="I649" s="37" t="str">
        <f aca="false">IF(G649="","",G649-H649)</f>
        <v/>
      </c>
      <c r="J649" s="33"/>
    </row>
    <row r="650" customFormat="false" ht="15" hidden="false" customHeight="false" outlineLevel="0" collapsed="false">
      <c r="A650" s="32"/>
      <c r="B650" s="33"/>
      <c r="C650" s="33"/>
      <c r="D650" s="34"/>
      <c r="E650" s="35"/>
      <c r="F650" s="36"/>
      <c r="G650" s="37" t="str">
        <f aca="false">IF(OR(C650="",D650=""),"",D650*IF(E650="",IFERROR(INDEX(Ürünler!$D$5:$D$204,MATCH(C650,Ürünler!$A$5:$A$204,0)),0),E650))</f>
        <v/>
      </c>
      <c r="H650" s="37" t="str">
        <f aca="false">IF(G650="","",D650*IFERROR(INDEX(Ürünler!$C$5:$C$204,MATCH(C650,Ürünler!$A$5:$A$204,0)),0))</f>
        <v/>
      </c>
      <c r="I650" s="37" t="str">
        <f aca="false">IF(G650="","",G650-H650)</f>
        <v/>
      </c>
      <c r="J650" s="33"/>
    </row>
    <row r="651" customFormat="false" ht="15" hidden="false" customHeight="false" outlineLevel="0" collapsed="false">
      <c r="A651" s="32"/>
      <c r="B651" s="33"/>
      <c r="C651" s="33"/>
      <c r="D651" s="34"/>
      <c r="E651" s="35"/>
      <c r="F651" s="36"/>
      <c r="G651" s="37" t="str">
        <f aca="false">IF(OR(C651="",D651=""),"",D651*IF(E651="",IFERROR(INDEX(Ürünler!$D$5:$D$204,MATCH(C651,Ürünler!$A$5:$A$204,0)),0),E651))</f>
        <v/>
      </c>
      <c r="H651" s="37" t="str">
        <f aca="false">IF(G651="","",D651*IFERROR(INDEX(Ürünler!$C$5:$C$204,MATCH(C651,Ürünler!$A$5:$A$204,0)),0))</f>
        <v/>
      </c>
      <c r="I651" s="37" t="str">
        <f aca="false">IF(G651="","",G651-H651)</f>
        <v/>
      </c>
      <c r="J651" s="33"/>
    </row>
    <row r="652" customFormat="false" ht="15" hidden="false" customHeight="false" outlineLevel="0" collapsed="false">
      <c r="A652" s="32"/>
      <c r="B652" s="33"/>
      <c r="C652" s="33"/>
      <c r="D652" s="34"/>
      <c r="E652" s="35"/>
      <c r="F652" s="36"/>
      <c r="G652" s="37" t="str">
        <f aca="false">IF(OR(C652="",D652=""),"",D652*IF(E652="",IFERROR(INDEX(Ürünler!$D$5:$D$204,MATCH(C652,Ürünler!$A$5:$A$204,0)),0),E652))</f>
        <v/>
      </c>
      <c r="H652" s="37" t="str">
        <f aca="false">IF(G652="","",D652*IFERROR(INDEX(Ürünler!$C$5:$C$204,MATCH(C652,Ürünler!$A$5:$A$204,0)),0))</f>
        <v/>
      </c>
      <c r="I652" s="37" t="str">
        <f aca="false">IF(G652="","",G652-H652)</f>
        <v/>
      </c>
      <c r="J652" s="33"/>
    </row>
    <row r="653" customFormat="false" ht="15" hidden="false" customHeight="false" outlineLevel="0" collapsed="false">
      <c r="A653" s="32"/>
      <c r="B653" s="33"/>
      <c r="C653" s="33"/>
      <c r="D653" s="34"/>
      <c r="E653" s="35"/>
      <c r="F653" s="36"/>
      <c r="G653" s="37" t="str">
        <f aca="false">IF(OR(C653="",D653=""),"",D653*IF(E653="",IFERROR(INDEX(Ürünler!$D$5:$D$204,MATCH(C653,Ürünler!$A$5:$A$204,0)),0),E653))</f>
        <v/>
      </c>
      <c r="H653" s="37" t="str">
        <f aca="false">IF(G653="","",D653*IFERROR(INDEX(Ürünler!$C$5:$C$204,MATCH(C653,Ürünler!$A$5:$A$204,0)),0))</f>
        <v/>
      </c>
      <c r="I653" s="37" t="str">
        <f aca="false">IF(G653="","",G653-H653)</f>
        <v/>
      </c>
      <c r="J653" s="33"/>
    </row>
    <row r="654" customFormat="false" ht="15" hidden="false" customHeight="false" outlineLevel="0" collapsed="false">
      <c r="A654" s="32"/>
      <c r="B654" s="33"/>
      <c r="C654" s="33"/>
      <c r="D654" s="34"/>
      <c r="E654" s="35"/>
      <c r="F654" s="36"/>
      <c r="G654" s="37" t="str">
        <f aca="false">IF(OR(C654="",D654=""),"",D654*IF(E654="",IFERROR(INDEX(Ürünler!$D$5:$D$204,MATCH(C654,Ürünler!$A$5:$A$204,0)),0),E654))</f>
        <v/>
      </c>
      <c r="H654" s="37" t="str">
        <f aca="false">IF(G654="","",D654*IFERROR(INDEX(Ürünler!$C$5:$C$204,MATCH(C654,Ürünler!$A$5:$A$204,0)),0))</f>
        <v/>
      </c>
      <c r="I654" s="37" t="str">
        <f aca="false">IF(G654="","",G654-H654)</f>
        <v/>
      </c>
      <c r="J654" s="33"/>
    </row>
    <row r="655" customFormat="false" ht="15" hidden="false" customHeight="false" outlineLevel="0" collapsed="false">
      <c r="A655" s="32"/>
      <c r="B655" s="33"/>
      <c r="C655" s="33"/>
      <c r="D655" s="34"/>
      <c r="E655" s="35"/>
      <c r="F655" s="36"/>
      <c r="G655" s="37" t="str">
        <f aca="false">IF(OR(C655="",D655=""),"",D655*IF(E655="",IFERROR(INDEX(Ürünler!$D$5:$D$204,MATCH(C655,Ürünler!$A$5:$A$204,0)),0),E655))</f>
        <v/>
      </c>
      <c r="H655" s="37" t="str">
        <f aca="false">IF(G655="","",D655*IFERROR(INDEX(Ürünler!$C$5:$C$204,MATCH(C655,Ürünler!$A$5:$A$204,0)),0))</f>
        <v/>
      </c>
      <c r="I655" s="37" t="str">
        <f aca="false">IF(G655="","",G655-H655)</f>
        <v/>
      </c>
      <c r="J655" s="33"/>
    </row>
    <row r="656" customFormat="false" ht="15" hidden="false" customHeight="false" outlineLevel="0" collapsed="false">
      <c r="A656" s="32"/>
      <c r="B656" s="33"/>
      <c r="C656" s="33"/>
      <c r="D656" s="34"/>
      <c r="E656" s="35"/>
      <c r="F656" s="36"/>
      <c r="G656" s="37" t="str">
        <f aca="false">IF(OR(C656="",D656=""),"",D656*IF(E656="",IFERROR(INDEX(Ürünler!$D$5:$D$204,MATCH(C656,Ürünler!$A$5:$A$204,0)),0),E656))</f>
        <v/>
      </c>
      <c r="H656" s="37" t="str">
        <f aca="false">IF(G656="","",D656*IFERROR(INDEX(Ürünler!$C$5:$C$204,MATCH(C656,Ürünler!$A$5:$A$204,0)),0))</f>
        <v/>
      </c>
      <c r="I656" s="37" t="str">
        <f aca="false">IF(G656="","",G656-H656)</f>
        <v/>
      </c>
      <c r="J656" s="33"/>
    </row>
    <row r="657" customFormat="false" ht="15" hidden="false" customHeight="false" outlineLevel="0" collapsed="false">
      <c r="A657" s="32"/>
      <c r="B657" s="33"/>
      <c r="C657" s="33"/>
      <c r="D657" s="34"/>
      <c r="E657" s="35"/>
      <c r="F657" s="36"/>
      <c r="G657" s="37" t="str">
        <f aca="false">IF(OR(C657="",D657=""),"",D657*IF(E657="",IFERROR(INDEX(Ürünler!$D$5:$D$204,MATCH(C657,Ürünler!$A$5:$A$204,0)),0),E657))</f>
        <v/>
      </c>
      <c r="H657" s="37" t="str">
        <f aca="false">IF(G657="","",D657*IFERROR(INDEX(Ürünler!$C$5:$C$204,MATCH(C657,Ürünler!$A$5:$A$204,0)),0))</f>
        <v/>
      </c>
      <c r="I657" s="37" t="str">
        <f aca="false">IF(G657="","",G657-H657)</f>
        <v/>
      </c>
      <c r="J657" s="33"/>
    </row>
    <row r="658" customFormat="false" ht="15" hidden="false" customHeight="false" outlineLevel="0" collapsed="false">
      <c r="A658" s="32"/>
      <c r="B658" s="33"/>
      <c r="C658" s="33"/>
      <c r="D658" s="34"/>
      <c r="E658" s="35"/>
      <c r="F658" s="36"/>
      <c r="G658" s="37" t="str">
        <f aca="false">IF(OR(C658="",D658=""),"",D658*IF(E658="",IFERROR(INDEX(Ürünler!$D$5:$D$204,MATCH(C658,Ürünler!$A$5:$A$204,0)),0),E658))</f>
        <v/>
      </c>
      <c r="H658" s="37" t="str">
        <f aca="false">IF(G658="","",D658*IFERROR(INDEX(Ürünler!$C$5:$C$204,MATCH(C658,Ürünler!$A$5:$A$204,0)),0))</f>
        <v/>
      </c>
      <c r="I658" s="37" t="str">
        <f aca="false">IF(G658="","",G658-H658)</f>
        <v/>
      </c>
      <c r="J658" s="33"/>
    </row>
    <row r="659" customFormat="false" ht="15" hidden="false" customHeight="false" outlineLevel="0" collapsed="false">
      <c r="A659" s="32"/>
      <c r="B659" s="33"/>
      <c r="C659" s="33"/>
      <c r="D659" s="34"/>
      <c r="E659" s="35"/>
      <c r="F659" s="36"/>
      <c r="G659" s="37" t="str">
        <f aca="false">IF(OR(C659="",D659=""),"",D659*IF(E659="",IFERROR(INDEX(Ürünler!$D$5:$D$204,MATCH(C659,Ürünler!$A$5:$A$204,0)),0),E659))</f>
        <v/>
      </c>
      <c r="H659" s="37" t="str">
        <f aca="false">IF(G659="","",D659*IFERROR(INDEX(Ürünler!$C$5:$C$204,MATCH(C659,Ürünler!$A$5:$A$204,0)),0))</f>
        <v/>
      </c>
      <c r="I659" s="37" t="str">
        <f aca="false">IF(G659="","",G659-H659)</f>
        <v/>
      </c>
      <c r="J659" s="33"/>
    </row>
    <row r="660" customFormat="false" ht="15" hidden="false" customHeight="false" outlineLevel="0" collapsed="false">
      <c r="A660" s="32"/>
      <c r="B660" s="33"/>
      <c r="C660" s="33"/>
      <c r="D660" s="34"/>
      <c r="E660" s="35"/>
      <c r="F660" s="36"/>
      <c r="G660" s="37" t="str">
        <f aca="false">IF(OR(C660="",D660=""),"",D660*IF(E660="",IFERROR(INDEX(Ürünler!$D$5:$D$204,MATCH(C660,Ürünler!$A$5:$A$204,0)),0),E660))</f>
        <v/>
      </c>
      <c r="H660" s="37" t="str">
        <f aca="false">IF(G660="","",D660*IFERROR(INDEX(Ürünler!$C$5:$C$204,MATCH(C660,Ürünler!$A$5:$A$204,0)),0))</f>
        <v/>
      </c>
      <c r="I660" s="37" t="str">
        <f aca="false">IF(G660="","",G660-H660)</f>
        <v/>
      </c>
      <c r="J660" s="33"/>
    </row>
    <row r="661" customFormat="false" ht="15" hidden="false" customHeight="false" outlineLevel="0" collapsed="false">
      <c r="A661" s="32"/>
      <c r="B661" s="33"/>
      <c r="C661" s="33"/>
      <c r="D661" s="34"/>
      <c r="E661" s="35"/>
      <c r="F661" s="36"/>
      <c r="G661" s="37" t="str">
        <f aca="false">IF(OR(C661="",D661=""),"",D661*IF(E661="",IFERROR(INDEX(Ürünler!$D$5:$D$204,MATCH(C661,Ürünler!$A$5:$A$204,0)),0),E661))</f>
        <v/>
      </c>
      <c r="H661" s="37" t="str">
        <f aca="false">IF(G661="","",D661*IFERROR(INDEX(Ürünler!$C$5:$C$204,MATCH(C661,Ürünler!$A$5:$A$204,0)),0))</f>
        <v/>
      </c>
      <c r="I661" s="37" t="str">
        <f aca="false">IF(G661="","",G661-H661)</f>
        <v/>
      </c>
      <c r="J661" s="33"/>
    </row>
    <row r="662" customFormat="false" ht="15" hidden="false" customHeight="false" outlineLevel="0" collapsed="false">
      <c r="A662" s="32"/>
      <c r="B662" s="33"/>
      <c r="C662" s="33"/>
      <c r="D662" s="34"/>
      <c r="E662" s="35"/>
      <c r="F662" s="36"/>
      <c r="G662" s="37" t="str">
        <f aca="false">IF(OR(C662="",D662=""),"",D662*IF(E662="",IFERROR(INDEX(Ürünler!$D$5:$D$204,MATCH(C662,Ürünler!$A$5:$A$204,0)),0),E662))</f>
        <v/>
      </c>
      <c r="H662" s="37" t="str">
        <f aca="false">IF(G662="","",D662*IFERROR(INDEX(Ürünler!$C$5:$C$204,MATCH(C662,Ürünler!$A$5:$A$204,0)),0))</f>
        <v/>
      </c>
      <c r="I662" s="37" t="str">
        <f aca="false">IF(G662="","",G662-H662)</f>
        <v/>
      </c>
      <c r="J662" s="33"/>
    </row>
    <row r="663" customFormat="false" ht="15" hidden="false" customHeight="false" outlineLevel="0" collapsed="false">
      <c r="A663" s="32"/>
      <c r="B663" s="33"/>
      <c r="C663" s="33"/>
      <c r="D663" s="34"/>
      <c r="E663" s="35"/>
      <c r="F663" s="36"/>
      <c r="G663" s="37" t="str">
        <f aca="false">IF(OR(C663="",D663=""),"",D663*IF(E663="",IFERROR(INDEX(Ürünler!$D$5:$D$204,MATCH(C663,Ürünler!$A$5:$A$204,0)),0),E663))</f>
        <v/>
      </c>
      <c r="H663" s="37" t="str">
        <f aca="false">IF(G663="","",D663*IFERROR(INDEX(Ürünler!$C$5:$C$204,MATCH(C663,Ürünler!$A$5:$A$204,0)),0))</f>
        <v/>
      </c>
      <c r="I663" s="37" t="str">
        <f aca="false">IF(G663="","",G663-H663)</f>
        <v/>
      </c>
      <c r="J663" s="33"/>
    </row>
    <row r="664" customFormat="false" ht="15" hidden="false" customHeight="false" outlineLevel="0" collapsed="false">
      <c r="A664" s="32"/>
      <c r="B664" s="33"/>
      <c r="C664" s="33"/>
      <c r="D664" s="34"/>
      <c r="E664" s="35"/>
      <c r="F664" s="36"/>
      <c r="G664" s="37" t="str">
        <f aca="false">IF(OR(C664="",D664=""),"",D664*IF(E664="",IFERROR(INDEX(Ürünler!$D$5:$D$204,MATCH(C664,Ürünler!$A$5:$A$204,0)),0),E664))</f>
        <v/>
      </c>
      <c r="H664" s="37" t="str">
        <f aca="false">IF(G664="","",D664*IFERROR(INDEX(Ürünler!$C$5:$C$204,MATCH(C664,Ürünler!$A$5:$A$204,0)),0))</f>
        <v/>
      </c>
      <c r="I664" s="37" t="str">
        <f aca="false">IF(G664="","",G664-H664)</f>
        <v/>
      </c>
      <c r="J664" s="33"/>
    </row>
    <row r="665" customFormat="false" ht="15" hidden="false" customHeight="false" outlineLevel="0" collapsed="false">
      <c r="A665" s="32"/>
      <c r="B665" s="33"/>
      <c r="C665" s="33"/>
      <c r="D665" s="34"/>
      <c r="E665" s="35"/>
      <c r="F665" s="36"/>
      <c r="G665" s="37" t="str">
        <f aca="false">IF(OR(C665="",D665=""),"",D665*IF(E665="",IFERROR(INDEX(Ürünler!$D$5:$D$204,MATCH(C665,Ürünler!$A$5:$A$204,0)),0),E665))</f>
        <v/>
      </c>
      <c r="H665" s="37" t="str">
        <f aca="false">IF(G665="","",D665*IFERROR(INDEX(Ürünler!$C$5:$C$204,MATCH(C665,Ürünler!$A$5:$A$204,0)),0))</f>
        <v/>
      </c>
      <c r="I665" s="37" t="str">
        <f aca="false">IF(G665="","",G665-H665)</f>
        <v/>
      </c>
      <c r="J665" s="33"/>
    </row>
    <row r="666" customFormat="false" ht="15" hidden="false" customHeight="false" outlineLevel="0" collapsed="false">
      <c r="A666" s="32"/>
      <c r="B666" s="33"/>
      <c r="C666" s="33"/>
      <c r="D666" s="34"/>
      <c r="E666" s="35"/>
      <c r="F666" s="36"/>
      <c r="G666" s="37" t="str">
        <f aca="false">IF(OR(C666="",D666=""),"",D666*IF(E666="",IFERROR(INDEX(Ürünler!$D$5:$D$204,MATCH(C666,Ürünler!$A$5:$A$204,0)),0),E666))</f>
        <v/>
      </c>
      <c r="H666" s="37" t="str">
        <f aca="false">IF(G666="","",D666*IFERROR(INDEX(Ürünler!$C$5:$C$204,MATCH(C666,Ürünler!$A$5:$A$204,0)),0))</f>
        <v/>
      </c>
      <c r="I666" s="37" t="str">
        <f aca="false">IF(G666="","",G666-H666)</f>
        <v/>
      </c>
      <c r="J666" s="33"/>
    </row>
    <row r="667" customFormat="false" ht="15" hidden="false" customHeight="false" outlineLevel="0" collapsed="false">
      <c r="A667" s="32"/>
      <c r="B667" s="33"/>
      <c r="C667" s="33"/>
      <c r="D667" s="34"/>
      <c r="E667" s="35"/>
      <c r="F667" s="36"/>
      <c r="G667" s="37" t="str">
        <f aca="false">IF(OR(C667="",D667=""),"",D667*IF(E667="",IFERROR(INDEX(Ürünler!$D$5:$D$204,MATCH(C667,Ürünler!$A$5:$A$204,0)),0),E667))</f>
        <v/>
      </c>
      <c r="H667" s="37" t="str">
        <f aca="false">IF(G667="","",D667*IFERROR(INDEX(Ürünler!$C$5:$C$204,MATCH(C667,Ürünler!$A$5:$A$204,0)),0))</f>
        <v/>
      </c>
      <c r="I667" s="37" t="str">
        <f aca="false">IF(G667="","",G667-H667)</f>
        <v/>
      </c>
      <c r="J667" s="33"/>
    </row>
    <row r="668" customFormat="false" ht="15" hidden="false" customHeight="false" outlineLevel="0" collapsed="false">
      <c r="A668" s="32"/>
      <c r="B668" s="33"/>
      <c r="C668" s="33"/>
      <c r="D668" s="34"/>
      <c r="E668" s="35"/>
      <c r="F668" s="36"/>
      <c r="G668" s="37" t="str">
        <f aca="false">IF(OR(C668="",D668=""),"",D668*IF(E668="",IFERROR(INDEX(Ürünler!$D$5:$D$204,MATCH(C668,Ürünler!$A$5:$A$204,0)),0),E668))</f>
        <v/>
      </c>
      <c r="H668" s="37" t="str">
        <f aca="false">IF(G668="","",D668*IFERROR(INDEX(Ürünler!$C$5:$C$204,MATCH(C668,Ürünler!$A$5:$A$204,0)),0))</f>
        <v/>
      </c>
      <c r="I668" s="37" t="str">
        <f aca="false">IF(G668="","",G668-H668)</f>
        <v/>
      </c>
      <c r="J668" s="33"/>
    </row>
    <row r="669" customFormat="false" ht="15" hidden="false" customHeight="false" outlineLevel="0" collapsed="false">
      <c r="A669" s="32"/>
      <c r="B669" s="33"/>
      <c r="C669" s="33"/>
      <c r="D669" s="34"/>
      <c r="E669" s="35"/>
      <c r="F669" s="36"/>
      <c r="G669" s="37" t="str">
        <f aca="false">IF(OR(C669="",D669=""),"",D669*IF(E669="",IFERROR(INDEX(Ürünler!$D$5:$D$204,MATCH(C669,Ürünler!$A$5:$A$204,0)),0),E669))</f>
        <v/>
      </c>
      <c r="H669" s="37" t="str">
        <f aca="false">IF(G669="","",D669*IFERROR(INDEX(Ürünler!$C$5:$C$204,MATCH(C669,Ürünler!$A$5:$A$204,0)),0))</f>
        <v/>
      </c>
      <c r="I669" s="37" t="str">
        <f aca="false">IF(G669="","",G669-H669)</f>
        <v/>
      </c>
      <c r="J669" s="33"/>
    </row>
    <row r="670" customFormat="false" ht="15" hidden="false" customHeight="false" outlineLevel="0" collapsed="false">
      <c r="A670" s="32"/>
      <c r="B670" s="33"/>
      <c r="C670" s="33"/>
      <c r="D670" s="34"/>
      <c r="E670" s="35"/>
      <c r="F670" s="36"/>
      <c r="G670" s="37" t="str">
        <f aca="false">IF(OR(C670="",D670=""),"",D670*IF(E670="",IFERROR(INDEX(Ürünler!$D$5:$D$204,MATCH(C670,Ürünler!$A$5:$A$204,0)),0),E670))</f>
        <v/>
      </c>
      <c r="H670" s="37" t="str">
        <f aca="false">IF(G670="","",D670*IFERROR(INDEX(Ürünler!$C$5:$C$204,MATCH(C670,Ürünler!$A$5:$A$204,0)),0))</f>
        <v/>
      </c>
      <c r="I670" s="37" t="str">
        <f aca="false">IF(G670="","",G670-H670)</f>
        <v/>
      </c>
      <c r="J670" s="33"/>
    </row>
    <row r="671" customFormat="false" ht="15" hidden="false" customHeight="false" outlineLevel="0" collapsed="false">
      <c r="A671" s="32"/>
      <c r="B671" s="33"/>
      <c r="C671" s="33"/>
      <c r="D671" s="34"/>
      <c r="E671" s="35"/>
      <c r="F671" s="36"/>
      <c r="G671" s="37" t="str">
        <f aca="false">IF(OR(C671="",D671=""),"",D671*IF(E671="",IFERROR(INDEX(Ürünler!$D$5:$D$204,MATCH(C671,Ürünler!$A$5:$A$204,0)),0),E671))</f>
        <v/>
      </c>
      <c r="H671" s="37" t="str">
        <f aca="false">IF(G671="","",D671*IFERROR(INDEX(Ürünler!$C$5:$C$204,MATCH(C671,Ürünler!$A$5:$A$204,0)),0))</f>
        <v/>
      </c>
      <c r="I671" s="37" t="str">
        <f aca="false">IF(G671="","",G671-H671)</f>
        <v/>
      </c>
      <c r="J671" s="33"/>
    </row>
    <row r="672" customFormat="false" ht="15" hidden="false" customHeight="false" outlineLevel="0" collapsed="false">
      <c r="A672" s="32"/>
      <c r="B672" s="33"/>
      <c r="C672" s="33"/>
      <c r="D672" s="34"/>
      <c r="E672" s="35"/>
      <c r="F672" s="36"/>
      <c r="G672" s="37" t="str">
        <f aca="false">IF(OR(C672="",D672=""),"",D672*IF(E672="",IFERROR(INDEX(Ürünler!$D$5:$D$204,MATCH(C672,Ürünler!$A$5:$A$204,0)),0),E672))</f>
        <v/>
      </c>
      <c r="H672" s="37" t="str">
        <f aca="false">IF(G672="","",D672*IFERROR(INDEX(Ürünler!$C$5:$C$204,MATCH(C672,Ürünler!$A$5:$A$204,0)),0))</f>
        <v/>
      </c>
      <c r="I672" s="37" t="str">
        <f aca="false">IF(G672="","",G672-H672)</f>
        <v/>
      </c>
      <c r="J672" s="33"/>
    </row>
    <row r="673" customFormat="false" ht="15" hidden="false" customHeight="false" outlineLevel="0" collapsed="false">
      <c r="A673" s="32"/>
      <c r="B673" s="33"/>
      <c r="C673" s="33"/>
      <c r="D673" s="34"/>
      <c r="E673" s="35"/>
      <c r="F673" s="36"/>
      <c r="G673" s="37" t="str">
        <f aca="false">IF(OR(C673="",D673=""),"",D673*IF(E673="",IFERROR(INDEX(Ürünler!$D$5:$D$204,MATCH(C673,Ürünler!$A$5:$A$204,0)),0),E673))</f>
        <v/>
      </c>
      <c r="H673" s="37" t="str">
        <f aca="false">IF(G673="","",D673*IFERROR(INDEX(Ürünler!$C$5:$C$204,MATCH(C673,Ürünler!$A$5:$A$204,0)),0))</f>
        <v/>
      </c>
      <c r="I673" s="37" t="str">
        <f aca="false">IF(G673="","",G673-H673)</f>
        <v/>
      </c>
      <c r="J673" s="33"/>
    </row>
    <row r="674" customFormat="false" ht="15" hidden="false" customHeight="false" outlineLevel="0" collapsed="false">
      <c r="A674" s="32"/>
      <c r="B674" s="33"/>
      <c r="C674" s="33"/>
      <c r="D674" s="34"/>
      <c r="E674" s="35"/>
      <c r="F674" s="36"/>
      <c r="G674" s="37" t="str">
        <f aca="false">IF(OR(C674="",D674=""),"",D674*IF(E674="",IFERROR(INDEX(Ürünler!$D$5:$D$204,MATCH(C674,Ürünler!$A$5:$A$204,0)),0),E674))</f>
        <v/>
      </c>
      <c r="H674" s="37" t="str">
        <f aca="false">IF(G674="","",D674*IFERROR(INDEX(Ürünler!$C$5:$C$204,MATCH(C674,Ürünler!$A$5:$A$204,0)),0))</f>
        <v/>
      </c>
      <c r="I674" s="37" t="str">
        <f aca="false">IF(G674="","",G674-H674)</f>
        <v/>
      </c>
      <c r="J674" s="33"/>
    </row>
    <row r="675" customFormat="false" ht="15" hidden="false" customHeight="false" outlineLevel="0" collapsed="false">
      <c r="A675" s="32"/>
      <c r="B675" s="33"/>
      <c r="C675" s="33"/>
      <c r="D675" s="34"/>
      <c r="E675" s="35"/>
      <c r="F675" s="36"/>
      <c r="G675" s="37" t="str">
        <f aca="false">IF(OR(C675="",D675=""),"",D675*IF(E675="",IFERROR(INDEX(Ürünler!$D$5:$D$204,MATCH(C675,Ürünler!$A$5:$A$204,0)),0),E675))</f>
        <v/>
      </c>
      <c r="H675" s="37" t="str">
        <f aca="false">IF(G675="","",D675*IFERROR(INDEX(Ürünler!$C$5:$C$204,MATCH(C675,Ürünler!$A$5:$A$204,0)),0))</f>
        <v/>
      </c>
      <c r="I675" s="37" t="str">
        <f aca="false">IF(G675="","",G675-H675)</f>
        <v/>
      </c>
      <c r="J675" s="33"/>
    </row>
    <row r="676" customFormat="false" ht="15" hidden="false" customHeight="false" outlineLevel="0" collapsed="false">
      <c r="A676" s="32"/>
      <c r="B676" s="33"/>
      <c r="C676" s="33"/>
      <c r="D676" s="34"/>
      <c r="E676" s="35"/>
      <c r="F676" s="36"/>
      <c r="G676" s="37" t="str">
        <f aca="false">IF(OR(C676="",D676=""),"",D676*IF(E676="",IFERROR(INDEX(Ürünler!$D$5:$D$204,MATCH(C676,Ürünler!$A$5:$A$204,0)),0),E676))</f>
        <v/>
      </c>
      <c r="H676" s="37" t="str">
        <f aca="false">IF(G676="","",D676*IFERROR(INDEX(Ürünler!$C$5:$C$204,MATCH(C676,Ürünler!$A$5:$A$204,0)),0))</f>
        <v/>
      </c>
      <c r="I676" s="37" t="str">
        <f aca="false">IF(G676="","",G676-H676)</f>
        <v/>
      </c>
      <c r="J676" s="33"/>
    </row>
    <row r="677" customFormat="false" ht="15" hidden="false" customHeight="false" outlineLevel="0" collapsed="false">
      <c r="A677" s="32"/>
      <c r="B677" s="33"/>
      <c r="C677" s="33"/>
      <c r="D677" s="34"/>
      <c r="E677" s="35"/>
      <c r="F677" s="36"/>
      <c r="G677" s="37" t="str">
        <f aca="false">IF(OR(C677="",D677=""),"",D677*IF(E677="",IFERROR(INDEX(Ürünler!$D$5:$D$204,MATCH(C677,Ürünler!$A$5:$A$204,0)),0),E677))</f>
        <v/>
      </c>
      <c r="H677" s="37" t="str">
        <f aca="false">IF(G677="","",D677*IFERROR(INDEX(Ürünler!$C$5:$C$204,MATCH(C677,Ürünler!$A$5:$A$204,0)),0))</f>
        <v/>
      </c>
      <c r="I677" s="37" t="str">
        <f aca="false">IF(G677="","",G677-H677)</f>
        <v/>
      </c>
      <c r="J677" s="33"/>
    </row>
    <row r="678" customFormat="false" ht="15" hidden="false" customHeight="false" outlineLevel="0" collapsed="false">
      <c r="A678" s="32"/>
      <c r="B678" s="33"/>
      <c r="C678" s="33"/>
      <c r="D678" s="34"/>
      <c r="E678" s="35"/>
      <c r="F678" s="36"/>
      <c r="G678" s="37" t="str">
        <f aca="false">IF(OR(C678="",D678=""),"",D678*IF(E678="",IFERROR(INDEX(Ürünler!$D$5:$D$204,MATCH(C678,Ürünler!$A$5:$A$204,0)),0),E678))</f>
        <v/>
      </c>
      <c r="H678" s="37" t="str">
        <f aca="false">IF(G678="","",D678*IFERROR(INDEX(Ürünler!$C$5:$C$204,MATCH(C678,Ürünler!$A$5:$A$204,0)),0))</f>
        <v/>
      </c>
      <c r="I678" s="37" t="str">
        <f aca="false">IF(G678="","",G678-H678)</f>
        <v/>
      </c>
      <c r="J678" s="33"/>
    </row>
    <row r="679" customFormat="false" ht="15" hidden="false" customHeight="false" outlineLevel="0" collapsed="false">
      <c r="A679" s="32"/>
      <c r="B679" s="33"/>
      <c r="C679" s="33"/>
      <c r="D679" s="34"/>
      <c r="E679" s="35"/>
      <c r="F679" s="36"/>
      <c r="G679" s="37" t="str">
        <f aca="false">IF(OR(C679="",D679=""),"",D679*IF(E679="",IFERROR(INDEX(Ürünler!$D$5:$D$204,MATCH(C679,Ürünler!$A$5:$A$204,0)),0),E679))</f>
        <v/>
      </c>
      <c r="H679" s="37" t="str">
        <f aca="false">IF(G679="","",D679*IFERROR(INDEX(Ürünler!$C$5:$C$204,MATCH(C679,Ürünler!$A$5:$A$204,0)),0))</f>
        <v/>
      </c>
      <c r="I679" s="37" t="str">
        <f aca="false">IF(G679="","",G679-H679)</f>
        <v/>
      </c>
      <c r="J679" s="33"/>
    </row>
    <row r="680" customFormat="false" ht="15" hidden="false" customHeight="false" outlineLevel="0" collapsed="false">
      <c r="A680" s="32"/>
      <c r="B680" s="33"/>
      <c r="C680" s="33"/>
      <c r="D680" s="34"/>
      <c r="E680" s="35"/>
      <c r="F680" s="36"/>
      <c r="G680" s="37" t="str">
        <f aca="false">IF(OR(C680="",D680=""),"",D680*IF(E680="",IFERROR(INDEX(Ürünler!$D$5:$D$204,MATCH(C680,Ürünler!$A$5:$A$204,0)),0),E680))</f>
        <v/>
      </c>
      <c r="H680" s="37" t="str">
        <f aca="false">IF(G680="","",D680*IFERROR(INDEX(Ürünler!$C$5:$C$204,MATCH(C680,Ürünler!$A$5:$A$204,0)),0))</f>
        <v/>
      </c>
      <c r="I680" s="37" t="str">
        <f aca="false">IF(G680="","",G680-H680)</f>
        <v/>
      </c>
      <c r="J680" s="33"/>
    </row>
    <row r="681" customFormat="false" ht="15" hidden="false" customHeight="false" outlineLevel="0" collapsed="false">
      <c r="A681" s="32"/>
      <c r="B681" s="33"/>
      <c r="C681" s="33"/>
      <c r="D681" s="34"/>
      <c r="E681" s="35"/>
      <c r="F681" s="36"/>
      <c r="G681" s="37" t="str">
        <f aca="false">IF(OR(C681="",D681=""),"",D681*IF(E681="",IFERROR(INDEX(Ürünler!$D$5:$D$204,MATCH(C681,Ürünler!$A$5:$A$204,0)),0),E681))</f>
        <v/>
      </c>
      <c r="H681" s="37" t="str">
        <f aca="false">IF(G681="","",D681*IFERROR(INDEX(Ürünler!$C$5:$C$204,MATCH(C681,Ürünler!$A$5:$A$204,0)),0))</f>
        <v/>
      </c>
      <c r="I681" s="37" t="str">
        <f aca="false">IF(G681="","",G681-H681)</f>
        <v/>
      </c>
      <c r="J681" s="33"/>
    </row>
    <row r="682" customFormat="false" ht="15" hidden="false" customHeight="false" outlineLevel="0" collapsed="false">
      <c r="A682" s="32"/>
      <c r="B682" s="33"/>
      <c r="C682" s="33"/>
      <c r="D682" s="34"/>
      <c r="E682" s="35"/>
      <c r="F682" s="36"/>
      <c r="G682" s="37" t="str">
        <f aca="false">IF(OR(C682="",D682=""),"",D682*IF(E682="",IFERROR(INDEX(Ürünler!$D$5:$D$204,MATCH(C682,Ürünler!$A$5:$A$204,0)),0),E682))</f>
        <v/>
      </c>
      <c r="H682" s="37" t="str">
        <f aca="false">IF(G682="","",D682*IFERROR(INDEX(Ürünler!$C$5:$C$204,MATCH(C682,Ürünler!$A$5:$A$204,0)),0))</f>
        <v/>
      </c>
      <c r="I682" s="37" t="str">
        <f aca="false">IF(G682="","",G682-H682)</f>
        <v/>
      </c>
      <c r="J682" s="33"/>
    </row>
    <row r="683" customFormat="false" ht="15" hidden="false" customHeight="false" outlineLevel="0" collapsed="false">
      <c r="A683" s="32"/>
      <c r="B683" s="33"/>
      <c r="C683" s="33"/>
      <c r="D683" s="34"/>
      <c r="E683" s="35"/>
      <c r="F683" s="36"/>
      <c r="G683" s="37" t="str">
        <f aca="false">IF(OR(C683="",D683=""),"",D683*IF(E683="",IFERROR(INDEX(Ürünler!$D$5:$D$204,MATCH(C683,Ürünler!$A$5:$A$204,0)),0),E683))</f>
        <v/>
      </c>
      <c r="H683" s="37" t="str">
        <f aca="false">IF(G683="","",D683*IFERROR(INDEX(Ürünler!$C$5:$C$204,MATCH(C683,Ürünler!$A$5:$A$204,0)),0))</f>
        <v/>
      </c>
      <c r="I683" s="37" t="str">
        <f aca="false">IF(G683="","",G683-H683)</f>
        <v/>
      </c>
      <c r="J683" s="33"/>
    </row>
    <row r="684" customFormat="false" ht="15" hidden="false" customHeight="false" outlineLevel="0" collapsed="false">
      <c r="A684" s="32"/>
      <c r="B684" s="33"/>
      <c r="C684" s="33"/>
      <c r="D684" s="34"/>
      <c r="E684" s="35"/>
      <c r="F684" s="36"/>
      <c r="G684" s="37" t="str">
        <f aca="false">IF(OR(C684="",D684=""),"",D684*IF(E684="",IFERROR(INDEX(Ürünler!$D$5:$D$204,MATCH(C684,Ürünler!$A$5:$A$204,0)),0),E684))</f>
        <v/>
      </c>
      <c r="H684" s="37" t="str">
        <f aca="false">IF(G684="","",D684*IFERROR(INDEX(Ürünler!$C$5:$C$204,MATCH(C684,Ürünler!$A$5:$A$204,0)),0))</f>
        <v/>
      </c>
      <c r="I684" s="37" t="str">
        <f aca="false">IF(G684="","",G684-H684)</f>
        <v/>
      </c>
      <c r="J684" s="33"/>
    </row>
    <row r="685" customFormat="false" ht="15" hidden="false" customHeight="false" outlineLevel="0" collapsed="false">
      <c r="A685" s="32"/>
      <c r="B685" s="33"/>
      <c r="C685" s="33"/>
      <c r="D685" s="34"/>
      <c r="E685" s="35"/>
      <c r="F685" s="36"/>
      <c r="G685" s="37" t="str">
        <f aca="false">IF(OR(C685="",D685=""),"",D685*IF(E685="",IFERROR(INDEX(Ürünler!$D$5:$D$204,MATCH(C685,Ürünler!$A$5:$A$204,0)),0),E685))</f>
        <v/>
      </c>
      <c r="H685" s="37" t="str">
        <f aca="false">IF(G685="","",D685*IFERROR(INDEX(Ürünler!$C$5:$C$204,MATCH(C685,Ürünler!$A$5:$A$204,0)),0))</f>
        <v/>
      </c>
      <c r="I685" s="37" t="str">
        <f aca="false">IF(G685="","",G685-H685)</f>
        <v/>
      </c>
      <c r="J685" s="33"/>
    </row>
    <row r="686" customFormat="false" ht="15" hidden="false" customHeight="false" outlineLevel="0" collapsed="false">
      <c r="A686" s="32"/>
      <c r="B686" s="33"/>
      <c r="C686" s="33"/>
      <c r="D686" s="34"/>
      <c r="E686" s="35"/>
      <c r="F686" s="36"/>
      <c r="G686" s="37" t="str">
        <f aca="false">IF(OR(C686="",D686=""),"",D686*IF(E686="",IFERROR(INDEX(Ürünler!$D$5:$D$204,MATCH(C686,Ürünler!$A$5:$A$204,0)),0),E686))</f>
        <v/>
      </c>
      <c r="H686" s="37" t="str">
        <f aca="false">IF(G686="","",D686*IFERROR(INDEX(Ürünler!$C$5:$C$204,MATCH(C686,Ürünler!$A$5:$A$204,0)),0))</f>
        <v/>
      </c>
      <c r="I686" s="37" t="str">
        <f aca="false">IF(G686="","",G686-H686)</f>
        <v/>
      </c>
      <c r="J686" s="33"/>
    </row>
    <row r="687" customFormat="false" ht="15" hidden="false" customHeight="false" outlineLevel="0" collapsed="false">
      <c r="A687" s="32"/>
      <c r="B687" s="33"/>
      <c r="C687" s="33"/>
      <c r="D687" s="34"/>
      <c r="E687" s="35"/>
      <c r="F687" s="36"/>
      <c r="G687" s="37" t="str">
        <f aca="false">IF(OR(C687="",D687=""),"",D687*IF(E687="",IFERROR(INDEX(Ürünler!$D$5:$D$204,MATCH(C687,Ürünler!$A$5:$A$204,0)),0),E687))</f>
        <v/>
      </c>
      <c r="H687" s="37" t="str">
        <f aca="false">IF(G687="","",D687*IFERROR(INDEX(Ürünler!$C$5:$C$204,MATCH(C687,Ürünler!$A$5:$A$204,0)),0))</f>
        <v/>
      </c>
      <c r="I687" s="37" t="str">
        <f aca="false">IF(G687="","",G687-H687)</f>
        <v/>
      </c>
      <c r="J687" s="33"/>
    </row>
    <row r="688" customFormat="false" ht="15" hidden="false" customHeight="false" outlineLevel="0" collapsed="false">
      <c r="A688" s="32"/>
      <c r="B688" s="33"/>
      <c r="C688" s="33"/>
      <c r="D688" s="34"/>
      <c r="E688" s="35"/>
      <c r="F688" s="36"/>
      <c r="G688" s="37" t="str">
        <f aca="false">IF(OR(C688="",D688=""),"",D688*IF(E688="",IFERROR(INDEX(Ürünler!$D$5:$D$204,MATCH(C688,Ürünler!$A$5:$A$204,0)),0),E688))</f>
        <v/>
      </c>
      <c r="H688" s="37" t="str">
        <f aca="false">IF(G688="","",D688*IFERROR(INDEX(Ürünler!$C$5:$C$204,MATCH(C688,Ürünler!$A$5:$A$204,0)),0))</f>
        <v/>
      </c>
      <c r="I688" s="37" t="str">
        <f aca="false">IF(G688="","",G688-H688)</f>
        <v/>
      </c>
      <c r="J688" s="33"/>
    </row>
    <row r="689" customFormat="false" ht="15" hidden="false" customHeight="false" outlineLevel="0" collapsed="false">
      <c r="A689" s="32"/>
      <c r="B689" s="33"/>
      <c r="C689" s="33"/>
      <c r="D689" s="34"/>
      <c r="E689" s="35"/>
      <c r="F689" s="36"/>
      <c r="G689" s="37" t="str">
        <f aca="false">IF(OR(C689="",D689=""),"",D689*IF(E689="",IFERROR(INDEX(Ürünler!$D$5:$D$204,MATCH(C689,Ürünler!$A$5:$A$204,0)),0),E689))</f>
        <v/>
      </c>
      <c r="H689" s="37" t="str">
        <f aca="false">IF(G689="","",D689*IFERROR(INDEX(Ürünler!$C$5:$C$204,MATCH(C689,Ürünler!$A$5:$A$204,0)),0))</f>
        <v/>
      </c>
      <c r="I689" s="37" t="str">
        <f aca="false">IF(G689="","",G689-H689)</f>
        <v/>
      </c>
      <c r="J689" s="33"/>
    </row>
    <row r="690" customFormat="false" ht="15" hidden="false" customHeight="false" outlineLevel="0" collapsed="false">
      <c r="A690" s="32"/>
      <c r="B690" s="33"/>
      <c r="C690" s="33"/>
      <c r="D690" s="34"/>
      <c r="E690" s="35"/>
      <c r="F690" s="36"/>
      <c r="G690" s="37" t="str">
        <f aca="false">IF(OR(C690="",D690=""),"",D690*IF(E690="",IFERROR(INDEX(Ürünler!$D$5:$D$204,MATCH(C690,Ürünler!$A$5:$A$204,0)),0),E690))</f>
        <v/>
      </c>
      <c r="H690" s="37" t="str">
        <f aca="false">IF(G690="","",D690*IFERROR(INDEX(Ürünler!$C$5:$C$204,MATCH(C690,Ürünler!$A$5:$A$204,0)),0))</f>
        <v/>
      </c>
      <c r="I690" s="37" t="str">
        <f aca="false">IF(G690="","",G690-H690)</f>
        <v/>
      </c>
      <c r="J690" s="33"/>
    </row>
    <row r="691" customFormat="false" ht="15" hidden="false" customHeight="false" outlineLevel="0" collapsed="false">
      <c r="A691" s="32"/>
      <c r="B691" s="33"/>
      <c r="C691" s="33"/>
      <c r="D691" s="34"/>
      <c r="E691" s="35"/>
      <c r="F691" s="36"/>
      <c r="G691" s="37" t="str">
        <f aca="false">IF(OR(C691="",D691=""),"",D691*IF(E691="",IFERROR(INDEX(Ürünler!$D$5:$D$204,MATCH(C691,Ürünler!$A$5:$A$204,0)),0),E691))</f>
        <v/>
      </c>
      <c r="H691" s="37" t="str">
        <f aca="false">IF(G691="","",D691*IFERROR(INDEX(Ürünler!$C$5:$C$204,MATCH(C691,Ürünler!$A$5:$A$204,0)),0))</f>
        <v/>
      </c>
      <c r="I691" s="37" t="str">
        <f aca="false">IF(G691="","",G691-H691)</f>
        <v/>
      </c>
      <c r="J691" s="33"/>
    </row>
    <row r="692" customFormat="false" ht="15" hidden="false" customHeight="false" outlineLevel="0" collapsed="false">
      <c r="A692" s="32"/>
      <c r="B692" s="33"/>
      <c r="C692" s="33"/>
      <c r="D692" s="34"/>
      <c r="E692" s="35"/>
      <c r="F692" s="36"/>
      <c r="G692" s="37" t="str">
        <f aca="false">IF(OR(C692="",D692=""),"",D692*IF(E692="",IFERROR(INDEX(Ürünler!$D$5:$D$204,MATCH(C692,Ürünler!$A$5:$A$204,0)),0),E692))</f>
        <v/>
      </c>
      <c r="H692" s="37" t="str">
        <f aca="false">IF(G692="","",D692*IFERROR(INDEX(Ürünler!$C$5:$C$204,MATCH(C692,Ürünler!$A$5:$A$204,0)),0))</f>
        <v/>
      </c>
      <c r="I692" s="37" t="str">
        <f aca="false">IF(G692="","",G692-H692)</f>
        <v/>
      </c>
      <c r="J692" s="33"/>
    </row>
    <row r="693" customFormat="false" ht="15" hidden="false" customHeight="false" outlineLevel="0" collapsed="false">
      <c r="A693" s="32"/>
      <c r="B693" s="33"/>
      <c r="C693" s="33"/>
      <c r="D693" s="34"/>
      <c r="E693" s="35"/>
      <c r="F693" s="36"/>
      <c r="G693" s="37" t="str">
        <f aca="false">IF(OR(C693="",D693=""),"",D693*IF(E693="",IFERROR(INDEX(Ürünler!$D$5:$D$204,MATCH(C693,Ürünler!$A$5:$A$204,0)),0),E693))</f>
        <v/>
      </c>
      <c r="H693" s="37" t="str">
        <f aca="false">IF(G693="","",D693*IFERROR(INDEX(Ürünler!$C$5:$C$204,MATCH(C693,Ürünler!$A$5:$A$204,0)),0))</f>
        <v/>
      </c>
      <c r="I693" s="37" t="str">
        <f aca="false">IF(G693="","",G693-H693)</f>
        <v/>
      </c>
      <c r="J693" s="33"/>
    </row>
    <row r="694" customFormat="false" ht="15" hidden="false" customHeight="false" outlineLevel="0" collapsed="false">
      <c r="A694" s="32"/>
      <c r="B694" s="33"/>
      <c r="C694" s="33"/>
      <c r="D694" s="34"/>
      <c r="E694" s="35"/>
      <c r="F694" s="36"/>
      <c r="G694" s="37" t="str">
        <f aca="false">IF(OR(C694="",D694=""),"",D694*IF(E694="",IFERROR(INDEX(Ürünler!$D$5:$D$204,MATCH(C694,Ürünler!$A$5:$A$204,0)),0),E694))</f>
        <v/>
      </c>
      <c r="H694" s="37" t="str">
        <f aca="false">IF(G694="","",D694*IFERROR(INDEX(Ürünler!$C$5:$C$204,MATCH(C694,Ürünler!$A$5:$A$204,0)),0))</f>
        <v/>
      </c>
      <c r="I694" s="37" t="str">
        <f aca="false">IF(G694="","",G694-H694)</f>
        <v/>
      </c>
      <c r="J694" s="33"/>
    </row>
    <row r="695" customFormat="false" ht="15" hidden="false" customHeight="false" outlineLevel="0" collapsed="false">
      <c r="A695" s="32"/>
      <c r="B695" s="33"/>
      <c r="C695" s="33"/>
      <c r="D695" s="34"/>
      <c r="E695" s="35"/>
      <c r="F695" s="36"/>
      <c r="G695" s="37" t="str">
        <f aca="false">IF(OR(C695="",D695=""),"",D695*IF(E695="",IFERROR(INDEX(Ürünler!$D$5:$D$204,MATCH(C695,Ürünler!$A$5:$A$204,0)),0),E695))</f>
        <v/>
      </c>
      <c r="H695" s="37" t="str">
        <f aca="false">IF(G695="","",D695*IFERROR(INDEX(Ürünler!$C$5:$C$204,MATCH(C695,Ürünler!$A$5:$A$204,0)),0))</f>
        <v/>
      </c>
      <c r="I695" s="37" t="str">
        <f aca="false">IF(G695="","",G695-H695)</f>
        <v/>
      </c>
      <c r="J695" s="33"/>
    </row>
    <row r="696" customFormat="false" ht="15" hidden="false" customHeight="false" outlineLevel="0" collapsed="false">
      <c r="A696" s="32"/>
      <c r="B696" s="33"/>
      <c r="C696" s="33"/>
      <c r="D696" s="34"/>
      <c r="E696" s="35"/>
      <c r="F696" s="36"/>
      <c r="G696" s="37" t="str">
        <f aca="false">IF(OR(C696="",D696=""),"",D696*IF(E696="",IFERROR(INDEX(Ürünler!$D$5:$D$204,MATCH(C696,Ürünler!$A$5:$A$204,0)),0),E696))</f>
        <v/>
      </c>
      <c r="H696" s="37" t="str">
        <f aca="false">IF(G696="","",D696*IFERROR(INDEX(Ürünler!$C$5:$C$204,MATCH(C696,Ürünler!$A$5:$A$204,0)),0))</f>
        <v/>
      </c>
      <c r="I696" s="37" t="str">
        <f aca="false">IF(G696="","",G696-H696)</f>
        <v/>
      </c>
      <c r="J696" s="33"/>
    </row>
    <row r="697" customFormat="false" ht="15" hidden="false" customHeight="false" outlineLevel="0" collapsed="false">
      <c r="A697" s="32"/>
      <c r="B697" s="33"/>
      <c r="C697" s="33"/>
      <c r="D697" s="34"/>
      <c r="E697" s="35"/>
      <c r="F697" s="36"/>
      <c r="G697" s="37" t="str">
        <f aca="false">IF(OR(C697="",D697=""),"",D697*IF(E697="",IFERROR(INDEX(Ürünler!$D$5:$D$204,MATCH(C697,Ürünler!$A$5:$A$204,0)),0),E697))</f>
        <v/>
      </c>
      <c r="H697" s="37" t="str">
        <f aca="false">IF(G697="","",D697*IFERROR(INDEX(Ürünler!$C$5:$C$204,MATCH(C697,Ürünler!$A$5:$A$204,0)),0))</f>
        <v/>
      </c>
      <c r="I697" s="37" t="str">
        <f aca="false">IF(G697="","",G697-H697)</f>
        <v/>
      </c>
      <c r="J697" s="33"/>
    </row>
    <row r="698" customFormat="false" ht="15" hidden="false" customHeight="false" outlineLevel="0" collapsed="false">
      <c r="A698" s="32"/>
      <c r="B698" s="33"/>
      <c r="C698" s="33"/>
      <c r="D698" s="34"/>
      <c r="E698" s="35"/>
      <c r="F698" s="36"/>
      <c r="G698" s="37" t="str">
        <f aca="false">IF(OR(C698="",D698=""),"",D698*IF(E698="",IFERROR(INDEX(Ürünler!$D$5:$D$204,MATCH(C698,Ürünler!$A$5:$A$204,0)),0),E698))</f>
        <v/>
      </c>
      <c r="H698" s="37" t="str">
        <f aca="false">IF(G698="","",D698*IFERROR(INDEX(Ürünler!$C$5:$C$204,MATCH(C698,Ürünler!$A$5:$A$204,0)),0))</f>
        <v/>
      </c>
      <c r="I698" s="37" t="str">
        <f aca="false">IF(G698="","",G698-H698)</f>
        <v/>
      </c>
      <c r="J698" s="33"/>
    </row>
    <row r="699" customFormat="false" ht="15" hidden="false" customHeight="false" outlineLevel="0" collapsed="false">
      <c r="A699" s="32"/>
      <c r="B699" s="33"/>
      <c r="C699" s="33"/>
      <c r="D699" s="34"/>
      <c r="E699" s="35"/>
      <c r="F699" s="36"/>
      <c r="G699" s="37" t="str">
        <f aca="false">IF(OR(C699="",D699=""),"",D699*IF(E699="",IFERROR(INDEX(Ürünler!$D$5:$D$204,MATCH(C699,Ürünler!$A$5:$A$204,0)),0),E699))</f>
        <v/>
      </c>
      <c r="H699" s="37" t="str">
        <f aca="false">IF(G699="","",D699*IFERROR(INDEX(Ürünler!$C$5:$C$204,MATCH(C699,Ürünler!$A$5:$A$204,0)),0))</f>
        <v/>
      </c>
      <c r="I699" s="37" t="str">
        <f aca="false">IF(G699="","",G699-H699)</f>
        <v/>
      </c>
      <c r="J699" s="33"/>
    </row>
    <row r="700" customFormat="false" ht="15" hidden="false" customHeight="false" outlineLevel="0" collapsed="false">
      <c r="A700" s="32"/>
      <c r="B700" s="33"/>
      <c r="C700" s="33"/>
      <c r="D700" s="34"/>
      <c r="E700" s="35"/>
      <c r="F700" s="36"/>
      <c r="G700" s="37" t="str">
        <f aca="false">IF(OR(C700="",D700=""),"",D700*IF(E700="",IFERROR(INDEX(Ürünler!$D$5:$D$204,MATCH(C700,Ürünler!$A$5:$A$204,0)),0),E700))</f>
        <v/>
      </c>
      <c r="H700" s="37" t="str">
        <f aca="false">IF(G700="","",D700*IFERROR(INDEX(Ürünler!$C$5:$C$204,MATCH(C700,Ürünler!$A$5:$A$204,0)),0))</f>
        <v/>
      </c>
      <c r="I700" s="37" t="str">
        <f aca="false">IF(G700="","",G700-H700)</f>
        <v/>
      </c>
      <c r="J700" s="33"/>
    </row>
    <row r="701" customFormat="false" ht="15" hidden="false" customHeight="false" outlineLevel="0" collapsed="false">
      <c r="A701" s="32"/>
      <c r="B701" s="33"/>
      <c r="C701" s="33"/>
      <c r="D701" s="34"/>
      <c r="E701" s="35"/>
      <c r="F701" s="36"/>
      <c r="G701" s="37" t="str">
        <f aca="false">IF(OR(C701="",D701=""),"",D701*IF(E701="",IFERROR(INDEX(Ürünler!$D$5:$D$204,MATCH(C701,Ürünler!$A$5:$A$204,0)),0),E701))</f>
        <v/>
      </c>
      <c r="H701" s="37" t="str">
        <f aca="false">IF(G701="","",D701*IFERROR(INDEX(Ürünler!$C$5:$C$204,MATCH(C701,Ürünler!$A$5:$A$204,0)),0))</f>
        <v/>
      </c>
      <c r="I701" s="37" t="str">
        <f aca="false">IF(G701="","",G701-H701)</f>
        <v/>
      </c>
      <c r="J701" s="33"/>
    </row>
    <row r="702" customFormat="false" ht="15" hidden="false" customHeight="false" outlineLevel="0" collapsed="false">
      <c r="A702" s="32"/>
      <c r="B702" s="33"/>
      <c r="C702" s="33"/>
      <c r="D702" s="34"/>
      <c r="E702" s="35"/>
      <c r="F702" s="36"/>
      <c r="G702" s="37" t="str">
        <f aca="false">IF(OR(C702="",D702=""),"",D702*IF(E702="",IFERROR(INDEX(Ürünler!$D$5:$D$204,MATCH(C702,Ürünler!$A$5:$A$204,0)),0),E702))</f>
        <v/>
      </c>
      <c r="H702" s="37" t="str">
        <f aca="false">IF(G702="","",D702*IFERROR(INDEX(Ürünler!$C$5:$C$204,MATCH(C702,Ürünler!$A$5:$A$204,0)),0))</f>
        <v/>
      </c>
      <c r="I702" s="37" t="str">
        <f aca="false">IF(G702="","",G702-H702)</f>
        <v/>
      </c>
      <c r="J702" s="33"/>
    </row>
    <row r="703" customFormat="false" ht="15" hidden="false" customHeight="false" outlineLevel="0" collapsed="false">
      <c r="A703" s="32"/>
      <c r="B703" s="33"/>
      <c r="C703" s="33"/>
      <c r="D703" s="34"/>
      <c r="E703" s="35"/>
      <c r="F703" s="36"/>
      <c r="G703" s="37" t="str">
        <f aca="false">IF(OR(C703="",D703=""),"",D703*IF(E703="",IFERROR(INDEX(Ürünler!$D$5:$D$204,MATCH(C703,Ürünler!$A$5:$A$204,0)),0),E703))</f>
        <v/>
      </c>
      <c r="H703" s="37" t="str">
        <f aca="false">IF(G703="","",D703*IFERROR(INDEX(Ürünler!$C$5:$C$204,MATCH(C703,Ürünler!$A$5:$A$204,0)),0))</f>
        <v/>
      </c>
      <c r="I703" s="37" t="str">
        <f aca="false">IF(G703="","",G703-H703)</f>
        <v/>
      </c>
      <c r="J703" s="33"/>
    </row>
    <row r="704" customFormat="false" ht="15" hidden="false" customHeight="false" outlineLevel="0" collapsed="false">
      <c r="A704" s="32"/>
      <c r="B704" s="33"/>
      <c r="C704" s="33"/>
      <c r="D704" s="34"/>
      <c r="E704" s="35"/>
      <c r="F704" s="36"/>
      <c r="G704" s="37" t="str">
        <f aca="false">IF(OR(C704="",D704=""),"",D704*IF(E704="",IFERROR(INDEX(Ürünler!$D$5:$D$204,MATCH(C704,Ürünler!$A$5:$A$204,0)),0),E704))</f>
        <v/>
      </c>
      <c r="H704" s="37" t="str">
        <f aca="false">IF(G704="","",D704*IFERROR(INDEX(Ürünler!$C$5:$C$204,MATCH(C704,Ürünler!$A$5:$A$204,0)),0))</f>
        <v/>
      </c>
      <c r="I704" s="37" t="str">
        <f aca="false">IF(G704="","",G704-H704)</f>
        <v/>
      </c>
      <c r="J704" s="33"/>
    </row>
    <row r="705" customFormat="false" ht="15" hidden="false" customHeight="false" outlineLevel="0" collapsed="false">
      <c r="A705" s="32"/>
      <c r="B705" s="33"/>
      <c r="C705" s="33"/>
      <c r="D705" s="34"/>
      <c r="E705" s="35"/>
      <c r="F705" s="36"/>
      <c r="G705" s="37" t="str">
        <f aca="false">IF(OR(C705="",D705=""),"",D705*IF(E705="",IFERROR(INDEX(Ürünler!$D$5:$D$204,MATCH(C705,Ürünler!$A$5:$A$204,0)),0),E705))</f>
        <v/>
      </c>
      <c r="H705" s="37" t="str">
        <f aca="false">IF(G705="","",D705*IFERROR(INDEX(Ürünler!$C$5:$C$204,MATCH(C705,Ürünler!$A$5:$A$204,0)),0))</f>
        <v/>
      </c>
      <c r="I705" s="37" t="str">
        <f aca="false">IF(G705="","",G705-H705)</f>
        <v/>
      </c>
      <c r="J705" s="33"/>
    </row>
    <row r="706" customFormat="false" ht="15" hidden="false" customHeight="false" outlineLevel="0" collapsed="false">
      <c r="A706" s="32"/>
      <c r="B706" s="33"/>
      <c r="C706" s="33"/>
      <c r="D706" s="34"/>
      <c r="E706" s="35"/>
      <c r="F706" s="36"/>
      <c r="G706" s="37" t="str">
        <f aca="false">IF(OR(C706="",D706=""),"",D706*IF(E706="",IFERROR(INDEX(Ürünler!$D$5:$D$204,MATCH(C706,Ürünler!$A$5:$A$204,0)),0),E706))</f>
        <v/>
      </c>
      <c r="H706" s="37" t="str">
        <f aca="false">IF(G706="","",D706*IFERROR(INDEX(Ürünler!$C$5:$C$204,MATCH(C706,Ürünler!$A$5:$A$204,0)),0))</f>
        <v/>
      </c>
      <c r="I706" s="37" t="str">
        <f aca="false">IF(G706="","",G706-H706)</f>
        <v/>
      </c>
      <c r="J706" s="33"/>
    </row>
    <row r="707" customFormat="false" ht="15" hidden="false" customHeight="false" outlineLevel="0" collapsed="false">
      <c r="A707" s="32"/>
      <c r="B707" s="33"/>
      <c r="C707" s="33"/>
      <c r="D707" s="34"/>
      <c r="E707" s="35"/>
      <c r="F707" s="36"/>
      <c r="G707" s="37" t="str">
        <f aca="false">IF(OR(C707="",D707=""),"",D707*IF(E707="",IFERROR(INDEX(Ürünler!$D$5:$D$204,MATCH(C707,Ürünler!$A$5:$A$204,0)),0),E707))</f>
        <v/>
      </c>
      <c r="H707" s="37" t="str">
        <f aca="false">IF(G707="","",D707*IFERROR(INDEX(Ürünler!$C$5:$C$204,MATCH(C707,Ürünler!$A$5:$A$204,0)),0))</f>
        <v/>
      </c>
      <c r="I707" s="37" t="str">
        <f aca="false">IF(G707="","",G707-H707)</f>
        <v/>
      </c>
      <c r="J707" s="33"/>
    </row>
    <row r="708" customFormat="false" ht="15" hidden="false" customHeight="false" outlineLevel="0" collapsed="false">
      <c r="A708" s="32"/>
      <c r="B708" s="33"/>
      <c r="C708" s="33"/>
      <c r="D708" s="34"/>
      <c r="E708" s="35"/>
      <c r="F708" s="36"/>
      <c r="G708" s="37" t="str">
        <f aca="false">IF(OR(C708="",D708=""),"",D708*IF(E708="",IFERROR(INDEX(Ürünler!$D$5:$D$204,MATCH(C708,Ürünler!$A$5:$A$204,0)),0),E708))</f>
        <v/>
      </c>
      <c r="H708" s="37" t="str">
        <f aca="false">IF(G708="","",D708*IFERROR(INDEX(Ürünler!$C$5:$C$204,MATCH(C708,Ürünler!$A$5:$A$204,0)),0))</f>
        <v/>
      </c>
      <c r="I708" s="37" t="str">
        <f aca="false">IF(G708="","",G708-H708)</f>
        <v/>
      </c>
      <c r="J708" s="33"/>
    </row>
    <row r="709" customFormat="false" ht="15" hidden="false" customHeight="false" outlineLevel="0" collapsed="false">
      <c r="A709" s="32"/>
      <c r="B709" s="33"/>
      <c r="C709" s="33"/>
      <c r="D709" s="34"/>
      <c r="E709" s="35"/>
      <c r="F709" s="36"/>
      <c r="G709" s="37" t="str">
        <f aca="false">IF(OR(C709="",D709=""),"",D709*IF(E709="",IFERROR(INDEX(Ürünler!$D$5:$D$204,MATCH(C709,Ürünler!$A$5:$A$204,0)),0),E709))</f>
        <v/>
      </c>
      <c r="H709" s="37" t="str">
        <f aca="false">IF(G709="","",D709*IFERROR(INDEX(Ürünler!$C$5:$C$204,MATCH(C709,Ürünler!$A$5:$A$204,0)),0))</f>
        <v/>
      </c>
      <c r="I709" s="37" t="str">
        <f aca="false">IF(G709="","",G709-H709)</f>
        <v/>
      </c>
      <c r="J709" s="33"/>
    </row>
    <row r="710" customFormat="false" ht="15" hidden="false" customHeight="false" outlineLevel="0" collapsed="false">
      <c r="A710" s="32"/>
      <c r="B710" s="33"/>
      <c r="C710" s="33"/>
      <c r="D710" s="34"/>
      <c r="E710" s="35"/>
      <c r="F710" s="36"/>
      <c r="G710" s="37" t="str">
        <f aca="false">IF(OR(C710="",D710=""),"",D710*IF(E710="",IFERROR(INDEX(Ürünler!$D$5:$D$204,MATCH(C710,Ürünler!$A$5:$A$204,0)),0),E710))</f>
        <v/>
      </c>
      <c r="H710" s="37" t="str">
        <f aca="false">IF(G710="","",D710*IFERROR(INDEX(Ürünler!$C$5:$C$204,MATCH(C710,Ürünler!$A$5:$A$204,0)),0))</f>
        <v/>
      </c>
      <c r="I710" s="37" t="str">
        <f aca="false">IF(G710="","",G710-H710)</f>
        <v/>
      </c>
      <c r="J710" s="33"/>
    </row>
    <row r="711" customFormat="false" ht="15" hidden="false" customHeight="false" outlineLevel="0" collapsed="false">
      <c r="A711" s="32"/>
      <c r="B711" s="33"/>
      <c r="C711" s="33"/>
      <c r="D711" s="34"/>
      <c r="E711" s="35"/>
      <c r="F711" s="36"/>
      <c r="G711" s="37" t="str">
        <f aca="false">IF(OR(C711="",D711=""),"",D711*IF(E711="",IFERROR(INDEX(Ürünler!$D$5:$D$204,MATCH(C711,Ürünler!$A$5:$A$204,0)),0),E711))</f>
        <v/>
      </c>
      <c r="H711" s="37" t="str">
        <f aca="false">IF(G711="","",D711*IFERROR(INDEX(Ürünler!$C$5:$C$204,MATCH(C711,Ürünler!$A$5:$A$204,0)),0))</f>
        <v/>
      </c>
      <c r="I711" s="37" t="str">
        <f aca="false">IF(G711="","",G711-H711)</f>
        <v/>
      </c>
      <c r="J711" s="33"/>
    </row>
    <row r="712" customFormat="false" ht="15" hidden="false" customHeight="false" outlineLevel="0" collapsed="false">
      <c r="A712" s="32"/>
      <c r="B712" s="33"/>
      <c r="C712" s="33"/>
      <c r="D712" s="34"/>
      <c r="E712" s="35"/>
      <c r="F712" s="36"/>
      <c r="G712" s="37" t="str">
        <f aca="false">IF(OR(C712="",D712=""),"",D712*IF(E712="",IFERROR(INDEX(Ürünler!$D$5:$D$204,MATCH(C712,Ürünler!$A$5:$A$204,0)),0),E712))</f>
        <v/>
      </c>
      <c r="H712" s="37" t="str">
        <f aca="false">IF(G712="","",D712*IFERROR(INDEX(Ürünler!$C$5:$C$204,MATCH(C712,Ürünler!$A$5:$A$204,0)),0))</f>
        <v/>
      </c>
      <c r="I712" s="37" t="str">
        <f aca="false">IF(G712="","",G712-H712)</f>
        <v/>
      </c>
      <c r="J712" s="33"/>
    </row>
    <row r="713" customFormat="false" ht="15" hidden="false" customHeight="false" outlineLevel="0" collapsed="false">
      <c r="A713" s="32"/>
      <c r="B713" s="33"/>
      <c r="C713" s="33"/>
      <c r="D713" s="34"/>
      <c r="E713" s="35"/>
      <c r="F713" s="36"/>
      <c r="G713" s="37" t="str">
        <f aca="false">IF(OR(C713="",D713=""),"",D713*IF(E713="",IFERROR(INDEX(Ürünler!$D$5:$D$204,MATCH(C713,Ürünler!$A$5:$A$204,0)),0),E713))</f>
        <v/>
      </c>
      <c r="H713" s="37" t="str">
        <f aca="false">IF(G713="","",D713*IFERROR(INDEX(Ürünler!$C$5:$C$204,MATCH(C713,Ürünler!$A$5:$A$204,0)),0))</f>
        <v/>
      </c>
      <c r="I713" s="37" t="str">
        <f aca="false">IF(G713="","",G713-H713)</f>
        <v/>
      </c>
      <c r="J713" s="33"/>
    </row>
    <row r="714" customFormat="false" ht="15" hidden="false" customHeight="false" outlineLevel="0" collapsed="false">
      <c r="A714" s="32"/>
      <c r="B714" s="33"/>
      <c r="C714" s="33"/>
      <c r="D714" s="34"/>
      <c r="E714" s="35"/>
      <c r="F714" s="36"/>
      <c r="G714" s="37" t="str">
        <f aca="false">IF(OR(C714="",D714=""),"",D714*IF(E714="",IFERROR(INDEX(Ürünler!$D$5:$D$204,MATCH(C714,Ürünler!$A$5:$A$204,0)),0),E714))</f>
        <v/>
      </c>
      <c r="H714" s="37" t="str">
        <f aca="false">IF(G714="","",D714*IFERROR(INDEX(Ürünler!$C$5:$C$204,MATCH(C714,Ürünler!$A$5:$A$204,0)),0))</f>
        <v/>
      </c>
      <c r="I714" s="37" t="str">
        <f aca="false">IF(G714="","",G714-H714)</f>
        <v/>
      </c>
      <c r="J714" s="33"/>
    </row>
    <row r="715" customFormat="false" ht="15" hidden="false" customHeight="false" outlineLevel="0" collapsed="false">
      <c r="A715" s="32"/>
      <c r="B715" s="33"/>
      <c r="C715" s="33"/>
      <c r="D715" s="34"/>
      <c r="E715" s="35"/>
      <c r="F715" s="36"/>
      <c r="G715" s="37" t="str">
        <f aca="false">IF(OR(C715="",D715=""),"",D715*IF(E715="",IFERROR(INDEX(Ürünler!$D$5:$D$204,MATCH(C715,Ürünler!$A$5:$A$204,0)),0),E715))</f>
        <v/>
      </c>
      <c r="H715" s="37" t="str">
        <f aca="false">IF(G715="","",D715*IFERROR(INDEX(Ürünler!$C$5:$C$204,MATCH(C715,Ürünler!$A$5:$A$204,0)),0))</f>
        <v/>
      </c>
      <c r="I715" s="37" t="str">
        <f aca="false">IF(G715="","",G715-H715)</f>
        <v/>
      </c>
      <c r="J715" s="33"/>
    </row>
    <row r="716" customFormat="false" ht="15" hidden="false" customHeight="false" outlineLevel="0" collapsed="false">
      <c r="A716" s="32"/>
      <c r="B716" s="33"/>
      <c r="C716" s="33"/>
      <c r="D716" s="34"/>
      <c r="E716" s="35"/>
      <c r="F716" s="36"/>
      <c r="G716" s="37" t="str">
        <f aca="false">IF(OR(C716="",D716=""),"",D716*IF(E716="",IFERROR(INDEX(Ürünler!$D$5:$D$204,MATCH(C716,Ürünler!$A$5:$A$204,0)),0),E716))</f>
        <v/>
      </c>
      <c r="H716" s="37" t="str">
        <f aca="false">IF(G716="","",D716*IFERROR(INDEX(Ürünler!$C$5:$C$204,MATCH(C716,Ürünler!$A$5:$A$204,0)),0))</f>
        <v/>
      </c>
      <c r="I716" s="37" t="str">
        <f aca="false">IF(G716="","",G716-H716)</f>
        <v/>
      </c>
      <c r="J716" s="33"/>
    </row>
    <row r="717" customFormat="false" ht="15" hidden="false" customHeight="false" outlineLevel="0" collapsed="false">
      <c r="A717" s="32"/>
      <c r="B717" s="33"/>
      <c r="C717" s="33"/>
      <c r="D717" s="34"/>
      <c r="E717" s="35"/>
      <c r="F717" s="36"/>
      <c r="G717" s="37" t="str">
        <f aca="false">IF(OR(C717="",D717=""),"",D717*IF(E717="",IFERROR(INDEX(Ürünler!$D$5:$D$204,MATCH(C717,Ürünler!$A$5:$A$204,0)),0),E717))</f>
        <v/>
      </c>
      <c r="H717" s="37" t="str">
        <f aca="false">IF(G717="","",D717*IFERROR(INDEX(Ürünler!$C$5:$C$204,MATCH(C717,Ürünler!$A$5:$A$204,0)),0))</f>
        <v/>
      </c>
      <c r="I717" s="37" t="str">
        <f aca="false">IF(G717="","",G717-H717)</f>
        <v/>
      </c>
      <c r="J717" s="33"/>
    </row>
    <row r="718" customFormat="false" ht="15" hidden="false" customHeight="false" outlineLevel="0" collapsed="false">
      <c r="A718" s="32"/>
      <c r="B718" s="33"/>
      <c r="C718" s="33"/>
      <c r="D718" s="34"/>
      <c r="E718" s="35"/>
      <c r="F718" s="36"/>
      <c r="G718" s="37" t="str">
        <f aca="false">IF(OR(C718="",D718=""),"",D718*IF(E718="",IFERROR(INDEX(Ürünler!$D$5:$D$204,MATCH(C718,Ürünler!$A$5:$A$204,0)),0),E718))</f>
        <v/>
      </c>
      <c r="H718" s="37" t="str">
        <f aca="false">IF(G718="","",D718*IFERROR(INDEX(Ürünler!$C$5:$C$204,MATCH(C718,Ürünler!$A$5:$A$204,0)),0))</f>
        <v/>
      </c>
      <c r="I718" s="37" t="str">
        <f aca="false">IF(G718="","",G718-H718)</f>
        <v/>
      </c>
      <c r="J718" s="33"/>
    </row>
    <row r="719" customFormat="false" ht="15" hidden="false" customHeight="false" outlineLevel="0" collapsed="false">
      <c r="A719" s="32"/>
      <c r="B719" s="33"/>
      <c r="C719" s="33"/>
      <c r="D719" s="34"/>
      <c r="E719" s="35"/>
      <c r="F719" s="36"/>
      <c r="G719" s="37" t="str">
        <f aca="false">IF(OR(C719="",D719=""),"",D719*IF(E719="",IFERROR(INDEX(Ürünler!$D$5:$D$204,MATCH(C719,Ürünler!$A$5:$A$204,0)),0),E719))</f>
        <v/>
      </c>
      <c r="H719" s="37" t="str">
        <f aca="false">IF(G719="","",D719*IFERROR(INDEX(Ürünler!$C$5:$C$204,MATCH(C719,Ürünler!$A$5:$A$204,0)),0))</f>
        <v/>
      </c>
      <c r="I719" s="37" t="str">
        <f aca="false">IF(G719="","",G719-H719)</f>
        <v/>
      </c>
      <c r="J719" s="33"/>
    </row>
    <row r="720" customFormat="false" ht="15" hidden="false" customHeight="false" outlineLevel="0" collapsed="false">
      <c r="A720" s="32"/>
      <c r="B720" s="33"/>
      <c r="C720" s="33"/>
      <c r="D720" s="34"/>
      <c r="E720" s="35"/>
      <c r="F720" s="36"/>
      <c r="G720" s="37" t="str">
        <f aca="false">IF(OR(C720="",D720=""),"",D720*IF(E720="",IFERROR(INDEX(Ürünler!$D$5:$D$204,MATCH(C720,Ürünler!$A$5:$A$204,0)),0),E720))</f>
        <v/>
      </c>
      <c r="H720" s="37" t="str">
        <f aca="false">IF(G720="","",D720*IFERROR(INDEX(Ürünler!$C$5:$C$204,MATCH(C720,Ürünler!$A$5:$A$204,0)),0))</f>
        <v/>
      </c>
      <c r="I720" s="37" t="str">
        <f aca="false">IF(G720="","",G720-H720)</f>
        <v/>
      </c>
      <c r="J720" s="33"/>
    </row>
    <row r="721" customFormat="false" ht="15" hidden="false" customHeight="false" outlineLevel="0" collapsed="false">
      <c r="A721" s="32"/>
      <c r="B721" s="33"/>
      <c r="C721" s="33"/>
      <c r="D721" s="34"/>
      <c r="E721" s="35"/>
      <c r="F721" s="36"/>
      <c r="G721" s="37" t="str">
        <f aca="false">IF(OR(C721="",D721=""),"",D721*IF(E721="",IFERROR(INDEX(Ürünler!$D$5:$D$204,MATCH(C721,Ürünler!$A$5:$A$204,0)),0),E721))</f>
        <v/>
      </c>
      <c r="H721" s="37" t="str">
        <f aca="false">IF(G721="","",D721*IFERROR(INDEX(Ürünler!$C$5:$C$204,MATCH(C721,Ürünler!$A$5:$A$204,0)),0))</f>
        <v/>
      </c>
      <c r="I721" s="37" t="str">
        <f aca="false">IF(G721="","",G721-H721)</f>
        <v/>
      </c>
      <c r="J721" s="33"/>
    </row>
    <row r="722" customFormat="false" ht="15" hidden="false" customHeight="false" outlineLevel="0" collapsed="false">
      <c r="A722" s="32"/>
      <c r="B722" s="33"/>
      <c r="C722" s="33"/>
      <c r="D722" s="34"/>
      <c r="E722" s="35"/>
      <c r="F722" s="36"/>
      <c r="G722" s="37" t="str">
        <f aca="false">IF(OR(C722="",D722=""),"",D722*IF(E722="",IFERROR(INDEX(Ürünler!$D$5:$D$204,MATCH(C722,Ürünler!$A$5:$A$204,0)),0),E722))</f>
        <v/>
      </c>
      <c r="H722" s="37" t="str">
        <f aca="false">IF(G722="","",D722*IFERROR(INDEX(Ürünler!$C$5:$C$204,MATCH(C722,Ürünler!$A$5:$A$204,0)),0))</f>
        <v/>
      </c>
      <c r="I722" s="37" t="str">
        <f aca="false">IF(G722="","",G722-H722)</f>
        <v/>
      </c>
      <c r="J722" s="33"/>
    </row>
    <row r="723" customFormat="false" ht="15" hidden="false" customHeight="false" outlineLevel="0" collapsed="false">
      <c r="A723" s="32"/>
      <c r="B723" s="33"/>
      <c r="C723" s="33"/>
      <c r="D723" s="34"/>
      <c r="E723" s="35"/>
      <c r="F723" s="36"/>
      <c r="G723" s="37" t="str">
        <f aca="false">IF(OR(C723="",D723=""),"",D723*IF(E723="",IFERROR(INDEX(Ürünler!$D$5:$D$204,MATCH(C723,Ürünler!$A$5:$A$204,0)),0),E723))</f>
        <v/>
      </c>
      <c r="H723" s="37" t="str">
        <f aca="false">IF(G723="","",D723*IFERROR(INDEX(Ürünler!$C$5:$C$204,MATCH(C723,Ürünler!$A$5:$A$204,0)),0))</f>
        <v/>
      </c>
      <c r="I723" s="37" t="str">
        <f aca="false">IF(G723="","",G723-H723)</f>
        <v/>
      </c>
      <c r="J723" s="33"/>
    </row>
    <row r="724" customFormat="false" ht="15" hidden="false" customHeight="false" outlineLevel="0" collapsed="false">
      <c r="A724" s="32"/>
      <c r="B724" s="33"/>
      <c r="C724" s="33"/>
      <c r="D724" s="34"/>
      <c r="E724" s="35"/>
      <c r="F724" s="36"/>
      <c r="G724" s="37" t="str">
        <f aca="false">IF(OR(C724="",D724=""),"",D724*IF(E724="",IFERROR(INDEX(Ürünler!$D$5:$D$204,MATCH(C724,Ürünler!$A$5:$A$204,0)),0),E724))</f>
        <v/>
      </c>
      <c r="H724" s="37" t="str">
        <f aca="false">IF(G724="","",D724*IFERROR(INDEX(Ürünler!$C$5:$C$204,MATCH(C724,Ürünler!$A$5:$A$204,0)),0))</f>
        <v/>
      </c>
      <c r="I724" s="37" t="str">
        <f aca="false">IF(G724="","",G724-H724)</f>
        <v/>
      </c>
      <c r="J724" s="33"/>
    </row>
    <row r="725" customFormat="false" ht="15" hidden="false" customHeight="false" outlineLevel="0" collapsed="false">
      <c r="A725" s="32"/>
      <c r="B725" s="33"/>
      <c r="C725" s="33"/>
      <c r="D725" s="34"/>
      <c r="E725" s="35"/>
      <c r="F725" s="36"/>
      <c r="G725" s="37" t="str">
        <f aca="false">IF(OR(C725="",D725=""),"",D725*IF(E725="",IFERROR(INDEX(Ürünler!$D$5:$D$204,MATCH(C725,Ürünler!$A$5:$A$204,0)),0),E725))</f>
        <v/>
      </c>
      <c r="H725" s="37" t="str">
        <f aca="false">IF(G725="","",D725*IFERROR(INDEX(Ürünler!$C$5:$C$204,MATCH(C725,Ürünler!$A$5:$A$204,0)),0))</f>
        <v/>
      </c>
      <c r="I725" s="37" t="str">
        <f aca="false">IF(G725="","",G725-H725)</f>
        <v/>
      </c>
      <c r="J725" s="33"/>
    </row>
    <row r="726" customFormat="false" ht="15" hidden="false" customHeight="false" outlineLevel="0" collapsed="false">
      <c r="A726" s="32"/>
      <c r="B726" s="33"/>
      <c r="C726" s="33"/>
      <c r="D726" s="34"/>
      <c r="E726" s="35"/>
      <c r="F726" s="36"/>
      <c r="G726" s="37" t="str">
        <f aca="false">IF(OR(C726="",D726=""),"",D726*IF(E726="",IFERROR(INDEX(Ürünler!$D$5:$D$204,MATCH(C726,Ürünler!$A$5:$A$204,0)),0),E726))</f>
        <v/>
      </c>
      <c r="H726" s="37" t="str">
        <f aca="false">IF(G726="","",D726*IFERROR(INDEX(Ürünler!$C$5:$C$204,MATCH(C726,Ürünler!$A$5:$A$204,0)),0))</f>
        <v/>
      </c>
      <c r="I726" s="37" t="str">
        <f aca="false">IF(G726="","",G726-H726)</f>
        <v/>
      </c>
      <c r="J726" s="33"/>
    </row>
    <row r="727" customFormat="false" ht="15" hidden="false" customHeight="false" outlineLevel="0" collapsed="false">
      <c r="A727" s="32"/>
      <c r="B727" s="33"/>
      <c r="C727" s="33"/>
      <c r="D727" s="34"/>
      <c r="E727" s="35"/>
      <c r="F727" s="36"/>
      <c r="G727" s="37" t="str">
        <f aca="false">IF(OR(C727="",D727=""),"",D727*IF(E727="",IFERROR(INDEX(Ürünler!$D$5:$D$204,MATCH(C727,Ürünler!$A$5:$A$204,0)),0),E727))</f>
        <v/>
      </c>
      <c r="H727" s="37" t="str">
        <f aca="false">IF(G727="","",D727*IFERROR(INDEX(Ürünler!$C$5:$C$204,MATCH(C727,Ürünler!$A$5:$A$204,0)),0))</f>
        <v/>
      </c>
      <c r="I727" s="37" t="str">
        <f aca="false">IF(G727="","",G727-H727)</f>
        <v/>
      </c>
      <c r="J727" s="33"/>
    </row>
    <row r="728" customFormat="false" ht="15" hidden="false" customHeight="false" outlineLevel="0" collapsed="false">
      <c r="A728" s="32"/>
      <c r="B728" s="33"/>
      <c r="C728" s="33"/>
      <c r="D728" s="34"/>
      <c r="E728" s="35"/>
      <c r="F728" s="36"/>
      <c r="G728" s="37" t="str">
        <f aca="false">IF(OR(C728="",D728=""),"",D728*IF(E728="",IFERROR(INDEX(Ürünler!$D$5:$D$204,MATCH(C728,Ürünler!$A$5:$A$204,0)),0),E728))</f>
        <v/>
      </c>
      <c r="H728" s="37" t="str">
        <f aca="false">IF(G728="","",D728*IFERROR(INDEX(Ürünler!$C$5:$C$204,MATCH(C728,Ürünler!$A$5:$A$204,0)),0))</f>
        <v/>
      </c>
      <c r="I728" s="37" t="str">
        <f aca="false">IF(G728="","",G728-H728)</f>
        <v/>
      </c>
      <c r="J728" s="33"/>
    </row>
    <row r="729" customFormat="false" ht="15" hidden="false" customHeight="false" outlineLevel="0" collapsed="false">
      <c r="A729" s="32"/>
      <c r="B729" s="33"/>
      <c r="C729" s="33"/>
      <c r="D729" s="34"/>
      <c r="E729" s="35"/>
      <c r="F729" s="36"/>
      <c r="G729" s="37" t="str">
        <f aca="false">IF(OR(C729="",D729=""),"",D729*IF(E729="",IFERROR(INDEX(Ürünler!$D$5:$D$204,MATCH(C729,Ürünler!$A$5:$A$204,0)),0),E729))</f>
        <v/>
      </c>
      <c r="H729" s="37" t="str">
        <f aca="false">IF(G729="","",D729*IFERROR(INDEX(Ürünler!$C$5:$C$204,MATCH(C729,Ürünler!$A$5:$A$204,0)),0))</f>
        <v/>
      </c>
      <c r="I729" s="37" t="str">
        <f aca="false">IF(G729="","",G729-H729)</f>
        <v/>
      </c>
      <c r="J729" s="33"/>
    </row>
    <row r="730" customFormat="false" ht="15" hidden="false" customHeight="false" outlineLevel="0" collapsed="false">
      <c r="A730" s="32"/>
      <c r="B730" s="33"/>
      <c r="C730" s="33"/>
      <c r="D730" s="34"/>
      <c r="E730" s="35"/>
      <c r="F730" s="36"/>
      <c r="G730" s="37" t="str">
        <f aca="false">IF(OR(C730="",D730=""),"",D730*IF(E730="",IFERROR(INDEX(Ürünler!$D$5:$D$204,MATCH(C730,Ürünler!$A$5:$A$204,0)),0),E730))</f>
        <v/>
      </c>
      <c r="H730" s="37" t="str">
        <f aca="false">IF(G730="","",D730*IFERROR(INDEX(Ürünler!$C$5:$C$204,MATCH(C730,Ürünler!$A$5:$A$204,0)),0))</f>
        <v/>
      </c>
      <c r="I730" s="37" t="str">
        <f aca="false">IF(G730="","",G730-H730)</f>
        <v/>
      </c>
      <c r="J730" s="33"/>
    </row>
    <row r="731" customFormat="false" ht="15" hidden="false" customHeight="false" outlineLevel="0" collapsed="false">
      <c r="A731" s="32"/>
      <c r="B731" s="33"/>
      <c r="C731" s="33"/>
      <c r="D731" s="34"/>
      <c r="E731" s="35"/>
      <c r="F731" s="36"/>
      <c r="G731" s="37" t="str">
        <f aca="false">IF(OR(C731="",D731=""),"",D731*IF(E731="",IFERROR(INDEX(Ürünler!$D$5:$D$204,MATCH(C731,Ürünler!$A$5:$A$204,0)),0),E731))</f>
        <v/>
      </c>
      <c r="H731" s="37" t="str">
        <f aca="false">IF(G731="","",D731*IFERROR(INDEX(Ürünler!$C$5:$C$204,MATCH(C731,Ürünler!$A$5:$A$204,0)),0))</f>
        <v/>
      </c>
      <c r="I731" s="37" t="str">
        <f aca="false">IF(G731="","",G731-H731)</f>
        <v/>
      </c>
      <c r="J731" s="33"/>
    </row>
    <row r="732" customFormat="false" ht="15" hidden="false" customHeight="false" outlineLevel="0" collapsed="false">
      <c r="A732" s="32"/>
      <c r="B732" s="33"/>
      <c r="C732" s="33"/>
      <c r="D732" s="34"/>
      <c r="E732" s="35"/>
      <c r="F732" s="36"/>
      <c r="G732" s="37" t="str">
        <f aca="false">IF(OR(C732="",D732=""),"",D732*IF(E732="",IFERROR(INDEX(Ürünler!$D$5:$D$204,MATCH(C732,Ürünler!$A$5:$A$204,0)),0),E732))</f>
        <v/>
      </c>
      <c r="H732" s="37" t="str">
        <f aca="false">IF(G732="","",D732*IFERROR(INDEX(Ürünler!$C$5:$C$204,MATCH(C732,Ürünler!$A$5:$A$204,0)),0))</f>
        <v/>
      </c>
      <c r="I732" s="37" t="str">
        <f aca="false">IF(G732="","",G732-H732)</f>
        <v/>
      </c>
      <c r="J732" s="33"/>
    </row>
    <row r="733" customFormat="false" ht="15" hidden="false" customHeight="false" outlineLevel="0" collapsed="false">
      <c r="A733" s="32"/>
      <c r="B733" s="33"/>
      <c r="C733" s="33"/>
      <c r="D733" s="34"/>
      <c r="E733" s="35"/>
      <c r="F733" s="36"/>
      <c r="G733" s="37" t="str">
        <f aca="false">IF(OR(C733="",D733=""),"",D733*IF(E733="",IFERROR(INDEX(Ürünler!$D$5:$D$204,MATCH(C733,Ürünler!$A$5:$A$204,0)),0),E733))</f>
        <v/>
      </c>
      <c r="H733" s="37" t="str">
        <f aca="false">IF(G733="","",D733*IFERROR(INDEX(Ürünler!$C$5:$C$204,MATCH(C733,Ürünler!$A$5:$A$204,0)),0))</f>
        <v/>
      </c>
      <c r="I733" s="37" t="str">
        <f aca="false">IF(G733="","",G733-H733)</f>
        <v/>
      </c>
      <c r="J733" s="33"/>
    </row>
    <row r="734" customFormat="false" ht="15" hidden="false" customHeight="false" outlineLevel="0" collapsed="false">
      <c r="A734" s="32"/>
      <c r="B734" s="33"/>
      <c r="C734" s="33"/>
      <c r="D734" s="34"/>
      <c r="E734" s="35"/>
      <c r="F734" s="36"/>
      <c r="G734" s="37" t="str">
        <f aca="false">IF(OR(C734="",D734=""),"",D734*IF(E734="",IFERROR(INDEX(Ürünler!$D$5:$D$204,MATCH(C734,Ürünler!$A$5:$A$204,0)),0),E734))</f>
        <v/>
      </c>
      <c r="H734" s="37" t="str">
        <f aca="false">IF(G734="","",D734*IFERROR(INDEX(Ürünler!$C$5:$C$204,MATCH(C734,Ürünler!$A$5:$A$204,0)),0))</f>
        <v/>
      </c>
      <c r="I734" s="37" t="str">
        <f aca="false">IF(G734="","",G734-H734)</f>
        <v/>
      </c>
      <c r="J734" s="33"/>
    </row>
    <row r="735" customFormat="false" ht="15" hidden="false" customHeight="false" outlineLevel="0" collapsed="false">
      <c r="A735" s="32"/>
      <c r="B735" s="33"/>
      <c r="C735" s="33"/>
      <c r="D735" s="34"/>
      <c r="E735" s="35"/>
      <c r="F735" s="36"/>
      <c r="G735" s="37" t="str">
        <f aca="false">IF(OR(C735="",D735=""),"",D735*IF(E735="",IFERROR(INDEX(Ürünler!$D$5:$D$204,MATCH(C735,Ürünler!$A$5:$A$204,0)),0),E735))</f>
        <v/>
      </c>
      <c r="H735" s="37" t="str">
        <f aca="false">IF(G735="","",D735*IFERROR(INDEX(Ürünler!$C$5:$C$204,MATCH(C735,Ürünler!$A$5:$A$204,0)),0))</f>
        <v/>
      </c>
      <c r="I735" s="37" t="str">
        <f aca="false">IF(G735="","",G735-H735)</f>
        <v/>
      </c>
      <c r="J735" s="33"/>
    </row>
    <row r="736" customFormat="false" ht="15" hidden="false" customHeight="false" outlineLevel="0" collapsed="false">
      <c r="A736" s="32"/>
      <c r="B736" s="33"/>
      <c r="C736" s="33"/>
      <c r="D736" s="34"/>
      <c r="E736" s="35"/>
      <c r="F736" s="36"/>
      <c r="G736" s="37" t="str">
        <f aca="false">IF(OR(C736="",D736=""),"",D736*IF(E736="",IFERROR(INDEX(Ürünler!$D$5:$D$204,MATCH(C736,Ürünler!$A$5:$A$204,0)),0),E736))</f>
        <v/>
      </c>
      <c r="H736" s="37" t="str">
        <f aca="false">IF(G736="","",D736*IFERROR(INDEX(Ürünler!$C$5:$C$204,MATCH(C736,Ürünler!$A$5:$A$204,0)),0))</f>
        <v/>
      </c>
      <c r="I736" s="37" t="str">
        <f aca="false">IF(G736="","",G736-H736)</f>
        <v/>
      </c>
      <c r="J736" s="33"/>
    </row>
    <row r="737" customFormat="false" ht="15" hidden="false" customHeight="false" outlineLevel="0" collapsed="false">
      <c r="A737" s="32"/>
      <c r="B737" s="33"/>
      <c r="C737" s="33"/>
      <c r="D737" s="34"/>
      <c r="E737" s="35"/>
      <c r="F737" s="36"/>
      <c r="G737" s="37" t="str">
        <f aca="false">IF(OR(C737="",D737=""),"",D737*IF(E737="",IFERROR(INDEX(Ürünler!$D$5:$D$204,MATCH(C737,Ürünler!$A$5:$A$204,0)),0),E737))</f>
        <v/>
      </c>
      <c r="H737" s="37" t="str">
        <f aca="false">IF(G737="","",D737*IFERROR(INDEX(Ürünler!$C$5:$C$204,MATCH(C737,Ürünler!$A$5:$A$204,0)),0))</f>
        <v/>
      </c>
      <c r="I737" s="37" t="str">
        <f aca="false">IF(G737="","",G737-H737)</f>
        <v/>
      </c>
      <c r="J737" s="33"/>
    </row>
    <row r="738" customFormat="false" ht="15" hidden="false" customHeight="false" outlineLevel="0" collapsed="false">
      <c r="A738" s="32"/>
      <c r="B738" s="33"/>
      <c r="C738" s="33"/>
      <c r="D738" s="34"/>
      <c r="E738" s="35"/>
      <c r="F738" s="36"/>
      <c r="G738" s="37" t="str">
        <f aca="false">IF(OR(C738="",D738=""),"",D738*IF(E738="",IFERROR(INDEX(Ürünler!$D$5:$D$204,MATCH(C738,Ürünler!$A$5:$A$204,0)),0),E738))</f>
        <v/>
      </c>
      <c r="H738" s="37" t="str">
        <f aca="false">IF(G738="","",D738*IFERROR(INDEX(Ürünler!$C$5:$C$204,MATCH(C738,Ürünler!$A$5:$A$204,0)),0))</f>
        <v/>
      </c>
      <c r="I738" s="37" t="str">
        <f aca="false">IF(G738="","",G738-H738)</f>
        <v/>
      </c>
      <c r="J738" s="33"/>
    </row>
    <row r="739" customFormat="false" ht="15" hidden="false" customHeight="false" outlineLevel="0" collapsed="false">
      <c r="A739" s="32"/>
      <c r="B739" s="33"/>
      <c r="C739" s="33"/>
      <c r="D739" s="34"/>
      <c r="E739" s="35"/>
      <c r="F739" s="36"/>
      <c r="G739" s="37" t="str">
        <f aca="false">IF(OR(C739="",D739=""),"",D739*IF(E739="",IFERROR(INDEX(Ürünler!$D$5:$D$204,MATCH(C739,Ürünler!$A$5:$A$204,0)),0),E739))</f>
        <v/>
      </c>
      <c r="H739" s="37" t="str">
        <f aca="false">IF(G739="","",D739*IFERROR(INDEX(Ürünler!$C$5:$C$204,MATCH(C739,Ürünler!$A$5:$A$204,0)),0))</f>
        <v/>
      </c>
      <c r="I739" s="37" t="str">
        <f aca="false">IF(G739="","",G739-H739)</f>
        <v/>
      </c>
      <c r="J739" s="33"/>
    </row>
    <row r="740" customFormat="false" ht="15" hidden="false" customHeight="false" outlineLevel="0" collapsed="false">
      <c r="A740" s="32"/>
      <c r="B740" s="33"/>
      <c r="C740" s="33"/>
      <c r="D740" s="34"/>
      <c r="E740" s="35"/>
      <c r="F740" s="36"/>
      <c r="G740" s="37" t="str">
        <f aca="false">IF(OR(C740="",D740=""),"",D740*IF(E740="",IFERROR(INDEX(Ürünler!$D$5:$D$204,MATCH(C740,Ürünler!$A$5:$A$204,0)),0),E740))</f>
        <v/>
      </c>
      <c r="H740" s="37" t="str">
        <f aca="false">IF(G740="","",D740*IFERROR(INDEX(Ürünler!$C$5:$C$204,MATCH(C740,Ürünler!$A$5:$A$204,0)),0))</f>
        <v/>
      </c>
      <c r="I740" s="37" t="str">
        <f aca="false">IF(G740="","",G740-H740)</f>
        <v/>
      </c>
      <c r="J740" s="33"/>
    </row>
    <row r="741" customFormat="false" ht="15" hidden="false" customHeight="false" outlineLevel="0" collapsed="false">
      <c r="A741" s="32"/>
      <c r="B741" s="33"/>
      <c r="C741" s="33"/>
      <c r="D741" s="34"/>
      <c r="E741" s="35"/>
      <c r="F741" s="36"/>
      <c r="G741" s="37" t="str">
        <f aca="false">IF(OR(C741="",D741=""),"",D741*IF(E741="",IFERROR(INDEX(Ürünler!$D$5:$D$204,MATCH(C741,Ürünler!$A$5:$A$204,0)),0),E741))</f>
        <v/>
      </c>
      <c r="H741" s="37" t="str">
        <f aca="false">IF(G741="","",D741*IFERROR(INDEX(Ürünler!$C$5:$C$204,MATCH(C741,Ürünler!$A$5:$A$204,0)),0))</f>
        <v/>
      </c>
      <c r="I741" s="37" t="str">
        <f aca="false">IF(G741="","",G741-H741)</f>
        <v/>
      </c>
      <c r="J741" s="33"/>
    </row>
    <row r="742" customFormat="false" ht="15" hidden="false" customHeight="false" outlineLevel="0" collapsed="false">
      <c r="A742" s="32"/>
      <c r="B742" s="33"/>
      <c r="C742" s="33"/>
      <c r="D742" s="34"/>
      <c r="E742" s="35"/>
      <c r="F742" s="36"/>
      <c r="G742" s="37" t="str">
        <f aca="false">IF(OR(C742="",D742=""),"",D742*IF(E742="",IFERROR(INDEX(Ürünler!$D$5:$D$204,MATCH(C742,Ürünler!$A$5:$A$204,0)),0),E742))</f>
        <v/>
      </c>
      <c r="H742" s="37" t="str">
        <f aca="false">IF(G742="","",D742*IFERROR(INDEX(Ürünler!$C$5:$C$204,MATCH(C742,Ürünler!$A$5:$A$204,0)),0))</f>
        <v/>
      </c>
      <c r="I742" s="37" t="str">
        <f aca="false">IF(G742="","",G742-H742)</f>
        <v/>
      </c>
      <c r="J742" s="33"/>
    </row>
    <row r="743" customFormat="false" ht="15" hidden="false" customHeight="false" outlineLevel="0" collapsed="false">
      <c r="A743" s="32"/>
      <c r="B743" s="33"/>
      <c r="C743" s="33"/>
      <c r="D743" s="34"/>
      <c r="E743" s="35"/>
      <c r="F743" s="36"/>
      <c r="G743" s="37" t="str">
        <f aca="false">IF(OR(C743="",D743=""),"",D743*IF(E743="",IFERROR(INDEX(Ürünler!$D$5:$D$204,MATCH(C743,Ürünler!$A$5:$A$204,0)),0),E743))</f>
        <v/>
      </c>
      <c r="H743" s="37" t="str">
        <f aca="false">IF(G743="","",D743*IFERROR(INDEX(Ürünler!$C$5:$C$204,MATCH(C743,Ürünler!$A$5:$A$204,0)),0))</f>
        <v/>
      </c>
      <c r="I743" s="37" t="str">
        <f aca="false">IF(G743="","",G743-H743)</f>
        <v/>
      </c>
      <c r="J743" s="33"/>
    </row>
    <row r="744" customFormat="false" ht="15" hidden="false" customHeight="false" outlineLevel="0" collapsed="false">
      <c r="A744" s="32"/>
      <c r="B744" s="33"/>
      <c r="C744" s="33"/>
      <c r="D744" s="34"/>
      <c r="E744" s="35"/>
      <c r="F744" s="36"/>
      <c r="G744" s="37" t="str">
        <f aca="false">IF(OR(C744="",D744=""),"",D744*IF(E744="",IFERROR(INDEX(Ürünler!$D$5:$D$204,MATCH(C744,Ürünler!$A$5:$A$204,0)),0),E744))</f>
        <v/>
      </c>
      <c r="H744" s="37" t="str">
        <f aca="false">IF(G744="","",D744*IFERROR(INDEX(Ürünler!$C$5:$C$204,MATCH(C744,Ürünler!$A$5:$A$204,0)),0))</f>
        <v/>
      </c>
      <c r="I744" s="37" t="str">
        <f aca="false">IF(G744="","",G744-H744)</f>
        <v/>
      </c>
      <c r="J744" s="33"/>
    </row>
    <row r="745" customFormat="false" ht="15" hidden="false" customHeight="false" outlineLevel="0" collapsed="false">
      <c r="A745" s="32"/>
      <c r="B745" s="33"/>
      <c r="C745" s="33"/>
      <c r="D745" s="34"/>
      <c r="E745" s="35"/>
      <c r="F745" s="36"/>
      <c r="G745" s="37" t="str">
        <f aca="false">IF(OR(C745="",D745=""),"",D745*IF(E745="",IFERROR(INDEX(Ürünler!$D$5:$D$204,MATCH(C745,Ürünler!$A$5:$A$204,0)),0),E745))</f>
        <v/>
      </c>
      <c r="H745" s="37" t="str">
        <f aca="false">IF(G745="","",D745*IFERROR(INDEX(Ürünler!$C$5:$C$204,MATCH(C745,Ürünler!$A$5:$A$204,0)),0))</f>
        <v/>
      </c>
      <c r="I745" s="37" t="str">
        <f aca="false">IF(G745="","",G745-H745)</f>
        <v/>
      </c>
      <c r="J745" s="33"/>
    </row>
    <row r="746" customFormat="false" ht="15" hidden="false" customHeight="false" outlineLevel="0" collapsed="false">
      <c r="A746" s="32"/>
      <c r="B746" s="33"/>
      <c r="C746" s="33"/>
      <c r="D746" s="34"/>
      <c r="E746" s="35"/>
      <c r="F746" s="36"/>
      <c r="G746" s="37" t="str">
        <f aca="false">IF(OR(C746="",D746=""),"",D746*IF(E746="",IFERROR(INDEX(Ürünler!$D$5:$D$204,MATCH(C746,Ürünler!$A$5:$A$204,0)),0),E746))</f>
        <v/>
      </c>
      <c r="H746" s="37" t="str">
        <f aca="false">IF(G746="","",D746*IFERROR(INDEX(Ürünler!$C$5:$C$204,MATCH(C746,Ürünler!$A$5:$A$204,0)),0))</f>
        <v/>
      </c>
      <c r="I746" s="37" t="str">
        <f aca="false">IF(G746="","",G746-H746)</f>
        <v/>
      </c>
      <c r="J746" s="33"/>
    </row>
    <row r="747" customFormat="false" ht="15" hidden="false" customHeight="false" outlineLevel="0" collapsed="false">
      <c r="A747" s="32"/>
      <c r="B747" s="33"/>
      <c r="C747" s="33"/>
      <c r="D747" s="34"/>
      <c r="E747" s="35"/>
      <c r="F747" s="36"/>
      <c r="G747" s="37" t="str">
        <f aca="false">IF(OR(C747="",D747=""),"",D747*IF(E747="",IFERROR(INDEX(Ürünler!$D$5:$D$204,MATCH(C747,Ürünler!$A$5:$A$204,0)),0),E747))</f>
        <v/>
      </c>
      <c r="H747" s="37" t="str">
        <f aca="false">IF(G747="","",D747*IFERROR(INDEX(Ürünler!$C$5:$C$204,MATCH(C747,Ürünler!$A$5:$A$204,0)),0))</f>
        <v/>
      </c>
      <c r="I747" s="37" t="str">
        <f aca="false">IF(G747="","",G747-H747)</f>
        <v/>
      </c>
      <c r="J747" s="33"/>
    </row>
    <row r="748" customFormat="false" ht="15" hidden="false" customHeight="false" outlineLevel="0" collapsed="false">
      <c r="A748" s="32"/>
      <c r="B748" s="33"/>
      <c r="C748" s="33"/>
      <c r="D748" s="34"/>
      <c r="E748" s="35"/>
      <c r="F748" s="36"/>
      <c r="G748" s="37" t="str">
        <f aca="false">IF(OR(C748="",D748=""),"",D748*IF(E748="",IFERROR(INDEX(Ürünler!$D$5:$D$204,MATCH(C748,Ürünler!$A$5:$A$204,0)),0),E748))</f>
        <v/>
      </c>
      <c r="H748" s="37" t="str">
        <f aca="false">IF(G748="","",D748*IFERROR(INDEX(Ürünler!$C$5:$C$204,MATCH(C748,Ürünler!$A$5:$A$204,0)),0))</f>
        <v/>
      </c>
      <c r="I748" s="37" t="str">
        <f aca="false">IF(G748="","",G748-H748)</f>
        <v/>
      </c>
      <c r="J748" s="33"/>
    </row>
    <row r="749" customFormat="false" ht="15" hidden="false" customHeight="false" outlineLevel="0" collapsed="false">
      <c r="A749" s="32"/>
      <c r="B749" s="33"/>
      <c r="C749" s="33"/>
      <c r="D749" s="34"/>
      <c r="E749" s="35"/>
      <c r="F749" s="36"/>
      <c r="G749" s="37" t="str">
        <f aca="false">IF(OR(C749="",D749=""),"",D749*IF(E749="",IFERROR(INDEX(Ürünler!$D$5:$D$204,MATCH(C749,Ürünler!$A$5:$A$204,0)),0),E749))</f>
        <v/>
      </c>
      <c r="H749" s="37" t="str">
        <f aca="false">IF(G749="","",D749*IFERROR(INDEX(Ürünler!$C$5:$C$204,MATCH(C749,Ürünler!$A$5:$A$204,0)),0))</f>
        <v/>
      </c>
      <c r="I749" s="37" t="str">
        <f aca="false">IF(G749="","",G749-H749)</f>
        <v/>
      </c>
      <c r="J749" s="33"/>
    </row>
    <row r="750" customFormat="false" ht="15" hidden="false" customHeight="false" outlineLevel="0" collapsed="false">
      <c r="A750" s="32"/>
      <c r="B750" s="33"/>
      <c r="C750" s="33"/>
      <c r="D750" s="34"/>
      <c r="E750" s="35"/>
      <c r="F750" s="36"/>
      <c r="G750" s="37" t="str">
        <f aca="false">IF(OR(C750="",D750=""),"",D750*IF(E750="",IFERROR(INDEX(Ürünler!$D$5:$D$204,MATCH(C750,Ürünler!$A$5:$A$204,0)),0),E750))</f>
        <v/>
      </c>
      <c r="H750" s="37" t="str">
        <f aca="false">IF(G750="","",D750*IFERROR(INDEX(Ürünler!$C$5:$C$204,MATCH(C750,Ürünler!$A$5:$A$204,0)),0))</f>
        <v/>
      </c>
      <c r="I750" s="37" t="str">
        <f aca="false">IF(G750="","",G750-H750)</f>
        <v/>
      </c>
      <c r="J750" s="33"/>
    </row>
    <row r="751" customFormat="false" ht="15" hidden="false" customHeight="false" outlineLevel="0" collapsed="false">
      <c r="A751" s="32"/>
      <c r="B751" s="33"/>
      <c r="C751" s="33"/>
      <c r="D751" s="34"/>
      <c r="E751" s="35"/>
      <c r="F751" s="36"/>
      <c r="G751" s="37" t="str">
        <f aca="false">IF(OR(C751="",D751=""),"",D751*IF(E751="",IFERROR(INDEX(Ürünler!$D$5:$D$204,MATCH(C751,Ürünler!$A$5:$A$204,0)),0),E751))</f>
        <v/>
      </c>
      <c r="H751" s="37" t="str">
        <f aca="false">IF(G751="","",D751*IFERROR(INDEX(Ürünler!$C$5:$C$204,MATCH(C751,Ürünler!$A$5:$A$204,0)),0))</f>
        <v/>
      </c>
      <c r="I751" s="37" t="str">
        <f aca="false">IF(G751="","",G751-H751)</f>
        <v/>
      </c>
      <c r="J751" s="33"/>
    </row>
    <row r="752" customFormat="false" ht="15" hidden="false" customHeight="false" outlineLevel="0" collapsed="false">
      <c r="A752" s="32"/>
      <c r="B752" s="33"/>
      <c r="C752" s="33"/>
      <c r="D752" s="34"/>
      <c r="E752" s="35"/>
      <c r="F752" s="36"/>
      <c r="G752" s="37" t="str">
        <f aca="false">IF(OR(C752="",D752=""),"",D752*IF(E752="",IFERROR(INDEX(Ürünler!$D$5:$D$204,MATCH(C752,Ürünler!$A$5:$A$204,0)),0),E752))</f>
        <v/>
      </c>
      <c r="H752" s="37" t="str">
        <f aca="false">IF(G752="","",D752*IFERROR(INDEX(Ürünler!$C$5:$C$204,MATCH(C752,Ürünler!$A$5:$A$204,0)),0))</f>
        <v/>
      </c>
      <c r="I752" s="37" t="str">
        <f aca="false">IF(G752="","",G752-H752)</f>
        <v/>
      </c>
      <c r="J752" s="33"/>
    </row>
    <row r="753" customFormat="false" ht="15" hidden="false" customHeight="false" outlineLevel="0" collapsed="false">
      <c r="A753" s="32"/>
      <c r="B753" s="33"/>
      <c r="C753" s="33"/>
      <c r="D753" s="34"/>
      <c r="E753" s="35"/>
      <c r="F753" s="36"/>
      <c r="G753" s="37" t="str">
        <f aca="false">IF(OR(C753="",D753=""),"",D753*IF(E753="",IFERROR(INDEX(Ürünler!$D$5:$D$204,MATCH(C753,Ürünler!$A$5:$A$204,0)),0),E753))</f>
        <v/>
      </c>
      <c r="H753" s="37" t="str">
        <f aca="false">IF(G753="","",D753*IFERROR(INDEX(Ürünler!$C$5:$C$204,MATCH(C753,Ürünler!$A$5:$A$204,0)),0))</f>
        <v/>
      </c>
      <c r="I753" s="37" t="str">
        <f aca="false">IF(G753="","",G753-H753)</f>
        <v/>
      </c>
      <c r="J753" s="33"/>
    </row>
    <row r="754" customFormat="false" ht="15" hidden="false" customHeight="false" outlineLevel="0" collapsed="false">
      <c r="A754" s="32"/>
      <c r="B754" s="33"/>
      <c r="C754" s="33"/>
      <c r="D754" s="34"/>
      <c r="E754" s="35"/>
      <c r="F754" s="36"/>
      <c r="G754" s="37" t="str">
        <f aca="false">IF(OR(C754="",D754=""),"",D754*IF(E754="",IFERROR(INDEX(Ürünler!$D$5:$D$204,MATCH(C754,Ürünler!$A$5:$A$204,0)),0),E754))</f>
        <v/>
      </c>
      <c r="H754" s="37" t="str">
        <f aca="false">IF(G754="","",D754*IFERROR(INDEX(Ürünler!$C$5:$C$204,MATCH(C754,Ürünler!$A$5:$A$204,0)),0))</f>
        <v/>
      </c>
      <c r="I754" s="37" t="str">
        <f aca="false">IF(G754="","",G754-H754)</f>
        <v/>
      </c>
      <c r="J754" s="33"/>
    </row>
    <row r="755" customFormat="false" ht="15" hidden="false" customHeight="false" outlineLevel="0" collapsed="false">
      <c r="A755" s="32"/>
      <c r="B755" s="33"/>
      <c r="C755" s="33"/>
      <c r="D755" s="34"/>
      <c r="E755" s="35"/>
      <c r="F755" s="36"/>
      <c r="G755" s="37" t="str">
        <f aca="false">IF(OR(C755="",D755=""),"",D755*IF(E755="",IFERROR(INDEX(Ürünler!$D$5:$D$204,MATCH(C755,Ürünler!$A$5:$A$204,0)),0),E755))</f>
        <v/>
      </c>
      <c r="H755" s="37" t="str">
        <f aca="false">IF(G755="","",D755*IFERROR(INDEX(Ürünler!$C$5:$C$204,MATCH(C755,Ürünler!$A$5:$A$204,0)),0))</f>
        <v/>
      </c>
      <c r="I755" s="37" t="str">
        <f aca="false">IF(G755="","",G755-H755)</f>
        <v/>
      </c>
      <c r="J755" s="33"/>
    </row>
    <row r="756" customFormat="false" ht="15" hidden="false" customHeight="false" outlineLevel="0" collapsed="false">
      <c r="A756" s="32"/>
      <c r="B756" s="33"/>
      <c r="C756" s="33"/>
      <c r="D756" s="34"/>
      <c r="E756" s="35"/>
      <c r="F756" s="36"/>
      <c r="G756" s="37" t="str">
        <f aca="false">IF(OR(C756="",D756=""),"",D756*IF(E756="",IFERROR(INDEX(Ürünler!$D$5:$D$204,MATCH(C756,Ürünler!$A$5:$A$204,0)),0),E756))</f>
        <v/>
      </c>
      <c r="H756" s="37" t="str">
        <f aca="false">IF(G756="","",D756*IFERROR(INDEX(Ürünler!$C$5:$C$204,MATCH(C756,Ürünler!$A$5:$A$204,0)),0))</f>
        <v/>
      </c>
      <c r="I756" s="37" t="str">
        <f aca="false">IF(G756="","",G756-H756)</f>
        <v/>
      </c>
      <c r="J756" s="33"/>
    </row>
    <row r="757" customFormat="false" ht="15" hidden="false" customHeight="false" outlineLevel="0" collapsed="false">
      <c r="A757" s="32"/>
      <c r="B757" s="33"/>
      <c r="C757" s="33"/>
      <c r="D757" s="34"/>
      <c r="E757" s="35"/>
      <c r="F757" s="36"/>
      <c r="G757" s="37" t="str">
        <f aca="false">IF(OR(C757="",D757=""),"",D757*IF(E757="",IFERROR(INDEX(Ürünler!$D$5:$D$204,MATCH(C757,Ürünler!$A$5:$A$204,0)),0),E757))</f>
        <v/>
      </c>
      <c r="H757" s="37" t="str">
        <f aca="false">IF(G757="","",D757*IFERROR(INDEX(Ürünler!$C$5:$C$204,MATCH(C757,Ürünler!$A$5:$A$204,0)),0))</f>
        <v/>
      </c>
      <c r="I757" s="37" t="str">
        <f aca="false">IF(G757="","",G757-H757)</f>
        <v/>
      </c>
      <c r="J757" s="33"/>
    </row>
    <row r="758" customFormat="false" ht="15" hidden="false" customHeight="false" outlineLevel="0" collapsed="false">
      <c r="A758" s="32"/>
      <c r="B758" s="33"/>
      <c r="C758" s="33"/>
      <c r="D758" s="34"/>
      <c r="E758" s="35"/>
      <c r="F758" s="36"/>
      <c r="G758" s="37" t="str">
        <f aca="false">IF(OR(C758="",D758=""),"",D758*IF(E758="",IFERROR(INDEX(Ürünler!$D$5:$D$204,MATCH(C758,Ürünler!$A$5:$A$204,0)),0),E758))</f>
        <v/>
      </c>
      <c r="H758" s="37" t="str">
        <f aca="false">IF(G758="","",D758*IFERROR(INDEX(Ürünler!$C$5:$C$204,MATCH(C758,Ürünler!$A$5:$A$204,0)),0))</f>
        <v/>
      </c>
      <c r="I758" s="37" t="str">
        <f aca="false">IF(G758="","",G758-H758)</f>
        <v/>
      </c>
      <c r="J758" s="33"/>
    </row>
    <row r="759" customFormat="false" ht="15" hidden="false" customHeight="false" outlineLevel="0" collapsed="false">
      <c r="A759" s="32"/>
      <c r="B759" s="33"/>
      <c r="C759" s="33"/>
      <c r="D759" s="34"/>
      <c r="E759" s="35"/>
      <c r="F759" s="36"/>
      <c r="G759" s="37" t="str">
        <f aca="false">IF(OR(C759="",D759=""),"",D759*IF(E759="",IFERROR(INDEX(Ürünler!$D$5:$D$204,MATCH(C759,Ürünler!$A$5:$A$204,0)),0),E759))</f>
        <v/>
      </c>
      <c r="H759" s="37" t="str">
        <f aca="false">IF(G759="","",D759*IFERROR(INDEX(Ürünler!$C$5:$C$204,MATCH(C759,Ürünler!$A$5:$A$204,0)),0))</f>
        <v/>
      </c>
      <c r="I759" s="37" t="str">
        <f aca="false">IF(G759="","",G759-H759)</f>
        <v/>
      </c>
      <c r="J759" s="33"/>
    </row>
    <row r="760" customFormat="false" ht="15" hidden="false" customHeight="false" outlineLevel="0" collapsed="false">
      <c r="A760" s="32"/>
      <c r="B760" s="33"/>
      <c r="C760" s="33"/>
      <c r="D760" s="34"/>
      <c r="E760" s="35"/>
      <c r="F760" s="36"/>
      <c r="G760" s="37" t="str">
        <f aca="false">IF(OR(C760="",D760=""),"",D760*IF(E760="",IFERROR(INDEX(Ürünler!$D$5:$D$204,MATCH(C760,Ürünler!$A$5:$A$204,0)),0),E760))</f>
        <v/>
      </c>
      <c r="H760" s="37" t="str">
        <f aca="false">IF(G760="","",D760*IFERROR(INDEX(Ürünler!$C$5:$C$204,MATCH(C760,Ürünler!$A$5:$A$204,0)),0))</f>
        <v/>
      </c>
      <c r="I760" s="37" t="str">
        <f aca="false">IF(G760="","",G760-H760)</f>
        <v/>
      </c>
      <c r="J760" s="33"/>
    </row>
    <row r="761" customFormat="false" ht="15" hidden="false" customHeight="false" outlineLevel="0" collapsed="false">
      <c r="A761" s="32"/>
      <c r="B761" s="33"/>
      <c r="C761" s="33"/>
      <c r="D761" s="34"/>
      <c r="E761" s="35"/>
      <c r="F761" s="36"/>
      <c r="G761" s="37" t="str">
        <f aca="false">IF(OR(C761="",D761=""),"",D761*IF(E761="",IFERROR(INDEX(Ürünler!$D$5:$D$204,MATCH(C761,Ürünler!$A$5:$A$204,0)),0),E761))</f>
        <v/>
      </c>
      <c r="H761" s="37" t="str">
        <f aca="false">IF(G761="","",D761*IFERROR(INDEX(Ürünler!$C$5:$C$204,MATCH(C761,Ürünler!$A$5:$A$204,0)),0))</f>
        <v/>
      </c>
      <c r="I761" s="37" t="str">
        <f aca="false">IF(G761="","",G761-H761)</f>
        <v/>
      </c>
      <c r="J761" s="33"/>
    </row>
    <row r="762" customFormat="false" ht="15" hidden="false" customHeight="false" outlineLevel="0" collapsed="false">
      <c r="A762" s="32"/>
      <c r="B762" s="33"/>
      <c r="C762" s="33"/>
      <c r="D762" s="34"/>
      <c r="E762" s="35"/>
      <c r="F762" s="36"/>
      <c r="G762" s="37" t="str">
        <f aca="false">IF(OR(C762="",D762=""),"",D762*IF(E762="",IFERROR(INDEX(Ürünler!$D$5:$D$204,MATCH(C762,Ürünler!$A$5:$A$204,0)),0),E762))</f>
        <v/>
      </c>
      <c r="H762" s="37" t="str">
        <f aca="false">IF(G762="","",D762*IFERROR(INDEX(Ürünler!$C$5:$C$204,MATCH(C762,Ürünler!$A$5:$A$204,0)),0))</f>
        <v/>
      </c>
      <c r="I762" s="37" t="str">
        <f aca="false">IF(G762="","",G762-H762)</f>
        <v/>
      </c>
      <c r="J762" s="33"/>
    </row>
    <row r="763" customFormat="false" ht="15" hidden="false" customHeight="false" outlineLevel="0" collapsed="false">
      <c r="A763" s="32"/>
      <c r="B763" s="33"/>
      <c r="C763" s="33"/>
      <c r="D763" s="34"/>
      <c r="E763" s="35"/>
      <c r="F763" s="36"/>
      <c r="G763" s="37" t="str">
        <f aca="false">IF(OR(C763="",D763=""),"",D763*IF(E763="",IFERROR(INDEX(Ürünler!$D$5:$D$204,MATCH(C763,Ürünler!$A$5:$A$204,0)),0),E763))</f>
        <v/>
      </c>
      <c r="H763" s="37" t="str">
        <f aca="false">IF(G763="","",D763*IFERROR(INDEX(Ürünler!$C$5:$C$204,MATCH(C763,Ürünler!$A$5:$A$204,0)),0))</f>
        <v/>
      </c>
      <c r="I763" s="37" t="str">
        <f aca="false">IF(G763="","",G763-H763)</f>
        <v/>
      </c>
      <c r="J763" s="33"/>
    </row>
    <row r="764" customFormat="false" ht="15" hidden="false" customHeight="false" outlineLevel="0" collapsed="false">
      <c r="A764" s="32"/>
      <c r="B764" s="33"/>
      <c r="C764" s="33"/>
      <c r="D764" s="34"/>
      <c r="E764" s="35"/>
      <c r="F764" s="36"/>
      <c r="G764" s="37" t="str">
        <f aca="false">IF(OR(C764="",D764=""),"",D764*IF(E764="",IFERROR(INDEX(Ürünler!$D$5:$D$204,MATCH(C764,Ürünler!$A$5:$A$204,0)),0),E764))</f>
        <v/>
      </c>
      <c r="H764" s="37" t="str">
        <f aca="false">IF(G764="","",D764*IFERROR(INDEX(Ürünler!$C$5:$C$204,MATCH(C764,Ürünler!$A$5:$A$204,0)),0))</f>
        <v/>
      </c>
      <c r="I764" s="37" t="str">
        <f aca="false">IF(G764="","",G764-H764)</f>
        <v/>
      </c>
      <c r="J764" s="33"/>
    </row>
    <row r="765" customFormat="false" ht="15" hidden="false" customHeight="false" outlineLevel="0" collapsed="false">
      <c r="A765" s="32"/>
      <c r="B765" s="33"/>
      <c r="C765" s="33"/>
      <c r="D765" s="34"/>
      <c r="E765" s="35"/>
      <c r="F765" s="36"/>
      <c r="G765" s="37" t="str">
        <f aca="false">IF(OR(C765="",D765=""),"",D765*IF(E765="",IFERROR(INDEX(Ürünler!$D$5:$D$204,MATCH(C765,Ürünler!$A$5:$A$204,0)),0),E765))</f>
        <v/>
      </c>
      <c r="H765" s="37" t="str">
        <f aca="false">IF(G765="","",D765*IFERROR(INDEX(Ürünler!$C$5:$C$204,MATCH(C765,Ürünler!$A$5:$A$204,0)),0))</f>
        <v/>
      </c>
      <c r="I765" s="37" t="str">
        <f aca="false">IF(G765="","",G765-H765)</f>
        <v/>
      </c>
      <c r="J765" s="33"/>
    </row>
    <row r="766" customFormat="false" ht="15" hidden="false" customHeight="false" outlineLevel="0" collapsed="false">
      <c r="A766" s="32"/>
      <c r="B766" s="33"/>
      <c r="C766" s="33"/>
      <c r="D766" s="34"/>
      <c r="E766" s="35"/>
      <c r="F766" s="36"/>
      <c r="G766" s="37" t="str">
        <f aca="false">IF(OR(C766="",D766=""),"",D766*IF(E766="",IFERROR(INDEX(Ürünler!$D$5:$D$204,MATCH(C766,Ürünler!$A$5:$A$204,0)),0),E766))</f>
        <v/>
      </c>
      <c r="H766" s="37" t="str">
        <f aca="false">IF(G766="","",D766*IFERROR(INDEX(Ürünler!$C$5:$C$204,MATCH(C766,Ürünler!$A$5:$A$204,0)),0))</f>
        <v/>
      </c>
      <c r="I766" s="37" t="str">
        <f aca="false">IF(G766="","",G766-H766)</f>
        <v/>
      </c>
      <c r="J766" s="33"/>
    </row>
    <row r="767" customFormat="false" ht="15" hidden="false" customHeight="false" outlineLevel="0" collapsed="false">
      <c r="A767" s="32"/>
      <c r="B767" s="33"/>
      <c r="C767" s="33"/>
      <c r="D767" s="34"/>
      <c r="E767" s="35"/>
      <c r="F767" s="36"/>
      <c r="G767" s="37" t="str">
        <f aca="false">IF(OR(C767="",D767=""),"",D767*IF(E767="",IFERROR(INDEX(Ürünler!$D$5:$D$204,MATCH(C767,Ürünler!$A$5:$A$204,0)),0),E767))</f>
        <v/>
      </c>
      <c r="H767" s="37" t="str">
        <f aca="false">IF(G767="","",D767*IFERROR(INDEX(Ürünler!$C$5:$C$204,MATCH(C767,Ürünler!$A$5:$A$204,0)),0))</f>
        <v/>
      </c>
      <c r="I767" s="37" t="str">
        <f aca="false">IF(G767="","",G767-H767)</f>
        <v/>
      </c>
      <c r="J767" s="33"/>
    </row>
    <row r="768" customFormat="false" ht="15" hidden="false" customHeight="false" outlineLevel="0" collapsed="false">
      <c r="A768" s="32"/>
      <c r="B768" s="33"/>
      <c r="C768" s="33"/>
      <c r="D768" s="34"/>
      <c r="E768" s="35"/>
      <c r="F768" s="36"/>
      <c r="G768" s="37" t="str">
        <f aca="false">IF(OR(C768="",D768=""),"",D768*IF(E768="",IFERROR(INDEX(Ürünler!$D$5:$D$204,MATCH(C768,Ürünler!$A$5:$A$204,0)),0),E768))</f>
        <v/>
      </c>
      <c r="H768" s="37" t="str">
        <f aca="false">IF(G768="","",D768*IFERROR(INDEX(Ürünler!$C$5:$C$204,MATCH(C768,Ürünler!$A$5:$A$204,0)),0))</f>
        <v/>
      </c>
      <c r="I768" s="37" t="str">
        <f aca="false">IF(G768="","",G768-H768)</f>
        <v/>
      </c>
      <c r="J768" s="33"/>
    </row>
    <row r="769" customFormat="false" ht="15" hidden="false" customHeight="false" outlineLevel="0" collapsed="false">
      <c r="A769" s="32"/>
      <c r="B769" s="33"/>
      <c r="C769" s="33"/>
      <c r="D769" s="34"/>
      <c r="E769" s="35"/>
      <c r="F769" s="36"/>
      <c r="G769" s="37" t="str">
        <f aca="false">IF(OR(C769="",D769=""),"",D769*IF(E769="",IFERROR(INDEX(Ürünler!$D$5:$D$204,MATCH(C769,Ürünler!$A$5:$A$204,0)),0),E769))</f>
        <v/>
      </c>
      <c r="H769" s="37" t="str">
        <f aca="false">IF(G769="","",D769*IFERROR(INDEX(Ürünler!$C$5:$C$204,MATCH(C769,Ürünler!$A$5:$A$204,0)),0))</f>
        <v/>
      </c>
      <c r="I769" s="37" t="str">
        <f aca="false">IF(G769="","",G769-H769)</f>
        <v/>
      </c>
      <c r="J769" s="33"/>
    </row>
    <row r="770" customFormat="false" ht="15" hidden="false" customHeight="false" outlineLevel="0" collapsed="false">
      <c r="A770" s="32"/>
      <c r="B770" s="33"/>
      <c r="C770" s="33"/>
      <c r="D770" s="34"/>
      <c r="E770" s="35"/>
      <c r="F770" s="36"/>
      <c r="G770" s="37" t="str">
        <f aca="false">IF(OR(C770="",D770=""),"",D770*IF(E770="",IFERROR(INDEX(Ürünler!$D$5:$D$204,MATCH(C770,Ürünler!$A$5:$A$204,0)),0),E770))</f>
        <v/>
      </c>
      <c r="H770" s="37" t="str">
        <f aca="false">IF(G770="","",D770*IFERROR(INDEX(Ürünler!$C$5:$C$204,MATCH(C770,Ürünler!$A$5:$A$204,0)),0))</f>
        <v/>
      </c>
      <c r="I770" s="37" t="str">
        <f aca="false">IF(G770="","",G770-H770)</f>
        <v/>
      </c>
      <c r="J770" s="33"/>
    </row>
    <row r="771" customFormat="false" ht="15" hidden="false" customHeight="false" outlineLevel="0" collapsed="false">
      <c r="A771" s="32"/>
      <c r="B771" s="33"/>
      <c r="C771" s="33"/>
      <c r="D771" s="34"/>
      <c r="E771" s="35"/>
      <c r="F771" s="36"/>
      <c r="G771" s="37" t="str">
        <f aca="false">IF(OR(C771="",D771=""),"",D771*IF(E771="",IFERROR(INDEX(Ürünler!$D$5:$D$204,MATCH(C771,Ürünler!$A$5:$A$204,0)),0),E771))</f>
        <v/>
      </c>
      <c r="H771" s="37" t="str">
        <f aca="false">IF(G771="","",D771*IFERROR(INDEX(Ürünler!$C$5:$C$204,MATCH(C771,Ürünler!$A$5:$A$204,0)),0))</f>
        <v/>
      </c>
      <c r="I771" s="37" t="str">
        <f aca="false">IF(G771="","",G771-H771)</f>
        <v/>
      </c>
      <c r="J771" s="33"/>
    </row>
    <row r="772" customFormat="false" ht="15" hidden="false" customHeight="false" outlineLevel="0" collapsed="false">
      <c r="A772" s="32"/>
      <c r="B772" s="33"/>
      <c r="C772" s="33"/>
      <c r="D772" s="34"/>
      <c r="E772" s="35"/>
      <c r="F772" s="36"/>
      <c r="G772" s="37" t="str">
        <f aca="false">IF(OR(C772="",D772=""),"",D772*IF(E772="",IFERROR(INDEX(Ürünler!$D$5:$D$204,MATCH(C772,Ürünler!$A$5:$A$204,0)),0),E772))</f>
        <v/>
      </c>
      <c r="H772" s="37" t="str">
        <f aca="false">IF(G772="","",D772*IFERROR(INDEX(Ürünler!$C$5:$C$204,MATCH(C772,Ürünler!$A$5:$A$204,0)),0))</f>
        <v/>
      </c>
      <c r="I772" s="37" t="str">
        <f aca="false">IF(G772="","",G772-H772)</f>
        <v/>
      </c>
      <c r="J772" s="33"/>
    </row>
    <row r="773" customFormat="false" ht="15" hidden="false" customHeight="false" outlineLevel="0" collapsed="false">
      <c r="A773" s="32"/>
      <c r="B773" s="33"/>
      <c r="C773" s="33"/>
      <c r="D773" s="34"/>
      <c r="E773" s="35"/>
      <c r="F773" s="36"/>
      <c r="G773" s="37" t="str">
        <f aca="false">IF(OR(C773="",D773=""),"",D773*IF(E773="",IFERROR(INDEX(Ürünler!$D$5:$D$204,MATCH(C773,Ürünler!$A$5:$A$204,0)),0),E773))</f>
        <v/>
      </c>
      <c r="H773" s="37" t="str">
        <f aca="false">IF(G773="","",D773*IFERROR(INDEX(Ürünler!$C$5:$C$204,MATCH(C773,Ürünler!$A$5:$A$204,0)),0))</f>
        <v/>
      </c>
      <c r="I773" s="37" t="str">
        <f aca="false">IF(G773="","",G773-H773)</f>
        <v/>
      </c>
      <c r="J773" s="33"/>
    </row>
    <row r="774" customFormat="false" ht="15" hidden="false" customHeight="false" outlineLevel="0" collapsed="false">
      <c r="A774" s="32"/>
      <c r="B774" s="33"/>
      <c r="C774" s="33"/>
      <c r="D774" s="34"/>
      <c r="E774" s="35"/>
      <c r="F774" s="36"/>
      <c r="G774" s="37" t="str">
        <f aca="false">IF(OR(C774="",D774=""),"",D774*IF(E774="",IFERROR(INDEX(Ürünler!$D$5:$D$204,MATCH(C774,Ürünler!$A$5:$A$204,0)),0),E774))</f>
        <v/>
      </c>
      <c r="H774" s="37" t="str">
        <f aca="false">IF(G774="","",D774*IFERROR(INDEX(Ürünler!$C$5:$C$204,MATCH(C774,Ürünler!$A$5:$A$204,0)),0))</f>
        <v/>
      </c>
      <c r="I774" s="37" t="str">
        <f aca="false">IF(G774="","",G774-H774)</f>
        <v/>
      </c>
      <c r="J774" s="33"/>
    </row>
    <row r="775" customFormat="false" ht="15" hidden="false" customHeight="false" outlineLevel="0" collapsed="false">
      <c r="A775" s="32"/>
      <c r="B775" s="33"/>
      <c r="C775" s="33"/>
      <c r="D775" s="34"/>
      <c r="E775" s="35"/>
      <c r="F775" s="36"/>
      <c r="G775" s="37" t="str">
        <f aca="false">IF(OR(C775="",D775=""),"",D775*IF(E775="",IFERROR(INDEX(Ürünler!$D$5:$D$204,MATCH(C775,Ürünler!$A$5:$A$204,0)),0),E775))</f>
        <v/>
      </c>
      <c r="H775" s="37" t="str">
        <f aca="false">IF(G775="","",D775*IFERROR(INDEX(Ürünler!$C$5:$C$204,MATCH(C775,Ürünler!$A$5:$A$204,0)),0))</f>
        <v/>
      </c>
      <c r="I775" s="37" t="str">
        <f aca="false">IF(G775="","",G775-H775)</f>
        <v/>
      </c>
      <c r="J775" s="33"/>
    </row>
    <row r="776" customFormat="false" ht="15" hidden="false" customHeight="false" outlineLevel="0" collapsed="false">
      <c r="A776" s="32"/>
      <c r="B776" s="33"/>
      <c r="C776" s="33"/>
      <c r="D776" s="34"/>
      <c r="E776" s="35"/>
      <c r="F776" s="36"/>
      <c r="G776" s="37" t="str">
        <f aca="false">IF(OR(C776="",D776=""),"",D776*IF(E776="",IFERROR(INDEX(Ürünler!$D$5:$D$204,MATCH(C776,Ürünler!$A$5:$A$204,0)),0),E776))</f>
        <v/>
      </c>
      <c r="H776" s="37" t="str">
        <f aca="false">IF(G776="","",D776*IFERROR(INDEX(Ürünler!$C$5:$C$204,MATCH(C776,Ürünler!$A$5:$A$204,0)),0))</f>
        <v/>
      </c>
      <c r="I776" s="37" t="str">
        <f aca="false">IF(G776="","",G776-H776)</f>
        <v/>
      </c>
      <c r="J776" s="33"/>
    </row>
    <row r="777" customFormat="false" ht="15" hidden="false" customHeight="false" outlineLevel="0" collapsed="false">
      <c r="A777" s="32"/>
      <c r="B777" s="33"/>
      <c r="C777" s="33"/>
      <c r="D777" s="34"/>
      <c r="E777" s="35"/>
      <c r="F777" s="36"/>
      <c r="G777" s="37" t="str">
        <f aca="false">IF(OR(C777="",D777=""),"",D777*IF(E777="",IFERROR(INDEX(Ürünler!$D$5:$D$204,MATCH(C777,Ürünler!$A$5:$A$204,0)),0),E777))</f>
        <v/>
      </c>
      <c r="H777" s="37" t="str">
        <f aca="false">IF(G777="","",D777*IFERROR(INDEX(Ürünler!$C$5:$C$204,MATCH(C777,Ürünler!$A$5:$A$204,0)),0))</f>
        <v/>
      </c>
      <c r="I777" s="37" t="str">
        <f aca="false">IF(G777="","",G777-H777)</f>
        <v/>
      </c>
      <c r="J777" s="33"/>
    </row>
    <row r="778" customFormat="false" ht="15" hidden="false" customHeight="false" outlineLevel="0" collapsed="false">
      <c r="A778" s="32"/>
      <c r="B778" s="33"/>
      <c r="C778" s="33"/>
      <c r="D778" s="34"/>
      <c r="E778" s="35"/>
      <c r="F778" s="36"/>
      <c r="G778" s="37" t="str">
        <f aca="false">IF(OR(C778="",D778=""),"",D778*IF(E778="",IFERROR(INDEX(Ürünler!$D$5:$D$204,MATCH(C778,Ürünler!$A$5:$A$204,0)),0),E778))</f>
        <v/>
      </c>
      <c r="H778" s="37" t="str">
        <f aca="false">IF(G778="","",D778*IFERROR(INDEX(Ürünler!$C$5:$C$204,MATCH(C778,Ürünler!$A$5:$A$204,0)),0))</f>
        <v/>
      </c>
      <c r="I778" s="37" t="str">
        <f aca="false">IF(G778="","",G778-H778)</f>
        <v/>
      </c>
      <c r="J778" s="33"/>
    </row>
    <row r="779" customFormat="false" ht="15" hidden="false" customHeight="false" outlineLevel="0" collapsed="false">
      <c r="A779" s="32"/>
      <c r="B779" s="33"/>
      <c r="C779" s="33"/>
      <c r="D779" s="34"/>
      <c r="E779" s="35"/>
      <c r="F779" s="36"/>
      <c r="G779" s="37" t="str">
        <f aca="false">IF(OR(C779="",D779=""),"",D779*IF(E779="",IFERROR(INDEX(Ürünler!$D$5:$D$204,MATCH(C779,Ürünler!$A$5:$A$204,0)),0),E779))</f>
        <v/>
      </c>
      <c r="H779" s="37" t="str">
        <f aca="false">IF(G779="","",D779*IFERROR(INDEX(Ürünler!$C$5:$C$204,MATCH(C779,Ürünler!$A$5:$A$204,0)),0))</f>
        <v/>
      </c>
      <c r="I779" s="37" t="str">
        <f aca="false">IF(G779="","",G779-H779)</f>
        <v/>
      </c>
      <c r="J779" s="33"/>
    </row>
    <row r="780" customFormat="false" ht="15" hidden="false" customHeight="false" outlineLevel="0" collapsed="false">
      <c r="A780" s="32"/>
      <c r="B780" s="33"/>
      <c r="C780" s="33"/>
      <c r="D780" s="34"/>
      <c r="E780" s="35"/>
      <c r="F780" s="36"/>
      <c r="G780" s="37" t="str">
        <f aca="false">IF(OR(C780="",D780=""),"",D780*IF(E780="",IFERROR(INDEX(Ürünler!$D$5:$D$204,MATCH(C780,Ürünler!$A$5:$A$204,0)),0),E780))</f>
        <v/>
      </c>
      <c r="H780" s="37" t="str">
        <f aca="false">IF(G780="","",D780*IFERROR(INDEX(Ürünler!$C$5:$C$204,MATCH(C780,Ürünler!$A$5:$A$204,0)),0))</f>
        <v/>
      </c>
      <c r="I780" s="37" t="str">
        <f aca="false">IF(G780="","",G780-H780)</f>
        <v/>
      </c>
      <c r="J780" s="33"/>
    </row>
    <row r="781" customFormat="false" ht="15" hidden="false" customHeight="false" outlineLevel="0" collapsed="false">
      <c r="A781" s="32"/>
      <c r="B781" s="33"/>
      <c r="C781" s="33"/>
      <c r="D781" s="34"/>
      <c r="E781" s="35"/>
      <c r="F781" s="36"/>
      <c r="G781" s="37" t="str">
        <f aca="false">IF(OR(C781="",D781=""),"",D781*IF(E781="",IFERROR(INDEX(Ürünler!$D$5:$D$204,MATCH(C781,Ürünler!$A$5:$A$204,0)),0),E781))</f>
        <v/>
      </c>
      <c r="H781" s="37" t="str">
        <f aca="false">IF(G781="","",D781*IFERROR(INDEX(Ürünler!$C$5:$C$204,MATCH(C781,Ürünler!$A$5:$A$204,0)),0))</f>
        <v/>
      </c>
      <c r="I781" s="37" t="str">
        <f aca="false">IF(G781="","",G781-H781)</f>
        <v/>
      </c>
      <c r="J781" s="33"/>
    </row>
    <row r="782" customFormat="false" ht="15" hidden="false" customHeight="false" outlineLevel="0" collapsed="false">
      <c r="A782" s="32"/>
      <c r="B782" s="33"/>
      <c r="C782" s="33"/>
      <c r="D782" s="34"/>
      <c r="E782" s="35"/>
      <c r="F782" s="36"/>
      <c r="G782" s="37" t="str">
        <f aca="false">IF(OR(C782="",D782=""),"",D782*IF(E782="",IFERROR(INDEX(Ürünler!$D$5:$D$204,MATCH(C782,Ürünler!$A$5:$A$204,0)),0),E782))</f>
        <v/>
      </c>
      <c r="H782" s="37" t="str">
        <f aca="false">IF(G782="","",D782*IFERROR(INDEX(Ürünler!$C$5:$C$204,MATCH(C782,Ürünler!$A$5:$A$204,0)),0))</f>
        <v/>
      </c>
      <c r="I782" s="37" t="str">
        <f aca="false">IF(G782="","",G782-H782)</f>
        <v/>
      </c>
      <c r="J782" s="33"/>
    </row>
    <row r="783" customFormat="false" ht="15" hidden="false" customHeight="false" outlineLevel="0" collapsed="false">
      <c r="A783" s="32"/>
      <c r="B783" s="33"/>
      <c r="C783" s="33"/>
      <c r="D783" s="34"/>
      <c r="E783" s="35"/>
      <c r="F783" s="36"/>
      <c r="G783" s="37" t="str">
        <f aca="false">IF(OR(C783="",D783=""),"",D783*IF(E783="",IFERROR(INDEX(Ürünler!$D$5:$D$204,MATCH(C783,Ürünler!$A$5:$A$204,0)),0),E783))</f>
        <v/>
      </c>
      <c r="H783" s="37" t="str">
        <f aca="false">IF(G783="","",D783*IFERROR(INDEX(Ürünler!$C$5:$C$204,MATCH(C783,Ürünler!$A$5:$A$204,0)),0))</f>
        <v/>
      </c>
      <c r="I783" s="37" t="str">
        <f aca="false">IF(G783="","",G783-H783)</f>
        <v/>
      </c>
      <c r="J783" s="33"/>
    </row>
    <row r="784" customFormat="false" ht="15" hidden="false" customHeight="false" outlineLevel="0" collapsed="false">
      <c r="A784" s="32"/>
      <c r="B784" s="33"/>
      <c r="C784" s="33"/>
      <c r="D784" s="34"/>
      <c r="E784" s="35"/>
      <c r="F784" s="36"/>
      <c r="G784" s="37" t="str">
        <f aca="false">IF(OR(C784="",D784=""),"",D784*IF(E784="",IFERROR(INDEX(Ürünler!$D$5:$D$204,MATCH(C784,Ürünler!$A$5:$A$204,0)),0),E784))</f>
        <v/>
      </c>
      <c r="H784" s="37" t="str">
        <f aca="false">IF(G784="","",D784*IFERROR(INDEX(Ürünler!$C$5:$C$204,MATCH(C784,Ürünler!$A$5:$A$204,0)),0))</f>
        <v/>
      </c>
      <c r="I784" s="37" t="str">
        <f aca="false">IF(G784="","",G784-H784)</f>
        <v/>
      </c>
      <c r="J784" s="33"/>
    </row>
    <row r="785" customFormat="false" ht="15" hidden="false" customHeight="false" outlineLevel="0" collapsed="false">
      <c r="A785" s="32"/>
      <c r="B785" s="33"/>
      <c r="C785" s="33"/>
      <c r="D785" s="34"/>
      <c r="E785" s="35"/>
      <c r="F785" s="36"/>
      <c r="G785" s="37" t="str">
        <f aca="false">IF(OR(C785="",D785=""),"",D785*IF(E785="",IFERROR(INDEX(Ürünler!$D$5:$D$204,MATCH(C785,Ürünler!$A$5:$A$204,0)),0),E785))</f>
        <v/>
      </c>
      <c r="H785" s="37" t="str">
        <f aca="false">IF(G785="","",D785*IFERROR(INDEX(Ürünler!$C$5:$C$204,MATCH(C785,Ürünler!$A$5:$A$204,0)),0))</f>
        <v/>
      </c>
      <c r="I785" s="37" t="str">
        <f aca="false">IF(G785="","",G785-H785)</f>
        <v/>
      </c>
      <c r="J785" s="33"/>
    </row>
    <row r="786" customFormat="false" ht="15" hidden="false" customHeight="false" outlineLevel="0" collapsed="false">
      <c r="A786" s="32"/>
      <c r="B786" s="33"/>
      <c r="C786" s="33"/>
      <c r="D786" s="34"/>
      <c r="E786" s="35"/>
      <c r="F786" s="36"/>
      <c r="G786" s="37" t="str">
        <f aca="false">IF(OR(C786="",D786=""),"",D786*IF(E786="",IFERROR(INDEX(Ürünler!$D$5:$D$204,MATCH(C786,Ürünler!$A$5:$A$204,0)),0),E786))</f>
        <v/>
      </c>
      <c r="H786" s="37" t="str">
        <f aca="false">IF(G786="","",D786*IFERROR(INDEX(Ürünler!$C$5:$C$204,MATCH(C786,Ürünler!$A$5:$A$204,0)),0))</f>
        <v/>
      </c>
      <c r="I786" s="37" t="str">
        <f aca="false">IF(G786="","",G786-H786)</f>
        <v/>
      </c>
      <c r="J786" s="33"/>
    </row>
    <row r="787" customFormat="false" ht="15" hidden="false" customHeight="false" outlineLevel="0" collapsed="false">
      <c r="A787" s="32"/>
      <c r="B787" s="33"/>
      <c r="C787" s="33"/>
      <c r="D787" s="34"/>
      <c r="E787" s="35"/>
      <c r="F787" s="36"/>
      <c r="G787" s="37" t="str">
        <f aca="false">IF(OR(C787="",D787=""),"",D787*IF(E787="",IFERROR(INDEX(Ürünler!$D$5:$D$204,MATCH(C787,Ürünler!$A$5:$A$204,0)),0),E787))</f>
        <v/>
      </c>
      <c r="H787" s="37" t="str">
        <f aca="false">IF(G787="","",D787*IFERROR(INDEX(Ürünler!$C$5:$C$204,MATCH(C787,Ürünler!$A$5:$A$204,0)),0))</f>
        <v/>
      </c>
      <c r="I787" s="37" t="str">
        <f aca="false">IF(G787="","",G787-H787)</f>
        <v/>
      </c>
      <c r="J787" s="33"/>
    </row>
    <row r="788" customFormat="false" ht="15" hidden="false" customHeight="false" outlineLevel="0" collapsed="false">
      <c r="A788" s="32"/>
      <c r="B788" s="33"/>
      <c r="C788" s="33"/>
      <c r="D788" s="34"/>
      <c r="E788" s="35"/>
      <c r="F788" s="36"/>
      <c r="G788" s="37" t="str">
        <f aca="false">IF(OR(C788="",D788=""),"",D788*IF(E788="",IFERROR(INDEX(Ürünler!$D$5:$D$204,MATCH(C788,Ürünler!$A$5:$A$204,0)),0),E788))</f>
        <v/>
      </c>
      <c r="H788" s="37" t="str">
        <f aca="false">IF(G788="","",D788*IFERROR(INDEX(Ürünler!$C$5:$C$204,MATCH(C788,Ürünler!$A$5:$A$204,0)),0))</f>
        <v/>
      </c>
      <c r="I788" s="37" t="str">
        <f aca="false">IF(G788="","",G788-H788)</f>
        <v/>
      </c>
      <c r="J788" s="33"/>
    </row>
    <row r="789" customFormat="false" ht="15" hidden="false" customHeight="false" outlineLevel="0" collapsed="false">
      <c r="A789" s="32"/>
      <c r="B789" s="33"/>
      <c r="C789" s="33"/>
      <c r="D789" s="34"/>
      <c r="E789" s="35"/>
      <c r="F789" s="36"/>
      <c r="G789" s="37" t="str">
        <f aca="false">IF(OR(C789="",D789=""),"",D789*IF(E789="",IFERROR(INDEX(Ürünler!$D$5:$D$204,MATCH(C789,Ürünler!$A$5:$A$204,0)),0),E789))</f>
        <v/>
      </c>
      <c r="H789" s="37" t="str">
        <f aca="false">IF(G789="","",D789*IFERROR(INDEX(Ürünler!$C$5:$C$204,MATCH(C789,Ürünler!$A$5:$A$204,0)),0))</f>
        <v/>
      </c>
      <c r="I789" s="37" t="str">
        <f aca="false">IF(G789="","",G789-H789)</f>
        <v/>
      </c>
      <c r="J789" s="33"/>
    </row>
    <row r="790" customFormat="false" ht="15" hidden="false" customHeight="false" outlineLevel="0" collapsed="false">
      <c r="A790" s="32"/>
      <c r="B790" s="33"/>
      <c r="C790" s="33"/>
      <c r="D790" s="34"/>
      <c r="E790" s="35"/>
      <c r="F790" s="36"/>
      <c r="G790" s="37" t="str">
        <f aca="false">IF(OR(C790="",D790=""),"",D790*IF(E790="",IFERROR(INDEX(Ürünler!$D$5:$D$204,MATCH(C790,Ürünler!$A$5:$A$204,0)),0),E790))</f>
        <v/>
      </c>
      <c r="H790" s="37" t="str">
        <f aca="false">IF(G790="","",D790*IFERROR(INDEX(Ürünler!$C$5:$C$204,MATCH(C790,Ürünler!$A$5:$A$204,0)),0))</f>
        <v/>
      </c>
      <c r="I790" s="37" t="str">
        <f aca="false">IF(G790="","",G790-H790)</f>
        <v/>
      </c>
      <c r="J790" s="33"/>
    </row>
    <row r="791" customFormat="false" ht="15" hidden="false" customHeight="false" outlineLevel="0" collapsed="false">
      <c r="A791" s="32"/>
      <c r="B791" s="33"/>
      <c r="C791" s="33"/>
      <c r="D791" s="34"/>
      <c r="E791" s="35"/>
      <c r="F791" s="36"/>
      <c r="G791" s="37" t="str">
        <f aca="false">IF(OR(C791="",D791=""),"",D791*IF(E791="",IFERROR(INDEX(Ürünler!$D$5:$D$204,MATCH(C791,Ürünler!$A$5:$A$204,0)),0),E791))</f>
        <v/>
      </c>
      <c r="H791" s="37" t="str">
        <f aca="false">IF(G791="","",D791*IFERROR(INDEX(Ürünler!$C$5:$C$204,MATCH(C791,Ürünler!$A$5:$A$204,0)),0))</f>
        <v/>
      </c>
      <c r="I791" s="37" t="str">
        <f aca="false">IF(G791="","",G791-H791)</f>
        <v/>
      </c>
      <c r="J791" s="33"/>
    </row>
    <row r="792" customFormat="false" ht="15" hidden="false" customHeight="false" outlineLevel="0" collapsed="false">
      <c r="A792" s="32"/>
      <c r="B792" s="33"/>
      <c r="C792" s="33"/>
      <c r="D792" s="34"/>
      <c r="E792" s="35"/>
      <c r="F792" s="36"/>
      <c r="G792" s="37" t="str">
        <f aca="false">IF(OR(C792="",D792=""),"",D792*IF(E792="",IFERROR(INDEX(Ürünler!$D$5:$D$204,MATCH(C792,Ürünler!$A$5:$A$204,0)),0),E792))</f>
        <v/>
      </c>
      <c r="H792" s="37" t="str">
        <f aca="false">IF(G792="","",D792*IFERROR(INDEX(Ürünler!$C$5:$C$204,MATCH(C792,Ürünler!$A$5:$A$204,0)),0))</f>
        <v/>
      </c>
      <c r="I792" s="37" t="str">
        <f aca="false">IF(G792="","",G792-H792)</f>
        <v/>
      </c>
      <c r="J792" s="33"/>
    </row>
    <row r="793" customFormat="false" ht="15" hidden="false" customHeight="false" outlineLevel="0" collapsed="false">
      <c r="A793" s="32"/>
      <c r="B793" s="33"/>
      <c r="C793" s="33"/>
      <c r="D793" s="34"/>
      <c r="E793" s="35"/>
      <c r="F793" s="36"/>
      <c r="G793" s="37" t="str">
        <f aca="false">IF(OR(C793="",D793=""),"",D793*IF(E793="",IFERROR(INDEX(Ürünler!$D$5:$D$204,MATCH(C793,Ürünler!$A$5:$A$204,0)),0),E793))</f>
        <v/>
      </c>
      <c r="H793" s="37" t="str">
        <f aca="false">IF(G793="","",D793*IFERROR(INDEX(Ürünler!$C$5:$C$204,MATCH(C793,Ürünler!$A$5:$A$204,0)),0))</f>
        <v/>
      </c>
      <c r="I793" s="37" t="str">
        <f aca="false">IF(G793="","",G793-H793)</f>
        <v/>
      </c>
      <c r="J793" s="33"/>
    </row>
    <row r="794" customFormat="false" ht="15" hidden="false" customHeight="false" outlineLevel="0" collapsed="false">
      <c r="A794" s="32"/>
      <c r="B794" s="33"/>
      <c r="C794" s="33"/>
      <c r="D794" s="34"/>
      <c r="E794" s="35"/>
      <c r="F794" s="36"/>
      <c r="G794" s="37" t="str">
        <f aca="false">IF(OR(C794="",D794=""),"",D794*IF(E794="",IFERROR(INDEX(Ürünler!$D$5:$D$204,MATCH(C794,Ürünler!$A$5:$A$204,0)),0),E794))</f>
        <v/>
      </c>
      <c r="H794" s="37" t="str">
        <f aca="false">IF(G794="","",D794*IFERROR(INDEX(Ürünler!$C$5:$C$204,MATCH(C794,Ürünler!$A$5:$A$204,0)),0))</f>
        <v/>
      </c>
      <c r="I794" s="37" t="str">
        <f aca="false">IF(G794="","",G794-H794)</f>
        <v/>
      </c>
      <c r="J794" s="33"/>
    </row>
    <row r="795" customFormat="false" ht="15" hidden="false" customHeight="false" outlineLevel="0" collapsed="false">
      <c r="A795" s="32"/>
      <c r="B795" s="33"/>
      <c r="C795" s="33"/>
      <c r="D795" s="34"/>
      <c r="E795" s="35"/>
      <c r="F795" s="36"/>
      <c r="G795" s="37" t="str">
        <f aca="false">IF(OR(C795="",D795=""),"",D795*IF(E795="",IFERROR(INDEX(Ürünler!$D$5:$D$204,MATCH(C795,Ürünler!$A$5:$A$204,0)),0),E795))</f>
        <v/>
      </c>
      <c r="H795" s="37" t="str">
        <f aca="false">IF(G795="","",D795*IFERROR(INDEX(Ürünler!$C$5:$C$204,MATCH(C795,Ürünler!$A$5:$A$204,0)),0))</f>
        <v/>
      </c>
      <c r="I795" s="37" t="str">
        <f aca="false">IF(G795="","",G795-H795)</f>
        <v/>
      </c>
      <c r="J795" s="33"/>
    </row>
    <row r="796" customFormat="false" ht="15" hidden="false" customHeight="false" outlineLevel="0" collapsed="false">
      <c r="A796" s="32"/>
      <c r="B796" s="33"/>
      <c r="C796" s="33"/>
      <c r="D796" s="34"/>
      <c r="E796" s="35"/>
      <c r="F796" s="36"/>
      <c r="G796" s="37" t="str">
        <f aca="false">IF(OR(C796="",D796=""),"",D796*IF(E796="",IFERROR(INDEX(Ürünler!$D$5:$D$204,MATCH(C796,Ürünler!$A$5:$A$204,0)),0),E796))</f>
        <v/>
      </c>
      <c r="H796" s="37" t="str">
        <f aca="false">IF(G796="","",D796*IFERROR(INDEX(Ürünler!$C$5:$C$204,MATCH(C796,Ürünler!$A$5:$A$204,0)),0))</f>
        <v/>
      </c>
      <c r="I796" s="37" t="str">
        <f aca="false">IF(G796="","",G796-H796)</f>
        <v/>
      </c>
      <c r="J796" s="33"/>
    </row>
    <row r="797" customFormat="false" ht="15" hidden="false" customHeight="false" outlineLevel="0" collapsed="false">
      <c r="A797" s="32"/>
      <c r="B797" s="33"/>
      <c r="C797" s="33"/>
      <c r="D797" s="34"/>
      <c r="E797" s="35"/>
      <c r="F797" s="36"/>
      <c r="G797" s="37" t="str">
        <f aca="false">IF(OR(C797="",D797=""),"",D797*IF(E797="",IFERROR(INDEX(Ürünler!$D$5:$D$204,MATCH(C797,Ürünler!$A$5:$A$204,0)),0),E797))</f>
        <v/>
      </c>
      <c r="H797" s="37" t="str">
        <f aca="false">IF(G797="","",D797*IFERROR(INDEX(Ürünler!$C$5:$C$204,MATCH(C797,Ürünler!$A$5:$A$204,0)),0))</f>
        <v/>
      </c>
      <c r="I797" s="37" t="str">
        <f aca="false">IF(G797="","",G797-H797)</f>
        <v/>
      </c>
      <c r="J797" s="33"/>
    </row>
    <row r="798" customFormat="false" ht="15" hidden="false" customHeight="false" outlineLevel="0" collapsed="false">
      <c r="A798" s="32"/>
      <c r="B798" s="33"/>
      <c r="C798" s="33"/>
      <c r="D798" s="34"/>
      <c r="E798" s="35"/>
      <c r="F798" s="36"/>
      <c r="G798" s="37" t="str">
        <f aca="false">IF(OR(C798="",D798=""),"",D798*IF(E798="",IFERROR(INDEX(Ürünler!$D$5:$D$204,MATCH(C798,Ürünler!$A$5:$A$204,0)),0),E798))</f>
        <v/>
      </c>
      <c r="H798" s="37" t="str">
        <f aca="false">IF(G798="","",D798*IFERROR(INDEX(Ürünler!$C$5:$C$204,MATCH(C798,Ürünler!$A$5:$A$204,0)),0))</f>
        <v/>
      </c>
      <c r="I798" s="37" t="str">
        <f aca="false">IF(G798="","",G798-H798)</f>
        <v/>
      </c>
      <c r="J798" s="33"/>
    </row>
    <row r="799" customFormat="false" ht="15" hidden="false" customHeight="false" outlineLevel="0" collapsed="false">
      <c r="A799" s="32"/>
      <c r="B799" s="33"/>
      <c r="C799" s="33"/>
      <c r="D799" s="34"/>
      <c r="E799" s="35"/>
      <c r="F799" s="36"/>
      <c r="G799" s="37" t="str">
        <f aca="false">IF(OR(C799="",D799=""),"",D799*IF(E799="",IFERROR(INDEX(Ürünler!$D$5:$D$204,MATCH(C799,Ürünler!$A$5:$A$204,0)),0),E799))</f>
        <v/>
      </c>
      <c r="H799" s="37" t="str">
        <f aca="false">IF(G799="","",D799*IFERROR(INDEX(Ürünler!$C$5:$C$204,MATCH(C799,Ürünler!$A$5:$A$204,0)),0))</f>
        <v/>
      </c>
      <c r="I799" s="37" t="str">
        <f aca="false">IF(G799="","",G799-H799)</f>
        <v/>
      </c>
      <c r="J799" s="33"/>
    </row>
    <row r="800" customFormat="false" ht="15" hidden="false" customHeight="false" outlineLevel="0" collapsed="false">
      <c r="A800" s="32"/>
      <c r="B800" s="33"/>
      <c r="C800" s="33"/>
      <c r="D800" s="34"/>
      <c r="E800" s="35"/>
      <c r="F800" s="36"/>
      <c r="G800" s="37" t="str">
        <f aca="false">IF(OR(C800="",D800=""),"",D800*IF(E800="",IFERROR(INDEX(Ürünler!$D$5:$D$204,MATCH(C800,Ürünler!$A$5:$A$204,0)),0),E800))</f>
        <v/>
      </c>
      <c r="H800" s="37" t="str">
        <f aca="false">IF(G800="","",D800*IFERROR(INDEX(Ürünler!$C$5:$C$204,MATCH(C800,Ürünler!$A$5:$A$204,0)),0))</f>
        <v/>
      </c>
      <c r="I800" s="37" t="str">
        <f aca="false">IF(G800="","",G800-H800)</f>
        <v/>
      </c>
      <c r="J800" s="33"/>
    </row>
    <row r="801" customFormat="false" ht="15" hidden="false" customHeight="false" outlineLevel="0" collapsed="false">
      <c r="A801" s="32"/>
      <c r="B801" s="33"/>
      <c r="C801" s="33"/>
      <c r="D801" s="34"/>
      <c r="E801" s="35"/>
      <c r="F801" s="36"/>
      <c r="G801" s="37" t="str">
        <f aca="false">IF(OR(C801="",D801=""),"",D801*IF(E801="",IFERROR(INDEX(Ürünler!$D$5:$D$204,MATCH(C801,Ürünler!$A$5:$A$204,0)),0),E801))</f>
        <v/>
      </c>
      <c r="H801" s="37" t="str">
        <f aca="false">IF(G801="","",D801*IFERROR(INDEX(Ürünler!$C$5:$C$204,MATCH(C801,Ürünler!$A$5:$A$204,0)),0))</f>
        <v/>
      </c>
      <c r="I801" s="37" t="str">
        <f aca="false">IF(G801="","",G801-H801)</f>
        <v/>
      </c>
      <c r="J801" s="33"/>
    </row>
    <row r="802" customFormat="false" ht="15" hidden="false" customHeight="false" outlineLevel="0" collapsed="false">
      <c r="A802" s="32"/>
      <c r="B802" s="33"/>
      <c r="C802" s="33"/>
      <c r="D802" s="34"/>
      <c r="E802" s="35"/>
      <c r="F802" s="36"/>
      <c r="G802" s="37" t="str">
        <f aca="false">IF(OR(C802="",D802=""),"",D802*IF(E802="",IFERROR(INDEX(Ürünler!$D$5:$D$204,MATCH(C802,Ürünler!$A$5:$A$204,0)),0),E802))</f>
        <v/>
      </c>
      <c r="H802" s="37" t="str">
        <f aca="false">IF(G802="","",D802*IFERROR(INDEX(Ürünler!$C$5:$C$204,MATCH(C802,Ürünler!$A$5:$A$204,0)),0))</f>
        <v/>
      </c>
      <c r="I802" s="37" t="str">
        <f aca="false">IF(G802="","",G802-H802)</f>
        <v/>
      </c>
      <c r="J802" s="33"/>
    </row>
    <row r="803" customFormat="false" ht="15" hidden="false" customHeight="false" outlineLevel="0" collapsed="false">
      <c r="A803" s="32"/>
      <c r="B803" s="33"/>
      <c r="C803" s="33"/>
      <c r="D803" s="34"/>
      <c r="E803" s="35"/>
      <c r="F803" s="36"/>
      <c r="G803" s="37" t="str">
        <f aca="false">IF(OR(C803="",D803=""),"",D803*IF(E803="",IFERROR(INDEX(Ürünler!$D$5:$D$204,MATCH(C803,Ürünler!$A$5:$A$204,0)),0),E803))</f>
        <v/>
      </c>
      <c r="H803" s="37" t="str">
        <f aca="false">IF(G803="","",D803*IFERROR(INDEX(Ürünler!$C$5:$C$204,MATCH(C803,Ürünler!$A$5:$A$204,0)),0))</f>
        <v/>
      </c>
      <c r="I803" s="37" t="str">
        <f aca="false">IF(G803="","",G803-H803)</f>
        <v/>
      </c>
      <c r="J803" s="33"/>
    </row>
    <row r="804" customFormat="false" ht="15" hidden="false" customHeight="false" outlineLevel="0" collapsed="false">
      <c r="A804" s="32"/>
      <c r="B804" s="33"/>
      <c r="C804" s="33"/>
      <c r="D804" s="34"/>
      <c r="E804" s="35"/>
      <c r="F804" s="36"/>
      <c r="G804" s="37" t="str">
        <f aca="false">IF(OR(C804="",D804=""),"",D804*IF(E804="",IFERROR(INDEX(Ürünler!$D$5:$D$204,MATCH(C804,Ürünler!$A$5:$A$204,0)),0),E804))</f>
        <v/>
      </c>
      <c r="H804" s="37" t="str">
        <f aca="false">IF(G804="","",D804*IFERROR(INDEX(Ürünler!$C$5:$C$204,MATCH(C804,Ürünler!$A$5:$A$204,0)),0))</f>
        <v/>
      </c>
      <c r="I804" s="37" t="str">
        <f aca="false">IF(G804="","",G804-H804)</f>
        <v/>
      </c>
      <c r="J804" s="33"/>
    </row>
    <row r="805" customFormat="false" ht="15" hidden="false" customHeight="false" outlineLevel="0" collapsed="false">
      <c r="A805" s="32"/>
      <c r="B805" s="33"/>
      <c r="C805" s="33"/>
      <c r="D805" s="34"/>
      <c r="E805" s="35"/>
      <c r="F805" s="36"/>
      <c r="G805" s="37" t="str">
        <f aca="false">IF(OR(C805="",D805=""),"",D805*IF(E805="",IFERROR(INDEX(Ürünler!$D$5:$D$204,MATCH(C805,Ürünler!$A$5:$A$204,0)),0),E805))</f>
        <v/>
      </c>
      <c r="H805" s="37" t="str">
        <f aca="false">IF(G805="","",D805*IFERROR(INDEX(Ürünler!$C$5:$C$204,MATCH(C805,Ürünler!$A$5:$A$204,0)),0))</f>
        <v/>
      </c>
      <c r="I805" s="37" t="str">
        <f aca="false">IF(G805="","",G805-H805)</f>
        <v/>
      </c>
      <c r="J805" s="33"/>
    </row>
    <row r="806" customFormat="false" ht="15" hidden="false" customHeight="false" outlineLevel="0" collapsed="false">
      <c r="A806" s="32"/>
      <c r="B806" s="33"/>
      <c r="C806" s="33"/>
      <c r="D806" s="34"/>
      <c r="E806" s="35"/>
      <c r="F806" s="36"/>
      <c r="G806" s="37" t="str">
        <f aca="false">IF(OR(C806="",D806=""),"",D806*IF(E806="",IFERROR(INDEX(Ürünler!$D$5:$D$204,MATCH(C806,Ürünler!$A$5:$A$204,0)),0),E806))</f>
        <v/>
      </c>
      <c r="H806" s="37" t="str">
        <f aca="false">IF(G806="","",D806*IFERROR(INDEX(Ürünler!$C$5:$C$204,MATCH(C806,Ürünler!$A$5:$A$204,0)),0))</f>
        <v/>
      </c>
      <c r="I806" s="37" t="str">
        <f aca="false">IF(G806="","",G806-H806)</f>
        <v/>
      </c>
      <c r="J806" s="33"/>
    </row>
    <row r="807" customFormat="false" ht="15" hidden="false" customHeight="false" outlineLevel="0" collapsed="false">
      <c r="A807" s="32"/>
      <c r="B807" s="33"/>
      <c r="C807" s="33"/>
      <c r="D807" s="34"/>
      <c r="E807" s="35"/>
      <c r="F807" s="36"/>
      <c r="G807" s="37" t="str">
        <f aca="false">IF(OR(C807="",D807=""),"",D807*IF(E807="",IFERROR(INDEX(Ürünler!$D$5:$D$204,MATCH(C807,Ürünler!$A$5:$A$204,0)),0),E807))</f>
        <v/>
      </c>
      <c r="H807" s="37" t="str">
        <f aca="false">IF(G807="","",D807*IFERROR(INDEX(Ürünler!$C$5:$C$204,MATCH(C807,Ürünler!$A$5:$A$204,0)),0))</f>
        <v/>
      </c>
      <c r="I807" s="37" t="str">
        <f aca="false">IF(G807="","",G807-H807)</f>
        <v/>
      </c>
      <c r="J807" s="33"/>
    </row>
    <row r="808" customFormat="false" ht="15" hidden="false" customHeight="false" outlineLevel="0" collapsed="false">
      <c r="A808" s="32"/>
      <c r="B808" s="33"/>
      <c r="C808" s="33"/>
      <c r="D808" s="34"/>
      <c r="E808" s="35"/>
      <c r="F808" s="36"/>
      <c r="G808" s="37" t="str">
        <f aca="false">IF(OR(C808="",D808=""),"",D808*IF(E808="",IFERROR(INDEX(Ürünler!$D$5:$D$204,MATCH(C808,Ürünler!$A$5:$A$204,0)),0),E808))</f>
        <v/>
      </c>
      <c r="H808" s="37" t="str">
        <f aca="false">IF(G808="","",D808*IFERROR(INDEX(Ürünler!$C$5:$C$204,MATCH(C808,Ürünler!$A$5:$A$204,0)),0))</f>
        <v/>
      </c>
      <c r="I808" s="37" t="str">
        <f aca="false">IF(G808="","",G808-H808)</f>
        <v/>
      </c>
      <c r="J808" s="33"/>
    </row>
    <row r="809" customFormat="false" ht="15" hidden="false" customHeight="false" outlineLevel="0" collapsed="false">
      <c r="A809" s="32"/>
      <c r="B809" s="33"/>
      <c r="C809" s="33"/>
      <c r="D809" s="34"/>
      <c r="E809" s="35"/>
      <c r="F809" s="36"/>
      <c r="G809" s="37" t="str">
        <f aca="false">IF(OR(C809="",D809=""),"",D809*IF(E809="",IFERROR(INDEX(Ürünler!$D$5:$D$204,MATCH(C809,Ürünler!$A$5:$A$204,0)),0),E809))</f>
        <v/>
      </c>
      <c r="H809" s="37" t="str">
        <f aca="false">IF(G809="","",D809*IFERROR(INDEX(Ürünler!$C$5:$C$204,MATCH(C809,Ürünler!$A$5:$A$204,0)),0))</f>
        <v/>
      </c>
      <c r="I809" s="37" t="str">
        <f aca="false">IF(G809="","",G809-H809)</f>
        <v/>
      </c>
      <c r="J809" s="33"/>
    </row>
    <row r="810" customFormat="false" ht="15" hidden="false" customHeight="false" outlineLevel="0" collapsed="false">
      <c r="A810" s="32"/>
      <c r="B810" s="33"/>
      <c r="C810" s="33"/>
      <c r="D810" s="34"/>
      <c r="E810" s="35"/>
      <c r="F810" s="36"/>
      <c r="G810" s="37" t="str">
        <f aca="false">IF(OR(C810="",D810=""),"",D810*IF(E810="",IFERROR(INDEX(Ürünler!$D$5:$D$204,MATCH(C810,Ürünler!$A$5:$A$204,0)),0),E810))</f>
        <v/>
      </c>
      <c r="H810" s="37" t="str">
        <f aca="false">IF(G810="","",D810*IFERROR(INDEX(Ürünler!$C$5:$C$204,MATCH(C810,Ürünler!$A$5:$A$204,0)),0))</f>
        <v/>
      </c>
      <c r="I810" s="37" t="str">
        <f aca="false">IF(G810="","",G810-H810)</f>
        <v/>
      </c>
      <c r="J810" s="33"/>
    </row>
    <row r="811" customFormat="false" ht="15" hidden="false" customHeight="false" outlineLevel="0" collapsed="false">
      <c r="A811" s="32"/>
      <c r="B811" s="33"/>
      <c r="C811" s="33"/>
      <c r="D811" s="34"/>
      <c r="E811" s="35"/>
      <c r="F811" s="36"/>
      <c r="G811" s="37" t="str">
        <f aca="false">IF(OR(C811="",D811=""),"",D811*IF(E811="",IFERROR(INDEX(Ürünler!$D$5:$D$204,MATCH(C811,Ürünler!$A$5:$A$204,0)),0),E811))</f>
        <v/>
      </c>
      <c r="H811" s="37" t="str">
        <f aca="false">IF(G811="","",D811*IFERROR(INDEX(Ürünler!$C$5:$C$204,MATCH(C811,Ürünler!$A$5:$A$204,0)),0))</f>
        <v/>
      </c>
      <c r="I811" s="37" t="str">
        <f aca="false">IF(G811="","",G811-H811)</f>
        <v/>
      </c>
      <c r="J811" s="33"/>
    </row>
    <row r="812" customFormat="false" ht="15" hidden="false" customHeight="false" outlineLevel="0" collapsed="false">
      <c r="A812" s="32"/>
      <c r="B812" s="33"/>
      <c r="C812" s="33"/>
      <c r="D812" s="34"/>
      <c r="E812" s="35"/>
      <c r="F812" s="36"/>
      <c r="G812" s="37" t="str">
        <f aca="false">IF(OR(C812="",D812=""),"",D812*IF(E812="",IFERROR(INDEX(Ürünler!$D$5:$D$204,MATCH(C812,Ürünler!$A$5:$A$204,0)),0),E812))</f>
        <v/>
      </c>
      <c r="H812" s="37" t="str">
        <f aca="false">IF(G812="","",D812*IFERROR(INDEX(Ürünler!$C$5:$C$204,MATCH(C812,Ürünler!$A$5:$A$204,0)),0))</f>
        <v/>
      </c>
      <c r="I812" s="37" t="str">
        <f aca="false">IF(G812="","",G812-H812)</f>
        <v/>
      </c>
      <c r="J812" s="33"/>
    </row>
    <row r="813" customFormat="false" ht="15" hidden="false" customHeight="false" outlineLevel="0" collapsed="false">
      <c r="A813" s="32"/>
      <c r="B813" s="33"/>
      <c r="C813" s="33"/>
      <c r="D813" s="34"/>
      <c r="E813" s="35"/>
      <c r="F813" s="36"/>
      <c r="G813" s="37" t="str">
        <f aca="false">IF(OR(C813="",D813=""),"",D813*IF(E813="",IFERROR(INDEX(Ürünler!$D$5:$D$204,MATCH(C813,Ürünler!$A$5:$A$204,0)),0),E813))</f>
        <v/>
      </c>
      <c r="H813" s="37" t="str">
        <f aca="false">IF(G813="","",D813*IFERROR(INDEX(Ürünler!$C$5:$C$204,MATCH(C813,Ürünler!$A$5:$A$204,0)),0))</f>
        <v/>
      </c>
      <c r="I813" s="37" t="str">
        <f aca="false">IF(G813="","",G813-H813)</f>
        <v/>
      </c>
      <c r="J813" s="33"/>
    </row>
    <row r="814" customFormat="false" ht="15" hidden="false" customHeight="false" outlineLevel="0" collapsed="false">
      <c r="A814" s="32"/>
      <c r="B814" s="33"/>
      <c r="C814" s="33"/>
      <c r="D814" s="34"/>
      <c r="E814" s="35"/>
      <c r="F814" s="36"/>
      <c r="G814" s="37" t="str">
        <f aca="false">IF(OR(C814="",D814=""),"",D814*IF(E814="",IFERROR(INDEX(Ürünler!$D$5:$D$204,MATCH(C814,Ürünler!$A$5:$A$204,0)),0),E814))</f>
        <v/>
      </c>
      <c r="H814" s="37" t="str">
        <f aca="false">IF(G814="","",D814*IFERROR(INDEX(Ürünler!$C$5:$C$204,MATCH(C814,Ürünler!$A$5:$A$204,0)),0))</f>
        <v/>
      </c>
      <c r="I814" s="37" t="str">
        <f aca="false">IF(G814="","",G814-H814)</f>
        <v/>
      </c>
      <c r="J814" s="33"/>
    </row>
    <row r="815" customFormat="false" ht="15" hidden="false" customHeight="false" outlineLevel="0" collapsed="false">
      <c r="A815" s="32"/>
      <c r="B815" s="33"/>
      <c r="C815" s="33"/>
      <c r="D815" s="34"/>
      <c r="E815" s="35"/>
      <c r="F815" s="36"/>
      <c r="G815" s="37" t="str">
        <f aca="false">IF(OR(C815="",D815=""),"",D815*IF(E815="",IFERROR(INDEX(Ürünler!$D$5:$D$204,MATCH(C815,Ürünler!$A$5:$A$204,0)),0),E815))</f>
        <v/>
      </c>
      <c r="H815" s="37" t="str">
        <f aca="false">IF(G815="","",D815*IFERROR(INDEX(Ürünler!$C$5:$C$204,MATCH(C815,Ürünler!$A$5:$A$204,0)),0))</f>
        <v/>
      </c>
      <c r="I815" s="37" t="str">
        <f aca="false">IF(G815="","",G815-H815)</f>
        <v/>
      </c>
      <c r="J815" s="33"/>
    </row>
    <row r="816" customFormat="false" ht="15" hidden="false" customHeight="false" outlineLevel="0" collapsed="false">
      <c r="A816" s="32"/>
      <c r="B816" s="33"/>
      <c r="C816" s="33"/>
      <c r="D816" s="34"/>
      <c r="E816" s="35"/>
      <c r="F816" s="36"/>
      <c r="G816" s="37" t="str">
        <f aca="false">IF(OR(C816="",D816=""),"",D816*IF(E816="",IFERROR(INDEX(Ürünler!$D$5:$D$204,MATCH(C816,Ürünler!$A$5:$A$204,0)),0),E816))</f>
        <v/>
      </c>
      <c r="H816" s="37" t="str">
        <f aca="false">IF(G816="","",D816*IFERROR(INDEX(Ürünler!$C$5:$C$204,MATCH(C816,Ürünler!$A$5:$A$204,0)),0))</f>
        <v/>
      </c>
      <c r="I816" s="37" t="str">
        <f aca="false">IF(G816="","",G816-H816)</f>
        <v/>
      </c>
      <c r="J816" s="33"/>
    </row>
    <row r="817" customFormat="false" ht="15" hidden="false" customHeight="false" outlineLevel="0" collapsed="false">
      <c r="A817" s="32"/>
      <c r="B817" s="33"/>
      <c r="C817" s="33"/>
      <c r="D817" s="34"/>
      <c r="E817" s="35"/>
      <c r="F817" s="36"/>
      <c r="G817" s="37" t="str">
        <f aca="false">IF(OR(C817="",D817=""),"",D817*IF(E817="",IFERROR(INDEX(Ürünler!$D$5:$D$204,MATCH(C817,Ürünler!$A$5:$A$204,0)),0),E817))</f>
        <v/>
      </c>
      <c r="H817" s="37" t="str">
        <f aca="false">IF(G817="","",D817*IFERROR(INDEX(Ürünler!$C$5:$C$204,MATCH(C817,Ürünler!$A$5:$A$204,0)),0))</f>
        <v/>
      </c>
      <c r="I817" s="37" t="str">
        <f aca="false">IF(G817="","",G817-H817)</f>
        <v/>
      </c>
      <c r="J817" s="33"/>
    </row>
    <row r="818" customFormat="false" ht="15" hidden="false" customHeight="false" outlineLevel="0" collapsed="false">
      <c r="A818" s="32"/>
      <c r="B818" s="33"/>
      <c r="C818" s="33"/>
      <c r="D818" s="34"/>
      <c r="E818" s="35"/>
      <c r="F818" s="36"/>
      <c r="G818" s="37" t="str">
        <f aca="false">IF(OR(C818="",D818=""),"",D818*IF(E818="",IFERROR(INDEX(Ürünler!$D$5:$D$204,MATCH(C818,Ürünler!$A$5:$A$204,0)),0),E818))</f>
        <v/>
      </c>
      <c r="H818" s="37" t="str">
        <f aca="false">IF(G818="","",D818*IFERROR(INDEX(Ürünler!$C$5:$C$204,MATCH(C818,Ürünler!$A$5:$A$204,0)),0))</f>
        <v/>
      </c>
      <c r="I818" s="37" t="str">
        <f aca="false">IF(G818="","",G818-H818)</f>
        <v/>
      </c>
      <c r="J818" s="33"/>
    </row>
    <row r="819" customFormat="false" ht="15" hidden="false" customHeight="false" outlineLevel="0" collapsed="false">
      <c r="A819" s="32"/>
      <c r="B819" s="33"/>
      <c r="C819" s="33"/>
      <c r="D819" s="34"/>
      <c r="E819" s="35"/>
      <c r="F819" s="36"/>
      <c r="G819" s="37" t="str">
        <f aca="false">IF(OR(C819="",D819=""),"",D819*IF(E819="",IFERROR(INDEX(Ürünler!$D$5:$D$204,MATCH(C819,Ürünler!$A$5:$A$204,0)),0),E819))</f>
        <v/>
      </c>
      <c r="H819" s="37" t="str">
        <f aca="false">IF(G819="","",D819*IFERROR(INDEX(Ürünler!$C$5:$C$204,MATCH(C819,Ürünler!$A$5:$A$204,0)),0))</f>
        <v/>
      </c>
      <c r="I819" s="37" t="str">
        <f aca="false">IF(G819="","",G819-H819)</f>
        <v/>
      </c>
      <c r="J819" s="33"/>
    </row>
    <row r="820" customFormat="false" ht="15" hidden="false" customHeight="false" outlineLevel="0" collapsed="false">
      <c r="A820" s="32"/>
      <c r="B820" s="33"/>
      <c r="C820" s="33"/>
      <c r="D820" s="34"/>
      <c r="E820" s="35"/>
      <c r="F820" s="36"/>
      <c r="G820" s="37" t="str">
        <f aca="false">IF(OR(C820="",D820=""),"",D820*IF(E820="",IFERROR(INDEX(Ürünler!$D$5:$D$204,MATCH(C820,Ürünler!$A$5:$A$204,0)),0),E820))</f>
        <v/>
      </c>
      <c r="H820" s="37" t="str">
        <f aca="false">IF(G820="","",D820*IFERROR(INDEX(Ürünler!$C$5:$C$204,MATCH(C820,Ürünler!$A$5:$A$204,0)),0))</f>
        <v/>
      </c>
      <c r="I820" s="37" t="str">
        <f aca="false">IF(G820="","",G820-H820)</f>
        <v/>
      </c>
      <c r="J820" s="33"/>
    </row>
    <row r="821" customFormat="false" ht="15" hidden="false" customHeight="false" outlineLevel="0" collapsed="false">
      <c r="A821" s="32"/>
      <c r="B821" s="33"/>
      <c r="C821" s="33"/>
      <c r="D821" s="34"/>
      <c r="E821" s="35"/>
      <c r="F821" s="36"/>
      <c r="G821" s="37" t="str">
        <f aca="false">IF(OR(C821="",D821=""),"",D821*IF(E821="",IFERROR(INDEX(Ürünler!$D$5:$D$204,MATCH(C821,Ürünler!$A$5:$A$204,0)),0),E821))</f>
        <v/>
      </c>
      <c r="H821" s="37" t="str">
        <f aca="false">IF(G821="","",D821*IFERROR(INDEX(Ürünler!$C$5:$C$204,MATCH(C821,Ürünler!$A$5:$A$204,0)),0))</f>
        <v/>
      </c>
      <c r="I821" s="37" t="str">
        <f aca="false">IF(G821="","",G821-H821)</f>
        <v/>
      </c>
      <c r="J821" s="33"/>
    </row>
    <row r="822" customFormat="false" ht="15" hidden="false" customHeight="false" outlineLevel="0" collapsed="false">
      <c r="A822" s="32"/>
      <c r="B822" s="33"/>
      <c r="C822" s="33"/>
      <c r="D822" s="34"/>
      <c r="E822" s="35"/>
      <c r="F822" s="36"/>
      <c r="G822" s="37" t="str">
        <f aca="false">IF(OR(C822="",D822=""),"",D822*IF(E822="",IFERROR(INDEX(Ürünler!$D$5:$D$204,MATCH(C822,Ürünler!$A$5:$A$204,0)),0),E822))</f>
        <v/>
      </c>
      <c r="H822" s="37" t="str">
        <f aca="false">IF(G822="","",D822*IFERROR(INDEX(Ürünler!$C$5:$C$204,MATCH(C822,Ürünler!$A$5:$A$204,0)),0))</f>
        <v/>
      </c>
      <c r="I822" s="37" t="str">
        <f aca="false">IF(G822="","",G822-H822)</f>
        <v/>
      </c>
      <c r="J822" s="33"/>
    </row>
    <row r="823" customFormat="false" ht="15" hidden="false" customHeight="false" outlineLevel="0" collapsed="false">
      <c r="A823" s="32"/>
      <c r="B823" s="33"/>
      <c r="C823" s="33"/>
      <c r="D823" s="34"/>
      <c r="E823" s="35"/>
      <c r="F823" s="36"/>
      <c r="G823" s="37" t="str">
        <f aca="false">IF(OR(C823="",D823=""),"",D823*IF(E823="",IFERROR(INDEX(Ürünler!$D$5:$D$204,MATCH(C823,Ürünler!$A$5:$A$204,0)),0),E823))</f>
        <v/>
      </c>
      <c r="H823" s="37" t="str">
        <f aca="false">IF(G823="","",D823*IFERROR(INDEX(Ürünler!$C$5:$C$204,MATCH(C823,Ürünler!$A$5:$A$204,0)),0))</f>
        <v/>
      </c>
      <c r="I823" s="37" t="str">
        <f aca="false">IF(G823="","",G823-H823)</f>
        <v/>
      </c>
      <c r="J823" s="33"/>
    </row>
    <row r="824" customFormat="false" ht="15" hidden="false" customHeight="false" outlineLevel="0" collapsed="false">
      <c r="A824" s="32"/>
      <c r="B824" s="33"/>
      <c r="C824" s="33"/>
      <c r="D824" s="34"/>
      <c r="E824" s="35"/>
      <c r="F824" s="36"/>
      <c r="G824" s="37" t="str">
        <f aca="false">IF(OR(C824="",D824=""),"",D824*IF(E824="",IFERROR(INDEX(Ürünler!$D$5:$D$204,MATCH(C824,Ürünler!$A$5:$A$204,0)),0),E824))</f>
        <v/>
      </c>
      <c r="H824" s="37" t="str">
        <f aca="false">IF(G824="","",D824*IFERROR(INDEX(Ürünler!$C$5:$C$204,MATCH(C824,Ürünler!$A$5:$A$204,0)),0))</f>
        <v/>
      </c>
      <c r="I824" s="37" t="str">
        <f aca="false">IF(G824="","",G824-H824)</f>
        <v/>
      </c>
      <c r="J824" s="33"/>
    </row>
    <row r="825" customFormat="false" ht="15" hidden="false" customHeight="false" outlineLevel="0" collapsed="false">
      <c r="A825" s="32"/>
      <c r="B825" s="33"/>
      <c r="C825" s="33"/>
      <c r="D825" s="34"/>
      <c r="E825" s="35"/>
      <c r="F825" s="36"/>
      <c r="G825" s="37" t="str">
        <f aca="false">IF(OR(C825="",D825=""),"",D825*IF(E825="",IFERROR(INDEX(Ürünler!$D$5:$D$204,MATCH(C825,Ürünler!$A$5:$A$204,0)),0),E825))</f>
        <v/>
      </c>
      <c r="H825" s="37" t="str">
        <f aca="false">IF(G825="","",D825*IFERROR(INDEX(Ürünler!$C$5:$C$204,MATCH(C825,Ürünler!$A$5:$A$204,0)),0))</f>
        <v/>
      </c>
      <c r="I825" s="37" t="str">
        <f aca="false">IF(G825="","",G825-H825)</f>
        <v/>
      </c>
      <c r="J825" s="33"/>
    </row>
    <row r="826" customFormat="false" ht="15" hidden="false" customHeight="false" outlineLevel="0" collapsed="false">
      <c r="A826" s="32"/>
      <c r="B826" s="33"/>
      <c r="C826" s="33"/>
      <c r="D826" s="34"/>
      <c r="E826" s="35"/>
      <c r="F826" s="36"/>
      <c r="G826" s="37" t="str">
        <f aca="false">IF(OR(C826="",D826=""),"",D826*IF(E826="",IFERROR(INDEX(Ürünler!$D$5:$D$204,MATCH(C826,Ürünler!$A$5:$A$204,0)),0),E826))</f>
        <v/>
      </c>
      <c r="H826" s="37" t="str">
        <f aca="false">IF(G826="","",D826*IFERROR(INDEX(Ürünler!$C$5:$C$204,MATCH(C826,Ürünler!$A$5:$A$204,0)),0))</f>
        <v/>
      </c>
      <c r="I826" s="37" t="str">
        <f aca="false">IF(G826="","",G826-H826)</f>
        <v/>
      </c>
      <c r="J826" s="33"/>
    </row>
    <row r="827" customFormat="false" ht="15" hidden="false" customHeight="false" outlineLevel="0" collapsed="false">
      <c r="A827" s="32"/>
      <c r="B827" s="33"/>
      <c r="C827" s="33"/>
      <c r="D827" s="34"/>
      <c r="E827" s="35"/>
      <c r="F827" s="36"/>
      <c r="G827" s="37" t="str">
        <f aca="false">IF(OR(C827="",D827=""),"",D827*IF(E827="",IFERROR(INDEX(Ürünler!$D$5:$D$204,MATCH(C827,Ürünler!$A$5:$A$204,0)),0),E827))</f>
        <v/>
      </c>
      <c r="H827" s="37" t="str">
        <f aca="false">IF(G827="","",D827*IFERROR(INDEX(Ürünler!$C$5:$C$204,MATCH(C827,Ürünler!$A$5:$A$204,0)),0))</f>
        <v/>
      </c>
      <c r="I827" s="37" t="str">
        <f aca="false">IF(G827="","",G827-H827)</f>
        <v/>
      </c>
      <c r="J827" s="33"/>
    </row>
    <row r="828" customFormat="false" ht="15" hidden="false" customHeight="false" outlineLevel="0" collapsed="false">
      <c r="A828" s="32"/>
      <c r="B828" s="33"/>
      <c r="C828" s="33"/>
      <c r="D828" s="34"/>
      <c r="E828" s="35"/>
      <c r="F828" s="36"/>
      <c r="G828" s="37" t="str">
        <f aca="false">IF(OR(C828="",D828=""),"",D828*IF(E828="",IFERROR(INDEX(Ürünler!$D$5:$D$204,MATCH(C828,Ürünler!$A$5:$A$204,0)),0),E828))</f>
        <v/>
      </c>
      <c r="H828" s="37" t="str">
        <f aca="false">IF(G828="","",D828*IFERROR(INDEX(Ürünler!$C$5:$C$204,MATCH(C828,Ürünler!$A$5:$A$204,0)),0))</f>
        <v/>
      </c>
      <c r="I828" s="37" t="str">
        <f aca="false">IF(G828="","",G828-H828)</f>
        <v/>
      </c>
      <c r="J828" s="33"/>
    </row>
    <row r="829" customFormat="false" ht="15" hidden="false" customHeight="false" outlineLevel="0" collapsed="false">
      <c r="A829" s="32"/>
      <c r="B829" s="33"/>
      <c r="C829" s="33"/>
      <c r="D829" s="34"/>
      <c r="E829" s="35"/>
      <c r="F829" s="36"/>
      <c r="G829" s="37" t="str">
        <f aca="false">IF(OR(C829="",D829=""),"",D829*IF(E829="",IFERROR(INDEX(Ürünler!$D$5:$D$204,MATCH(C829,Ürünler!$A$5:$A$204,0)),0),E829))</f>
        <v/>
      </c>
      <c r="H829" s="37" t="str">
        <f aca="false">IF(G829="","",D829*IFERROR(INDEX(Ürünler!$C$5:$C$204,MATCH(C829,Ürünler!$A$5:$A$204,0)),0))</f>
        <v/>
      </c>
      <c r="I829" s="37" t="str">
        <f aca="false">IF(G829="","",G829-H829)</f>
        <v/>
      </c>
      <c r="J829" s="33"/>
    </row>
    <row r="830" customFormat="false" ht="15" hidden="false" customHeight="false" outlineLevel="0" collapsed="false">
      <c r="A830" s="32"/>
      <c r="B830" s="33"/>
      <c r="C830" s="33"/>
      <c r="D830" s="34"/>
      <c r="E830" s="35"/>
      <c r="F830" s="36"/>
      <c r="G830" s="37" t="str">
        <f aca="false">IF(OR(C830="",D830=""),"",D830*IF(E830="",IFERROR(INDEX(Ürünler!$D$5:$D$204,MATCH(C830,Ürünler!$A$5:$A$204,0)),0),E830))</f>
        <v/>
      </c>
      <c r="H830" s="37" t="str">
        <f aca="false">IF(G830="","",D830*IFERROR(INDEX(Ürünler!$C$5:$C$204,MATCH(C830,Ürünler!$A$5:$A$204,0)),0))</f>
        <v/>
      </c>
      <c r="I830" s="37" t="str">
        <f aca="false">IF(G830="","",G830-H830)</f>
        <v/>
      </c>
      <c r="J830" s="33"/>
    </row>
    <row r="831" customFormat="false" ht="15" hidden="false" customHeight="false" outlineLevel="0" collapsed="false">
      <c r="A831" s="32"/>
      <c r="B831" s="33"/>
      <c r="C831" s="33"/>
      <c r="D831" s="34"/>
      <c r="E831" s="35"/>
      <c r="F831" s="36"/>
      <c r="G831" s="37" t="str">
        <f aca="false">IF(OR(C831="",D831=""),"",D831*IF(E831="",IFERROR(INDEX(Ürünler!$D$5:$D$204,MATCH(C831,Ürünler!$A$5:$A$204,0)),0),E831))</f>
        <v/>
      </c>
      <c r="H831" s="37" t="str">
        <f aca="false">IF(G831="","",D831*IFERROR(INDEX(Ürünler!$C$5:$C$204,MATCH(C831,Ürünler!$A$5:$A$204,0)),0))</f>
        <v/>
      </c>
      <c r="I831" s="37" t="str">
        <f aca="false">IF(G831="","",G831-H831)</f>
        <v/>
      </c>
      <c r="J831" s="33"/>
    </row>
    <row r="832" customFormat="false" ht="15" hidden="false" customHeight="false" outlineLevel="0" collapsed="false">
      <c r="A832" s="32"/>
      <c r="B832" s="33"/>
      <c r="C832" s="33"/>
      <c r="D832" s="34"/>
      <c r="E832" s="35"/>
      <c r="F832" s="36"/>
      <c r="G832" s="37" t="str">
        <f aca="false">IF(OR(C832="",D832=""),"",D832*IF(E832="",IFERROR(INDEX(Ürünler!$D$5:$D$204,MATCH(C832,Ürünler!$A$5:$A$204,0)),0),E832))</f>
        <v/>
      </c>
      <c r="H832" s="37" t="str">
        <f aca="false">IF(G832="","",D832*IFERROR(INDEX(Ürünler!$C$5:$C$204,MATCH(C832,Ürünler!$A$5:$A$204,0)),0))</f>
        <v/>
      </c>
      <c r="I832" s="37" t="str">
        <f aca="false">IF(G832="","",G832-H832)</f>
        <v/>
      </c>
      <c r="J832" s="33"/>
    </row>
    <row r="833" customFormat="false" ht="15" hidden="false" customHeight="false" outlineLevel="0" collapsed="false">
      <c r="A833" s="32"/>
      <c r="B833" s="33"/>
      <c r="C833" s="33"/>
      <c r="D833" s="34"/>
      <c r="E833" s="35"/>
      <c r="F833" s="36"/>
      <c r="G833" s="37" t="str">
        <f aca="false">IF(OR(C833="",D833=""),"",D833*IF(E833="",IFERROR(INDEX(Ürünler!$D$5:$D$204,MATCH(C833,Ürünler!$A$5:$A$204,0)),0),E833))</f>
        <v/>
      </c>
      <c r="H833" s="37" t="str">
        <f aca="false">IF(G833="","",D833*IFERROR(INDEX(Ürünler!$C$5:$C$204,MATCH(C833,Ürünler!$A$5:$A$204,0)),0))</f>
        <v/>
      </c>
      <c r="I833" s="37" t="str">
        <f aca="false">IF(G833="","",G833-H833)</f>
        <v/>
      </c>
      <c r="J833" s="33"/>
    </row>
    <row r="834" customFormat="false" ht="15" hidden="false" customHeight="false" outlineLevel="0" collapsed="false">
      <c r="A834" s="32"/>
      <c r="B834" s="33"/>
      <c r="C834" s="33"/>
      <c r="D834" s="34"/>
      <c r="E834" s="35"/>
      <c r="F834" s="36"/>
      <c r="G834" s="37" t="str">
        <f aca="false">IF(OR(C834="",D834=""),"",D834*IF(E834="",IFERROR(INDEX(Ürünler!$D$5:$D$204,MATCH(C834,Ürünler!$A$5:$A$204,0)),0),E834))</f>
        <v/>
      </c>
      <c r="H834" s="37" t="str">
        <f aca="false">IF(G834="","",D834*IFERROR(INDEX(Ürünler!$C$5:$C$204,MATCH(C834,Ürünler!$A$5:$A$204,0)),0))</f>
        <v/>
      </c>
      <c r="I834" s="37" t="str">
        <f aca="false">IF(G834="","",G834-H834)</f>
        <v/>
      </c>
      <c r="J834" s="33"/>
    </row>
    <row r="835" customFormat="false" ht="15" hidden="false" customHeight="false" outlineLevel="0" collapsed="false">
      <c r="A835" s="32"/>
      <c r="B835" s="33"/>
      <c r="C835" s="33"/>
      <c r="D835" s="34"/>
      <c r="E835" s="35"/>
      <c r="F835" s="36"/>
      <c r="G835" s="37" t="str">
        <f aca="false">IF(OR(C835="",D835=""),"",D835*IF(E835="",IFERROR(INDEX(Ürünler!$D$5:$D$204,MATCH(C835,Ürünler!$A$5:$A$204,0)),0),E835))</f>
        <v/>
      </c>
      <c r="H835" s="37" t="str">
        <f aca="false">IF(G835="","",D835*IFERROR(INDEX(Ürünler!$C$5:$C$204,MATCH(C835,Ürünler!$A$5:$A$204,0)),0))</f>
        <v/>
      </c>
      <c r="I835" s="37" t="str">
        <f aca="false">IF(G835="","",G835-H835)</f>
        <v/>
      </c>
      <c r="J835" s="33"/>
    </row>
    <row r="836" customFormat="false" ht="15" hidden="false" customHeight="false" outlineLevel="0" collapsed="false">
      <c r="A836" s="32"/>
      <c r="B836" s="33"/>
      <c r="C836" s="33"/>
      <c r="D836" s="34"/>
      <c r="E836" s="35"/>
      <c r="F836" s="36"/>
      <c r="G836" s="37" t="str">
        <f aca="false">IF(OR(C836="",D836=""),"",D836*IF(E836="",IFERROR(INDEX(Ürünler!$D$5:$D$204,MATCH(C836,Ürünler!$A$5:$A$204,0)),0),E836))</f>
        <v/>
      </c>
      <c r="H836" s="37" t="str">
        <f aca="false">IF(G836="","",D836*IFERROR(INDEX(Ürünler!$C$5:$C$204,MATCH(C836,Ürünler!$A$5:$A$204,0)),0))</f>
        <v/>
      </c>
      <c r="I836" s="37" t="str">
        <f aca="false">IF(G836="","",G836-H836)</f>
        <v/>
      </c>
      <c r="J836" s="33"/>
    </row>
    <row r="837" customFormat="false" ht="15" hidden="false" customHeight="false" outlineLevel="0" collapsed="false">
      <c r="A837" s="32"/>
      <c r="B837" s="33"/>
      <c r="C837" s="33"/>
      <c r="D837" s="34"/>
      <c r="E837" s="35"/>
      <c r="F837" s="36"/>
      <c r="G837" s="37" t="str">
        <f aca="false">IF(OR(C837="",D837=""),"",D837*IF(E837="",IFERROR(INDEX(Ürünler!$D$5:$D$204,MATCH(C837,Ürünler!$A$5:$A$204,0)),0),E837))</f>
        <v/>
      </c>
      <c r="H837" s="37" t="str">
        <f aca="false">IF(G837="","",D837*IFERROR(INDEX(Ürünler!$C$5:$C$204,MATCH(C837,Ürünler!$A$5:$A$204,0)),0))</f>
        <v/>
      </c>
      <c r="I837" s="37" t="str">
        <f aca="false">IF(G837="","",G837-H837)</f>
        <v/>
      </c>
      <c r="J837" s="33"/>
    </row>
    <row r="838" customFormat="false" ht="15" hidden="false" customHeight="false" outlineLevel="0" collapsed="false">
      <c r="A838" s="32"/>
      <c r="B838" s="33"/>
      <c r="C838" s="33"/>
      <c r="D838" s="34"/>
      <c r="E838" s="35"/>
      <c r="F838" s="36"/>
      <c r="G838" s="37" t="str">
        <f aca="false">IF(OR(C838="",D838=""),"",D838*IF(E838="",IFERROR(INDEX(Ürünler!$D$5:$D$204,MATCH(C838,Ürünler!$A$5:$A$204,0)),0),E838))</f>
        <v/>
      </c>
      <c r="H838" s="37" t="str">
        <f aca="false">IF(G838="","",D838*IFERROR(INDEX(Ürünler!$C$5:$C$204,MATCH(C838,Ürünler!$A$5:$A$204,0)),0))</f>
        <v/>
      </c>
      <c r="I838" s="37" t="str">
        <f aca="false">IF(G838="","",G838-H838)</f>
        <v/>
      </c>
      <c r="J838" s="33"/>
    </row>
    <row r="839" customFormat="false" ht="15" hidden="false" customHeight="false" outlineLevel="0" collapsed="false">
      <c r="A839" s="32"/>
      <c r="B839" s="33"/>
      <c r="C839" s="33"/>
      <c r="D839" s="34"/>
      <c r="E839" s="35"/>
      <c r="F839" s="36"/>
      <c r="G839" s="37" t="str">
        <f aca="false">IF(OR(C839="",D839=""),"",D839*IF(E839="",IFERROR(INDEX(Ürünler!$D$5:$D$204,MATCH(C839,Ürünler!$A$5:$A$204,0)),0),E839))</f>
        <v/>
      </c>
      <c r="H839" s="37" t="str">
        <f aca="false">IF(G839="","",D839*IFERROR(INDEX(Ürünler!$C$5:$C$204,MATCH(C839,Ürünler!$A$5:$A$204,0)),0))</f>
        <v/>
      </c>
      <c r="I839" s="37" t="str">
        <f aca="false">IF(G839="","",G839-H839)</f>
        <v/>
      </c>
      <c r="J839" s="33"/>
    </row>
    <row r="840" customFormat="false" ht="15" hidden="false" customHeight="false" outlineLevel="0" collapsed="false">
      <c r="A840" s="32"/>
      <c r="B840" s="33"/>
      <c r="C840" s="33"/>
      <c r="D840" s="34"/>
      <c r="E840" s="35"/>
      <c r="F840" s="36"/>
      <c r="G840" s="37" t="str">
        <f aca="false">IF(OR(C840="",D840=""),"",D840*IF(E840="",IFERROR(INDEX(Ürünler!$D$5:$D$204,MATCH(C840,Ürünler!$A$5:$A$204,0)),0),E840))</f>
        <v/>
      </c>
      <c r="H840" s="37" t="str">
        <f aca="false">IF(G840="","",D840*IFERROR(INDEX(Ürünler!$C$5:$C$204,MATCH(C840,Ürünler!$A$5:$A$204,0)),0))</f>
        <v/>
      </c>
      <c r="I840" s="37" t="str">
        <f aca="false">IF(G840="","",G840-H840)</f>
        <v/>
      </c>
      <c r="J840" s="33"/>
    </row>
    <row r="841" customFormat="false" ht="15" hidden="false" customHeight="false" outlineLevel="0" collapsed="false">
      <c r="A841" s="32"/>
      <c r="B841" s="33"/>
      <c r="C841" s="33"/>
      <c r="D841" s="34"/>
      <c r="E841" s="35"/>
      <c r="F841" s="36"/>
      <c r="G841" s="37" t="str">
        <f aca="false">IF(OR(C841="",D841=""),"",D841*IF(E841="",IFERROR(INDEX(Ürünler!$D$5:$D$204,MATCH(C841,Ürünler!$A$5:$A$204,0)),0),E841))</f>
        <v/>
      </c>
      <c r="H841" s="37" t="str">
        <f aca="false">IF(G841="","",D841*IFERROR(INDEX(Ürünler!$C$5:$C$204,MATCH(C841,Ürünler!$A$5:$A$204,0)),0))</f>
        <v/>
      </c>
      <c r="I841" s="37" t="str">
        <f aca="false">IF(G841="","",G841-H841)</f>
        <v/>
      </c>
      <c r="J841" s="33"/>
    </row>
    <row r="842" customFormat="false" ht="15" hidden="false" customHeight="false" outlineLevel="0" collapsed="false">
      <c r="A842" s="32"/>
      <c r="B842" s="33"/>
      <c r="C842" s="33"/>
      <c r="D842" s="34"/>
      <c r="E842" s="35"/>
      <c r="F842" s="36"/>
      <c r="G842" s="37" t="str">
        <f aca="false">IF(OR(C842="",D842=""),"",D842*IF(E842="",IFERROR(INDEX(Ürünler!$D$5:$D$204,MATCH(C842,Ürünler!$A$5:$A$204,0)),0),E842))</f>
        <v/>
      </c>
      <c r="H842" s="37" t="str">
        <f aca="false">IF(G842="","",D842*IFERROR(INDEX(Ürünler!$C$5:$C$204,MATCH(C842,Ürünler!$A$5:$A$204,0)),0))</f>
        <v/>
      </c>
      <c r="I842" s="37" t="str">
        <f aca="false">IF(G842="","",G842-H842)</f>
        <v/>
      </c>
      <c r="J842" s="33"/>
    </row>
    <row r="843" customFormat="false" ht="15" hidden="false" customHeight="false" outlineLevel="0" collapsed="false">
      <c r="A843" s="32"/>
      <c r="B843" s="33"/>
      <c r="C843" s="33"/>
      <c r="D843" s="34"/>
      <c r="E843" s="35"/>
      <c r="F843" s="36"/>
      <c r="G843" s="37" t="str">
        <f aca="false">IF(OR(C843="",D843=""),"",D843*IF(E843="",IFERROR(INDEX(Ürünler!$D$5:$D$204,MATCH(C843,Ürünler!$A$5:$A$204,0)),0),E843))</f>
        <v/>
      </c>
      <c r="H843" s="37" t="str">
        <f aca="false">IF(G843="","",D843*IFERROR(INDEX(Ürünler!$C$5:$C$204,MATCH(C843,Ürünler!$A$5:$A$204,0)),0))</f>
        <v/>
      </c>
      <c r="I843" s="37" t="str">
        <f aca="false">IF(G843="","",G843-H843)</f>
        <v/>
      </c>
      <c r="J843" s="33"/>
    </row>
    <row r="844" customFormat="false" ht="15" hidden="false" customHeight="false" outlineLevel="0" collapsed="false">
      <c r="A844" s="32"/>
      <c r="B844" s="33"/>
      <c r="C844" s="33"/>
      <c r="D844" s="34"/>
      <c r="E844" s="35"/>
      <c r="F844" s="36"/>
      <c r="G844" s="37" t="str">
        <f aca="false">IF(OR(C844="",D844=""),"",D844*IF(E844="",IFERROR(INDEX(Ürünler!$D$5:$D$204,MATCH(C844,Ürünler!$A$5:$A$204,0)),0),E844))</f>
        <v/>
      </c>
      <c r="H844" s="37" t="str">
        <f aca="false">IF(G844="","",D844*IFERROR(INDEX(Ürünler!$C$5:$C$204,MATCH(C844,Ürünler!$A$5:$A$204,0)),0))</f>
        <v/>
      </c>
      <c r="I844" s="37" t="str">
        <f aca="false">IF(G844="","",G844-H844)</f>
        <v/>
      </c>
      <c r="J844" s="33"/>
    </row>
    <row r="845" customFormat="false" ht="15" hidden="false" customHeight="false" outlineLevel="0" collapsed="false">
      <c r="A845" s="32"/>
      <c r="B845" s="33"/>
      <c r="C845" s="33"/>
      <c r="D845" s="34"/>
      <c r="E845" s="35"/>
      <c r="F845" s="36"/>
      <c r="G845" s="37" t="str">
        <f aca="false">IF(OR(C845="",D845=""),"",D845*IF(E845="",IFERROR(INDEX(Ürünler!$D$5:$D$204,MATCH(C845,Ürünler!$A$5:$A$204,0)),0),E845))</f>
        <v/>
      </c>
      <c r="H845" s="37" t="str">
        <f aca="false">IF(G845="","",D845*IFERROR(INDEX(Ürünler!$C$5:$C$204,MATCH(C845,Ürünler!$A$5:$A$204,0)),0))</f>
        <v/>
      </c>
      <c r="I845" s="37" t="str">
        <f aca="false">IF(G845="","",G845-H845)</f>
        <v/>
      </c>
      <c r="J845" s="33"/>
    </row>
    <row r="846" customFormat="false" ht="15" hidden="false" customHeight="false" outlineLevel="0" collapsed="false">
      <c r="A846" s="32"/>
      <c r="B846" s="33"/>
      <c r="C846" s="33"/>
      <c r="D846" s="34"/>
      <c r="E846" s="35"/>
      <c r="F846" s="36"/>
      <c r="G846" s="37" t="str">
        <f aca="false">IF(OR(C846="",D846=""),"",D846*IF(E846="",IFERROR(INDEX(Ürünler!$D$5:$D$204,MATCH(C846,Ürünler!$A$5:$A$204,0)),0),E846))</f>
        <v/>
      </c>
      <c r="H846" s="37" t="str">
        <f aca="false">IF(G846="","",D846*IFERROR(INDEX(Ürünler!$C$5:$C$204,MATCH(C846,Ürünler!$A$5:$A$204,0)),0))</f>
        <v/>
      </c>
      <c r="I846" s="37" t="str">
        <f aca="false">IF(G846="","",G846-H846)</f>
        <v/>
      </c>
      <c r="J846" s="33"/>
    </row>
    <row r="847" customFormat="false" ht="15" hidden="false" customHeight="false" outlineLevel="0" collapsed="false">
      <c r="A847" s="32"/>
      <c r="B847" s="33"/>
      <c r="C847" s="33"/>
      <c r="D847" s="34"/>
      <c r="E847" s="35"/>
      <c r="F847" s="36"/>
      <c r="G847" s="37" t="str">
        <f aca="false">IF(OR(C847="",D847=""),"",D847*IF(E847="",IFERROR(INDEX(Ürünler!$D$5:$D$204,MATCH(C847,Ürünler!$A$5:$A$204,0)),0),E847))</f>
        <v/>
      </c>
      <c r="H847" s="37" t="str">
        <f aca="false">IF(G847="","",D847*IFERROR(INDEX(Ürünler!$C$5:$C$204,MATCH(C847,Ürünler!$A$5:$A$204,0)),0))</f>
        <v/>
      </c>
      <c r="I847" s="37" t="str">
        <f aca="false">IF(G847="","",G847-H847)</f>
        <v/>
      </c>
      <c r="J847" s="33"/>
    </row>
    <row r="848" customFormat="false" ht="15" hidden="false" customHeight="false" outlineLevel="0" collapsed="false">
      <c r="A848" s="32"/>
      <c r="B848" s="33"/>
      <c r="C848" s="33"/>
      <c r="D848" s="34"/>
      <c r="E848" s="35"/>
      <c r="F848" s="36"/>
      <c r="G848" s="37" t="str">
        <f aca="false">IF(OR(C848="",D848=""),"",D848*IF(E848="",IFERROR(INDEX(Ürünler!$D$5:$D$204,MATCH(C848,Ürünler!$A$5:$A$204,0)),0),E848))</f>
        <v/>
      </c>
      <c r="H848" s="37" t="str">
        <f aca="false">IF(G848="","",D848*IFERROR(INDEX(Ürünler!$C$5:$C$204,MATCH(C848,Ürünler!$A$5:$A$204,0)),0))</f>
        <v/>
      </c>
      <c r="I848" s="37" t="str">
        <f aca="false">IF(G848="","",G848-H848)</f>
        <v/>
      </c>
      <c r="J848" s="33"/>
    </row>
    <row r="849" customFormat="false" ht="15" hidden="false" customHeight="false" outlineLevel="0" collapsed="false">
      <c r="A849" s="32"/>
      <c r="B849" s="33"/>
      <c r="C849" s="33"/>
      <c r="D849" s="34"/>
      <c r="E849" s="35"/>
      <c r="F849" s="36"/>
      <c r="G849" s="37" t="str">
        <f aca="false">IF(OR(C849="",D849=""),"",D849*IF(E849="",IFERROR(INDEX(Ürünler!$D$5:$D$204,MATCH(C849,Ürünler!$A$5:$A$204,0)),0),E849))</f>
        <v/>
      </c>
      <c r="H849" s="37" t="str">
        <f aca="false">IF(G849="","",D849*IFERROR(INDEX(Ürünler!$C$5:$C$204,MATCH(C849,Ürünler!$A$5:$A$204,0)),0))</f>
        <v/>
      </c>
      <c r="I849" s="37" t="str">
        <f aca="false">IF(G849="","",G849-H849)</f>
        <v/>
      </c>
      <c r="J849" s="33"/>
    </row>
    <row r="850" customFormat="false" ht="15" hidden="false" customHeight="false" outlineLevel="0" collapsed="false">
      <c r="A850" s="32"/>
      <c r="B850" s="33"/>
      <c r="C850" s="33"/>
      <c r="D850" s="34"/>
      <c r="E850" s="35"/>
      <c r="F850" s="36"/>
      <c r="G850" s="37" t="str">
        <f aca="false">IF(OR(C850="",D850=""),"",D850*IF(E850="",IFERROR(INDEX(Ürünler!$D$5:$D$204,MATCH(C850,Ürünler!$A$5:$A$204,0)),0),E850))</f>
        <v/>
      </c>
      <c r="H850" s="37" t="str">
        <f aca="false">IF(G850="","",D850*IFERROR(INDEX(Ürünler!$C$5:$C$204,MATCH(C850,Ürünler!$A$5:$A$204,0)),0))</f>
        <v/>
      </c>
      <c r="I850" s="37" t="str">
        <f aca="false">IF(G850="","",G850-H850)</f>
        <v/>
      </c>
      <c r="J850" s="33"/>
    </row>
    <row r="851" customFormat="false" ht="15" hidden="false" customHeight="false" outlineLevel="0" collapsed="false">
      <c r="A851" s="32"/>
      <c r="B851" s="33"/>
      <c r="C851" s="33"/>
      <c r="D851" s="34"/>
      <c r="E851" s="35"/>
      <c r="F851" s="36"/>
      <c r="G851" s="37" t="str">
        <f aca="false">IF(OR(C851="",D851=""),"",D851*IF(E851="",IFERROR(INDEX(Ürünler!$D$5:$D$204,MATCH(C851,Ürünler!$A$5:$A$204,0)),0),E851))</f>
        <v/>
      </c>
      <c r="H851" s="37" t="str">
        <f aca="false">IF(G851="","",D851*IFERROR(INDEX(Ürünler!$C$5:$C$204,MATCH(C851,Ürünler!$A$5:$A$204,0)),0))</f>
        <v/>
      </c>
      <c r="I851" s="37" t="str">
        <f aca="false">IF(G851="","",G851-H851)</f>
        <v/>
      </c>
      <c r="J851" s="33"/>
    </row>
    <row r="852" customFormat="false" ht="15" hidden="false" customHeight="false" outlineLevel="0" collapsed="false">
      <c r="A852" s="32"/>
      <c r="B852" s="33"/>
      <c r="C852" s="33"/>
      <c r="D852" s="34"/>
      <c r="E852" s="35"/>
      <c r="F852" s="36"/>
      <c r="G852" s="37" t="str">
        <f aca="false">IF(OR(C852="",D852=""),"",D852*IF(E852="",IFERROR(INDEX(Ürünler!$D$5:$D$204,MATCH(C852,Ürünler!$A$5:$A$204,0)),0),E852))</f>
        <v/>
      </c>
      <c r="H852" s="37" t="str">
        <f aca="false">IF(G852="","",D852*IFERROR(INDEX(Ürünler!$C$5:$C$204,MATCH(C852,Ürünler!$A$5:$A$204,0)),0))</f>
        <v/>
      </c>
      <c r="I852" s="37" t="str">
        <f aca="false">IF(G852="","",G852-H852)</f>
        <v/>
      </c>
      <c r="J852" s="33"/>
    </row>
    <row r="853" customFormat="false" ht="15" hidden="false" customHeight="false" outlineLevel="0" collapsed="false">
      <c r="A853" s="32"/>
      <c r="B853" s="33"/>
      <c r="C853" s="33"/>
      <c r="D853" s="34"/>
      <c r="E853" s="35"/>
      <c r="F853" s="36"/>
      <c r="G853" s="37" t="str">
        <f aca="false">IF(OR(C853="",D853=""),"",D853*IF(E853="",IFERROR(INDEX(Ürünler!$D$5:$D$204,MATCH(C853,Ürünler!$A$5:$A$204,0)),0),E853))</f>
        <v/>
      </c>
      <c r="H853" s="37" t="str">
        <f aca="false">IF(G853="","",D853*IFERROR(INDEX(Ürünler!$C$5:$C$204,MATCH(C853,Ürünler!$A$5:$A$204,0)),0))</f>
        <v/>
      </c>
      <c r="I853" s="37" t="str">
        <f aca="false">IF(G853="","",G853-H853)</f>
        <v/>
      </c>
      <c r="J853" s="33"/>
    </row>
    <row r="854" customFormat="false" ht="15" hidden="false" customHeight="false" outlineLevel="0" collapsed="false">
      <c r="A854" s="32"/>
      <c r="B854" s="33"/>
      <c r="C854" s="33"/>
      <c r="D854" s="34"/>
      <c r="E854" s="35"/>
      <c r="F854" s="36"/>
      <c r="G854" s="37" t="str">
        <f aca="false">IF(OR(C854="",D854=""),"",D854*IF(E854="",IFERROR(INDEX(Ürünler!$D$5:$D$204,MATCH(C854,Ürünler!$A$5:$A$204,0)),0),E854))</f>
        <v/>
      </c>
      <c r="H854" s="37" t="str">
        <f aca="false">IF(G854="","",D854*IFERROR(INDEX(Ürünler!$C$5:$C$204,MATCH(C854,Ürünler!$A$5:$A$204,0)),0))</f>
        <v/>
      </c>
      <c r="I854" s="37" t="str">
        <f aca="false">IF(G854="","",G854-H854)</f>
        <v/>
      </c>
      <c r="J854" s="33"/>
    </row>
    <row r="855" customFormat="false" ht="15" hidden="false" customHeight="false" outlineLevel="0" collapsed="false">
      <c r="A855" s="32"/>
      <c r="B855" s="33"/>
      <c r="C855" s="33"/>
      <c r="D855" s="34"/>
      <c r="E855" s="35"/>
      <c r="F855" s="36"/>
      <c r="G855" s="37" t="str">
        <f aca="false">IF(OR(C855="",D855=""),"",D855*IF(E855="",IFERROR(INDEX(Ürünler!$D$5:$D$204,MATCH(C855,Ürünler!$A$5:$A$204,0)),0),E855))</f>
        <v/>
      </c>
      <c r="H855" s="37" t="str">
        <f aca="false">IF(G855="","",D855*IFERROR(INDEX(Ürünler!$C$5:$C$204,MATCH(C855,Ürünler!$A$5:$A$204,0)),0))</f>
        <v/>
      </c>
      <c r="I855" s="37" t="str">
        <f aca="false">IF(G855="","",G855-H855)</f>
        <v/>
      </c>
      <c r="J855" s="33"/>
    </row>
    <row r="856" customFormat="false" ht="15" hidden="false" customHeight="false" outlineLevel="0" collapsed="false">
      <c r="A856" s="32"/>
      <c r="B856" s="33"/>
      <c r="C856" s="33"/>
      <c r="D856" s="34"/>
      <c r="E856" s="35"/>
      <c r="F856" s="36"/>
      <c r="G856" s="37" t="str">
        <f aca="false">IF(OR(C856="",D856=""),"",D856*IF(E856="",IFERROR(INDEX(Ürünler!$D$5:$D$204,MATCH(C856,Ürünler!$A$5:$A$204,0)),0),E856))</f>
        <v/>
      </c>
      <c r="H856" s="37" t="str">
        <f aca="false">IF(G856="","",D856*IFERROR(INDEX(Ürünler!$C$5:$C$204,MATCH(C856,Ürünler!$A$5:$A$204,0)),0))</f>
        <v/>
      </c>
      <c r="I856" s="37" t="str">
        <f aca="false">IF(G856="","",G856-H856)</f>
        <v/>
      </c>
      <c r="J856" s="33"/>
    </row>
    <row r="857" customFormat="false" ht="15" hidden="false" customHeight="false" outlineLevel="0" collapsed="false">
      <c r="A857" s="32"/>
      <c r="B857" s="33"/>
      <c r="C857" s="33"/>
      <c r="D857" s="34"/>
      <c r="E857" s="35"/>
      <c r="F857" s="36"/>
      <c r="G857" s="37" t="str">
        <f aca="false">IF(OR(C857="",D857=""),"",D857*IF(E857="",IFERROR(INDEX(Ürünler!$D$5:$D$204,MATCH(C857,Ürünler!$A$5:$A$204,0)),0),E857))</f>
        <v/>
      </c>
      <c r="H857" s="37" t="str">
        <f aca="false">IF(G857="","",D857*IFERROR(INDEX(Ürünler!$C$5:$C$204,MATCH(C857,Ürünler!$A$5:$A$204,0)),0))</f>
        <v/>
      </c>
      <c r="I857" s="37" t="str">
        <f aca="false">IF(G857="","",G857-H857)</f>
        <v/>
      </c>
      <c r="J857" s="33"/>
    </row>
    <row r="858" customFormat="false" ht="15" hidden="false" customHeight="false" outlineLevel="0" collapsed="false">
      <c r="A858" s="32"/>
      <c r="B858" s="33"/>
      <c r="C858" s="33"/>
      <c r="D858" s="34"/>
      <c r="E858" s="35"/>
      <c r="F858" s="36"/>
      <c r="G858" s="37" t="str">
        <f aca="false">IF(OR(C858="",D858=""),"",D858*IF(E858="",IFERROR(INDEX(Ürünler!$D$5:$D$204,MATCH(C858,Ürünler!$A$5:$A$204,0)),0),E858))</f>
        <v/>
      </c>
      <c r="H858" s="37" t="str">
        <f aca="false">IF(G858="","",D858*IFERROR(INDEX(Ürünler!$C$5:$C$204,MATCH(C858,Ürünler!$A$5:$A$204,0)),0))</f>
        <v/>
      </c>
      <c r="I858" s="37" t="str">
        <f aca="false">IF(G858="","",G858-H858)</f>
        <v/>
      </c>
      <c r="J858" s="33"/>
    </row>
    <row r="859" customFormat="false" ht="15" hidden="false" customHeight="false" outlineLevel="0" collapsed="false">
      <c r="A859" s="32"/>
      <c r="B859" s="33"/>
      <c r="C859" s="33"/>
      <c r="D859" s="34"/>
      <c r="E859" s="35"/>
      <c r="F859" s="36"/>
      <c r="G859" s="37" t="str">
        <f aca="false">IF(OR(C859="",D859=""),"",D859*IF(E859="",IFERROR(INDEX(Ürünler!$D$5:$D$204,MATCH(C859,Ürünler!$A$5:$A$204,0)),0),E859))</f>
        <v/>
      </c>
      <c r="H859" s="37" t="str">
        <f aca="false">IF(G859="","",D859*IFERROR(INDEX(Ürünler!$C$5:$C$204,MATCH(C859,Ürünler!$A$5:$A$204,0)),0))</f>
        <v/>
      </c>
      <c r="I859" s="37" t="str">
        <f aca="false">IF(G859="","",G859-H859)</f>
        <v/>
      </c>
      <c r="J859" s="33"/>
    </row>
    <row r="860" customFormat="false" ht="15" hidden="false" customHeight="false" outlineLevel="0" collapsed="false">
      <c r="A860" s="32"/>
      <c r="B860" s="33"/>
      <c r="C860" s="33"/>
      <c r="D860" s="34"/>
      <c r="E860" s="35"/>
      <c r="F860" s="36"/>
      <c r="G860" s="37" t="str">
        <f aca="false">IF(OR(C860="",D860=""),"",D860*IF(E860="",IFERROR(INDEX(Ürünler!$D$5:$D$204,MATCH(C860,Ürünler!$A$5:$A$204,0)),0),E860))</f>
        <v/>
      </c>
      <c r="H860" s="37" t="str">
        <f aca="false">IF(G860="","",D860*IFERROR(INDEX(Ürünler!$C$5:$C$204,MATCH(C860,Ürünler!$A$5:$A$204,0)),0))</f>
        <v/>
      </c>
      <c r="I860" s="37" t="str">
        <f aca="false">IF(G860="","",G860-H860)</f>
        <v/>
      </c>
      <c r="J860" s="33"/>
    </row>
    <row r="861" customFormat="false" ht="15" hidden="false" customHeight="false" outlineLevel="0" collapsed="false">
      <c r="A861" s="32"/>
      <c r="B861" s="33"/>
      <c r="C861" s="33"/>
      <c r="D861" s="34"/>
      <c r="E861" s="35"/>
      <c r="F861" s="36"/>
      <c r="G861" s="37" t="str">
        <f aca="false">IF(OR(C861="",D861=""),"",D861*IF(E861="",IFERROR(INDEX(Ürünler!$D$5:$D$204,MATCH(C861,Ürünler!$A$5:$A$204,0)),0),E861))</f>
        <v/>
      </c>
      <c r="H861" s="37" t="str">
        <f aca="false">IF(G861="","",D861*IFERROR(INDEX(Ürünler!$C$5:$C$204,MATCH(C861,Ürünler!$A$5:$A$204,0)),0))</f>
        <v/>
      </c>
      <c r="I861" s="37" t="str">
        <f aca="false">IF(G861="","",G861-H861)</f>
        <v/>
      </c>
      <c r="J861" s="33"/>
    </row>
    <row r="862" customFormat="false" ht="15" hidden="false" customHeight="false" outlineLevel="0" collapsed="false">
      <c r="A862" s="32"/>
      <c r="B862" s="33"/>
      <c r="C862" s="33"/>
      <c r="D862" s="34"/>
      <c r="E862" s="35"/>
      <c r="F862" s="36"/>
      <c r="G862" s="37" t="str">
        <f aca="false">IF(OR(C862="",D862=""),"",D862*IF(E862="",IFERROR(INDEX(Ürünler!$D$5:$D$204,MATCH(C862,Ürünler!$A$5:$A$204,0)),0),E862))</f>
        <v/>
      </c>
      <c r="H862" s="37" t="str">
        <f aca="false">IF(G862="","",D862*IFERROR(INDEX(Ürünler!$C$5:$C$204,MATCH(C862,Ürünler!$A$5:$A$204,0)),0))</f>
        <v/>
      </c>
      <c r="I862" s="37" t="str">
        <f aca="false">IF(G862="","",G862-H862)</f>
        <v/>
      </c>
      <c r="J862" s="33"/>
    </row>
    <row r="863" customFormat="false" ht="15" hidden="false" customHeight="false" outlineLevel="0" collapsed="false">
      <c r="A863" s="32"/>
      <c r="B863" s="33"/>
      <c r="C863" s="33"/>
      <c r="D863" s="34"/>
      <c r="E863" s="35"/>
      <c r="F863" s="36"/>
      <c r="G863" s="37" t="str">
        <f aca="false">IF(OR(C863="",D863=""),"",D863*IF(E863="",IFERROR(INDEX(Ürünler!$D$5:$D$204,MATCH(C863,Ürünler!$A$5:$A$204,0)),0),E863))</f>
        <v/>
      </c>
      <c r="H863" s="37" t="str">
        <f aca="false">IF(G863="","",D863*IFERROR(INDEX(Ürünler!$C$5:$C$204,MATCH(C863,Ürünler!$A$5:$A$204,0)),0))</f>
        <v/>
      </c>
      <c r="I863" s="37" t="str">
        <f aca="false">IF(G863="","",G863-H863)</f>
        <v/>
      </c>
      <c r="J863" s="33"/>
    </row>
    <row r="864" customFormat="false" ht="15" hidden="false" customHeight="false" outlineLevel="0" collapsed="false">
      <c r="A864" s="32"/>
      <c r="B864" s="33"/>
      <c r="C864" s="33"/>
      <c r="D864" s="34"/>
      <c r="E864" s="35"/>
      <c r="F864" s="36"/>
      <c r="G864" s="37" t="str">
        <f aca="false">IF(OR(C864="",D864=""),"",D864*IF(E864="",IFERROR(INDEX(Ürünler!$D$5:$D$204,MATCH(C864,Ürünler!$A$5:$A$204,0)),0),E864))</f>
        <v/>
      </c>
      <c r="H864" s="37" t="str">
        <f aca="false">IF(G864="","",D864*IFERROR(INDEX(Ürünler!$C$5:$C$204,MATCH(C864,Ürünler!$A$5:$A$204,0)),0))</f>
        <v/>
      </c>
      <c r="I864" s="37" t="str">
        <f aca="false">IF(G864="","",G864-H864)</f>
        <v/>
      </c>
      <c r="J864" s="33"/>
    </row>
    <row r="865" customFormat="false" ht="15" hidden="false" customHeight="false" outlineLevel="0" collapsed="false">
      <c r="A865" s="32"/>
      <c r="B865" s="33"/>
      <c r="C865" s="33"/>
      <c r="D865" s="34"/>
      <c r="E865" s="35"/>
      <c r="F865" s="36"/>
      <c r="G865" s="37" t="str">
        <f aca="false">IF(OR(C865="",D865=""),"",D865*IF(E865="",IFERROR(INDEX(Ürünler!$D$5:$D$204,MATCH(C865,Ürünler!$A$5:$A$204,0)),0),E865))</f>
        <v/>
      </c>
      <c r="H865" s="37" t="str">
        <f aca="false">IF(G865="","",D865*IFERROR(INDEX(Ürünler!$C$5:$C$204,MATCH(C865,Ürünler!$A$5:$A$204,0)),0))</f>
        <v/>
      </c>
      <c r="I865" s="37" t="str">
        <f aca="false">IF(G865="","",G865-H865)</f>
        <v/>
      </c>
      <c r="J865" s="33"/>
    </row>
    <row r="866" customFormat="false" ht="15" hidden="false" customHeight="false" outlineLevel="0" collapsed="false">
      <c r="A866" s="32"/>
      <c r="B866" s="33"/>
      <c r="C866" s="33"/>
      <c r="D866" s="34"/>
      <c r="E866" s="35"/>
      <c r="F866" s="36"/>
      <c r="G866" s="37" t="str">
        <f aca="false">IF(OR(C866="",D866=""),"",D866*IF(E866="",IFERROR(INDEX(Ürünler!$D$5:$D$204,MATCH(C866,Ürünler!$A$5:$A$204,0)),0),E866))</f>
        <v/>
      </c>
      <c r="H866" s="37" t="str">
        <f aca="false">IF(G866="","",D866*IFERROR(INDEX(Ürünler!$C$5:$C$204,MATCH(C866,Ürünler!$A$5:$A$204,0)),0))</f>
        <v/>
      </c>
      <c r="I866" s="37" t="str">
        <f aca="false">IF(G866="","",G866-H866)</f>
        <v/>
      </c>
      <c r="J866" s="33"/>
    </row>
    <row r="867" customFormat="false" ht="15" hidden="false" customHeight="false" outlineLevel="0" collapsed="false">
      <c r="A867" s="32"/>
      <c r="B867" s="33"/>
      <c r="C867" s="33"/>
      <c r="D867" s="34"/>
      <c r="E867" s="35"/>
      <c r="F867" s="36"/>
      <c r="G867" s="37" t="str">
        <f aca="false">IF(OR(C867="",D867=""),"",D867*IF(E867="",IFERROR(INDEX(Ürünler!$D$5:$D$204,MATCH(C867,Ürünler!$A$5:$A$204,0)),0),E867))</f>
        <v/>
      </c>
      <c r="H867" s="37" t="str">
        <f aca="false">IF(G867="","",D867*IFERROR(INDEX(Ürünler!$C$5:$C$204,MATCH(C867,Ürünler!$A$5:$A$204,0)),0))</f>
        <v/>
      </c>
      <c r="I867" s="37" t="str">
        <f aca="false">IF(G867="","",G867-H867)</f>
        <v/>
      </c>
      <c r="J867" s="33"/>
    </row>
    <row r="868" customFormat="false" ht="15" hidden="false" customHeight="false" outlineLevel="0" collapsed="false">
      <c r="A868" s="32"/>
      <c r="B868" s="33"/>
      <c r="C868" s="33"/>
      <c r="D868" s="34"/>
      <c r="E868" s="35"/>
      <c r="F868" s="36"/>
      <c r="G868" s="37" t="str">
        <f aca="false">IF(OR(C868="",D868=""),"",D868*IF(E868="",IFERROR(INDEX(Ürünler!$D$5:$D$204,MATCH(C868,Ürünler!$A$5:$A$204,0)),0),E868))</f>
        <v/>
      </c>
      <c r="H868" s="37" t="str">
        <f aca="false">IF(G868="","",D868*IFERROR(INDEX(Ürünler!$C$5:$C$204,MATCH(C868,Ürünler!$A$5:$A$204,0)),0))</f>
        <v/>
      </c>
      <c r="I868" s="37" t="str">
        <f aca="false">IF(G868="","",G868-H868)</f>
        <v/>
      </c>
      <c r="J868" s="33"/>
    </row>
    <row r="869" customFormat="false" ht="15" hidden="false" customHeight="false" outlineLevel="0" collapsed="false">
      <c r="A869" s="32"/>
      <c r="B869" s="33"/>
      <c r="C869" s="33"/>
      <c r="D869" s="34"/>
      <c r="E869" s="35"/>
      <c r="F869" s="36"/>
      <c r="G869" s="37" t="str">
        <f aca="false">IF(OR(C869="",D869=""),"",D869*IF(E869="",IFERROR(INDEX(Ürünler!$D$5:$D$204,MATCH(C869,Ürünler!$A$5:$A$204,0)),0),E869))</f>
        <v/>
      </c>
      <c r="H869" s="37" t="str">
        <f aca="false">IF(G869="","",D869*IFERROR(INDEX(Ürünler!$C$5:$C$204,MATCH(C869,Ürünler!$A$5:$A$204,0)),0))</f>
        <v/>
      </c>
      <c r="I869" s="37" t="str">
        <f aca="false">IF(G869="","",G869-H869)</f>
        <v/>
      </c>
      <c r="J869" s="33"/>
    </row>
    <row r="870" customFormat="false" ht="15" hidden="false" customHeight="false" outlineLevel="0" collapsed="false">
      <c r="A870" s="32"/>
      <c r="B870" s="33"/>
      <c r="C870" s="33"/>
      <c r="D870" s="34"/>
      <c r="E870" s="35"/>
      <c r="F870" s="36"/>
      <c r="G870" s="37" t="str">
        <f aca="false">IF(OR(C870="",D870=""),"",D870*IF(E870="",IFERROR(INDEX(Ürünler!$D$5:$D$204,MATCH(C870,Ürünler!$A$5:$A$204,0)),0),E870))</f>
        <v/>
      </c>
      <c r="H870" s="37" t="str">
        <f aca="false">IF(G870="","",D870*IFERROR(INDEX(Ürünler!$C$5:$C$204,MATCH(C870,Ürünler!$A$5:$A$204,0)),0))</f>
        <v/>
      </c>
      <c r="I870" s="37" t="str">
        <f aca="false">IF(G870="","",G870-H870)</f>
        <v/>
      </c>
      <c r="J870" s="33"/>
    </row>
    <row r="871" customFormat="false" ht="15" hidden="false" customHeight="false" outlineLevel="0" collapsed="false">
      <c r="A871" s="32"/>
      <c r="B871" s="33"/>
      <c r="C871" s="33"/>
      <c r="D871" s="34"/>
      <c r="E871" s="35"/>
      <c r="F871" s="36"/>
      <c r="G871" s="37" t="str">
        <f aca="false">IF(OR(C871="",D871=""),"",D871*IF(E871="",IFERROR(INDEX(Ürünler!$D$5:$D$204,MATCH(C871,Ürünler!$A$5:$A$204,0)),0),E871))</f>
        <v/>
      </c>
      <c r="H871" s="37" t="str">
        <f aca="false">IF(G871="","",D871*IFERROR(INDEX(Ürünler!$C$5:$C$204,MATCH(C871,Ürünler!$A$5:$A$204,0)),0))</f>
        <v/>
      </c>
      <c r="I871" s="37" t="str">
        <f aca="false">IF(G871="","",G871-H871)</f>
        <v/>
      </c>
      <c r="J871" s="33"/>
    </row>
    <row r="872" customFormat="false" ht="15" hidden="false" customHeight="false" outlineLevel="0" collapsed="false">
      <c r="A872" s="32"/>
      <c r="B872" s="33"/>
      <c r="C872" s="33"/>
      <c r="D872" s="34"/>
      <c r="E872" s="35"/>
      <c r="F872" s="36"/>
      <c r="G872" s="37" t="str">
        <f aca="false">IF(OR(C872="",D872=""),"",D872*IF(E872="",IFERROR(INDEX(Ürünler!$D$5:$D$204,MATCH(C872,Ürünler!$A$5:$A$204,0)),0),E872))</f>
        <v/>
      </c>
      <c r="H872" s="37" t="str">
        <f aca="false">IF(G872="","",D872*IFERROR(INDEX(Ürünler!$C$5:$C$204,MATCH(C872,Ürünler!$A$5:$A$204,0)),0))</f>
        <v/>
      </c>
      <c r="I872" s="37" t="str">
        <f aca="false">IF(G872="","",G872-H872)</f>
        <v/>
      </c>
      <c r="J872" s="33"/>
    </row>
    <row r="873" customFormat="false" ht="15" hidden="false" customHeight="false" outlineLevel="0" collapsed="false">
      <c r="A873" s="32"/>
      <c r="B873" s="33"/>
      <c r="C873" s="33"/>
      <c r="D873" s="34"/>
      <c r="E873" s="35"/>
      <c r="F873" s="36"/>
      <c r="G873" s="37" t="str">
        <f aca="false">IF(OR(C873="",D873=""),"",D873*IF(E873="",IFERROR(INDEX(Ürünler!$D$5:$D$204,MATCH(C873,Ürünler!$A$5:$A$204,0)),0),E873))</f>
        <v/>
      </c>
      <c r="H873" s="37" t="str">
        <f aca="false">IF(G873="","",D873*IFERROR(INDEX(Ürünler!$C$5:$C$204,MATCH(C873,Ürünler!$A$5:$A$204,0)),0))</f>
        <v/>
      </c>
      <c r="I873" s="37" t="str">
        <f aca="false">IF(G873="","",G873-H873)</f>
        <v/>
      </c>
      <c r="J873" s="33"/>
    </row>
    <row r="874" customFormat="false" ht="15" hidden="false" customHeight="false" outlineLevel="0" collapsed="false">
      <c r="A874" s="32"/>
      <c r="B874" s="33"/>
      <c r="C874" s="33"/>
      <c r="D874" s="34"/>
      <c r="E874" s="35"/>
      <c r="F874" s="36"/>
      <c r="G874" s="37" t="str">
        <f aca="false">IF(OR(C874="",D874=""),"",D874*IF(E874="",IFERROR(INDEX(Ürünler!$D$5:$D$204,MATCH(C874,Ürünler!$A$5:$A$204,0)),0),E874))</f>
        <v/>
      </c>
      <c r="H874" s="37" t="str">
        <f aca="false">IF(G874="","",D874*IFERROR(INDEX(Ürünler!$C$5:$C$204,MATCH(C874,Ürünler!$A$5:$A$204,0)),0))</f>
        <v/>
      </c>
      <c r="I874" s="37" t="str">
        <f aca="false">IF(G874="","",G874-H874)</f>
        <v/>
      </c>
      <c r="J874" s="33"/>
    </row>
    <row r="875" customFormat="false" ht="15" hidden="false" customHeight="false" outlineLevel="0" collapsed="false">
      <c r="A875" s="32"/>
      <c r="B875" s="33"/>
      <c r="C875" s="33"/>
      <c r="D875" s="34"/>
      <c r="E875" s="35"/>
      <c r="F875" s="36"/>
      <c r="G875" s="37" t="str">
        <f aca="false">IF(OR(C875="",D875=""),"",D875*IF(E875="",IFERROR(INDEX(Ürünler!$D$5:$D$204,MATCH(C875,Ürünler!$A$5:$A$204,0)),0),E875))</f>
        <v/>
      </c>
      <c r="H875" s="37" t="str">
        <f aca="false">IF(G875="","",D875*IFERROR(INDEX(Ürünler!$C$5:$C$204,MATCH(C875,Ürünler!$A$5:$A$204,0)),0))</f>
        <v/>
      </c>
      <c r="I875" s="37" t="str">
        <f aca="false">IF(G875="","",G875-H875)</f>
        <v/>
      </c>
      <c r="J875" s="33"/>
    </row>
    <row r="876" customFormat="false" ht="15" hidden="false" customHeight="false" outlineLevel="0" collapsed="false">
      <c r="A876" s="32"/>
      <c r="B876" s="33"/>
      <c r="C876" s="33"/>
      <c r="D876" s="34"/>
      <c r="E876" s="35"/>
      <c r="F876" s="36"/>
      <c r="G876" s="37" t="str">
        <f aca="false">IF(OR(C876="",D876=""),"",D876*IF(E876="",IFERROR(INDEX(Ürünler!$D$5:$D$204,MATCH(C876,Ürünler!$A$5:$A$204,0)),0),E876))</f>
        <v/>
      </c>
      <c r="H876" s="37" t="str">
        <f aca="false">IF(G876="","",D876*IFERROR(INDEX(Ürünler!$C$5:$C$204,MATCH(C876,Ürünler!$A$5:$A$204,0)),0))</f>
        <v/>
      </c>
      <c r="I876" s="37" t="str">
        <f aca="false">IF(G876="","",G876-H876)</f>
        <v/>
      </c>
      <c r="J876" s="33"/>
    </row>
    <row r="877" customFormat="false" ht="15" hidden="false" customHeight="false" outlineLevel="0" collapsed="false">
      <c r="A877" s="32"/>
      <c r="B877" s="33"/>
      <c r="C877" s="33"/>
      <c r="D877" s="34"/>
      <c r="E877" s="35"/>
      <c r="F877" s="36"/>
      <c r="G877" s="37" t="str">
        <f aca="false">IF(OR(C877="",D877=""),"",D877*IF(E877="",IFERROR(INDEX(Ürünler!$D$5:$D$204,MATCH(C877,Ürünler!$A$5:$A$204,0)),0),E877))</f>
        <v/>
      </c>
      <c r="H877" s="37" t="str">
        <f aca="false">IF(G877="","",D877*IFERROR(INDEX(Ürünler!$C$5:$C$204,MATCH(C877,Ürünler!$A$5:$A$204,0)),0))</f>
        <v/>
      </c>
      <c r="I877" s="37" t="str">
        <f aca="false">IF(G877="","",G877-H877)</f>
        <v/>
      </c>
      <c r="J877" s="33"/>
    </row>
    <row r="878" customFormat="false" ht="15" hidden="false" customHeight="false" outlineLevel="0" collapsed="false">
      <c r="A878" s="32"/>
      <c r="B878" s="33"/>
      <c r="C878" s="33"/>
      <c r="D878" s="34"/>
      <c r="E878" s="35"/>
      <c r="F878" s="36"/>
      <c r="G878" s="37" t="str">
        <f aca="false">IF(OR(C878="",D878=""),"",D878*IF(E878="",IFERROR(INDEX(Ürünler!$D$5:$D$204,MATCH(C878,Ürünler!$A$5:$A$204,0)),0),E878))</f>
        <v/>
      </c>
      <c r="H878" s="37" t="str">
        <f aca="false">IF(G878="","",D878*IFERROR(INDEX(Ürünler!$C$5:$C$204,MATCH(C878,Ürünler!$A$5:$A$204,0)),0))</f>
        <v/>
      </c>
      <c r="I878" s="37" t="str">
        <f aca="false">IF(G878="","",G878-H878)</f>
        <v/>
      </c>
      <c r="J878" s="33"/>
    </row>
    <row r="879" customFormat="false" ht="15" hidden="false" customHeight="false" outlineLevel="0" collapsed="false">
      <c r="A879" s="32"/>
      <c r="B879" s="33"/>
      <c r="C879" s="33"/>
      <c r="D879" s="34"/>
      <c r="E879" s="35"/>
      <c r="F879" s="36"/>
      <c r="G879" s="37" t="str">
        <f aca="false">IF(OR(C879="",D879=""),"",D879*IF(E879="",IFERROR(INDEX(Ürünler!$D$5:$D$204,MATCH(C879,Ürünler!$A$5:$A$204,0)),0),E879))</f>
        <v/>
      </c>
      <c r="H879" s="37" t="str">
        <f aca="false">IF(G879="","",D879*IFERROR(INDEX(Ürünler!$C$5:$C$204,MATCH(C879,Ürünler!$A$5:$A$204,0)),0))</f>
        <v/>
      </c>
      <c r="I879" s="37" t="str">
        <f aca="false">IF(G879="","",G879-H879)</f>
        <v/>
      </c>
      <c r="J879" s="33"/>
    </row>
    <row r="880" customFormat="false" ht="15" hidden="false" customHeight="false" outlineLevel="0" collapsed="false">
      <c r="A880" s="32"/>
      <c r="B880" s="33"/>
      <c r="C880" s="33"/>
      <c r="D880" s="34"/>
      <c r="E880" s="35"/>
      <c r="F880" s="36"/>
      <c r="G880" s="37" t="str">
        <f aca="false">IF(OR(C880="",D880=""),"",D880*IF(E880="",IFERROR(INDEX(Ürünler!$D$5:$D$204,MATCH(C880,Ürünler!$A$5:$A$204,0)),0),E880))</f>
        <v/>
      </c>
      <c r="H880" s="37" t="str">
        <f aca="false">IF(G880="","",D880*IFERROR(INDEX(Ürünler!$C$5:$C$204,MATCH(C880,Ürünler!$A$5:$A$204,0)),0))</f>
        <v/>
      </c>
      <c r="I880" s="37" t="str">
        <f aca="false">IF(G880="","",G880-H880)</f>
        <v/>
      </c>
      <c r="J880" s="33"/>
    </row>
    <row r="881" customFormat="false" ht="15" hidden="false" customHeight="false" outlineLevel="0" collapsed="false">
      <c r="A881" s="32"/>
      <c r="B881" s="33"/>
      <c r="C881" s="33"/>
      <c r="D881" s="34"/>
      <c r="E881" s="35"/>
      <c r="F881" s="36"/>
      <c r="G881" s="37" t="str">
        <f aca="false">IF(OR(C881="",D881=""),"",D881*IF(E881="",IFERROR(INDEX(Ürünler!$D$5:$D$204,MATCH(C881,Ürünler!$A$5:$A$204,0)),0),E881))</f>
        <v/>
      </c>
      <c r="H881" s="37" t="str">
        <f aca="false">IF(G881="","",D881*IFERROR(INDEX(Ürünler!$C$5:$C$204,MATCH(C881,Ürünler!$A$5:$A$204,0)),0))</f>
        <v/>
      </c>
      <c r="I881" s="37" t="str">
        <f aca="false">IF(G881="","",G881-H881)</f>
        <v/>
      </c>
      <c r="J881" s="33"/>
    </row>
    <row r="882" customFormat="false" ht="15" hidden="false" customHeight="false" outlineLevel="0" collapsed="false">
      <c r="A882" s="32"/>
      <c r="B882" s="33"/>
      <c r="C882" s="33"/>
      <c r="D882" s="34"/>
      <c r="E882" s="35"/>
      <c r="F882" s="36"/>
      <c r="G882" s="37" t="str">
        <f aca="false">IF(OR(C882="",D882=""),"",D882*IF(E882="",IFERROR(INDEX(Ürünler!$D$5:$D$204,MATCH(C882,Ürünler!$A$5:$A$204,0)),0),E882))</f>
        <v/>
      </c>
      <c r="H882" s="37" t="str">
        <f aca="false">IF(G882="","",D882*IFERROR(INDEX(Ürünler!$C$5:$C$204,MATCH(C882,Ürünler!$A$5:$A$204,0)),0))</f>
        <v/>
      </c>
      <c r="I882" s="37" t="str">
        <f aca="false">IF(G882="","",G882-H882)</f>
        <v/>
      </c>
      <c r="J882" s="33"/>
    </row>
    <row r="883" customFormat="false" ht="15" hidden="false" customHeight="false" outlineLevel="0" collapsed="false">
      <c r="A883" s="32"/>
      <c r="B883" s="33"/>
      <c r="C883" s="33"/>
      <c r="D883" s="34"/>
      <c r="E883" s="35"/>
      <c r="F883" s="36"/>
      <c r="G883" s="37" t="str">
        <f aca="false">IF(OR(C883="",D883=""),"",D883*IF(E883="",IFERROR(INDEX(Ürünler!$D$5:$D$204,MATCH(C883,Ürünler!$A$5:$A$204,0)),0),E883))</f>
        <v/>
      </c>
      <c r="H883" s="37" t="str">
        <f aca="false">IF(G883="","",D883*IFERROR(INDEX(Ürünler!$C$5:$C$204,MATCH(C883,Ürünler!$A$5:$A$204,0)),0))</f>
        <v/>
      </c>
      <c r="I883" s="37" t="str">
        <f aca="false">IF(G883="","",G883-H883)</f>
        <v/>
      </c>
      <c r="J883" s="33"/>
    </row>
    <row r="884" customFormat="false" ht="15" hidden="false" customHeight="false" outlineLevel="0" collapsed="false">
      <c r="A884" s="32"/>
      <c r="B884" s="33"/>
      <c r="C884" s="33"/>
      <c r="D884" s="34"/>
      <c r="E884" s="35"/>
      <c r="F884" s="36"/>
      <c r="G884" s="37" t="str">
        <f aca="false">IF(OR(C884="",D884=""),"",D884*IF(E884="",IFERROR(INDEX(Ürünler!$D$5:$D$204,MATCH(C884,Ürünler!$A$5:$A$204,0)),0),E884))</f>
        <v/>
      </c>
      <c r="H884" s="37" t="str">
        <f aca="false">IF(G884="","",D884*IFERROR(INDEX(Ürünler!$C$5:$C$204,MATCH(C884,Ürünler!$A$5:$A$204,0)),0))</f>
        <v/>
      </c>
      <c r="I884" s="37" t="str">
        <f aca="false">IF(G884="","",G884-H884)</f>
        <v/>
      </c>
      <c r="J884" s="33"/>
    </row>
    <row r="885" customFormat="false" ht="15" hidden="false" customHeight="false" outlineLevel="0" collapsed="false">
      <c r="A885" s="32"/>
      <c r="B885" s="33"/>
      <c r="C885" s="33"/>
      <c r="D885" s="34"/>
      <c r="E885" s="35"/>
      <c r="F885" s="36"/>
      <c r="G885" s="37" t="str">
        <f aca="false">IF(OR(C885="",D885=""),"",D885*IF(E885="",IFERROR(INDEX(Ürünler!$D$5:$D$204,MATCH(C885,Ürünler!$A$5:$A$204,0)),0),E885))</f>
        <v/>
      </c>
      <c r="H885" s="37" t="str">
        <f aca="false">IF(G885="","",D885*IFERROR(INDEX(Ürünler!$C$5:$C$204,MATCH(C885,Ürünler!$A$5:$A$204,0)),0))</f>
        <v/>
      </c>
      <c r="I885" s="37" t="str">
        <f aca="false">IF(G885="","",G885-H885)</f>
        <v/>
      </c>
      <c r="J885" s="33"/>
    </row>
    <row r="886" customFormat="false" ht="15" hidden="false" customHeight="false" outlineLevel="0" collapsed="false">
      <c r="A886" s="32"/>
      <c r="B886" s="33"/>
      <c r="C886" s="33"/>
      <c r="D886" s="34"/>
      <c r="E886" s="35"/>
      <c r="F886" s="36"/>
      <c r="G886" s="37" t="str">
        <f aca="false">IF(OR(C886="",D886=""),"",D886*IF(E886="",IFERROR(INDEX(Ürünler!$D$5:$D$204,MATCH(C886,Ürünler!$A$5:$A$204,0)),0),E886))</f>
        <v/>
      </c>
      <c r="H886" s="37" t="str">
        <f aca="false">IF(G886="","",D886*IFERROR(INDEX(Ürünler!$C$5:$C$204,MATCH(C886,Ürünler!$A$5:$A$204,0)),0))</f>
        <v/>
      </c>
      <c r="I886" s="37" t="str">
        <f aca="false">IF(G886="","",G886-H886)</f>
        <v/>
      </c>
      <c r="J886" s="33"/>
    </row>
    <row r="887" customFormat="false" ht="15" hidden="false" customHeight="false" outlineLevel="0" collapsed="false">
      <c r="A887" s="32"/>
      <c r="B887" s="33"/>
      <c r="C887" s="33"/>
      <c r="D887" s="34"/>
      <c r="E887" s="35"/>
      <c r="F887" s="36"/>
      <c r="G887" s="37" t="str">
        <f aca="false">IF(OR(C887="",D887=""),"",D887*IF(E887="",IFERROR(INDEX(Ürünler!$D$5:$D$204,MATCH(C887,Ürünler!$A$5:$A$204,0)),0),E887))</f>
        <v/>
      </c>
      <c r="H887" s="37" t="str">
        <f aca="false">IF(G887="","",D887*IFERROR(INDEX(Ürünler!$C$5:$C$204,MATCH(C887,Ürünler!$A$5:$A$204,0)),0))</f>
        <v/>
      </c>
      <c r="I887" s="37" t="str">
        <f aca="false">IF(G887="","",G887-H887)</f>
        <v/>
      </c>
      <c r="J887" s="33"/>
    </row>
    <row r="888" customFormat="false" ht="15" hidden="false" customHeight="false" outlineLevel="0" collapsed="false">
      <c r="A888" s="32"/>
      <c r="B888" s="33"/>
      <c r="C888" s="33"/>
      <c r="D888" s="34"/>
      <c r="E888" s="35"/>
      <c r="F888" s="36"/>
      <c r="G888" s="37" t="str">
        <f aca="false">IF(OR(C888="",D888=""),"",D888*IF(E888="",IFERROR(INDEX(Ürünler!$D$5:$D$204,MATCH(C888,Ürünler!$A$5:$A$204,0)),0),E888))</f>
        <v/>
      </c>
      <c r="H888" s="37" t="str">
        <f aca="false">IF(G888="","",D888*IFERROR(INDEX(Ürünler!$C$5:$C$204,MATCH(C888,Ürünler!$A$5:$A$204,0)),0))</f>
        <v/>
      </c>
      <c r="I888" s="37" t="str">
        <f aca="false">IF(G888="","",G888-H888)</f>
        <v/>
      </c>
      <c r="J888" s="33"/>
    </row>
    <row r="889" customFormat="false" ht="15" hidden="false" customHeight="false" outlineLevel="0" collapsed="false">
      <c r="A889" s="32"/>
      <c r="B889" s="33"/>
      <c r="C889" s="33"/>
      <c r="D889" s="34"/>
      <c r="E889" s="35"/>
      <c r="F889" s="36"/>
      <c r="G889" s="37" t="str">
        <f aca="false">IF(OR(C889="",D889=""),"",D889*IF(E889="",IFERROR(INDEX(Ürünler!$D$5:$D$204,MATCH(C889,Ürünler!$A$5:$A$204,0)),0),E889))</f>
        <v/>
      </c>
      <c r="H889" s="37" t="str">
        <f aca="false">IF(G889="","",D889*IFERROR(INDEX(Ürünler!$C$5:$C$204,MATCH(C889,Ürünler!$A$5:$A$204,0)),0))</f>
        <v/>
      </c>
      <c r="I889" s="37" t="str">
        <f aca="false">IF(G889="","",G889-H889)</f>
        <v/>
      </c>
      <c r="J889" s="33"/>
    </row>
    <row r="890" customFormat="false" ht="15" hidden="false" customHeight="false" outlineLevel="0" collapsed="false">
      <c r="A890" s="32"/>
      <c r="B890" s="33"/>
      <c r="C890" s="33"/>
      <c r="D890" s="34"/>
      <c r="E890" s="35"/>
      <c r="F890" s="36"/>
      <c r="G890" s="37" t="str">
        <f aca="false">IF(OR(C890="",D890=""),"",D890*IF(E890="",IFERROR(INDEX(Ürünler!$D$5:$D$204,MATCH(C890,Ürünler!$A$5:$A$204,0)),0),E890))</f>
        <v/>
      </c>
      <c r="H890" s="37" t="str">
        <f aca="false">IF(G890="","",D890*IFERROR(INDEX(Ürünler!$C$5:$C$204,MATCH(C890,Ürünler!$A$5:$A$204,0)),0))</f>
        <v/>
      </c>
      <c r="I890" s="37" t="str">
        <f aca="false">IF(G890="","",G890-H890)</f>
        <v/>
      </c>
      <c r="J890" s="33"/>
    </row>
    <row r="891" customFormat="false" ht="15" hidden="false" customHeight="false" outlineLevel="0" collapsed="false">
      <c r="A891" s="32"/>
      <c r="B891" s="33"/>
      <c r="C891" s="33"/>
      <c r="D891" s="34"/>
      <c r="E891" s="35"/>
      <c r="F891" s="36"/>
      <c r="G891" s="37" t="str">
        <f aca="false">IF(OR(C891="",D891=""),"",D891*IF(E891="",IFERROR(INDEX(Ürünler!$D$5:$D$204,MATCH(C891,Ürünler!$A$5:$A$204,0)),0),E891))</f>
        <v/>
      </c>
      <c r="H891" s="37" t="str">
        <f aca="false">IF(G891="","",D891*IFERROR(INDEX(Ürünler!$C$5:$C$204,MATCH(C891,Ürünler!$A$5:$A$204,0)),0))</f>
        <v/>
      </c>
      <c r="I891" s="37" t="str">
        <f aca="false">IF(G891="","",G891-H891)</f>
        <v/>
      </c>
      <c r="J891" s="33"/>
    </row>
    <row r="892" customFormat="false" ht="15" hidden="false" customHeight="false" outlineLevel="0" collapsed="false">
      <c r="A892" s="32"/>
      <c r="B892" s="33"/>
      <c r="C892" s="33"/>
      <c r="D892" s="34"/>
      <c r="E892" s="35"/>
      <c r="F892" s="36"/>
      <c r="G892" s="37" t="str">
        <f aca="false">IF(OR(C892="",D892=""),"",D892*IF(E892="",IFERROR(INDEX(Ürünler!$D$5:$D$204,MATCH(C892,Ürünler!$A$5:$A$204,0)),0),E892))</f>
        <v/>
      </c>
      <c r="H892" s="37" t="str">
        <f aca="false">IF(G892="","",D892*IFERROR(INDEX(Ürünler!$C$5:$C$204,MATCH(C892,Ürünler!$A$5:$A$204,0)),0))</f>
        <v/>
      </c>
      <c r="I892" s="37" t="str">
        <f aca="false">IF(G892="","",G892-H892)</f>
        <v/>
      </c>
      <c r="J892" s="33"/>
    </row>
    <row r="893" customFormat="false" ht="15" hidden="false" customHeight="false" outlineLevel="0" collapsed="false">
      <c r="A893" s="32"/>
      <c r="B893" s="33"/>
      <c r="C893" s="33"/>
      <c r="D893" s="34"/>
      <c r="E893" s="35"/>
      <c r="F893" s="36"/>
      <c r="G893" s="37" t="str">
        <f aca="false">IF(OR(C893="",D893=""),"",D893*IF(E893="",IFERROR(INDEX(Ürünler!$D$5:$D$204,MATCH(C893,Ürünler!$A$5:$A$204,0)),0),E893))</f>
        <v/>
      </c>
      <c r="H893" s="37" t="str">
        <f aca="false">IF(G893="","",D893*IFERROR(INDEX(Ürünler!$C$5:$C$204,MATCH(C893,Ürünler!$A$5:$A$204,0)),0))</f>
        <v/>
      </c>
      <c r="I893" s="37" t="str">
        <f aca="false">IF(G893="","",G893-H893)</f>
        <v/>
      </c>
      <c r="J893" s="33"/>
    </row>
    <row r="894" customFormat="false" ht="15" hidden="false" customHeight="false" outlineLevel="0" collapsed="false">
      <c r="A894" s="32"/>
      <c r="B894" s="33"/>
      <c r="C894" s="33"/>
      <c r="D894" s="34"/>
      <c r="E894" s="35"/>
      <c r="F894" s="36"/>
      <c r="G894" s="37" t="str">
        <f aca="false">IF(OR(C894="",D894=""),"",D894*IF(E894="",IFERROR(INDEX(Ürünler!$D$5:$D$204,MATCH(C894,Ürünler!$A$5:$A$204,0)),0),E894))</f>
        <v/>
      </c>
      <c r="H894" s="37" t="str">
        <f aca="false">IF(G894="","",D894*IFERROR(INDEX(Ürünler!$C$5:$C$204,MATCH(C894,Ürünler!$A$5:$A$204,0)),0))</f>
        <v/>
      </c>
      <c r="I894" s="37" t="str">
        <f aca="false">IF(G894="","",G894-H894)</f>
        <v/>
      </c>
      <c r="J894" s="33"/>
    </row>
    <row r="895" customFormat="false" ht="15" hidden="false" customHeight="false" outlineLevel="0" collapsed="false">
      <c r="A895" s="32"/>
      <c r="B895" s="33"/>
      <c r="C895" s="33"/>
      <c r="D895" s="34"/>
      <c r="E895" s="35"/>
      <c r="F895" s="36"/>
      <c r="G895" s="37" t="str">
        <f aca="false">IF(OR(C895="",D895=""),"",D895*IF(E895="",IFERROR(INDEX(Ürünler!$D$5:$D$204,MATCH(C895,Ürünler!$A$5:$A$204,0)),0),E895))</f>
        <v/>
      </c>
      <c r="H895" s="37" t="str">
        <f aca="false">IF(G895="","",D895*IFERROR(INDEX(Ürünler!$C$5:$C$204,MATCH(C895,Ürünler!$A$5:$A$204,0)),0))</f>
        <v/>
      </c>
      <c r="I895" s="37" t="str">
        <f aca="false">IF(G895="","",G895-H895)</f>
        <v/>
      </c>
      <c r="J895" s="33"/>
    </row>
    <row r="896" customFormat="false" ht="15" hidden="false" customHeight="false" outlineLevel="0" collapsed="false">
      <c r="A896" s="32"/>
      <c r="B896" s="33"/>
      <c r="C896" s="33"/>
      <c r="D896" s="34"/>
      <c r="E896" s="35"/>
      <c r="F896" s="36"/>
      <c r="G896" s="37" t="str">
        <f aca="false">IF(OR(C896="",D896=""),"",D896*IF(E896="",IFERROR(INDEX(Ürünler!$D$5:$D$204,MATCH(C896,Ürünler!$A$5:$A$204,0)),0),E896))</f>
        <v/>
      </c>
      <c r="H896" s="37" t="str">
        <f aca="false">IF(G896="","",D896*IFERROR(INDEX(Ürünler!$C$5:$C$204,MATCH(C896,Ürünler!$A$5:$A$204,0)),0))</f>
        <v/>
      </c>
      <c r="I896" s="37" t="str">
        <f aca="false">IF(G896="","",G896-H896)</f>
        <v/>
      </c>
      <c r="J896" s="33"/>
    </row>
    <row r="897" customFormat="false" ht="15" hidden="false" customHeight="false" outlineLevel="0" collapsed="false">
      <c r="A897" s="32"/>
      <c r="B897" s="33"/>
      <c r="C897" s="33"/>
      <c r="D897" s="34"/>
      <c r="E897" s="35"/>
      <c r="F897" s="36"/>
      <c r="G897" s="37" t="str">
        <f aca="false">IF(OR(C897="",D897=""),"",D897*IF(E897="",IFERROR(INDEX(Ürünler!$D$5:$D$204,MATCH(C897,Ürünler!$A$5:$A$204,0)),0),E897))</f>
        <v/>
      </c>
      <c r="H897" s="37" t="str">
        <f aca="false">IF(G897="","",D897*IFERROR(INDEX(Ürünler!$C$5:$C$204,MATCH(C897,Ürünler!$A$5:$A$204,0)),0))</f>
        <v/>
      </c>
      <c r="I897" s="37" t="str">
        <f aca="false">IF(G897="","",G897-H897)</f>
        <v/>
      </c>
      <c r="J897" s="33"/>
    </row>
    <row r="898" customFormat="false" ht="15" hidden="false" customHeight="false" outlineLevel="0" collapsed="false">
      <c r="A898" s="32"/>
      <c r="B898" s="33"/>
      <c r="C898" s="33"/>
      <c r="D898" s="34"/>
      <c r="E898" s="35"/>
      <c r="F898" s="36"/>
      <c r="G898" s="37" t="str">
        <f aca="false">IF(OR(C898="",D898=""),"",D898*IF(E898="",IFERROR(INDEX(Ürünler!$D$5:$D$204,MATCH(C898,Ürünler!$A$5:$A$204,0)),0),E898))</f>
        <v/>
      </c>
      <c r="H898" s="37" t="str">
        <f aca="false">IF(G898="","",D898*IFERROR(INDEX(Ürünler!$C$5:$C$204,MATCH(C898,Ürünler!$A$5:$A$204,0)),0))</f>
        <v/>
      </c>
      <c r="I898" s="37" t="str">
        <f aca="false">IF(G898="","",G898-H898)</f>
        <v/>
      </c>
      <c r="J898" s="33"/>
    </row>
    <row r="899" customFormat="false" ht="15" hidden="false" customHeight="false" outlineLevel="0" collapsed="false">
      <c r="A899" s="32"/>
      <c r="B899" s="33"/>
      <c r="C899" s="33"/>
      <c r="D899" s="34"/>
      <c r="E899" s="35"/>
      <c r="F899" s="36"/>
      <c r="G899" s="37" t="str">
        <f aca="false">IF(OR(C899="",D899=""),"",D899*IF(E899="",IFERROR(INDEX(Ürünler!$D$5:$D$204,MATCH(C899,Ürünler!$A$5:$A$204,0)),0),E899))</f>
        <v/>
      </c>
      <c r="H899" s="37" t="str">
        <f aca="false">IF(G899="","",D899*IFERROR(INDEX(Ürünler!$C$5:$C$204,MATCH(C899,Ürünler!$A$5:$A$204,0)),0))</f>
        <v/>
      </c>
      <c r="I899" s="37" t="str">
        <f aca="false">IF(G899="","",G899-H899)</f>
        <v/>
      </c>
      <c r="J899" s="33"/>
    </row>
    <row r="900" customFormat="false" ht="15" hidden="false" customHeight="false" outlineLevel="0" collapsed="false">
      <c r="A900" s="32"/>
      <c r="B900" s="33"/>
      <c r="C900" s="33"/>
      <c r="D900" s="34"/>
      <c r="E900" s="35"/>
      <c r="F900" s="36"/>
      <c r="G900" s="37" t="str">
        <f aca="false">IF(OR(C900="",D900=""),"",D900*IF(E900="",IFERROR(INDEX(Ürünler!$D$5:$D$204,MATCH(C900,Ürünler!$A$5:$A$204,0)),0),E900))</f>
        <v/>
      </c>
      <c r="H900" s="37" t="str">
        <f aca="false">IF(G900="","",D900*IFERROR(INDEX(Ürünler!$C$5:$C$204,MATCH(C900,Ürünler!$A$5:$A$204,0)),0))</f>
        <v/>
      </c>
      <c r="I900" s="37" t="str">
        <f aca="false">IF(G900="","",G900-H900)</f>
        <v/>
      </c>
      <c r="J900" s="33"/>
    </row>
    <row r="901" customFormat="false" ht="15" hidden="false" customHeight="false" outlineLevel="0" collapsed="false">
      <c r="A901" s="32"/>
      <c r="B901" s="33"/>
      <c r="C901" s="33"/>
      <c r="D901" s="34"/>
      <c r="E901" s="35"/>
      <c r="F901" s="36"/>
      <c r="G901" s="37" t="str">
        <f aca="false">IF(OR(C901="",D901=""),"",D901*IF(E901="",IFERROR(INDEX(Ürünler!$D$5:$D$204,MATCH(C901,Ürünler!$A$5:$A$204,0)),0),E901))</f>
        <v/>
      </c>
      <c r="H901" s="37" t="str">
        <f aca="false">IF(G901="","",D901*IFERROR(INDEX(Ürünler!$C$5:$C$204,MATCH(C901,Ürünler!$A$5:$A$204,0)),0))</f>
        <v/>
      </c>
      <c r="I901" s="37" t="str">
        <f aca="false">IF(G901="","",G901-H901)</f>
        <v/>
      </c>
      <c r="J901" s="33"/>
    </row>
    <row r="902" customFormat="false" ht="15" hidden="false" customHeight="false" outlineLevel="0" collapsed="false">
      <c r="A902" s="32"/>
      <c r="B902" s="33"/>
      <c r="C902" s="33"/>
      <c r="D902" s="34"/>
      <c r="E902" s="35"/>
      <c r="F902" s="36"/>
      <c r="G902" s="37" t="str">
        <f aca="false">IF(OR(C902="",D902=""),"",D902*IF(E902="",IFERROR(INDEX(Ürünler!$D$5:$D$204,MATCH(C902,Ürünler!$A$5:$A$204,0)),0),E902))</f>
        <v/>
      </c>
      <c r="H902" s="37" t="str">
        <f aca="false">IF(G902="","",D902*IFERROR(INDEX(Ürünler!$C$5:$C$204,MATCH(C902,Ürünler!$A$5:$A$204,0)),0))</f>
        <v/>
      </c>
      <c r="I902" s="37" t="str">
        <f aca="false">IF(G902="","",G902-H902)</f>
        <v/>
      </c>
      <c r="J902" s="33"/>
    </row>
    <row r="903" customFormat="false" ht="15" hidden="false" customHeight="false" outlineLevel="0" collapsed="false">
      <c r="A903" s="32"/>
      <c r="B903" s="33"/>
      <c r="C903" s="33"/>
      <c r="D903" s="34"/>
      <c r="E903" s="35"/>
      <c r="F903" s="36"/>
      <c r="G903" s="37" t="str">
        <f aca="false">IF(OR(C903="",D903=""),"",D903*IF(E903="",IFERROR(INDEX(Ürünler!$D$5:$D$204,MATCH(C903,Ürünler!$A$5:$A$204,0)),0),E903))</f>
        <v/>
      </c>
      <c r="H903" s="37" t="str">
        <f aca="false">IF(G903="","",D903*IFERROR(INDEX(Ürünler!$C$5:$C$204,MATCH(C903,Ürünler!$A$5:$A$204,0)),0))</f>
        <v/>
      </c>
      <c r="I903" s="37" t="str">
        <f aca="false">IF(G903="","",G903-H903)</f>
        <v/>
      </c>
      <c r="J903" s="33"/>
    </row>
    <row r="904" customFormat="false" ht="15" hidden="false" customHeight="false" outlineLevel="0" collapsed="false">
      <c r="A904" s="32"/>
      <c r="B904" s="33"/>
      <c r="C904" s="33"/>
      <c r="D904" s="34"/>
      <c r="E904" s="35"/>
      <c r="F904" s="36"/>
      <c r="G904" s="37" t="str">
        <f aca="false">IF(OR(C904="",D904=""),"",D904*IF(E904="",IFERROR(INDEX(Ürünler!$D$5:$D$204,MATCH(C904,Ürünler!$A$5:$A$204,0)),0),E904))</f>
        <v/>
      </c>
      <c r="H904" s="37" t="str">
        <f aca="false">IF(G904="","",D904*IFERROR(INDEX(Ürünler!$C$5:$C$204,MATCH(C904,Ürünler!$A$5:$A$204,0)),0))</f>
        <v/>
      </c>
      <c r="I904" s="37" t="str">
        <f aca="false">IF(G904="","",G904-H904)</f>
        <v/>
      </c>
      <c r="J904" s="33"/>
    </row>
    <row r="905" customFormat="false" ht="15" hidden="false" customHeight="false" outlineLevel="0" collapsed="false">
      <c r="A905" s="32"/>
      <c r="B905" s="33"/>
      <c r="C905" s="33"/>
      <c r="D905" s="34"/>
      <c r="E905" s="35"/>
      <c r="F905" s="36"/>
      <c r="G905" s="37" t="str">
        <f aca="false">IF(OR(C905="",D905=""),"",D905*IF(E905="",IFERROR(INDEX(Ürünler!$D$5:$D$204,MATCH(C905,Ürünler!$A$5:$A$204,0)),0),E905))</f>
        <v/>
      </c>
      <c r="H905" s="37" t="str">
        <f aca="false">IF(G905="","",D905*IFERROR(INDEX(Ürünler!$C$5:$C$204,MATCH(C905,Ürünler!$A$5:$A$204,0)),0))</f>
        <v/>
      </c>
      <c r="I905" s="37" t="str">
        <f aca="false">IF(G905="","",G905-H905)</f>
        <v/>
      </c>
      <c r="J905" s="33"/>
    </row>
    <row r="906" customFormat="false" ht="15" hidden="false" customHeight="false" outlineLevel="0" collapsed="false">
      <c r="A906" s="32"/>
      <c r="B906" s="33"/>
      <c r="C906" s="33"/>
      <c r="D906" s="34"/>
      <c r="E906" s="35"/>
      <c r="F906" s="36"/>
      <c r="G906" s="37" t="str">
        <f aca="false">IF(OR(C906="",D906=""),"",D906*IF(E906="",IFERROR(INDEX(Ürünler!$D$5:$D$204,MATCH(C906,Ürünler!$A$5:$A$204,0)),0),E906))</f>
        <v/>
      </c>
      <c r="H906" s="37" t="str">
        <f aca="false">IF(G906="","",D906*IFERROR(INDEX(Ürünler!$C$5:$C$204,MATCH(C906,Ürünler!$A$5:$A$204,0)),0))</f>
        <v/>
      </c>
      <c r="I906" s="37" t="str">
        <f aca="false">IF(G906="","",G906-H906)</f>
        <v/>
      </c>
      <c r="J906" s="33"/>
    </row>
    <row r="907" customFormat="false" ht="15" hidden="false" customHeight="false" outlineLevel="0" collapsed="false">
      <c r="A907" s="32"/>
      <c r="B907" s="33"/>
      <c r="C907" s="33"/>
      <c r="D907" s="34"/>
      <c r="E907" s="35"/>
      <c r="F907" s="36"/>
      <c r="G907" s="37" t="str">
        <f aca="false">IF(OR(C907="",D907=""),"",D907*IF(E907="",IFERROR(INDEX(Ürünler!$D$5:$D$204,MATCH(C907,Ürünler!$A$5:$A$204,0)),0),E907))</f>
        <v/>
      </c>
      <c r="H907" s="37" t="str">
        <f aca="false">IF(G907="","",D907*IFERROR(INDEX(Ürünler!$C$5:$C$204,MATCH(C907,Ürünler!$A$5:$A$204,0)),0))</f>
        <v/>
      </c>
      <c r="I907" s="37" t="str">
        <f aca="false">IF(G907="","",G907-H907)</f>
        <v/>
      </c>
      <c r="J907" s="33"/>
    </row>
    <row r="908" customFormat="false" ht="15" hidden="false" customHeight="false" outlineLevel="0" collapsed="false">
      <c r="A908" s="32"/>
      <c r="B908" s="33"/>
      <c r="C908" s="33"/>
      <c r="D908" s="34"/>
      <c r="E908" s="35"/>
      <c r="F908" s="36"/>
      <c r="G908" s="37" t="str">
        <f aca="false">IF(OR(C908="",D908=""),"",D908*IF(E908="",IFERROR(INDEX(Ürünler!$D$5:$D$204,MATCH(C908,Ürünler!$A$5:$A$204,0)),0),E908))</f>
        <v/>
      </c>
      <c r="H908" s="37" t="str">
        <f aca="false">IF(G908="","",D908*IFERROR(INDEX(Ürünler!$C$5:$C$204,MATCH(C908,Ürünler!$A$5:$A$204,0)),0))</f>
        <v/>
      </c>
      <c r="I908" s="37" t="str">
        <f aca="false">IF(G908="","",G908-H908)</f>
        <v/>
      </c>
      <c r="J908" s="33"/>
    </row>
    <row r="909" customFormat="false" ht="15" hidden="false" customHeight="false" outlineLevel="0" collapsed="false">
      <c r="A909" s="32"/>
      <c r="B909" s="33"/>
      <c r="C909" s="33"/>
      <c r="D909" s="34"/>
      <c r="E909" s="35"/>
      <c r="F909" s="36"/>
      <c r="G909" s="37" t="str">
        <f aca="false">IF(OR(C909="",D909=""),"",D909*IF(E909="",IFERROR(INDEX(Ürünler!$D$5:$D$204,MATCH(C909,Ürünler!$A$5:$A$204,0)),0),E909))</f>
        <v/>
      </c>
      <c r="H909" s="37" t="str">
        <f aca="false">IF(G909="","",D909*IFERROR(INDEX(Ürünler!$C$5:$C$204,MATCH(C909,Ürünler!$A$5:$A$204,0)),0))</f>
        <v/>
      </c>
      <c r="I909" s="37" t="str">
        <f aca="false">IF(G909="","",G909-H909)</f>
        <v/>
      </c>
      <c r="J909" s="33"/>
    </row>
    <row r="910" customFormat="false" ht="15" hidden="false" customHeight="false" outlineLevel="0" collapsed="false">
      <c r="A910" s="32"/>
      <c r="B910" s="33"/>
      <c r="C910" s="33"/>
      <c r="D910" s="34"/>
      <c r="E910" s="35"/>
      <c r="F910" s="36"/>
      <c r="G910" s="37" t="str">
        <f aca="false">IF(OR(C910="",D910=""),"",D910*IF(E910="",IFERROR(INDEX(Ürünler!$D$5:$D$204,MATCH(C910,Ürünler!$A$5:$A$204,0)),0),E910))</f>
        <v/>
      </c>
      <c r="H910" s="37" t="str">
        <f aca="false">IF(G910="","",D910*IFERROR(INDEX(Ürünler!$C$5:$C$204,MATCH(C910,Ürünler!$A$5:$A$204,0)),0))</f>
        <v/>
      </c>
      <c r="I910" s="37" t="str">
        <f aca="false">IF(G910="","",G910-H910)</f>
        <v/>
      </c>
      <c r="J910" s="33"/>
    </row>
    <row r="911" customFormat="false" ht="15" hidden="false" customHeight="false" outlineLevel="0" collapsed="false">
      <c r="A911" s="32"/>
      <c r="B911" s="33"/>
      <c r="C911" s="33"/>
      <c r="D911" s="34"/>
      <c r="E911" s="35"/>
      <c r="F911" s="36"/>
      <c r="G911" s="37" t="str">
        <f aca="false">IF(OR(C911="",D911=""),"",D911*IF(E911="",IFERROR(INDEX(Ürünler!$D$5:$D$204,MATCH(C911,Ürünler!$A$5:$A$204,0)),0),E911))</f>
        <v/>
      </c>
      <c r="H911" s="37" t="str">
        <f aca="false">IF(G911="","",D911*IFERROR(INDEX(Ürünler!$C$5:$C$204,MATCH(C911,Ürünler!$A$5:$A$204,0)),0))</f>
        <v/>
      </c>
      <c r="I911" s="37" t="str">
        <f aca="false">IF(G911="","",G911-H911)</f>
        <v/>
      </c>
      <c r="J911" s="33"/>
    </row>
    <row r="912" customFormat="false" ht="15" hidden="false" customHeight="false" outlineLevel="0" collapsed="false">
      <c r="A912" s="32"/>
      <c r="B912" s="33"/>
      <c r="C912" s="33"/>
      <c r="D912" s="34"/>
      <c r="E912" s="35"/>
      <c r="F912" s="36"/>
      <c r="G912" s="37" t="str">
        <f aca="false">IF(OR(C912="",D912=""),"",D912*IF(E912="",IFERROR(INDEX(Ürünler!$D$5:$D$204,MATCH(C912,Ürünler!$A$5:$A$204,0)),0),E912))</f>
        <v/>
      </c>
      <c r="H912" s="37" t="str">
        <f aca="false">IF(G912="","",D912*IFERROR(INDEX(Ürünler!$C$5:$C$204,MATCH(C912,Ürünler!$A$5:$A$204,0)),0))</f>
        <v/>
      </c>
      <c r="I912" s="37" t="str">
        <f aca="false">IF(G912="","",G912-H912)</f>
        <v/>
      </c>
      <c r="J912" s="33"/>
    </row>
    <row r="913" customFormat="false" ht="15" hidden="false" customHeight="false" outlineLevel="0" collapsed="false">
      <c r="A913" s="32"/>
      <c r="B913" s="33"/>
      <c r="C913" s="33"/>
      <c r="D913" s="34"/>
      <c r="E913" s="35"/>
      <c r="F913" s="36"/>
      <c r="G913" s="37" t="str">
        <f aca="false">IF(OR(C913="",D913=""),"",D913*IF(E913="",IFERROR(INDEX(Ürünler!$D$5:$D$204,MATCH(C913,Ürünler!$A$5:$A$204,0)),0),E913))</f>
        <v/>
      </c>
      <c r="H913" s="37" t="str">
        <f aca="false">IF(G913="","",D913*IFERROR(INDEX(Ürünler!$C$5:$C$204,MATCH(C913,Ürünler!$A$5:$A$204,0)),0))</f>
        <v/>
      </c>
      <c r="I913" s="37" t="str">
        <f aca="false">IF(G913="","",G913-H913)</f>
        <v/>
      </c>
      <c r="J913" s="33"/>
    </row>
    <row r="914" customFormat="false" ht="15" hidden="false" customHeight="false" outlineLevel="0" collapsed="false">
      <c r="A914" s="32"/>
      <c r="B914" s="33"/>
      <c r="C914" s="33"/>
      <c r="D914" s="34"/>
      <c r="E914" s="35"/>
      <c r="F914" s="36"/>
      <c r="G914" s="37" t="str">
        <f aca="false">IF(OR(C914="",D914=""),"",D914*IF(E914="",IFERROR(INDEX(Ürünler!$D$5:$D$204,MATCH(C914,Ürünler!$A$5:$A$204,0)),0),E914))</f>
        <v/>
      </c>
      <c r="H914" s="37" t="str">
        <f aca="false">IF(G914="","",D914*IFERROR(INDEX(Ürünler!$C$5:$C$204,MATCH(C914,Ürünler!$A$5:$A$204,0)),0))</f>
        <v/>
      </c>
      <c r="I914" s="37" t="str">
        <f aca="false">IF(G914="","",G914-H914)</f>
        <v/>
      </c>
      <c r="J914" s="33"/>
    </row>
    <row r="915" customFormat="false" ht="15" hidden="false" customHeight="false" outlineLevel="0" collapsed="false">
      <c r="A915" s="32"/>
      <c r="B915" s="33"/>
      <c r="C915" s="33"/>
      <c r="D915" s="34"/>
      <c r="E915" s="35"/>
      <c r="F915" s="36"/>
      <c r="G915" s="37" t="str">
        <f aca="false">IF(OR(C915="",D915=""),"",D915*IF(E915="",IFERROR(INDEX(Ürünler!$D$5:$D$204,MATCH(C915,Ürünler!$A$5:$A$204,0)),0),E915))</f>
        <v/>
      </c>
      <c r="H915" s="37" t="str">
        <f aca="false">IF(G915="","",D915*IFERROR(INDEX(Ürünler!$C$5:$C$204,MATCH(C915,Ürünler!$A$5:$A$204,0)),0))</f>
        <v/>
      </c>
      <c r="I915" s="37" t="str">
        <f aca="false">IF(G915="","",G915-H915)</f>
        <v/>
      </c>
      <c r="J915" s="33"/>
    </row>
    <row r="916" customFormat="false" ht="15" hidden="false" customHeight="false" outlineLevel="0" collapsed="false">
      <c r="A916" s="32"/>
      <c r="B916" s="33"/>
      <c r="C916" s="33"/>
      <c r="D916" s="34"/>
      <c r="E916" s="35"/>
      <c r="F916" s="36"/>
      <c r="G916" s="37" t="str">
        <f aca="false">IF(OR(C916="",D916=""),"",D916*IF(E916="",IFERROR(INDEX(Ürünler!$D$5:$D$204,MATCH(C916,Ürünler!$A$5:$A$204,0)),0),E916))</f>
        <v/>
      </c>
      <c r="H916" s="37" t="str">
        <f aca="false">IF(G916="","",D916*IFERROR(INDEX(Ürünler!$C$5:$C$204,MATCH(C916,Ürünler!$A$5:$A$204,0)),0))</f>
        <v/>
      </c>
      <c r="I916" s="37" t="str">
        <f aca="false">IF(G916="","",G916-H916)</f>
        <v/>
      </c>
      <c r="J916" s="33"/>
    </row>
    <row r="917" customFormat="false" ht="15" hidden="false" customHeight="false" outlineLevel="0" collapsed="false">
      <c r="A917" s="32"/>
      <c r="B917" s="33"/>
      <c r="C917" s="33"/>
      <c r="D917" s="34"/>
      <c r="E917" s="35"/>
      <c r="F917" s="36"/>
      <c r="G917" s="37" t="str">
        <f aca="false">IF(OR(C917="",D917=""),"",D917*IF(E917="",IFERROR(INDEX(Ürünler!$D$5:$D$204,MATCH(C917,Ürünler!$A$5:$A$204,0)),0),E917))</f>
        <v/>
      </c>
      <c r="H917" s="37" t="str">
        <f aca="false">IF(G917="","",D917*IFERROR(INDEX(Ürünler!$C$5:$C$204,MATCH(C917,Ürünler!$A$5:$A$204,0)),0))</f>
        <v/>
      </c>
      <c r="I917" s="37" t="str">
        <f aca="false">IF(G917="","",G917-H917)</f>
        <v/>
      </c>
      <c r="J917" s="33"/>
    </row>
    <row r="918" customFormat="false" ht="15" hidden="false" customHeight="false" outlineLevel="0" collapsed="false">
      <c r="A918" s="32"/>
      <c r="B918" s="33"/>
      <c r="C918" s="33"/>
      <c r="D918" s="34"/>
      <c r="E918" s="35"/>
      <c r="F918" s="36"/>
      <c r="G918" s="37" t="str">
        <f aca="false">IF(OR(C918="",D918=""),"",D918*IF(E918="",IFERROR(INDEX(Ürünler!$D$5:$D$204,MATCH(C918,Ürünler!$A$5:$A$204,0)),0),E918))</f>
        <v/>
      </c>
      <c r="H918" s="37" t="str">
        <f aca="false">IF(G918="","",D918*IFERROR(INDEX(Ürünler!$C$5:$C$204,MATCH(C918,Ürünler!$A$5:$A$204,0)),0))</f>
        <v/>
      </c>
      <c r="I918" s="37" t="str">
        <f aca="false">IF(G918="","",G918-H918)</f>
        <v/>
      </c>
      <c r="J918" s="33"/>
    </row>
    <row r="919" customFormat="false" ht="15" hidden="false" customHeight="false" outlineLevel="0" collapsed="false">
      <c r="A919" s="32"/>
      <c r="B919" s="33"/>
      <c r="C919" s="33"/>
      <c r="D919" s="34"/>
      <c r="E919" s="35"/>
      <c r="F919" s="36"/>
      <c r="G919" s="37" t="str">
        <f aca="false">IF(OR(C919="",D919=""),"",D919*IF(E919="",IFERROR(INDEX(Ürünler!$D$5:$D$204,MATCH(C919,Ürünler!$A$5:$A$204,0)),0),E919))</f>
        <v/>
      </c>
      <c r="H919" s="37" t="str">
        <f aca="false">IF(G919="","",D919*IFERROR(INDEX(Ürünler!$C$5:$C$204,MATCH(C919,Ürünler!$A$5:$A$204,0)),0))</f>
        <v/>
      </c>
      <c r="I919" s="37" t="str">
        <f aca="false">IF(G919="","",G919-H919)</f>
        <v/>
      </c>
      <c r="J919" s="33"/>
    </row>
    <row r="920" customFormat="false" ht="15" hidden="false" customHeight="false" outlineLevel="0" collapsed="false">
      <c r="A920" s="32"/>
      <c r="B920" s="33"/>
      <c r="C920" s="33"/>
      <c r="D920" s="34"/>
      <c r="E920" s="35"/>
      <c r="F920" s="36"/>
      <c r="G920" s="37" t="str">
        <f aca="false">IF(OR(C920="",D920=""),"",D920*IF(E920="",IFERROR(INDEX(Ürünler!$D$5:$D$204,MATCH(C920,Ürünler!$A$5:$A$204,0)),0),E920))</f>
        <v/>
      </c>
      <c r="H920" s="37" t="str">
        <f aca="false">IF(G920="","",D920*IFERROR(INDEX(Ürünler!$C$5:$C$204,MATCH(C920,Ürünler!$A$5:$A$204,0)),0))</f>
        <v/>
      </c>
      <c r="I920" s="37" t="str">
        <f aca="false">IF(G920="","",G920-H920)</f>
        <v/>
      </c>
      <c r="J920" s="33"/>
    </row>
    <row r="921" customFormat="false" ht="15" hidden="false" customHeight="false" outlineLevel="0" collapsed="false">
      <c r="A921" s="32"/>
      <c r="B921" s="33"/>
      <c r="C921" s="33"/>
      <c r="D921" s="34"/>
      <c r="E921" s="35"/>
      <c r="F921" s="36"/>
      <c r="G921" s="37" t="str">
        <f aca="false">IF(OR(C921="",D921=""),"",D921*IF(E921="",IFERROR(INDEX(Ürünler!$D$5:$D$204,MATCH(C921,Ürünler!$A$5:$A$204,0)),0),E921))</f>
        <v/>
      </c>
      <c r="H921" s="37" t="str">
        <f aca="false">IF(G921="","",D921*IFERROR(INDEX(Ürünler!$C$5:$C$204,MATCH(C921,Ürünler!$A$5:$A$204,0)),0))</f>
        <v/>
      </c>
      <c r="I921" s="37" t="str">
        <f aca="false">IF(G921="","",G921-H921)</f>
        <v/>
      </c>
      <c r="J921" s="33"/>
    </row>
    <row r="922" customFormat="false" ht="15" hidden="false" customHeight="false" outlineLevel="0" collapsed="false">
      <c r="A922" s="32"/>
      <c r="B922" s="33"/>
      <c r="C922" s="33"/>
      <c r="D922" s="34"/>
      <c r="E922" s="35"/>
      <c r="F922" s="36"/>
      <c r="G922" s="37" t="str">
        <f aca="false">IF(OR(C922="",D922=""),"",D922*IF(E922="",IFERROR(INDEX(Ürünler!$D$5:$D$204,MATCH(C922,Ürünler!$A$5:$A$204,0)),0),E922))</f>
        <v/>
      </c>
      <c r="H922" s="37" t="str">
        <f aca="false">IF(G922="","",D922*IFERROR(INDEX(Ürünler!$C$5:$C$204,MATCH(C922,Ürünler!$A$5:$A$204,0)),0))</f>
        <v/>
      </c>
      <c r="I922" s="37" t="str">
        <f aca="false">IF(G922="","",G922-H922)</f>
        <v/>
      </c>
      <c r="J922" s="33"/>
    </row>
    <row r="923" customFormat="false" ht="15" hidden="false" customHeight="false" outlineLevel="0" collapsed="false">
      <c r="A923" s="32"/>
      <c r="B923" s="33"/>
      <c r="C923" s="33"/>
      <c r="D923" s="34"/>
      <c r="E923" s="35"/>
      <c r="F923" s="36"/>
      <c r="G923" s="37" t="str">
        <f aca="false">IF(OR(C923="",D923=""),"",D923*IF(E923="",IFERROR(INDEX(Ürünler!$D$5:$D$204,MATCH(C923,Ürünler!$A$5:$A$204,0)),0),E923))</f>
        <v/>
      </c>
      <c r="H923" s="37" t="str">
        <f aca="false">IF(G923="","",D923*IFERROR(INDEX(Ürünler!$C$5:$C$204,MATCH(C923,Ürünler!$A$5:$A$204,0)),0))</f>
        <v/>
      </c>
      <c r="I923" s="37" t="str">
        <f aca="false">IF(G923="","",G923-H923)</f>
        <v/>
      </c>
      <c r="J923" s="33"/>
    </row>
    <row r="924" customFormat="false" ht="15" hidden="false" customHeight="false" outlineLevel="0" collapsed="false">
      <c r="A924" s="32"/>
      <c r="B924" s="33"/>
      <c r="C924" s="33"/>
      <c r="D924" s="34"/>
      <c r="E924" s="35"/>
      <c r="F924" s="36"/>
      <c r="G924" s="37" t="str">
        <f aca="false">IF(OR(C924="",D924=""),"",D924*IF(E924="",IFERROR(INDEX(Ürünler!$D$5:$D$204,MATCH(C924,Ürünler!$A$5:$A$204,0)),0),E924))</f>
        <v/>
      </c>
      <c r="H924" s="37" t="str">
        <f aca="false">IF(G924="","",D924*IFERROR(INDEX(Ürünler!$C$5:$C$204,MATCH(C924,Ürünler!$A$5:$A$204,0)),0))</f>
        <v/>
      </c>
      <c r="I924" s="37" t="str">
        <f aca="false">IF(G924="","",G924-H924)</f>
        <v/>
      </c>
      <c r="J924" s="33"/>
    </row>
    <row r="925" customFormat="false" ht="15" hidden="false" customHeight="false" outlineLevel="0" collapsed="false">
      <c r="A925" s="32"/>
      <c r="B925" s="33"/>
      <c r="C925" s="33"/>
      <c r="D925" s="34"/>
      <c r="E925" s="35"/>
      <c r="F925" s="36"/>
      <c r="G925" s="37" t="str">
        <f aca="false">IF(OR(C925="",D925=""),"",D925*IF(E925="",IFERROR(INDEX(Ürünler!$D$5:$D$204,MATCH(C925,Ürünler!$A$5:$A$204,0)),0),E925))</f>
        <v/>
      </c>
      <c r="H925" s="37" t="str">
        <f aca="false">IF(G925="","",D925*IFERROR(INDEX(Ürünler!$C$5:$C$204,MATCH(C925,Ürünler!$A$5:$A$204,0)),0))</f>
        <v/>
      </c>
      <c r="I925" s="37" t="str">
        <f aca="false">IF(G925="","",G925-H925)</f>
        <v/>
      </c>
      <c r="J925" s="33"/>
    </row>
    <row r="926" customFormat="false" ht="15" hidden="false" customHeight="false" outlineLevel="0" collapsed="false">
      <c r="A926" s="32"/>
      <c r="B926" s="33"/>
      <c r="C926" s="33"/>
      <c r="D926" s="34"/>
      <c r="E926" s="35"/>
      <c r="F926" s="36"/>
      <c r="G926" s="37" t="str">
        <f aca="false">IF(OR(C926="",D926=""),"",D926*IF(E926="",IFERROR(INDEX(Ürünler!$D$5:$D$204,MATCH(C926,Ürünler!$A$5:$A$204,0)),0),E926))</f>
        <v/>
      </c>
      <c r="H926" s="37" t="str">
        <f aca="false">IF(G926="","",D926*IFERROR(INDEX(Ürünler!$C$5:$C$204,MATCH(C926,Ürünler!$A$5:$A$204,0)),0))</f>
        <v/>
      </c>
      <c r="I926" s="37" t="str">
        <f aca="false">IF(G926="","",G926-H926)</f>
        <v/>
      </c>
      <c r="J926" s="33"/>
    </row>
    <row r="927" customFormat="false" ht="15" hidden="false" customHeight="false" outlineLevel="0" collapsed="false">
      <c r="A927" s="32"/>
      <c r="B927" s="33"/>
      <c r="C927" s="33"/>
      <c r="D927" s="34"/>
      <c r="E927" s="35"/>
      <c r="F927" s="36"/>
      <c r="G927" s="37" t="str">
        <f aca="false">IF(OR(C927="",D927=""),"",D927*IF(E927="",IFERROR(INDEX(Ürünler!$D$5:$D$204,MATCH(C927,Ürünler!$A$5:$A$204,0)),0),E927))</f>
        <v/>
      </c>
      <c r="H927" s="37" t="str">
        <f aca="false">IF(G927="","",D927*IFERROR(INDEX(Ürünler!$C$5:$C$204,MATCH(C927,Ürünler!$A$5:$A$204,0)),0))</f>
        <v/>
      </c>
      <c r="I927" s="37" t="str">
        <f aca="false">IF(G927="","",G927-H927)</f>
        <v/>
      </c>
      <c r="J927" s="33"/>
    </row>
    <row r="928" customFormat="false" ht="15" hidden="false" customHeight="false" outlineLevel="0" collapsed="false">
      <c r="A928" s="32"/>
      <c r="B928" s="33"/>
      <c r="C928" s="33"/>
      <c r="D928" s="34"/>
      <c r="E928" s="35"/>
      <c r="F928" s="36"/>
      <c r="G928" s="37" t="str">
        <f aca="false">IF(OR(C928="",D928=""),"",D928*IF(E928="",IFERROR(INDEX(Ürünler!$D$5:$D$204,MATCH(C928,Ürünler!$A$5:$A$204,0)),0),E928))</f>
        <v/>
      </c>
      <c r="H928" s="37" t="str">
        <f aca="false">IF(G928="","",D928*IFERROR(INDEX(Ürünler!$C$5:$C$204,MATCH(C928,Ürünler!$A$5:$A$204,0)),0))</f>
        <v/>
      </c>
      <c r="I928" s="37" t="str">
        <f aca="false">IF(G928="","",G928-H928)</f>
        <v/>
      </c>
      <c r="J928" s="33"/>
    </row>
    <row r="929" customFormat="false" ht="15" hidden="false" customHeight="false" outlineLevel="0" collapsed="false">
      <c r="A929" s="32"/>
      <c r="B929" s="33"/>
      <c r="C929" s="33"/>
      <c r="D929" s="34"/>
      <c r="E929" s="35"/>
      <c r="F929" s="36"/>
      <c r="G929" s="37" t="str">
        <f aca="false">IF(OR(C929="",D929=""),"",D929*IF(E929="",IFERROR(INDEX(Ürünler!$D$5:$D$204,MATCH(C929,Ürünler!$A$5:$A$204,0)),0),E929))</f>
        <v/>
      </c>
      <c r="H929" s="37" t="str">
        <f aca="false">IF(G929="","",D929*IFERROR(INDEX(Ürünler!$C$5:$C$204,MATCH(C929,Ürünler!$A$5:$A$204,0)),0))</f>
        <v/>
      </c>
      <c r="I929" s="37" t="str">
        <f aca="false">IF(G929="","",G929-H929)</f>
        <v/>
      </c>
      <c r="J929" s="33"/>
    </row>
    <row r="930" customFormat="false" ht="15" hidden="false" customHeight="false" outlineLevel="0" collapsed="false">
      <c r="A930" s="32"/>
      <c r="B930" s="33"/>
      <c r="C930" s="33"/>
      <c r="D930" s="34"/>
      <c r="E930" s="35"/>
      <c r="F930" s="36"/>
      <c r="G930" s="37" t="str">
        <f aca="false">IF(OR(C930="",D930=""),"",D930*IF(E930="",IFERROR(INDEX(Ürünler!$D$5:$D$204,MATCH(C930,Ürünler!$A$5:$A$204,0)),0),E930))</f>
        <v/>
      </c>
      <c r="H930" s="37" t="str">
        <f aca="false">IF(G930="","",D930*IFERROR(INDEX(Ürünler!$C$5:$C$204,MATCH(C930,Ürünler!$A$5:$A$204,0)),0))</f>
        <v/>
      </c>
      <c r="I930" s="37" t="str">
        <f aca="false">IF(G930="","",G930-H930)</f>
        <v/>
      </c>
      <c r="J930" s="33"/>
    </row>
    <row r="931" customFormat="false" ht="15" hidden="false" customHeight="false" outlineLevel="0" collapsed="false">
      <c r="A931" s="32"/>
      <c r="B931" s="33"/>
      <c r="C931" s="33"/>
      <c r="D931" s="34"/>
      <c r="E931" s="35"/>
      <c r="F931" s="36"/>
      <c r="G931" s="37" t="str">
        <f aca="false">IF(OR(C931="",D931=""),"",D931*IF(E931="",IFERROR(INDEX(Ürünler!$D$5:$D$204,MATCH(C931,Ürünler!$A$5:$A$204,0)),0),E931))</f>
        <v/>
      </c>
      <c r="H931" s="37" t="str">
        <f aca="false">IF(G931="","",D931*IFERROR(INDEX(Ürünler!$C$5:$C$204,MATCH(C931,Ürünler!$A$5:$A$204,0)),0))</f>
        <v/>
      </c>
      <c r="I931" s="37" t="str">
        <f aca="false">IF(G931="","",G931-H931)</f>
        <v/>
      </c>
      <c r="J931" s="33"/>
    </row>
    <row r="932" customFormat="false" ht="15" hidden="false" customHeight="false" outlineLevel="0" collapsed="false">
      <c r="A932" s="32"/>
      <c r="B932" s="33"/>
      <c r="C932" s="33"/>
      <c r="D932" s="34"/>
      <c r="E932" s="35"/>
      <c r="F932" s="36"/>
      <c r="G932" s="37" t="str">
        <f aca="false">IF(OR(C932="",D932=""),"",D932*IF(E932="",IFERROR(INDEX(Ürünler!$D$5:$D$204,MATCH(C932,Ürünler!$A$5:$A$204,0)),0),E932))</f>
        <v/>
      </c>
      <c r="H932" s="37" t="str">
        <f aca="false">IF(G932="","",D932*IFERROR(INDEX(Ürünler!$C$5:$C$204,MATCH(C932,Ürünler!$A$5:$A$204,0)),0))</f>
        <v/>
      </c>
      <c r="I932" s="37" t="str">
        <f aca="false">IF(G932="","",G932-H932)</f>
        <v/>
      </c>
      <c r="J932" s="33"/>
    </row>
    <row r="933" customFormat="false" ht="15" hidden="false" customHeight="false" outlineLevel="0" collapsed="false">
      <c r="A933" s="32"/>
      <c r="B933" s="33"/>
      <c r="C933" s="33"/>
      <c r="D933" s="34"/>
      <c r="E933" s="35"/>
      <c r="F933" s="36"/>
      <c r="G933" s="37" t="str">
        <f aca="false">IF(OR(C933="",D933=""),"",D933*IF(E933="",IFERROR(INDEX(Ürünler!$D$5:$D$204,MATCH(C933,Ürünler!$A$5:$A$204,0)),0),E933))</f>
        <v/>
      </c>
      <c r="H933" s="37" t="str">
        <f aca="false">IF(G933="","",D933*IFERROR(INDEX(Ürünler!$C$5:$C$204,MATCH(C933,Ürünler!$A$5:$A$204,0)),0))</f>
        <v/>
      </c>
      <c r="I933" s="37" t="str">
        <f aca="false">IF(G933="","",G933-H933)</f>
        <v/>
      </c>
      <c r="J933" s="33"/>
    </row>
    <row r="934" customFormat="false" ht="15" hidden="false" customHeight="false" outlineLevel="0" collapsed="false">
      <c r="A934" s="32"/>
      <c r="B934" s="33"/>
      <c r="C934" s="33"/>
      <c r="D934" s="34"/>
      <c r="E934" s="35"/>
      <c r="F934" s="36"/>
      <c r="G934" s="37" t="str">
        <f aca="false">IF(OR(C934="",D934=""),"",D934*IF(E934="",IFERROR(INDEX(Ürünler!$D$5:$D$204,MATCH(C934,Ürünler!$A$5:$A$204,0)),0),E934))</f>
        <v/>
      </c>
      <c r="H934" s="37" t="str">
        <f aca="false">IF(G934="","",D934*IFERROR(INDEX(Ürünler!$C$5:$C$204,MATCH(C934,Ürünler!$A$5:$A$204,0)),0))</f>
        <v/>
      </c>
      <c r="I934" s="37" t="str">
        <f aca="false">IF(G934="","",G934-H934)</f>
        <v/>
      </c>
      <c r="J934" s="33"/>
    </row>
    <row r="935" customFormat="false" ht="15" hidden="false" customHeight="false" outlineLevel="0" collapsed="false">
      <c r="A935" s="32"/>
      <c r="B935" s="33"/>
      <c r="C935" s="33"/>
      <c r="D935" s="34"/>
      <c r="E935" s="35"/>
      <c r="F935" s="36"/>
      <c r="G935" s="37" t="str">
        <f aca="false">IF(OR(C935="",D935=""),"",D935*IF(E935="",IFERROR(INDEX(Ürünler!$D$5:$D$204,MATCH(C935,Ürünler!$A$5:$A$204,0)),0),E935))</f>
        <v/>
      </c>
      <c r="H935" s="37" t="str">
        <f aca="false">IF(G935="","",D935*IFERROR(INDEX(Ürünler!$C$5:$C$204,MATCH(C935,Ürünler!$A$5:$A$204,0)),0))</f>
        <v/>
      </c>
      <c r="I935" s="37" t="str">
        <f aca="false">IF(G935="","",G935-H935)</f>
        <v/>
      </c>
      <c r="J935" s="33"/>
    </row>
    <row r="936" customFormat="false" ht="15" hidden="false" customHeight="false" outlineLevel="0" collapsed="false">
      <c r="A936" s="32"/>
      <c r="B936" s="33"/>
      <c r="C936" s="33"/>
      <c r="D936" s="34"/>
      <c r="E936" s="35"/>
      <c r="F936" s="36"/>
      <c r="G936" s="37" t="str">
        <f aca="false">IF(OR(C936="",D936=""),"",D936*IF(E936="",IFERROR(INDEX(Ürünler!$D$5:$D$204,MATCH(C936,Ürünler!$A$5:$A$204,0)),0),E936))</f>
        <v/>
      </c>
      <c r="H936" s="37" t="str">
        <f aca="false">IF(G936="","",D936*IFERROR(INDEX(Ürünler!$C$5:$C$204,MATCH(C936,Ürünler!$A$5:$A$204,0)),0))</f>
        <v/>
      </c>
      <c r="I936" s="37" t="str">
        <f aca="false">IF(G936="","",G936-H936)</f>
        <v/>
      </c>
      <c r="J936" s="33"/>
    </row>
    <row r="937" customFormat="false" ht="15" hidden="false" customHeight="false" outlineLevel="0" collapsed="false">
      <c r="A937" s="32"/>
      <c r="B937" s="33"/>
      <c r="C937" s="33"/>
      <c r="D937" s="34"/>
      <c r="E937" s="35"/>
      <c r="F937" s="36"/>
      <c r="G937" s="37" t="str">
        <f aca="false">IF(OR(C937="",D937=""),"",D937*IF(E937="",IFERROR(INDEX(Ürünler!$D$5:$D$204,MATCH(C937,Ürünler!$A$5:$A$204,0)),0),E937))</f>
        <v/>
      </c>
      <c r="H937" s="37" t="str">
        <f aca="false">IF(G937="","",D937*IFERROR(INDEX(Ürünler!$C$5:$C$204,MATCH(C937,Ürünler!$A$5:$A$204,0)),0))</f>
        <v/>
      </c>
      <c r="I937" s="37" t="str">
        <f aca="false">IF(G937="","",G937-H937)</f>
        <v/>
      </c>
      <c r="J937" s="33"/>
    </row>
    <row r="938" customFormat="false" ht="15" hidden="false" customHeight="false" outlineLevel="0" collapsed="false">
      <c r="A938" s="32"/>
      <c r="B938" s="33"/>
      <c r="C938" s="33"/>
      <c r="D938" s="34"/>
      <c r="E938" s="35"/>
      <c r="F938" s="36"/>
      <c r="G938" s="37" t="str">
        <f aca="false">IF(OR(C938="",D938=""),"",D938*IF(E938="",IFERROR(INDEX(Ürünler!$D$5:$D$204,MATCH(C938,Ürünler!$A$5:$A$204,0)),0),E938))</f>
        <v/>
      </c>
      <c r="H938" s="37" t="str">
        <f aca="false">IF(G938="","",D938*IFERROR(INDEX(Ürünler!$C$5:$C$204,MATCH(C938,Ürünler!$A$5:$A$204,0)),0))</f>
        <v/>
      </c>
      <c r="I938" s="37" t="str">
        <f aca="false">IF(G938="","",G938-H938)</f>
        <v/>
      </c>
      <c r="J938" s="33"/>
    </row>
    <row r="939" customFormat="false" ht="15" hidden="false" customHeight="false" outlineLevel="0" collapsed="false">
      <c r="A939" s="32"/>
      <c r="B939" s="33"/>
      <c r="C939" s="33"/>
      <c r="D939" s="34"/>
      <c r="E939" s="35"/>
      <c r="F939" s="36"/>
      <c r="G939" s="37" t="str">
        <f aca="false">IF(OR(C939="",D939=""),"",D939*IF(E939="",IFERROR(INDEX(Ürünler!$D$5:$D$204,MATCH(C939,Ürünler!$A$5:$A$204,0)),0),E939))</f>
        <v/>
      </c>
      <c r="H939" s="37" t="str">
        <f aca="false">IF(G939="","",D939*IFERROR(INDEX(Ürünler!$C$5:$C$204,MATCH(C939,Ürünler!$A$5:$A$204,0)),0))</f>
        <v/>
      </c>
      <c r="I939" s="37" t="str">
        <f aca="false">IF(G939="","",G939-H939)</f>
        <v/>
      </c>
      <c r="J939" s="33"/>
    </row>
    <row r="940" customFormat="false" ht="15" hidden="false" customHeight="false" outlineLevel="0" collapsed="false">
      <c r="A940" s="32"/>
      <c r="B940" s="33"/>
      <c r="C940" s="33"/>
      <c r="D940" s="34"/>
      <c r="E940" s="35"/>
      <c r="F940" s="36"/>
      <c r="G940" s="37" t="str">
        <f aca="false">IF(OR(C940="",D940=""),"",D940*IF(E940="",IFERROR(INDEX(Ürünler!$D$5:$D$204,MATCH(C940,Ürünler!$A$5:$A$204,0)),0),E940))</f>
        <v/>
      </c>
      <c r="H940" s="37" t="str">
        <f aca="false">IF(G940="","",D940*IFERROR(INDEX(Ürünler!$C$5:$C$204,MATCH(C940,Ürünler!$A$5:$A$204,0)),0))</f>
        <v/>
      </c>
      <c r="I940" s="37" t="str">
        <f aca="false">IF(G940="","",G940-H940)</f>
        <v/>
      </c>
      <c r="J940" s="33"/>
    </row>
    <row r="941" customFormat="false" ht="15" hidden="false" customHeight="false" outlineLevel="0" collapsed="false">
      <c r="A941" s="32"/>
      <c r="B941" s="33"/>
      <c r="C941" s="33"/>
      <c r="D941" s="34"/>
      <c r="E941" s="35"/>
      <c r="F941" s="36"/>
      <c r="G941" s="37" t="str">
        <f aca="false">IF(OR(C941="",D941=""),"",D941*IF(E941="",IFERROR(INDEX(Ürünler!$D$5:$D$204,MATCH(C941,Ürünler!$A$5:$A$204,0)),0),E941))</f>
        <v/>
      </c>
      <c r="H941" s="37" t="str">
        <f aca="false">IF(G941="","",D941*IFERROR(INDEX(Ürünler!$C$5:$C$204,MATCH(C941,Ürünler!$A$5:$A$204,0)),0))</f>
        <v/>
      </c>
      <c r="I941" s="37" t="str">
        <f aca="false">IF(G941="","",G941-H941)</f>
        <v/>
      </c>
      <c r="J941" s="33"/>
    </row>
    <row r="942" customFormat="false" ht="15" hidden="false" customHeight="false" outlineLevel="0" collapsed="false">
      <c r="A942" s="32"/>
      <c r="B942" s="33"/>
      <c r="C942" s="33"/>
      <c r="D942" s="34"/>
      <c r="E942" s="35"/>
      <c r="F942" s="36"/>
      <c r="G942" s="37" t="str">
        <f aca="false">IF(OR(C942="",D942=""),"",D942*IF(E942="",IFERROR(INDEX(Ürünler!$D$5:$D$204,MATCH(C942,Ürünler!$A$5:$A$204,0)),0),E942))</f>
        <v/>
      </c>
      <c r="H942" s="37" t="str">
        <f aca="false">IF(G942="","",D942*IFERROR(INDEX(Ürünler!$C$5:$C$204,MATCH(C942,Ürünler!$A$5:$A$204,0)),0))</f>
        <v/>
      </c>
      <c r="I942" s="37" t="str">
        <f aca="false">IF(G942="","",G942-H942)</f>
        <v/>
      </c>
      <c r="J942" s="33"/>
    </row>
    <row r="943" customFormat="false" ht="15" hidden="false" customHeight="false" outlineLevel="0" collapsed="false">
      <c r="A943" s="32"/>
      <c r="B943" s="33"/>
      <c r="C943" s="33"/>
      <c r="D943" s="34"/>
      <c r="E943" s="35"/>
      <c r="F943" s="36"/>
      <c r="G943" s="37" t="str">
        <f aca="false">IF(OR(C943="",D943=""),"",D943*IF(E943="",IFERROR(INDEX(Ürünler!$D$5:$D$204,MATCH(C943,Ürünler!$A$5:$A$204,0)),0),E943))</f>
        <v/>
      </c>
      <c r="H943" s="37" t="str">
        <f aca="false">IF(G943="","",D943*IFERROR(INDEX(Ürünler!$C$5:$C$204,MATCH(C943,Ürünler!$A$5:$A$204,0)),0))</f>
        <v/>
      </c>
      <c r="I943" s="37" t="str">
        <f aca="false">IF(G943="","",G943-H943)</f>
        <v/>
      </c>
      <c r="J943" s="33"/>
    </row>
    <row r="944" customFormat="false" ht="15" hidden="false" customHeight="false" outlineLevel="0" collapsed="false">
      <c r="A944" s="32"/>
      <c r="B944" s="33"/>
      <c r="C944" s="33"/>
      <c r="D944" s="34"/>
      <c r="E944" s="35"/>
      <c r="F944" s="36"/>
      <c r="G944" s="37" t="str">
        <f aca="false">IF(OR(C944="",D944=""),"",D944*IF(E944="",IFERROR(INDEX(Ürünler!$D$5:$D$204,MATCH(C944,Ürünler!$A$5:$A$204,0)),0),E944))</f>
        <v/>
      </c>
      <c r="H944" s="37" t="str">
        <f aca="false">IF(G944="","",D944*IFERROR(INDEX(Ürünler!$C$5:$C$204,MATCH(C944,Ürünler!$A$5:$A$204,0)),0))</f>
        <v/>
      </c>
      <c r="I944" s="37" t="str">
        <f aca="false">IF(G944="","",G944-H944)</f>
        <v/>
      </c>
      <c r="J944" s="33"/>
    </row>
    <row r="945" customFormat="false" ht="15" hidden="false" customHeight="false" outlineLevel="0" collapsed="false">
      <c r="A945" s="32"/>
      <c r="B945" s="33"/>
      <c r="C945" s="33"/>
      <c r="D945" s="34"/>
      <c r="E945" s="35"/>
      <c r="F945" s="36"/>
      <c r="G945" s="37" t="str">
        <f aca="false">IF(OR(C945="",D945=""),"",D945*IF(E945="",IFERROR(INDEX(Ürünler!$D$5:$D$204,MATCH(C945,Ürünler!$A$5:$A$204,0)),0),E945))</f>
        <v/>
      </c>
      <c r="H945" s="37" t="str">
        <f aca="false">IF(G945="","",D945*IFERROR(INDEX(Ürünler!$C$5:$C$204,MATCH(C945,Ürünler!$A$5:$A$204,0)),0))</f>
        <v/>
      </c>
      <c r="I945" s="37" t="str">
        <f aca="false">IF(G945="","",G945-H945)</f>
        <v/>
      </c>
      <c r="J945" s="33"/>
    </row>
    <row r="946" customFormat="false" ht="15" hidden="false" customHeight="false" outlineLevel="0" collapsed="false">
      <c r="A946" s="32"/>
      <c r="B946" s="33"/>
      <c r="C946" s="33"/>
      <c r="D946" s="34"/>
      <c r="E946" s="35"/>
      <c r="F946" s="36"/>
      <c r="G946" s="37" t="str">
        <f aca="false">IF(OR(C946="",D946=""),"",D946*IF(E946="",IFERROR(INDEX(Ürünler!$D$5:$D$204,MATCH(C946,Ürünler!$A$5:$A$204,0)),0),E946))</f>
        <v/>
      </c>
      <c r="H946" s="37" t="str">
        <f aca="false">IF(G946="","",D946*IFERROR(INDEX(Ürünler!$C$5:$C$204,MATCH(C946,Ürünler!$A$5:$A$204,0)),0))</f>
        <v/>
      </c>
      <c r="I946" s="37" t="str">
        <f aca="false">IF(G946="","",G946-H946)</f>
        <v/>
      </c>
      <c r="J946" s="33"/>
    </row>
    <row r="947" customFormat="false" ht="15" hidden="false" customHeight="false" outlineLevel="0" collapsed="false">
      <c r="A947" s="32"/>
      <c r="B947" s="33"/>
      <c r="C947" s="33"/>
      <c r="D947" s="34"/>
      <c r="E947" s="35"/>
      <c r="F947" s="36"/>
      <c r="G947" s="37" t="str">
        <f aca="false">IF(OR(C947="",D947=""),"",D947*IF(E947="",IFERROR(INDEX(Ürünler!$D$5:$D$204,MATCH(C947,Ürünler!$A$5:$A$204,0)),0),E947))</f>
        <v/>
      </c>
      <c r="H947" s="37" t="str">
        <f aca="false">IF(G947="","",D947*IFERROR(INDEX(Ürünler!$C$5:$C$204,MATCH(C947,Ürünler!$A$5:$A$204,0)),0))</f>
        <v/>
      </c>
      <c r="I947" s="37" t="str">
        <f aca="false">IF(G947="","",G947-H947)</f>
        <v/>
      </c>
      <c r="J947" s="33"/>
    </row>
    <row r="948" customFormat="false" ht="15" hidden="false" customHeight="false" outlineLevel="0" collapsed="false">
      <c r="A948" s="32"/>
      <c r="B948" s="33"/>
      <c r="C948" s="33"/>
      <c r="D948" s="34"/>
      <c r="E948" s="35"/>
      <c r="F948" s="36"/>
      <c r="G948" s="37" t="str">
        <f aca="false">IF(OR(C948="",D948=""),"",D948*IF(E948="",IFERROR(INDEX(Ürünler!$D$5:$D$204,MATCH(C948,Ürünler!$A$5:$A$204,0)),0),E948))</f>
        <v/>
      </c>
      <c r="H948" s="37" t="str">
        <f aca="false">IF(G948="","",D948*IFERROR(INDEX(Ürünler!$C$5:$C$204,MATCH(C948,Ürünler!$A$5:$A$204,0)),0))</f>
        <v/>
      </c>
      <c r="I948" s="37" t="str">
        <f aca="false">IF(G948="","",G948-H948)</f>
        <v/>
      </c>
      <c r="J948" s="33"/>
    </row>
    <row r="949" customFormat="false" ht="15" hidden="false" customHeight="false" outlineLevel="0" collapsed="false">
      <c r="A949" s="32"/>
      <c r="B949" s="33"/>
      <c r="C949" s="33"/>
      <c r="D949" s="34"/>
      <c r="E949" s="35"/>
      <c r="F949" s="36"/>
      <c r="G949" s="37" t="str">
        <f aca="false">IF(OR(C949="",D949=""),"",D949*IF(E949="",IFERROR(INDEX(Ürünler!$D$5:$D$204,MATCH(C949,Ürünler!$A$5:$A$204,0)),0),E949))</f>
        <v/>
      </c>
      <c r="H949" s="37" t="str">
        <f aca="false">IF(G949="","",D949*IFERROR(INDEX(Ürünler!$C$5:$C$204,MATCH(C949,Ürünler!$A$5:$A$204,0)),0))</f>
        <v/>
      </c>
      <c r="I949" s="37" t="str">
        <f aca="false">IF(G949="","",G949-H949)</f>
        <v/>
      </c>
      <c r="J949" s="33"/>
    </row>
    <row r="950" customFormat="false" ht="15" hidden="false" customHeight="false" outlineLevel="0" collapsed="false">
      <c r="A950" s="32"/>
      <c r="B950" s="33"/>
      <c r="C950" s="33"/>
      <c r="D950" s="34"/>
      <c r="E950" s="35"/>
      <c r="F950" s="36"/>
      <c r="G950" s="37" t="str">
        <f aca="false">IF(OR(C950="",D950=""),"",D950*IF(E950="",IFERROR(INDEX(Ürünler!$D$5:$D$204,MATCH(C950,Ürünler!$A$5:$A$204,0)),0),E950))</f>
        <v/>
      </c>
      <c r="H950" s="37" t="str">
        <f aca="false">IF(G950="","",D950*IFERROR(INDEX(Ürünler!$C$5:$C$204,MATCH(C950,Ürünler!$A$5:$A$204,0)),0))</f>
        <v/>
      </c>
      <c r="I950" s="37" t="str">
        <f aca="false">IF(G950="","",G950-H950)</f>
        <v/>
      </c>
      <c r="J950" s="33"/>
    </row>
    <row r="951" customFormat="false" ht="15" hidden="false" customHeight="false" outlineLevel="0" collapsed="false">
      <c r="A951" s="32"/>
      <c r="B951" s="33"/>
      <c r="C951" s="33"/>
      <c r="D951" s="34"/>
      <c r="E951" s="35"/>
      <c r="F951" s="36"/>
      <c r="G951" s="37" t="str">
        <f aca="false">IF(OR(C951="",D951=""),"",D951*IF(E951="",IFERROR(INDEX(Ürünler!$D$5:$D$204,MATCH(C951,Ürünler!$A$5:$A$204,0)),0),E951))</f>
        <v/>
      </c>
      <c r="H951" s="37" t="str">
        <f aca="false">IF(G951="","",D951*IFERROR(INDEX(Ürünler!$C$5:$C$204,MATCH(C951,Ürünler!$A$5:$A$204,0)),0))</f>
        <v/>
      </c>
      <c r="I951" s="37" t="str">
        <f aca="false">IF(G951="","",G951-H951)</f>
        <v/>
      </c>
      <c r="J951" s="33"/>
    </row>
    <row r="952" customFormat="false" ht="15" hidden="false" customHeight="false" outlineLevel="0" collapsed="false">
      <c r="A952" s="32"/>
      <c r="B952" s="33"/>
      <c r="C952" s="33"/>
      <c r="D952" s="34"/>
      <c r="E952" s="35"/>
      <c r="F952" s="36"/>
      <c r="G952" s="37" t="str">
        <f aca="false">IF(OR(C952="",D952=""),"",D952*IF(E952="",IFERROR(INDEX(Ürünler!$D$5:$D$204,MATCH(C952,Ürünler!$A$5:$A$204,0)),0),E952))</f>
        <v/>
      </c>
      <c r="H952" s="37" t="str">
        <f aca="false">IF(G952="","",D952*IFERROR(INDEX(Ürünler!$C$5:$C$204,MATCH(C952,Ürünler!$A$5:$A$204,0)),0))</f>
        <v/>
      </c>
      <c r="I952" s="37" t="str">
        <f aca="false">IF(G952="","",G952-H952)</f>
        <v/>
      </c>
      <c r="J952" s="33"/>
    </row>
    <row r="953" customFormat="false" ht="15" hidden="false" customHeight="false" outlineLevel="0" collapsed="false">
      <c r="A953" s="32"/>
      <c r="B953" s="33"/>
      <c r="C953" s="33"/>
      <c r="D953" s="34"/>
      <c r="E953" s="35"/>
      <c r="F953" s="36"/>
      <c r="G953" s="37" t="str">
        <f aca="false">IF(OR(C953="",D953=""),"",D953*IF(E953="",IFERROR(INDEX(Ürünler!$D$5:$D$204,MATCH(C953,Ürünler!$A$5:$A$204,0)),0),E953))</f>
        <v/>
      </c>
      <c r="H953" s="37" t="str">
        <f aca="false">IF(G953="","",D953*IFERROR(INDEX(Ürünler!$C$5:$C$204,MATCH(C953,Ürünler!$A$5:$A$204,0)),0))</f>
        <v/>
      </c>
      <c r="I953" s="37" t="str">
        <f aca="false">IF(G953="","",G953-H953)</f>
        <v/>
      </c>
      <c r="J953" s="33"/>
    </row>
    <row r="954" customFormat="false" ht="15" hidden="false" customHeight="false" outlineLevel="0" collapsed="false">
      <c r="A954" s="32"/>
      <c r="B954" s="33"/>
      <c r="C954" s="33"/>
      <c r="D954" s="34"/>
      <c r="E954" s="35"/>
      <c r="F954" s="36"/>
      <c r="G954" s="37" t="str">
        <f aca="false">IF(OR(C954="",D954=""),"",D954*IF(E954="",IFERROR(INDEX(Ürünler!$D$5:$D$204,MATCH(C954,Ürünler!$A$5:$A$204,0)),0),E954))</f>
        <v/>
      </c>
      <c r="H954" s="37" t="str">
        <f aca="false">IF(G954="","",D954*IFERROR(INDEX(Ürünler!$C$5:$C$204,MATCH(C954,Ürünler!$A$5:$A$204,0)),0))</f>
        <v/>
      </c>
      <c r="I954" s="37" t="str">
        <f aca="false">IF(G954="","",G954-H954)</f>
        <v/>
      </c>
      <c r="J954" s="33"/>
    </row>
    <row r="955" customFormat="false" ht="15" hidden="false" customHeight="false" outlineLevel="0" collapsed="false">
      <c r="A955" s="32"/>
      <c r="B955" s="33"/>
      <c r="C955" s="33"/>
      <c r="D955" s="34"/>
      <c r="E955" s="35"/>
      <c r="F955" s="36"/>
      <c r="G955" s="37" t="str">
        <f aca="false">IF(OR(C955="",D955=""),"",D955*IF(E955="",IFERROR(INDEX(Ürünler!$D$5:$D$204,MATCH(C955,Ürünler!$A$5:$A$204,0)),0),E955))</f>
        <v/>
      </c>
      <c r="H955" s="37" t="str">
        <f aca="false">IF(G955="","",D955*IFERROR(INDEX(Ürünler!$C$5:$C$204,MATCH(C955,Ürünler!$A$5:$A$204,0)),0))</f>
        <v/>
      </c>
      <c r="I955" s="37" t="str">
        <f aca="false">IF(G955="","",G955-H955)</f>
        <v/>
      </c>
      <c r="J955" s="33"/>
    </row>
    <row r="956" customFormat="false" ht="15" hidden="false" customHeight="false" outlineLevel="0" collapsed="false">
      <c r="A956" s="32"/>
      <c r="B956" s="33"/>
      <c r="C956" s="33"/>
      <c r="D956" s="34"/>
      <c r="E956" s="35"/>
      <c r="F956" s="36"/>
      <c r="G956" s="37" t="str">
        <f aca="false">IF(OR(C956="",D956=""),"",D956*IF(E956="",IFERROR(INDEX(Ürünler!$D$5:$D$204,MATCH(C956,Ürünler!$A$5:$A$204,0)),0),E956))</f>
        <v/>
      </c>
      <c r="H956" s="37" t="str">
        <f aca="false">IF(G956="","",D956*IFERROR(INDEX(Ürünler!$C$5:$C$204,MATCH(C956,Ürünler!$A$5:$A$204,0)),0))</f>
        <v/>
      </c>
      <c r="I956" s="37" t="str">
        <f aca="false">IF(G956="","",G956-H956)</f>
        <v/>
      </c>
      <c r="J956" s="33"/>
    </row>
    <row r="957" customFormat="false" ht="15" hidden="false" customHeight="false" outlineLevel="0" collapsed="false">
      <c r="A957" s="32"/>
      <c r="B957" s="33"/>
      <c r="C957" s="33"/>
      <c r="D957" s="34"/>
      <c r="E957" s="35"/>
      <c r="F957" s="36"/>
      <c r="G957" s="37" t="str">
        <f aca="false">IF(OR(C957="",D957=""),"",D957*IF(E957="",IFERROR(INDEX(Ürünler!$D$5:$D$204,MATCH(C957,Ürünler!$A$5:$A$204,0)),0),E957))</f>
        <v/>
      </c>
      <c r="H957" s="37" t="str">
        <f aca="false">IF(G957="","",D957*IFERROR(INDEX(Ürünler!$C$5:$C$204,MATCH(C957,Ürünler!$A$5:$A$204,0)),0))</f>
        <v/>
      </c>
      <c r="I957" s="37" t="str">
        <f aca="false">IF(G957="","",G957-H957)</f>
        <v/>
      </c>
      <c r="J957" s="33"/>
    </row>
    <row r="958" customFormat="false" ht="15" hidden="false" customHeight="false" outlineLevel="0" collapsed="false">
      <c r="A958" s="32"/>
      <c r="B958" s="33"/>
      <c r="C958" s="33"/>
      <c r="D958" s="34"/>
      <c r="E958" s="35"/>
      <c r="F958" s="36"/>
      <c r="G958" s="37" t="str">
        <f aca="false">IF(OR(C958="",D958=""),"",D958*IF(E958="",IFERROR(INDEX(Ürünler!$D$5:$D$204,MATCH(C958,Ürünler!$A$5:$A$204,0)),0),E958))</f>
        <v/>
      </c>
      <c r="H958" s="37" t="str">
        <f aca="false">IF(G958="","",D958*IFERROR(INDEX(Ürünler!$C$5:$C$204,MATCH(C958,Ürünler!$A$5:$A$204,0)),0))</f>
        <v/>
      </c>
      <c r="I958" s="37" t="str">
        <f aca="false">IF(G958="","",G958-H958)</f>
        <v/>
      </c>
      <c r="J958" s="33"/>
    </row>
    <row r="959" customFormat="false" ht="15" hidden="false" customHeight="false" outlineLevel="0" collapsed="false">
      <c r="A959" s="32"/>
      <c r="B959" s="33"/>
      <c r="C959" s="33"/>
      <c r="D959" s="34"/>
      <c r="E959" s="35"/>
      <c r="F959" s="36"/>
      <c r="G959" s="37" t="str">
        <f aca="false">IF(OR(C959="",D959=""),"",D959*IF(E959="",IFERROR(INDEX(Ürünler!$D$5:$D$204,MATCH(C959,Ürünler!$A$5:$A$204,0)),0),E959))</f>
        <v/>
      </c>
      <c r="H959" s="37" t="str">
        <f aca="false">IF(G959="","",D959*IFERROR(INDEX(Ürünler!$C$5:$C$204,MATCH(C959,Ürünler!$A$5:$A$204,0)),0))</f>
        <v/>
      </c>
      <c r="I959" s="37" t="str">
        <f aca="false">IF(G959="","",G959-H959)</f>
        <v/>
      </c>
      <c r="J959" s="33"/>
    </row>
    <row r="960" customFormat="false" ht="15" hidden="false" customHeight="false" outlineLevel="0" collapsed="false">
      <c r="A960" s="32"/>
      <c r="B960" s="33"/>
      <c r="C960" s="33"/>
      <c r="D960" s="34"/>
      <c r="E960" s="35"/>
      <c r="F960" s="36"/>
      <c r="G960" s="37" t="str">
        <f aca="false">IF(OR(C960="",D960=""),"",D960*IF(E960="",IFERROR(INDEX(Ürünler!$D$5:$D$204,MATCH(C960,Ürünler!$A$5:$A$204,0)),0),E960))</f>
        <v/>
      </c>
      <c r="H960" s="37" t="str">
        <f aca="false">IF(G960="","",D960*IFERROR(INDEX(Ürünler!$C$5:$C$204,MATCH(C960,Ürünler!$A$5:$A$204,0)),0))</f>
        <v/>
      </c>
      <c r="I960" s="37" t="str">
        <f aca="false">IF(G960="","",G960-H960)</f>
        <v/>
      </c>
      <c r="J960" s="33"/>
    </row>
    <row r="961" customFormat="false" ht="15" hidden="false" customHeight="false" outlineLevel="0" collapsed="false">
      <c r="A961" s="32"/>
      <c r="B961" s="33"/>
      <c r="C961" s="33"/>
      <c r="D961" s="34"/>
      <c r="E961" s="35"/>
      <c r="F961" s="36"/>
      <c r="G961" s="37" t="str">
        <f aca="false">IF(OR(C961="",D961=""),"",D961*IF(E961="",IFERROR(INDEX(Ürünler!$D$5:$D$204,MATCH(C961,Ürünler!$A$5:$A$204,0)),0),E961))</f>
        <v/>
      </c>
      <c r="H961" s="37" t="str">
        <f aca="false">IF(G961="","",D961*IFERROR(INDEX(Ürünler!$C$5:$C$204,MATCH(C961,Ürünler!$A$5:$A$204,0)),0))</f>
        <v/>
      </c>
      <c r="I961" s="37" t="str">
        <f aca="false">IF(G961="","",G961-H961)</f>
        <v/>
      </c>
      <c r="J961" s="33"/>
    </row>
    <row r="962" customFormat="false" ht="15" hidden="false" customHeight="false" outlineLevel="0" collapsed="false">
      <c r="A962" s="32"/>
      <c r="B962" s="33"/>
      <c r="C962" s="33"/>
      <c r="D962" s="34"/>
      <c r="E962" s="35"/>
      <c r="F962" s="36"/>
      <c r="G962" s="37" t="str">
        <f aca="false">IF(OR(C962="",D962=""),"",D962*IF(E962="",IFERROR(INDEX(Ürünler!$D$5:$D$204,MATCH(C962,Ürünler!$A$5:$A$204,0)),0),E962))</f>
        <v/>
      </c>
      <c r="H962" s="37" t="str">
        <f aca="false">IF(G962="","",D962*IFERROR(INDEX(Ürünler!$C$5:$C$204,MATCH(C962,Ürünler!$A$5:$A$204,0)),0))</f>
        <v/>
      </c>
      <c r="I962" s="37" t="str">
        <f aca="false">IF(G962="","",G962-H962)</f>
        <v/>
      </c>
      <c r="J962" s="33"/>
    </row>
    <row r="963" customFormat="false" ht="15" hidden="false" customHeight="false" outlineLevel="0" collapsed="false">
      <c r="A963" s="32"/>
      <c r="B963" s="33"/>
      <c r="C963" s="33"/>
      <c r="D963" s="34"/>
      <c r="E963" s="35"/>
      <c r="F963" s="36"/>
      <c r="G963" s="37" t="str">
        <f aca="false">IF(OR(C963="",D963=""),"",D963*IF(E963="",IFERROR(INDEX(Ürünler!$D$5:$D$204,MATCH(C963,Ürünler!$A$5:$A$204,0)),0),E963))</f>
        <v/>
      </c>
      <c r="H963" s="37" t="str">
        <f aca="false">IF(G963="","",D963*IFERROR(INDEX(Ürünler!$C$5:$C$204,MATCH(C963,Ürünler!$A$5:$A$204,0)),0))</f>
        <v/>
      </c>
      <c r="I963" s="37" t="str">
        <f aca="false">IF(G963="","",G963-H963)</f>
        <v/>
      </c>
      <c r="J963" s="33"/>
    </row>
    <row r="964" customFormat="false" ht="15" hidden="false" customHeight="false" outlineLevel="0" collapsed="false">
      <c r="A964" s="32"/>
      <c r="B964" s="33"/>
      <c r="C964" s="33"/>
      <c r="D964" s="34"/>
      <c r="E964" s="35"/>
      <c r="F964" s="36"/>
      <c r="G964" s="37" t="str">
        <f aca="false">IF(OR(C964="",D964=""),"",D964*IF(E964="",IFERROR(INDEX(Ürünler!$D$5:$D$204,MATCH(C964,Ürünler!$A$5:$A$204,0)),0),E964))</f>
        <v/>
      </c>
      <c r="H964" s="37" t="str">
        <f aca="false">IF(G964="","",D964*IFERROR(INDEX(Ürünler!$C$5:$C$204,MATCH(C964,Ürünler!$A$5:$A$204,0)),0))</f>
        <v/>
      </c>
      <c r="I964" s="37" t="str">
        <f aca="false">IF(G964="","",G964-H964)</f>
        <v/>
      </c>
      <c r="J964" s="33"/>
    </row>
    <row r="965" customFormat="false" ht="15" hidden="false" customHeight="false" outlineLevel="0" collapsed="false">
      <c r="A965" s="32"/>
      <c r="B965" s="33"/>
      <c r="C965" s="33"/>
      <c r="D965" s="34"/>
      <c r="E965" s="35"/>
      <c r="F965" s="36"/>
      <c r="G965" s="37" t="str">
        <f aca="false">IF(OR(C965="",D965=""),"",D965*IF(E965="",IFERROR(INDEX(Ürünler!$D$5:$D$204,MATCH(C965,Ürünler!$A$5:$A$204,0)),0),E965))</f>
        <v/>
      </c>
      <c r="H965" s="37" t="str">
        <f aca="false">IF(G965="","",D965*IFERROR(INDEX(Ürünler!$C$5:$C$204,MATCH(C965,Ürünler!$A$5:$A$204,0)),0))</f>
        <v/>
      </c>
      <c r="I965" s="37" t="str">
        <f aca="false">IF(G965="","",G965-H965)</f>
        <v/>
      </c>
      <c r="J965" s="33"/>
    </row>
    <row r="966" customFormat="false" ht="15" hidden="false" customHeight="false" outlineLevel="0" collapsed="false">
      <c r="A966" s="32"/>
      <c r="B966" s="33"/>
      <c r="C966" s="33"/>
      <c r="D966" s="34"/>
      <c r="E966" s="35"/>
      <c r="F966" s="36"/>
      <c r="G966" s="37" t="str">
        <f aca="false">IF(OR(C966="",D966=""),"",D966*IF(E966="",IFERROR(INDEX(Ürünler!$D$5:$D$204,MATCH(C966,Ürünler!$A$5:$A$204,0)),0),E966))</f>
        <v/>
      </c>
      <c r="H966" s="37" t="str">
        <f aca="false">IF(G966="","",D966*IFERROR(INDEX(Ürünler!$C$5:$C$204,MATCH(C966,Ürünler!$A$5:$A$204,0)),0))</f>
        <v/>
      </c>
      <c r="I966" s="37" t="str">
        <f aca="false">IF(G966="","",G966-H966)</f>
        <v/>
      </c>
      <c r="J966" s="33"/>
    </row>
    <row r="967" customFormat="false" ht="15" hidden="false" customHeight="false" outlineLevel="0" collapsed="false">
      <c r="A967" s="32"/>
      <c r="B967" s="33"/>
      <c r="C967" s="33"/>
      <c r="D967" s="34"/>
      <c r="E967" s="35"/>
      <c r="F967" s="36"/>
      <c r="G967" s="37" t="str">
        <f aca="false">IF(OR(C967="",D967=""),"",D967*IF(E967="",IFERROR(INDEX(Ürünler!$D$5:$D$204,MATCH(C967,Ürünler!$A$5:$A$204,0)),0),E967))</f>
        <v/>
      </c>
      <c r="H967" s="37" t="str">
        <f aca="false">IF(G967="","",D967*IFERROR(INDEX(Ürünler!$C$5:$C$204,MATCH(C967,Ürünler!$A$5:$A$204,0)),0))</f>
        <v/>
      </c>
      <c r="I967" s="37" t="str">
        <f aca="false">IF(G967="","",G967-H967)</f>
        <v/>
      </c>
      <c r="J967" s="33"/>
    </row>
    <row r="968" customFormat="false" ht="15" hidden="false" customHeight="false" outlineLevel="0" collapsed="false">
      <c r="A968" s="32"/>
      <c r="B968" s="33"/>
      <c r="C968" s="33"/>
      <c r="D968" s="34"/>
      <c r="E968" s="35"/>
      <c r="F968" s="36"/>
      <c r="G968" s="37" t="str">
        <f aca="false">IF(OR(C968="",D968=""),"",D968*IF(E968="",IFERROR(INDEX(Ürünler!$D$5:$D$204,MATCH(C968,Ürünler!$A$5:$A$204,0)),0),E968))</f>
        <v/>
      </c>
      <c r="H968" s="37" t="str">
        <f aca="false">IF(G968="","",D968*IFERROR(INDEX(Ürünler!$C$5:$C$204,MATCH(C968,Ürünler!$A$5:$A$204,0)),0))</f>
        <v/>
      </c>
      <c r="I968" s="37" t="str">
        <f aca="false">IF(G968="","",G968-H968)</f>
        <v/>
      </c>
      <c r="J968" s="33"/>
    </row>
    <row r="969" customFormat="false" ht="15" hidden="false" customHeight="false" outlineLevel="0" collapsed="false">
      <c r="A969" s="32"/>
      <c r="B969" s="33"/>
      <c r="C969" s="33"/>
      <c r="D969" s="34"/>
      <c r="E969" s="35"/>
      <c r="F969" s="36"/>
      <c r="G969" s="37" t="str">
        <f aca="false">IF(OR(C969="",D969=""),"",D969*IF(E969="",IFERROR(INDEX(Ürünler!$D$5:$D$204,MATCH(C969,Ürünler!$A$5:$A$204,0)),0),E969))</f>
        <v/>
      </c>
      <c r="H969" s="37" t="str">
        <f aca="false">IF(G969="","",D969*IFERROR(INDEX(Ürünler!$C$5:$C$204,MATCH(C969,Ürünler!$A$5:$A$204,0)),0))</f>
        <v/>
      </c>
      <c r="I969" s="37" t="str">
        <f aca="false">IF(G969="","",G969-H969)</f>
        <v/>
      </c>
      <c r="J969" s="33"/>
    </row>
    <row r="970" customFormat="false" ht="15" hidden="false" customHeight="false" outlineLevel="0" collapsed="false">
      <c r="A970" s="32"/>
      <c r="B970" s="33"/>
      <c r="C970" s="33"/>
      <c r="D970" s="34"/>
      <c r="E970" s="35"/>
      <c r="F970" s="36"/>
      <c r="G970" s="37" t="str">
        <f aca="false">IF(OR(C970="",D970=""),"",D970*IF(E970="",IFERROR(INDEX(Ürünler!$D$5:$D$204,MATCH(C970,Ürünler!$A$5:$A$204,0)),0),E970))</f>
        <v/>
      </c>
      <c r="H970" s="37" t="str">
        <f aca="false">IF(G970="","",D970*IFERROR(INDEX(Ürünler!$C$5:$C$204,MATCH(C970,Ürünler!$A$5:$A$204,0)),0))</f>
        <v/>
      </c>
      <c r="I970" s="37" t="str">
        <f aca="false">IF(G970="","",G970-H970)</f>
        <v/>
      </c>
      <c r="J970" s="33"/>
    </row>
    <row r="971" customFormat="false" ht="15" hidden="false" customHeight="false" outlineLevel="0" collapsed="false">
      <c r="A971" s="32"/>
      <c r="B971" s="33"/>
      <c r="C971" s="33"/>
      <c r="D971" s="34"/>
      <c r="E971" s="35"/>
      <c r="F971" s="36"/>
      <c r="G971" s="37" t="str">
        <f aca="false">IF(OR(C971="",D971=""),"",D971*IF(E971="",IFERROR(INDEX(Ürünler!$D$5:$D$204,MATCH(C971,Ürünler!$A$5:$A$204,0)),0),E971))</f>
        <v/>
      </c>
      <c r="H971" s="37" t="str">
        <f aca="false">IF(G971="","",D971*IFERROR(INDEX(Ürünler!$C$5:$C$204,MATCH(C971,Ürünler!$A$5:$A$204,0)),0))</f>
        <v/>
      </c>
      <c r="I971" s="37" t="str">
        <f aca="false">IF(G971="","",G971-H971)</f>
        <v/>
      </c>
      <c r="J971" s="33"/>
    </row>
    <row r="972" customFormat="false" ht="15" hidden="false" customHeight="false" outlineLevel="0" collapsed="false">
      <c r="A972" s="32"/>
      <c r="B972" s="33"/>
      <c r="C972" s="33"/>
      <c r="D972" s="34"/>
      <c r="E972" s="35"/>
      <c r="F972" s="36"/>
      <c r="G972" s="37" t="str">
        <f aca="false">IF(OR(C972="",D972=""),"",D972*IF(E972="",IFERROR(INDEX(Ürünler!$D$5:$D$204,MATCH(C972,Ürünler!$A$5:$A$204,0)),0),E972))</f>
        <v/>
      </c>
      <c r="H972" s="37" t="str">
        <f aca="false">IF(G972="","",D972*IFERROR(INDEX(Ürünler!$C$5:$C$204,MATCH(C972,Ürünler!$A$5:$A$204,0)),0))</f>
        <v/>
      </c>
      <c r="I972" s="37" t="str">
        <f aca="false">IF(G972="","",G972-H972)</f>
        <v/>
      </c>
      <c r="J972" s="33"/>
    </row>
    <row r="973" customFormat="false" ht="15" hidden="false" customHeight="false" outlineLevel="0" collapsed="false">
      <c r="A973" s="32"/>
      <c r="B973" s="33"/>
      <c r="C973" s="33"/>
      <c r="D973" s="34"/>
      <c r="E973" s="35"/>
      <c r="F973" s="36"/>
      <c r="G973" s="37" t="str">
        <f aca="false">IF(OR(C973="",D973=""),"",D973*IF(E973="",IFERROR(INDEX(Ürünler!$D$5:$D$204,MATCH(C973,Ürünler!$A$5:$A$204,0)),0),E973))</f>
        <v/>
      </c>
      <c r="H973" s="37" t="str">
        <f aca="false">IF(G973="","",D973*IFERROR(INDEX(Ürünler!$C$5:$C$204,MATCH(C973,Ürünler!$A$5:$A$204,0)),0))</f>
        <v/>
      </c>
      <c r="I973" s="37" t="str">
        <f aca="false">IF(G973="","",G973-H973)</f>
        <v/>
      </c>
      <c r="J973" s="33"/>
    </row>
    <row r="974" customFormat="false" ht="15" hidden="false" customHeight="false" outlineLevel="0" collapsed="false">
      <c r="A974" s="32"/>
      <c r="B974" s="33"/>
      <c r="C974" s="33"/>
      <c r="D974" s="34"/>
      <c r="E974" s="35"/>
      <c r="F974" s="36"/>
      <c r="G974" s="37" t="str">
        <f aca="false">IF(OR(C974="",D974=""),"",D974*IF(E974="",IFERROR(INDEX(Ürünler!$D$5:$D$204,MATCH(C974,Ürünler!$A$5:$A$204,0)),0),E974))</f>
        <v/>
      </c>
      <c r="H974" s="37" t="str">
        <f aca="false">IF(G974="","",D974*IFERROR(INDEX(Ürünler!$C$5:$C$204,MATCH(C974,Ürünler!$A$5:$A$204,0)),0))</f>
        <v/>
      </c>
      <c r="I974" s="37" t="str">
        <f aca="false">IF(G974="","",G974-H974)</f>
        <v/>
      </c>
      <c r="J974" s="33"/>
    </row>
    <row r="975" customFormat="false" ht="15" hidden="false" customHeight="false" outlineLevel="0" collapsed="false">
      <c r="A975" s="32"/>
      <c r="B975" s="33"/>
      <c r="C975" s="33"/>
      <c r="D975" s="34"/>
      <c r="E975" s="35"/>
      <c r="F975" s="36"/>
      <c r="G975" s="37" t="str">
        <f aca="false">IF(OR(C975="",D975=""),"",D975*IF(E975="",IFERROR(INDEX(Ürünler!$D$5:$D$204,MATCH(C975,Ürünler!$A$5:$A$204,0)),0),E975))</f>
        <v/>
      </c>
      <c r="H975" s="37" t="str">
        <f aca="false">IF(G975="","",D975*IFERROR(INDEX(Ürünler!$C$5:$C$204,MATCH(C975,Ürünler!$A$5:$A$204,0)),0))</f>
        <v/>
      </c>
      <c r="I975" s="37" t="str">
        <f aca="false">IF(G975="","",G975-H975)</f>
        <v/>
      </c>
      <c r="J975" s="33"/>
    </row>
    <row r="976" customFormat="false" ht="15" hidden="false" customHeight="false" outlineLevel="0" collapsed="false">
      <c r="A976" s="32"/>
      <c r="B976" s="33"/>
      <c r="C976" s="33"/>
      <c r="D976" s="34"/>
      <c r="E976" s="35"/>
      <c r="F976" s="36"/>
      <c r="G976" s="37" t="str">
        <f aca="false">IF(OR(C976="",D976=""),"",D976*IF(E976="",IFERROR(INDEX(Ürünler!$D$5:$D$204,MATCH(C976,Ürünler!$A$5:$A$204,0)),0),E976))</f>
        <v/>
      </c>
      <c r="H976" s="37" t="str">
        <f aca="false">IF(G976="","",D976*IFERROR(INDEX(Ürünler!$C$5:$C$204,MATCH(C976,Ürünler!$A$5:$A$204,0)),0))</f>
        <v/>
      </c>
      <c r="I976" s="37" t="str">
        <f aca="false">IF(G976="","",G976-H976)</f>
        <v/>
      </c>
      <c r="J976" s="33"/>
    </row>
    <row r="977" customFormat="false" ht="15" hidden="false" customHeight="false" outlineLevel="0" collapsed="false">
      <c r="A977" s="32"/>
      <c r="B977" s="33"/>
      <c r="C977" s="33"/>
      <c r="D977" s="34"/>
      <c r="E977" s="35"/>
      <c r="F977" s="36"/>
      <c r="G977" s="37" t="str">
        <f aca="false">IF(OR(C977="",D977=""),"",D977*IF(E977="",IFERROR(INDEX(Ürünler!$D$5:$D$204,MATCH(C977,Ürünler!$A$5:$A$204,0)),0),E977))</f>
        <v/>
      </c>
      <c r="H977" s="37" t="str">
        <f aca="false">IF(G977="","",D977*IFERROR(INDEX(Ürünler!$C$5:$C$204,MATCH(C977,Ürünler!$A$5:$A$204,0)),0))</f>
        <v/>
      </c>
      <c r="I977" s="37" t="str">
        <f aca="false">IF(G977="","",G977-H977)</f>
        <v/>
      </c>
      <c r="J977" s="33"/>
    </row>
    <row r="978" customFormat="false" ht="15" hidden="false" customHeight="false" outlineLevel="0" collapsed="false">
      <c r="A978" s="32"/>
      <c r="B978" s="33"/>
      <c r="C978" s="33"/>
      <c r="D978" s="34"/>
      <c r="E978" s="35"/>
      <c r="F978" s="36"/>
      <c r="G978" s="37" t="str">
        <f aca="false">IF(OR(C978="",D978=""),"",D978*IF(E978="",IFERROR(INDEX(Ürünler!$D$5:$D$204,MATCH(C978,Ürünler!$A$5:$A$204,0)),0),E978))</f>
        <v/>
      </c>
      <c r="H978" s="37" t="str">
        <f aca="false">IF(G978="","",D978*IFERROR(INDEX(Ürünler!$C$5:$C$204,MATCH(C978,Ürünler!$A$5:$A$204,0)),0))</f>
        <v/>
      </c>
      <c r="I978" s="37" t="str">
        <f aca="false">IF(G978="","",G978-H978)</f>
        <v/>
      </c>
      <c r="J978" s="33"/>
    </row>
    <row r="979" customFormat="false" ht="15" hidden="false" customHeight="false" outlineLevel="0" collapsed="false">
      <c r="A979" s="32"/>
      <c r="B979" s="33"/>
      <c r="C979" s="33"/>
      <c r="D979" s="34"/>
      <c r="E979" s="35"/>
      <c r="F979" s="36"/>
      <c r="G979" s="37" t="str">
        <f aca="false">IF(OR(C979="",D979=""),"",D979*IF(E979="",IFERROR(INDEX(Ürünler!$D$5:$D$204,MATCH(C979,Ürünler!$A$5:$A$204,0)),0),E979))</f>
        <v/>
      </c>
      <c r="H979" s="37" t="str">
        <f aca="false">IF(G979="","",D979*IFERROR(INDEX(Ürünler!$C$5:$C$204,MATCH(C979,Ürünler!$A$5:$A$204,0)),0))</f>
        <v/>
      </c>
      <c r="I979" s="37" t="str">
        <f aca="false">IF(G979="","",G979-H979)</f>
        <v/>
      </c>
      <c r="J979" s="33"/>
    </row>
    <row r="980" customFormat="false" ht="15" hidden="false" customHeight="false" outlineLevel="0" collapsed="false">
      <c r="A980" s="32"/>
      <c r="B980" s="33"/>
      <c r="C980" s="33"/>
      <c r="D980" s="34"/>
      <c r="E980" s="35"/>
      <c r="F980" s="36"/>
      <c r="G980" s="37" t="str">
        <f aca="false">IF(OR(C980="",D980=""),"",D980*IF(E980="",IFERROR(INDEX(Ürünler!$D$5:$D$204,MATCH(C980,Ürünler!$A$5:$A$204,0)),0),E980))</f>
        <v/>
      </c>
      <c r="H980" s="37" t="str">
        <f aca="false">IF(G980="","",D980*IFERROR(INDEX(Ürünler!$C$5:$C$204,MATCH(C980,Ürünler!$A$5:$A$204,0)),0))</f>
        <v/>
      </c>
      <c r="I980" s="37" t="str">
        <f aca="false">IF(G980="","",G980-H980)</f>
        <v/>
      </c>
      <c r="J980" s="33"/>
    </row>
    <row r="981" customFormat="false" ht="15" hidden="false" customHeight="false" outlineLevel="0" collapsed="false">
      <c r="A981" s="32"/>
      <c r="B981" s="33"/>
      <c r="C981" s="33"/>
      <c r="D981" s="34"/>
      <c r="E981" s="35"/>
      <c r="F981" s="36"/>
      <c r="G981" s="37" t="str">
        <f aca="false">IF(OR(C981="",D981=""),"",D981*IF(E981="",IFERROR(INDEX(Ürünler!$D$5:$D$204,MATCH(C981,Ürünler!$A$5:$A$204,0)),0),E981))</f>
        <v/>
      </c>
      <c r="H981" s="37" t="str">
        <f aca="false">IF(G981="","",D981*IFERROR(INDEX(Ürünler!$C$5:$C$204,MATCH(C981,Ürünler!$A$5:$A$204,0)),0))</f>
        <v/>
      </c>
      <c r="I981" s="37" t="str">
        <f aca="false">IF(G981="","",G981-H981)</f>
        <v/>
      </c>
      <c r="J981" s="33"/>
    </row>
    <row r="982" customFormat="false" ht="15" hidden="false" customHeight="false" outlineLevel="0" collapsed="false">
      <c r="A982" s="32"/>
      <c r="B982" s="33"/>
      <c r="C982" s="33"/>
      <c r="D982" s="34"/>
      <c r="E982" s="35"/>
      <c r="F982" s="36"/>
      <c r="G982" s="37" t="str">
        <f aca="false">IF(OR(C982="",D982=""),"",D982*IF(E982="",IFERROR(INDEX(Ürünler!$D$5:$D$204,MATCH(C982,Ürünler!$A$5:$A$204,0)),0),E982))</f>
        <v/>
      </c>
      <c r="H982" s="37" t="str">
        <f aca="false">IF(G982="","",D982*IFERROR(INDEX(Ürünler!$C$5:$C$204,MATCH(C982,Ürünler!$A$5:$A$204,0)),0))</f>
        <v/>
      </c>
      <c r="I982" s="37" t="str">
        <f aca="false">IF(G982="","",G982-H982)</f>
        <v/>
      </c>
      <c r="J982" s="33"/>
    </row>
    <row r="983" customFormat="false" ht="15" hidden="false" customHeight="false" outlineLevel="0" collapsed="false">
      <c r="A983" s="32"/>
      <c r="B983" s="33"/>
      <c r="C983" s="33"/>
      <c r="D983" s="34"/>
      <c r="E983" s="35"/>
      <c r="F983" s="36"/>
      <c r="G983" s="37" t="str">
        <f aca="false">IF(OR(C983="",D983=""),"",D983*IF(E983="",IFERROR(INDEX(Ürünler!$D$5:$D$204,MATCH(C983,Ürünler!$A$5:$A$204,0)),0),E983))</f>
        <v/>
      </c>
      <c r="H983" s="37" t="str">
        <f aca="false">IF(G983="","",D983*IFERROR(INDEX(Ürünler!$C$5:$C$204,MATCH(C983,Ürünler!$A$5:$A$204,0)),0))</f>
        <v/>
      </c>
      <c r="I983" s="37" t="str">
        <f aca="false">IF(G983="","",G983-H983)</f>
        <v/>
      </c>
      <c r="J983" s="33"/>
    </row>
    <row r="984" customFormat="false" ht="15" hidden="false" customHeight="false" outlineLevel="0" collapsed="false">
      <c r="A984" s="32"/>
      <c r="B984" s="33"/>
      <c r="C984" s="33"/>
      <c r="D984" s="34"/>
      <c r="E984" s="35"/>
      <c r="F984" s="36"/>
      <c r="G984" s="37" t="str">
        <f aca="false">IF(OR(C984="",D984=""),"",D984*IF(E984="",IFERROR(INDEX(Ürünler!$D$5:$D$204,MATCH(C984,Ürünler!$A$5:$A$204,0)),0),E984))</f>
        <v/>
      </c>
      <c r="H984" s="37" t="str">
        <f aca="false">IF(G984="","",D984*IFERROR(INDEX(Ürünler!$C$5:$C$204,MATCH(C984,Ürünler!$A$5:$A$204,0)),0))</f>
        <v/>
      </c>
      <c r="I984" s="37" t="str">
        <f aca="false">IF(G984="","",G984-H984)</f>
        <v/>
      </c>
      <c r="J984" s="33"/>
    </row>
    <row r="985" customFormat="false" ht="15" hidden="false" customHeight="false" outlineLevel="0" collapsed="false">
      <c r="A985" s="32"/>
      <c r="B985" s="33"/>
      <c r="C985" s="33"/>
      <c r="D985" s="34"/>
      <c r="E985" s="35"/>
      <c r="F985" s="36"/>
      <c r="G985" s="37" t="str">
        <f aca="false">IF(OR(C985="",D985=""),"",D985*IF(E985="",IFERROR(INDEX(Ürünler!$D$5:$D$204,MATCH(C985,Ürünler!$A$5:$A$204,0)),0),E985))</f>
        <v/>
      </c>
      <c r="H985" s="37" t="str">
        <f aca="false">IF(G985="","",D985*IFERROR(INDEX(Ürünler!$C$5:$C$204,MATCH(C985,Ürünler!$A$5:$A$204,0)),0))</f>
        <v/>
      </c>
      <c r="I985" s="37" t="str">
        <f aca="false">IF(G985="","",G985-H985)</f>
        <v/>
      </c>
      <c r="J985" s="33"/>
    </row>
    <row r="986" customFormat="false" ht="15" hidden="false" customHeight="false" outlineLevel="0" collapsed="false">
      <c r="A986" s="32"/>
      <c r="B986" s="33"/>
      <c r="C986" s="33"/>
      <c r="D986" s="34"/>
      <c r="E986" s="35"/>
      <c r="F986" s="36"/>
      <c r="G986" s="37" t="str">
        <f aca="false">IF(OR(C986="",D986=""),"",D986*IF(E986="",IFERROR(INDEX(Ürünler!$D$5:$D$204,MATCH(C986,Ürünler!$A$5:$A$204,0)),0),E986))</f>
        <v/>
      </c>
      <c r="H986" s="37" t="str">
        <f aca="false">IF(G986="","",D986*IFERROR(INDEX(Ürünler!$C$5:$C$204,MATCH(C986,Ürünler!$A$5:$A$204,0)),0))</f>
        <v/>
      </c>
      <c r="I986" s="37" t="str">
        <f aca="false">IF(G986="","",G986-H986)</f>
        <v/>
      </c>
      <c r="J986" s="33"/>
    </row>
    <row r="987" customFormat="false" ht="15" hidden="false" customHeight="false" outlineLevel="0" collapsed="false">
      <c r="A987" s="32"/>
      <c r="B987" s="33"/>
      <c r="C987" s="33"/>
      <c r="D987" s="34"/>
      <c r="E987" s="35"/>
      <c r="F987" s="36"/>
      <c r="G987" s="37" t="str">
        <f aca="false">IF(OR(C987="",D987=""),"",D987*IF(E987="",IFERROR(INDEX(Ürünler!$D$5:$D$204,MATCH(C987,Ürünler!$A$5:$A$204,0)),0),E987))</f>
        <v/>
      </c>
      <c r="H987" s="37" t="str">
        <f aca="false">IF(G987="","",D987*IFERROR(INDEX(Ürünler!$C$5:$C$204,MATCH(C987,Ürünler!$A$5:$A$204,0)),0))</f>
        <v/>
      </c>
      <c r="I987" s="37" t="str">
        <f aca="false">IF(G987="","",G987-H987)</f>
        <v/>
      </c>
      <c r="J987" s="33"/>
    </row>
    <row r="988" customFormat="false" ht="15" hidden="false" customHeight="false" outlineLevel="0" collapsed="false">
      <c r="A988" s="32"/>
      <c r="B988" s="33"/>
      <c r="C988" s="33"/>
      <c r="D988" s="34"/>
      <c r="E988" s="35"/>
      <c r="F988" s="36"/>
      <c r="G988" s="37" t="str">
        <f aca="false">IF(OR(C988="",D988=""),"",D988*IF(E988="",IFERROR(INDEX(Ürünler!$D$5:$D$204,MATCH(C988,Ürünler!$A$5:$A$204,0)),0),E988))</f>
        <v/>
      </c>
      <c r="H988" s="37" t="str">
        <f aca="false">IF(G988="","",D988*IFERROR(INDEX(Ürünler!$C$5:$C$204,MATCH(C988,Ürünler!$A$5:$A$204,0)),0))</f>
        <v/>
      </c>
      <c r="I988" s="37" t="str">
        <f aca="false">IF(G988="","",G988-H988)</f>
        <v/>
      </c>
      <c r="J988" s="33"/>
    </row>
    <row r="989" customFormat="false" ht="15" hidden="false" customHeight="false" outlineLevel="0" collapsed="false">
      <c r="A989" s="32"/>
      <c r="B989" s="33"/>
      <c r="C989" s="33"/>
      <c r="D989" s="34"/>
      <c r="E989" s="35"/>
      <c r="F989" s="36"/>
      <c r="G989" s="37" t="str">
        <f aca="false">IF(OR(C989="",D989=""),"",D989*IF(E989="",IFERROR(INDEX(Ürünler!$D$5:$D$204,MATCH(C989,Ürünler!$A$5:$A$204,0)),0),E989))</f>
        <v/>
      </c>
      <c r="H989" s="37" t="str">
        <f aca="false">IF(G989="","",D989*IFERROR(INDEX(Ürünler!$C$5:$C$204,MATCH(C989,Ürünler!$A$5:$A$204,0)),0))</f>
        <v/>
      </c>
      <c r="I989" s="37" t="str">
        <f aca="false">IF(G989="","",G989-H989)</f>
        <v/>
      </c>
      <c r="J989" s="33"/>
    </row>
    <row r="990" customFormat="false" ht="15" hidden="false" customHeight="false" outlineLevel="0" collapsed="false">
      <c r="A990" s="32"/>
      <c r="B990" s="33"/>
      <c r="C990" s="33"/>
      <c r="D990" s="34"/>
      <c r="E990" s="35"/>
      <c r="F990" s="36"/>
      <c r="G990" s="37" t="str">
        <f aca="false">IF(OR(C990="",D990=""),"",D990*IF(E990="",IFERROR(INDEX(Ürünler!$D$5:$D$204,MATCH(C990,Ürünler!$A$5:$A$204,0)),0),E990))</f>
        <v/>
      </c>
      <c r="H990" s="37" t="str">
        <f aca="false">IF(G990="","",D990*IFERROR(INDEX(Ürünler!$C$5:$C$204,MATCH(C990,Ürünler!$A$5:$A$204,0)),0))</f>
        <v/>
      </c>
      <c r="I990" s="37" t="str">
        <f aca="false">IF(G990="","",G990-H990)</f>
        <v/>
      </c>
      <c r="J990" s="33"/>
    </row>
    <row r="991" customFormat="false" ht="15" hidden="false" customHeight="false" outlineLevel="0" collapsed="false">
      <c r="A991" s="32"/>
      <c r="B991" s="33"/>
      <c r="C991" s="33"/>
      <c r="D991" s="34"/>
      <c r="E991" s="35"/>
      <c r="F991" s="36"/>
      <c r="G991" s="37" t="str">
        <f aca="false">IF(OR(C991="",D991=""),"",D991*IF(E991="",IFERROR(INDEX(Ürünler!$D$5:$D$204,MATCH(C991,Ürünler!$A$5:$A$204,0)),0),E991))</f>
        <v/>
      </c>
      <c r="H991" s="37" t="str">
        <f aca="false">IF(G991="","",D991*IFERROR(INDEX(Ürünler!$C$5:$C$204,MATCH(C991,Ürünler!$A$5:$A$204,0)),0))</f>
        <v/>
      </c>
      <c r="I991" s="37" t="str">
        <f aca="false">IF(G991="","",G991-H991)</f>
        <v/>
      </c>
      <c r="J991" s="33"/>
    </row>
    <row r="992" customFormat="false" ht="15" hidden="false" customHeight="false" outlineLevel="0" collapsed="false">
      <c r="A992" s="32"/>
      <c r="B992" s="33"/>
      <c r="C992" s="33"/>
      <c r="D992" s="34"/>
      <c r="E992" s="35"/>
      <c r="F992" s="36"/>
      <c r="G992" s="37" t="str">
        <f aca="false">IF(OR(C992="",D992=""),"",D992*IF(E992="",IFERROR(INDEX(Ürünler!$D$5:$D$204,MATCH(C992,Ürünler!$A$5:$A$204,0)),0),E992))</f>
        <v/>
      </c>
      <c r="H992" s="37" t="str">
        <f aca="false">IF(G992="","",D992*IFERROR(INDEX(Ürünler!$C$5:$C$204,MATCH(C992,Ürünler!$A$5:$A$204,0)),0))</f>
        <v/>
      </c>
      <c r="I992" s="37" t="str">
        <f aca="false">IF(G992="","",G992-H992)</f>
        <v/>
      </c>
      <c r="J992" s="33"/>
    </row>
    <row r="993" customFormat="false" ht="15" hidden="false" customHeight="false" outlineLevel="0" collapsed="false">
      <c r="A993" s="32"/>
      <c r="B993" s="33"/>
      <c r="C993" s="33"/>
      <c r="D993" s="34"/>
      <c r="E993" s="35"/>
      <c r="F993" s="36"/>
      <c r="G993" s="37" t="str">
        <f aca="false">IF(OR(C993="",D993=""),"",D993*IF(E993="",IFERROR(INDEX(Ürünler!$D$5:$D$204,MATCH(C993,Ürünler!$A$5:$A$204,0)),0),E993))</f>
        <v/>
      </c>
      <c r="H993" s="37" t="str">
        <f aca="false">IF(G993="","",D993*IFERROR(INDEX(Ürünler!$C$5:$C$204,MATCH(C993,Ürünler!$A$5:$A$204,0)),0))</f>
        <v/>
      </c>
      <c r="I993" s="37" t="str">
        <f aca="false">IF(G993="","",G993-H993)</f>
        <v/>
      </c>
      <c r="J993" s="33"/>
    </row>
    <row r="994" customFormat="false" ht="15" hidden="false" customHeight="false" outlineLevel="0" collapsed="false">
      <c r="A994" s="32"/>
      <c r="B994" s="33"/>
      <c r="C994" s="33"/>
      <c r="D994" s="34"/>
      <c r="E994" s="35"/>
      <c r="F994" s="36"/>
      <c r="G994" s="37" t="str">
        <f aca="false">IF(OR(C994="",D994=""),"",D994*IF(E994="",IFERROR(INDEX(Ürünler!$D$5:$D$204,MATCH(C994,Ürünler!$A$5:$A$204,0)),0),E994))</f>
        <v/>
      </c>
      <c r="H994" s="37" t="str">
        <f aca="false">IF(G994="","",D994*IFERROR(INDEX(Ürünler!$C$5:$C$204,MATCH(C994,Ürünler!$A$5:$A$204,0)),0))</f>
        <v/>
      </c>
      <c r="I994" s="37" t="str">
        <f aca="false">IF(G994="","",G994-H994)</f>
        <v/>
      </c>
      <c r="J994" s="33"/>
    </row>
    <row r="995" customFormat="false" ht="15" hidden="false" customHeight="false" outlineLevel="0" collapsed="false">
      <c r="A995" s="32"/>
      <c r="B995" s="33"/>
      <c r="C995" s="33"/>
      <c r="D995" s="34"/>
      <c r="E995" s="35"/>
      <c r="F995" s="36"/>
      <c r="G995" s="37" t="str">
        <f aca="false">IF(OR(C995="",D995=""),"",D995*IF(E995="",IFERROR(INDEX(Ürünler!$D$5:$D$204,MATCH(C995,Ürünler!$A$5:$A$204,0)),0),E995))</f>
        <v/>
      </c>
      <c r="H995" s="37" t="str">
        <f aca="false">IF(G995="","",D995*IFERROR(INDEX(Ürünler!$C$5:$C$204,MATCH(C995,Ürünler!$A$5:$A$204,0)),0))</f>
        <v/>
      </c>
      <c r="I995" s="37" t="str">
        <f aca="false">IF(G995="","",G995-H995)</f>
        <v/>
      </c>
      <c r="J995" s="33"/>
    </row>
    <row r="996" customFormat="false" ht="15" hidden="false" customHeight="false" outlineLevel="0" collapsed="false">
      <c r="A996" s="32"/>
      <c r="B996" s="33"/>
      <c r="C996" s="33"/>
      <c r="D996" s="34"/>
      <c r="E996" s="35"/>
      <c r="F996" s="36"/>
      <c r="G996" s="37" t="str">
        <f aca="false">IF(OR(C996="",D996=""),"",D996*IF(E996="",IFERROR(INDEX(Ürünler!$D$5:$D$204,MATCH(C996,Ürünler!$A$5:$A$204,0)),0),E996))</f>
        <v/>
      </c>
      <c r="H996" s="37" t="str">
        <f aca="false">IF(G996="","",D996*IFERROR(INDEX(Ürünler!$C$5:$C$204,MATCH(C996,Ürünler!$A$5:$A$204,0)),0))</f>
        <v/>
      </c>
      <c r="I996" s="37" t="str">
        <f aca="false">IF(G996="","",G996-H996)</f>
        <v/>
      </c>
      <c r="J996" s="33"/>
    </row>
    <row r="997" customFormat="false" ht="15" hidden="false" customHeight="false" outlineLevel="0" collapsed="false">
      <c r="A997" s="32"/>
      <c r="B997" s="33"/>
      <c r="C997" s="33"/>
      <c r="D997" s="34"/>
      <c r="E997" s="35"/>
      <c r="F997" s="36"/>
      <c r="G997" s="37" t="str">
        <f aca="false">IF(OR(C997="",D997=""),"",D997*IF(E997="",IFERROR(INDEX(Ürünler!$D$5:$D$204,MATCH(C997,Ürünler!$A$5:$A$204,0)),0),E997))</f>
        <v/>
      </c>
      <c r="H997" s="37" t="str">
        <f aca="false">IF(G997="","",D997*IFERROR(INDEX(Ürünler!$C$5:$C$204,MATCH(C997,Ürünler!$A$5:$A$204,0)),0))</f>
        <v/>
      </c>
      <c r="I997" s="37" t="str">
        <f aca="false">IF(G997="","",G997-H997)</f>
        <v/>
      </c>
      <c r="J997" s="33"/>
    </row>
    <row r="998" customFormat="false" ht="15" hidden="false" customHeight="false" outlineLevel="0" collapsed="false">
      <c r="A998" s="32"/>
      <c r="B998" s="33"/>
      <c r="C998" s="33"/>
      <c r="D998" s="34"/>
      <c r="E998" s="35"/>
      <c r="F998" s="36"/>
      <c r="G998" s="37" t="str">
        <f aca="false">IF(OR(C998="",D998=""),"",D998*IF(E998="",IFERROR(INDEX(Ürünler!$D$5:$D$204,MATCH(C998,Ürünler!$A$5:$A$204,0)),0),E998))</f>
        <v/>
      </c>
      <c r="H998" s="37" t="str">
        <f aca="false">IF(G998="","",D998*IFERROR(INDEX(Ürünler!$C$5:$C$204,MATCH(C998,Ürünler!$A$5:$A$204,0)),0))</f>
        <v/>
      </c>
      <c r="I998" s="37" t="str">
        <f aca="false">IF(G998="","",G998-H998)</f>
        <v/>
      </c>
      <c r="J998" s="33"/>
    </row>
    <row r="999" customFormat="false" ht="15" hidden="false" customHeight="false" outlineLevel="0" collapsed="false">
      <c r="A999" s="32"/>
      <c r="B999" s="33"/>
      <c r="C999" s="33"/>
      <c r="D999" s="34"/>
      <c r="E999" s="35"/>
      <c r="F999" s="36"/>
      <c r="G999" s="37" t="str">
        <f aca="false">IF(OR(C999="",D999=""),"",D999*IF(E999="",IFERROR(INDEX(Ürünler!$D$5:$D$204,MATCH(C999,Ürünler!$A$5:$A$204,0)),0),E999))</f>
        <v/>
      </c>
      <c r="H999" s="37" t="str">
        <f aca="false">IF(G999="","",D999*IFERROR(INDEX(Ürünler!$C$5:$C$204,MATCH(C999,Ürünler!$A$5:$A$204,0)),0))</f>
        <v/>
      </c>
      <c r="I999" s="37" t="str">
        <f aca="false">IF(G999="","",G999-H999)</f>
        <v/>
      </c>
      <c r="J999" s="33"/>
    </row>
    <row r="1000" customFormat="false" ht="15" hidden="false" customHeight="false" outlineLevel="0" collapsed="false">
      <c r="A1000" s="32"/>
      <c r="B1000" s="33"/>
      <c r="C1000" s="33"/>
      <c r="D1000" s="34"/>
      <c r="E1000" s="35"/>
      <c r="F1000" s="36"/>
      <c r="G1000" s="37" t="str">
        <f aca="false">IF(OR(C1000="",D1000=""),"",D1000*IF(E1000="",IFERROR(INDEX(Ürünler!$D$5:$D$204,MATCH(C1000,Ürünler!$A$5:$A$204,0)),0),E1000))</f>
        <v/>
      </c>
      <c r="H1000" s="37" t="str">
        <f aca="false">IF(G1000="","",D1000*IFERROR(INDEX(Ürünler!$C$5:$C$204,MATCH(C1000,Ürünler!$A$5:$A$204,0)),0))</f>
        <v/>
      </c>
      <c r="I1000" s="37" t="str">
        <f aca="false">IF(G1000="","",G1000-H1000)</f>
        <v/>
      </c>
      <c r="J1000" s="33"/>
    </row>
    <row r="1001" customFormat="false" ht="15" hidden="false" customHeight="false" outlineLevel="0" collapsed="false">
      <c r="A1001" s="32"/>
      <c r="B1001" s="33"/>
      <c r="C1001" s="33"/>
      <c r="D1001" s="34"/>
      <c r="E1001" s="35"/>
      <c r="F1001" s="36"/>
      <c r="G1001" s="37" t="str">
        <f aca="false">IF(OR(C1001="",D1001=""),"",D1001*IF(E1001="",IFERROR(INDEX(Ürünler!$D$5:$D$204,MATCH(C1001,Ürünler!$A$5:$A$204,0)),0),E1001))</f>
        <v/>
      </c>
      <c r="H1001" s="37" t="str">
        <f aca="false">IF(G1001="","",D1001*IFERROR(INDEX(Ürünler!$C$5:$C$204,MATCH(C1001,Ürünler!$A$5:$A$204,0)),0))</f>
        <v/>
      </c>
      <c r="I1001" s="37" t="str">
        <f aca="false">IF(G1001="","",G1001-H1001)</f>
        <v/>
      </c>
      <c r="J1001" s="33"/>
    </row>
    <row r="1002" customFormat="false" ht="15" hidden="false" customHeight="false" outlineLevel="0" collapsed="false">
      <c r="A1002" s="32"/>
      <c r="B1002" s="33"/>
      <c r="C1002" s="33"/>
      <c r="D1002" s="34"/>
      <c r="E1002" s="35"/>
      <c r="F1002" s="36"/>
      <c r="G1002" s="37" t="str">
        <f aca="false">IF(OR(C1002="",D1002=""),"",D1002*IF(E1002="",IFERROR(INDEX(Ürünler!$D$5:$D$204,MATCH(C1002,Ürünler!$A$5:$A$204,0)),0),E1002))</f>
        <v/>
      </c>
      <c r="H1002" s="37" t="str">
        <f aca="false">IF(G1002="","",D1002*IFERROR(INDEX(Ürünler!$C$5:$C$204,MATCH(C1002,Ürünler!$A$5:$A$204,0)),0))</f>
        <v/>
      </c>
      <c r="I1002" s="37" t="str">
        <f aca="false">IF(G1002="","",G1002-H1002)</f>
        <v/>
      </c>
      <c r="J1002" s="33"/>
    </row>
    <row r="1003" customFormat="false" ht="15" hidden="false" customHeight="false" outlineLevel="0" collapsed="false">
      <c r="A1003" s="32"/>
      <c r="B1003" s="33"/>
      <c r="C1003" s="33"/>
      <c r="D1003" s="34"/>
      <c r="E1003" s="35"/>
      <c r="F1003" s="36"/>
      <c r="G1003" s="37" t="str">
        <f aca="false">IF(OR(C1003="",D1003=""),"",D1003*IF(E1003="",IFERROR(INDEX(Ürünler!$D$5:$D$204,MATCH(C1003,Ürünler!$A$5:$A$204,0)),0),E1003))</f>
        <v/>
      </c>
      <c r="H1003" s="37" t="str">
        <f aca="false">IF(G1003="","",D1003*IFERROR(INDEX(Ürünler!$C$5:$C$204,MATCH(C1003,Ürünler!$A$5:$A$204,0)),0))</f>
        <v/>
      </c>
      <c r="I1003" s="37" t="str">
        <f aca="false">IF(G1003="","",G1003-H1003)</f>
        <v/>
      </c>
      <c r="J1003" s="33"/>
    </row>
    <row r="1004" customFormat="false" ht="15" hidden="false" customHeight="false" outlineLevel="0" collapsed="false">
      <c r="A1004" s="32"/>
      <c r="B1004" s="33"/>
      <c r="C1004" s="33"/>
      <c r="D1004" s="34"/>
      <c r="E1004" s="35"/>
      <c r="F1004" s="36"/>
      <c r="G1004" s="37" t="str">
        <f aca="false">IF(OR(C1004="",D1004=""),"",D1004*IF(E1004="",IFERROR(INDEX(Ürünler!$D$5:$D$204,MATCH(C1004,Ürünler!$A$5:$A$204,0)),0),E1004))</f>
        <v/>
      </c>
      <c r="H1004" s="37" t="str">
        <f aca="false">IF(G1004="","",D1004*IFERROR(INDEX(Ürünler!$C$5:$C$204,MATCH(C1004,Ürünler!$A$5:$A$204,0)),0))</f>
        <v/>
      </c>
      <c r="I1004" s="37" t="str">
        <f aca="false">IF(G1004="","",G1004-H1004)</f>
        <v/>
      </c>
      <c r="J1004" s="33"/>
    </row>
  </sheetData>
  <conditionalFormatting sqref="A5:F1004">
    <cfRule type="expression" priority="2" aboveAverage="0" equalAverage="0" bottom="0" percent="0" rank="0" text="" dxfId="3">
      <formula>OR(AND($F5="Veresiye",$B5=""),AND($C5&lt;&gt;"",OR($A5="",$D5="",$F5="")))</formula>
    </cfRule>
  </conditionalFormatting>
  <conditionalFormatting sqref="I5:I1004">
    <cfRule type="cellIs" priority="3" operator="lessThan" aboveAverage="0" equalAverage="0" bottom="0" percent="0" rank="0" text="" dxfId="0">
      <formula>0</formula>
    </cfRule>
  </conditionalFormatting>
  <dataValidations count="5">
    <dataValidation allowBlank="true" error="Geçerli bir tarih gir (örnek: 04.10.2026)." errorStyle="stop" errorTitle="Tarih" operator="greaterThan" showDropDown="false" showErrorMessage="true" showInputMessage="false" sqref="A5:A1004" type="date">
      <formula1>36526</formula1>
      <formula2>0</formula2>
    </dataValidation>
    <dataValidation allowBlank="true" error="Sıfırdan büyük bir sayı gir." errorStyle="stop" errorTitle="Sayı" operator="greaterThan" showDropDown="false" showErrorMessage="true" showInputMessage="false" sqref="D5:E1004" type="decimal">
      <formula1>0</formula1>
      <formula2>0</formula2>
    </dataValidation>
    <dataValidation allowBlank="true" error="Listeden seç. Yeni müşteri için önce Cariler sayfasına ekle." errorStyle="stop" errorTitle="Müşteri" operator="between" showDropDown="false" showErrorMessage="true" showInputMessage="false" sqref="B5:B1004" type="list">
      <formula1>Cariler!$A$5:$A$104</formula1>
      <formula2>0</formula2>
    </dataValidation>
    <dataValidation allowBlank="true" error="Listeden seç. Yeni ürün için önce Ürünler sayfasına ekle." errorStyle="stop" errorTitle="Ürün" operator="between" showDropDown="false" showErrorMessage="true" showInputMessage="false" sqref="C5:C1004" type="list">
      <formula1>Ürünler!$A$5:$A$204</formula1>
      <formula2>0</formula2>
    </dataValidation>
    <dataValidation allowBlank="true" error="Peşin ya da Veresiye seç." errorStyle="stop" errorTitle="Ödeme" operator="between" showDropDown="false" showErrorMessage="true" showInputMessage="false" sqref="F5:F1004" type="list">
      <formula1>"Peşin,Veresiye"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90FA"/>
    <pageSetUpPr fitToPage="true"/>
  </sheetPr>
  <dimension ref="A1:H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9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5"/>
    <col collapsed="false" customWidth="true" hidden="false" outlineLevel="0" max="8" min="8" style="0" width="26"/>
  </cols>
  <sheetData>
    <row r="1" customFormat="false" ht="19.7" hidden="false" customHeight="false" outlineLevel="0" collapsed="false">
      <c r="A1" s="8" t="s">
        <v>13</v>
      </c>
    </row>
    <row r="2" customFormat="false" ht="15" hidden="false" customHeight="false" outlineLevel="0" collapsed="false">
      <c r="A2" s="11" t="s">
        <v>108</v>
      </c>
    </row>
    <row r="4" customFormat="false" ht="27.75" hidden="false" customHeight="true" outlineLevel="0" collapsed="false">
      <c r="A4" s="30" t="s">
        <v>87</v>
      </c>
      <c r="B4" s="30" t="s">
        <v>109</v>
      </c>
      <c r="C4" s="30" t="s">
        <v>65</v>
      </c>
      <c r="D4" s="30" t="s">
        <v>89</v>
      </c>
      <c r="E4" s="30" t="s">
        <v>110</v>
      </c>
      <c r="F4" s="30" t="s">
        <v>91</v>
      </c>
      <c r="G4" s="31" t="s">
        <v>92</v>
      </c>
      <c r="H4" s="30" t="s">
        <v>95</v>
      </c>
    </row>
    <row r="5" customFormat="false" ht="15" hidden="false" customHeight="false" outlineLevel="0" collapsed="false">
      <c r="A5" s="32" t="n">
        <v>46273</v>
      </c>
      <c r="B5" s="33" t="s">
        <v>111</v>
      </c>
      <c r="C5" s="33" t="s">
        <v>102</v>
      </c>
      <c r="D5" s="34" t="n">
        <v>30</v>
      </c>
      <c r="E5" s="35"/>
      <c r="F5" s="36" t="s">
        <v>101</v>
      </c>
      <c r="G5" s="37" t="n">
        <f aca="false">IF(OR(C5="",D5=""),"",D5*IF(E5="",IFERROR(INDEX(Ürünler!$C$5:$C$204,MATCH(C5,Ürünler!$A$5:$A$204,0)),0),E5))</f>
        <v>4200</v>
      </c>
      <c r="H5" s="33" t="s">
        <v>98</v>
      </c>
    </row>
    <row r="6" customFormat="false" ht="15" hidden="false" customHeight="false" outlineLevel="0" collapsed="false">
      <c r="A6" s="32" t="n">
        <v>46287</v>
      </c>
      <c r="B6" s="33" t="s">
        <v>112</v>
      </c>
      <c r="C6" s="33" t="s">
        <v>96</v>
      </c>
      <c r="D6" s="34" t="n">
        <v>100</v>
      </c>
      <c r="E6" s="35" t="n">
        <v>34</v>
      </c>
      <c r="F6" s="36" t="s">
        <v>97</v>
      </c>
      <c r="G6" s="37" t="n">
        <f aca="false">IF(OR(C6="",D6=""),"",D6*IF(E6="",IFERROR(INDEX(Ürünler!$C$5:$C$204,MATCH(C6,Ürünler!$A$5:$A$204,0)),0),E6))</f>
        <v>3400</v>
      </c>
      <c r="H6" s="33" t="s">
        <v>98</v>
      </c>
    </row>
    <row r="7" customFormat="false" ht="15" hidden="false" customHeight="false" outlineLevel="0" collapsed="false">
      <c r="A7" s="32" t="n">
        <v>46297</v>
      </c>
      <c r="B7" s="33" t="s">
        <v>111</v>
      </c>
      <c r="C7" s="33" t="s">
        <v>100</v>
      </c>
      <c r="D7" s="34" t="n">
        <v>200</v>
      </c>
      <c r="E7" s="35"/>
      <c r="F7" s="36" t="s">
        <v>101</v>
      </c>
      <c r="G7" s="37" t="n">
        <f aca="false">IF(OR(C7="",D7=""),"",D7*IF(E7="",IFERROR(INDEX(Ürünler!$C$5:$C$204,MATCH(C7,Ürünler!$A$5:$A$204,0)),0),E7))</f>
        <v>1600</v>
      </c>
      <c r="H7" s="33" t="s">
        <v>98</v>
      </c>
    </row>
    <row r="8" customFormat="false" ht="15" hidden="false" customHeight="false" outlineLevel="0" collapsed="false">
      <c r="A8" s="32"/>
      <c r="B8" s="33"/>
      <c r="C8" s="33"/>
      <c r="D8" s="34"/>
      <c r="E8" s="35"/>
      <c r="F8" s="36"/>
      <c r="G8" s="37" t="str">
        <f aca="false">IF(OR(C8="",D8=""),"",D8*IF(E8="",IFERROR(INDEX(Ürünler!$C$5:$C$204,MATCH(C8,Ürünler!$A$5:$A$204,0)),0),E8))</f>
        <v/>
      </c>
      <c r="H8" s="33"/>
    </row>
    <row r="9" customFormat="false" ht="15" hidden="false" customHeight="false" outlineLevel="0" collapsed="false">
      <c r="A9" s="32"/>
      <c r="B9" s="33"/>
      <c r="C9" s="33"/>
      <c r="D9" s="34"/>
      <c r="E9" s="35"/>
      <c r="F9" s="36"/>
      <c r="G9" s="37" t="str">
        <f aca="false">IF(OR(C9="",D9=""),"",D9*IF(E9="",IFERROR(INDEX(Ürünler!$C$5:$C$204,MATCH(C9,Ürünler!$A$5:$A$204,0)),0),E9))</f>
        <v/>
      </c>
      <c r="H9" s="33"/>
    </row>
    <row r="10" customFormat="false" ht="15" hidden="false" customHeight="false" outlineLevel="0" collapsed="false">
      <c r="A10" s="32"/>
      <c r="B10" s="33"/>
      <c r="C10" s="33"/>
      <c r="D10" s="34"/>
      <c r="E10" s="35"/>
      <c r="F10" s="36"/>
      <c r="G10" s="37" t="str">
        <f aca="false">IF(OR(C10="",D10=""),"",D10*IF(E10="",IFERROR(INDEX(Ürünler!$C$5:$C$204,MATCH(C10,Ürünler!$A$5:$A$204,0)),0),E10))</f>
        <v/>
      </c>
      <c r="H10" s="33"/>
    </row>
    <row r="11" customFormat="false" ht="15" hidden="false" customHeight="false" outlineLevel="0" collapsed="false">
      <c r="A11" s="32"/>
      <c r="B11" s="33"/>
      <c r="C11" s="33"/>
      <c r="D11" s="34"/>
      <c r="E11" s="35"/>
      <c r="F11" s="36"/>
      <c r="G11" s="37" t="str">
        <f aca="false">IF(OR(C11="",D11=""),"",D11*IF(E11="",IFERROR(INDEX(Ürünler!$C$5:$C$204,MATCH(C11,Ürünler!$A$5:$A$204,0)),0),E11))</f>
        <v/>
      </c>
      <c r="H11" s="33"/>
    </row>
    <row r="12" customFormat="false" ht="15" hidden="false" customHeight="false" outlineLevel="0" collapsed="false">
      <c r="A12" s="32"/>
      <c r="B12" s="33"/>
      <c r="C12" s="33"/>
      <c r="D12" s="34"/>
      <c r="E12" s="35"/>
      <c r="F12" s="36"/>
      <c r="G12" s="37" t="str">
        <f aca="false">IF(OR(C12="",D12=""),"",D12*IF(E12="",IFERROR(INDEX(Ürünler!$C$5:$C$204,MATCH(C12,Ürünler!$A$5:$A$204,0)),0),E12))</f>
        <v/>
      </c>
      <c r="H12" s="33"/>
    </row>
    <row r="13" customFormat="false" ht="15" hidden="false" customHeight="false" outlineLevel="0" collapsed="false">
      <c r="A13" s="32"/>
      <c r="B13" s="33"/>
      <c r="C13" s="33"/>
      <c r="D13" s="34"/>
      <c r="E13" s="35"/>
      <c r="F13" s="36"/>
      <c r="G13" s="37" t="str">
        <f aca="false">IF(OR(C13="",D13=""),"",D13*IF(E13="",IFERROR(INDEX(Ürünler!$C$5:$C$204,MATCH(C13,Ürünler!$A$5:$A$204,0)),0),E13))</f>
        <v/>
      </c>
      <c r="H13" s="33"/>
    </row>
    <row r="14" customFormat="false" ht="15" hidden="false" customHeight="false" outlineLevel="0" collapsed="false">
      <c r="A14" s="32"/>
      <c r="B14" s="33"/>
      <c r="C14" s="33"/>
      <c r="D14" s="34"/>
      <c r="E14" s="35"/>
      <c r="F14" s="36"/>
      <c r="G14" s="37" t="str">
        <f aca="false">IF(OR(C14="",D14=""),"",D14*IF(E14="",IFERROR(INDEX(Ürünler!$C$5:$C$204,MATCH(C14,Ürünler!$A$5:$A$204,0)),0),E14))</f>
        <v/>
      </c>
      <c r="H14" s="33"/>
    </row>
    <row r="15" customFormat="false" ht="15" hidden="false" customHeight="false" outlineLevel="0" collapsed="false">
      <c r="A15" s="32"/>
      <c r="B15" s="33"/>
      <c r="C15" s="33"/>
      <c r="D15" s="34"/>
      <c r="E15" s="35"/>
      <c r="F15" s="36"/>
      <c r="G15" s="37" t="str">
        <f aca="false">IF(OR(C15="",D15=""),"",D15*IF(E15="",IFERROR(INDEX(Ürünler!$C$5:$C$204,MATCH(C15,Ürünler!$A$5:$A$204,0)),0),E15))</f>
        <v/>
      </c>
      <c r="H15" s="33"/>
    </row>
    <row r="16" customFormat="false" ht="15" hidden="false" customHeight="false" outlineLevel="0" collapsed="false">
      <c r="A16" s="32"/>
      <c r="B16" s="33"/>
      <c r="C16" s="33"/>
      <c r="D16" s="34"/>
      <c r="E16" s="35"/>
      <c r="F16" s="36"/>
      <c r="G16" s="37" t="str">
        <f aca="false">IF(OR(C16="",D16=""),"",D16*IF(E16="",IFERROR(INDEX(Ürünler!$C$5:$C$204,MATCH(C16,Ürünler!$A$5:$A$204,0)),0),E16))</f>
        <v/>
      </c>
      <c r="H16" s="33"/>
    </row>
    <row r="17" customFormat="false" ht="15" hidden="false" customHeight="false" outlineLevel="0" collapsed="false">
      <c r="A17" s="32"/>
      <c r="B17" s="33"/>
      <c r="C17" s="33"/>
      <c r="D17" s="34"/>
      <c r="E17" s="35"/>
      <c r="F17" s="36"/>
      <c r="G17" s="37" t="str">
        <f aca="false">IF(OR(C17="",D17=""),"",D17*IF(E17="",IFERROR(INDEX(Ürünler!$C$5:$C$204,MATCH(C17,Ürünler!$A$5:$A$204,0)),0),E17))</f>
        <v/>
      </c>
      <c r="H17" s="33"/>
    </row>
    <row r="18" customFormat="false" ht="15" hidden="false" customHeight="false" outlineLevel="0" collapsed="false">
      <c r="A18" s="32"/>
      <c r="B18" s="33"/>
      <c r="C18" s="33"/>
      <c r="D18" s="34"/>
      <c r="E18" s="35"/>
      <c r="F18" s="36"/>
      <c r="G18" s="37" t="str">
        <f aca="false">IF(OR(C18="",D18=""),"",D18*IF(E18="",IFERROR(INDEX(Ürünler!$C$5:$C$204,MATCH(C18,Ürünler!$A$5:$A$204,0)),0),E18))</f>
        <v/>
      </c>
      <c r="H18" s="33"/>
    </row>
    <row r="19" customFormat="false" ht="15" hidden="false" customHeight="false" outlineLevel="0" collapsed="false">
      <c r="A19" s="32"/>
      <c r="B19" s="33"/>
      <c r="C19" s="33"/>
      <c r="D19" s="34"/>
      <c r="E19" s="35"/>
      <c r="F19" s="36"/>
      <c r="G19" s="37" t="str">
        <f aca="false">IF(OR(C19="",D19=""),"",D19*IF(E19="",IFERROR(INDEX(Ürünler!$C$5:$C$204,MATCH(C19,Ürünler!$A$5:$A$204,0)),0),E19))</f>
        <v/>
      </c>
      <c r="H19" s="33"/>
    </row>
    <row r="20" customFormat="false" ht="15" hidden="false" customHeight="false" outlineLevel="0" collapsed="false">
      <c r="A20" s="32"/>
      <c r="B20" s="33"/>
      <c r="C20" s="33"/>
      <c r="D20" s="34"/>
      <c r="E20" s="35"/>
      <c r="F20" s="36"/>
      <c r="G20" s="37" t="str">
        <f aca="false">IF(OR(C20="",D20=""),"",D20*IF(E20="",IFERROR(INDEX(Ürünler!$C$5:$C$204,MATCH(C20,Ürünler!$A$5:$A$204,0)),0),E20))</f>
        <v/>
      </c>
      <c r="H20" s="33"/>
    </row>
    <row r="21" customFormat="false" ht="15" hidden="false" customHeight="false" outlineLevel="0" collapsed="false">
      <c r="A21" s="32"/>
      <c r="B21" s="33"/>
      <c r="C21" s="33"/>
      <c r="D21" s="34"/>
      <c r="E21" s="35"/>
      <c r="F21" s="36"/>
      <c r="G21" s="37" t="str">
        <f aca="false">IF(OR(C21="",D21=""),"",D21*IF(E21="",IFERROR(INDEX(Ürünler!$C$5:$C$204,MATCH(C21,Ürünler!$A$5:$A$204,0)),0),E21))</f>
        <v/>
      </c>
      <c r="H21" s="33"/>
    </row>
    <row r="22" customFormat="false" ht="15" hidden="false" customHeight="false" outlineLevel="0" collapsed="false">
      <c r="A22" s="32"/>
      <c r="B22" s="33"/>
      <c r="C22" s="33"/>
      <c r="D22" s="34"/>
      <c r="E22" s="35"/>
      <c r="F22" s="36"/>
      <c r="G22" s="37" t="str">
        <f aca="false">IF(OR(C22="",D22=""),"",D22*IF(E22="",IFERROR(INDEX(Ürünler!$C$5:$C$204,MATCH(C22,Ürünler!$A$5:$A$204,0)),0),E22))</f>
        <v/>
      </c>
      <c r="H22" s="33"/>
    </row>
    <row r="23" customFormat="false" ht="15" hidden="false" customHeight="false" outlineLevel="0" collapsed="false">
      <c r="A23" s="32"/>
      <c r="B23" s="33"/>
      <c r="C23" s="33"/>
      <c r="D23" s="34"/>
      <c r="E23" s="35"/>
      <c r="F23" s="36"/>
      <c r="G23" s="37" t="str">
        <f aca="false">IF(OR(C23="",D23=""),"",D23*IF(E23="",IFERROR(INDEX(Ürünler!$C$5:$C$204,MATCH(C23,Ürünler!$A$5:$A$204,0)),0),E23))</f>
        <v/>
      </c>
      <c r="H23" s="33"/>
    </row>
    <row r="24" customFormat="false" ht="15" hidden="false" customHeight="false" outlineLevel="0" collapsed="false">
      <c r="A24" s="32"/>
      <c r="B24" s="33"/>
      <c r="C24" s="33"/>
      <c r="D24" s="34"/>
      <c r="E24" s="35"/>
      <c r="F24" s="36"/>
      <c r="G24" s="37" t="str">
        <f aca="false">IF(OR(C24="",D24=""),"",D24*IF(E24="",IFERROR(INDEX(Ürünler!$C$5:$C$204,MATCH(C24,Ürünler!$A$5:$A$204,0)),0),E24))</f>
        <v/>
      </c>
      <c r="H24" s="33"/>
    </row>
    <row r="25" customFormat="false" ht="15" hidden="false" customHeight="false" outlineLevel="0" collapsed="false">
      <c r="A25" s="32"/>
      <c r="B25" s="33"/>
      <c r="C25" s="33"/>
      <c r="D25" s="34"/>
      <c r="E25" s="35"/>
      <c r="F25" s="36"/>
      <c r="G25" s="37" t="str">
        <f aca="false">IF(OR(C25="",D25=""),"",D25*IF(E25="",IFERROR(INDEX(Ürünler!$C$5:$C$204,MATCH(C25,Ürünler!$A$5:$A$204,0)),0),E25))</f>
        <v/>
      </c>
      <c r="H25" s="33"/>
    </row>
    <row r="26" customFormat="false" ht="15" hidden="false" customHeight="false" outlineLevel="0" collapsed="false">
      <c r="A26" s="32"/>
      <c r="B26" s="33"/>
      <c r="C26" s="33"/>
      <c r="D26" s="34"/>
      <c r="E26" s="35"/>
      <c r="F26" s="36"/>
      <c r="G26" s="37" t="str">
        <f aca="false">IF(OR(C26="",D26=""),"",D26*IF(E26="",IFERROR(INDEX(Ürünler!$C$5:$C$204,MATCH(C26,Ürünler!$A$5:$A$204,0)),0),E26))</f>
        <v/>
      </c>
      <c r="H26" s="33"/>
    </row>
    <row r="27" customFormat="false" ht="15" hidden="false" customHeight="false" outlineLevel="0" collapsed="false">
      <c r="A27" s="32"/>
      <c r="B27" s="33"/>
      <c r="C27" s="33"/>
      <c r="D27" s="34"/>
      <c r="E27" s="35"/>
      <c r="F27" s="36"/>
      <c r="G27" s="37" t="str">
        <f aca="false">IF(OR(C27="",D27=""),"",D27*IF(E27="",IFERROR(INDEX(Ürünler!$C$5:$C$204,MATCH(C27,Ürünler!$A$5:$A$204,0)),0),E27))</f>
        <v/>
      </c>
      <c r="H27" s="33"/>
    </row>
    <row r="28" customFormat="false" ht="15" hidden="false" customHeight="false" outlineLevel="0" collapsed="false">
      <c r="A28" s="32"/>
      <c r="B28" s="33"/>
      <c r="C28" s="33"/>
      <c r="D28" s="34"/>
      <c r="E28" s="35"/>
      <c r="F28" s="36"/>
      <c r="G28" s="37" t="str">
        <f aca="false">IF(OR(C28="",D28=""),"",D28*IF(E28="",IFERROR(INDEX(Ürünler!$C$5:$C$204,MATCH(C28,Ürünler!$A$5:$A$204,0)),0),E28))</f>
        <v/>
      </c>
      <c r="H28" s="33"/>
    </row>
    <row r="29" customFormat="false" ht="15" hidden="false" customHeight="false" outlineLevel="0" collapsed="false">
      <c r="A29" s="32"/>
      <c r="B29" s="33"/>
      <c r="C29" s="33"/>
      <c r="D29" s="34"/>
      <c r="E29" s="35"/>
      <c r="F29" s="36"/>
      <c r="G29" s="37" t="str">
        <f aca="false">IF(OR(C29="",D29=""),"",D29*IF(E29="",IFERROR(INDEX(Ürünler!$C$5:$C$204,MATCH(C29,Ürünler!$A$5:$A$204,0)),0),E29))</f>
        <v/>
      </c>
      <c r="H29" s="33"/>
    </row>
    <row r="30" customFormat="false" ht="15" hidden="false" customHeight="false" outlineLevel="0" collapsed="false">
      <c r="A30" s="32"/>
      <c r="B30" s="33"/>
      <c r="C30" s="33"/>
      <c r="D30" s="34"/>
      <c r="E30" s="35"/>
      <c r="F30" s="36"/>
      <c r="G30" s="37" t="str">
        <f aca="false">IF(OR(C30="",D30=""),"",D30*IF(E30="",IFERROR(INDEX(Ürünler!$C$5:$C$204,MATCH(C30,Ürünler!$A$5:$A$204,0)),0),E30))</f>
        <v/>
      </c>
      <c r="H30" s="33"/>
    </row>
    <row r="31" customFormat="false" ht="15" hidden="false" customHeight="false" outlineLevel="0" collapsed="false">
      <c r="A31" s="32"/>
      <c r="B31" s="33"/>
      <c r="C31" s="33"/>
      <c r="D31" s="34"/>
      <c r="E31" s="35"/>
      <c r="F31" s="36"/>
      <c r="G31" s="37" t="str">
        <f aca="false">IF(OR(C31="",D31=""),"",D31*IF(E31="",IFERROR(INDEX(Ürünler!$C$5:$C$204,MATCH(C31,Ürünler!$A$5:$A$204,0)),0),E31))</f>
        <v/>
      </c>
      <c r="H31" s="33"/>
    </row>
    <row r="32" customFormat="false" ht="15" hidden="false" customHeight="false" outlineLevel="0" collapsed="false">
      <c r="A32" s="32"/>
      <c r="B32" s="33"/>
      <c r="C32" s="33"/>
      <c r="D32" s="34"/>
      <c r="E32" s="35"/>
      <c r="F32" s="36"/>
      <c r="G32" s="37" t="str">
        <f aca="false">IF(OR(C32="",D32=""),"",D32*IF(E32="",IFERROR(INDEX(Ürünler!$C$5:$C$204,MATCH(C32,Ürünler!$A$5:$A$204,0)),0),E32))</f>
        <v/>
      </c>
      <c r="H32" s="33"/>
    </row>
    <row r="33" customFormat="false" ht="15" hidden="false" customHeight="false" outlineLevel="0" collapsed="false">
      <c r="A33" s="32"/>
      <c r="B33" s="33"/>
      <c r="C33" s="33"/>
      <c r="D33" s="34"/>
      <c r="E33" s="35"/>
      <c r="F33" s="36"/>
      <c r="G33" s="37" t="str">
        <f aca="false">IF(OR(C33="",D33=""),"",D33*IF(E33="",IFERROR(INDEX(Ürünler!$C$5:$C$204,MATCH(C33,Ürünler!$A$5:$A$204,0)),0),E33))</f>
        <v/>
      </c>
      <c r="H33" s="33"/>
    </row>
    <row r="34" customFormat="false" ht="15" hidden="false" customHeight="false" outlineLevel="0" collapsed="false">
      <c r="A34" s="32"/>
      <c r="B34" s="33"/>
      <c r="C34" s="33"/>
      <c r="D34" s="34"/>
      <c r="E34" s="35"/>
      <c r="F34" s="36"/>
      <c r="G34" s="37" t="str">
        <f aca="false">IF(OR(C34="",D34=""),"",D34*IF(E34="",IFERROR(INDEX(Ürünler!$C$5:$C$204,MATCH(C34,Ürünler!$A$5:$A$204,0)),0),E34))</f>
        <v/>
      </c>
      <c r="H34" s="33"/>
    </row>
    <row r="35" customFormat="false" ht="15" hidden="false" customHeight="false" outlineLevel="0" collapsed="false">
      <c r="A35" s="32"/>
      <c r="B35" s="33"/>
      <c r="C35" s="33"/>
      <c r="D35" s="34"/>
      <c r="E35" s="35"/>
      <c r="F35" s="36"/>
      <c r="G35" s="37" t="str">
        <f aca="false">IF(OR(C35="",D35=""),"",D35*IF(E35="",IFERROR(INDEX(Ürünler!$C$5:$C$204,MATCH(C35,Ürünler!$A$5:$A$204,0)),0),E35))</f>
        <v/>
      </c>
      <c r="H35" s="33"/>
    </row>
    <row r="36" customFormat="false" ht="15" hidden="false" customHeight="false" outlineLevel="0" collapsed="false">
      <c r="A36" s="32"/>
      <c r="B36" s="33"/>
      <c r="C36" s="33"/>
      <c r="D36" s="34"/>
      <c r="E36" s="35"/>
      <c r="F36" s="36"/>
      <c r="G36" s="37" t="str">
        <f aca="false">IF(OR(C36="",D36=""),"",D36*IF(E36="",IFERROR(INDEX(Ürünler!$C$5:$C$204,MATCH(C36,Ürünler!$A$5:$A$204,0)),0),E36))</f>
        <v/>
      </c>
      <c r="H36" s="33"/>
    </row>
    <row r="37" customFormat="false" ht="15" hidden="false" customHeight="false" outlineLevel="0" collapsed="false">
      <c r="A37" s="32"/>
      <c r="B37" s="33"/>
      <c r="C37" s="33"/>
      <c r="D37" s="34"/>
      <c r="E37" s="35"/>
      <c r="F37" s="36"/>
      <c r="G37" s="37" t="str">
        <f aca="false">IF(OR(C37="",D37=""),"",D37*IF(E37="",IFERROR(INDEX(Ürünler!$C$5:$C$204,MATCH(C37,Ürünler!$A$5:$A$204,0)),0),E37))</f>
        <v/>
      </c>
      <c r="H37" s="33"/>
    </row>
    <row r="38" customFormat="false" ht="15" hidden="false" customHeight="false" outlineLevel="0" collapsed="false">
      <c r="A38" s="32"/>
      <c r="B38" s="33"/>
      <c r="C38" s="33"/>
      <c r="D38" s="34"/>
      <c r="E38" s="35"/>
      <c r="F38" s="36"/>
      <c r="G38" s="37" t="str">
        <f aca="false">IF(OR(C38="",D38=""),"",D38*IF(E38="",IFERROR(INDEX(Ürünler!$C$5:$C$204,MATCH(C38,Ürünler!$A$5:$A$204,0)),0),E38))</f>
        <v/>
      </c>
      <c r="H38" s="33"/>
    </row>
    <row r="39" customFormat="false" ht="15" hidden="false" customHeight="false" outlineLevel="0" collapsed="false">
      <c r="A39" s="32"/>
      <c r="B39" s="33"/>
      <c r="C39" s="33"/>
      <c r="D39" s="34"/>
      <c r="E39" s="35"/>
      <c r="F39" s="36"/>
      <c r="G39" s="37" t="str">
        <f aca="false">IF(OR(C39="",D39=""),"",D39*IF(E39="",IFERROR(INDEX(Ürünler!$C$5:$C$204,MATCH(C39,Ürünler!$A$5:$A$204,0)),0),E39))</f>
        <v/>
      </c>
      <c r="H39" s="33"/>
    </row>
    <row r="40" customFormat="false" ht="15" hidden="false" customHeight="false" outlineLevel="0" collapsed="false">
      <c r="A40" s="32"/>
      <c r="B40" s="33"/>
      <c r="C40" s="33"/>
      <c r="D40" s="34"/>
      <c r="E40" s="35"/>
      <c r="F40" s="36"/>
      <c r="G40" s="37" t="str">
        <f aca="false">IF(OR(C40="",D40=""),"",D40*IF(E40="",IFERROR(INDEX(Ürünler!$C$5:$C$204,MATCH(C40,Ürünler!$A$5:$A$204,0)),0),E40))</f>
        <v/>
      </c>
      <c r="H40" s="33"/>
    </row>
    <row r="41" customFormat="false" ht="15" hidden="false" customHeight="false" outlineLevel="0" collapsed="false">
      <c r="A41" s="32"/>
      <c r="B41" s="33"/>
      <c r="C41" s="33"/>
      <c r="D41" s="34"/>
      <c r="E41" s="35"/>
      <c r="F41" s="36"/>
      <c r="G41" s="37" t="str">
        <f aca="false">IF(OR(C41="",D41=""),"",D41*IF(E41="",IFERROR(INDEX(Ürünler!$C$5:$C$204,MATCH(C41,Ürünler!$A$5:$A$204,0)),0),E41))</f>
        <v/>
      </c>
      <c r="H41" s="33"/>
    </row>
    <row r="42" customFormat="false" ht="15" hidden="false" customHeight="false" outlineLevel="0" collapsed="false">
      <c r="A42" s="32"/>
      <c r="B42" s="33"/>
      <c r="C42" s="33"/>
      <c r="D42" s="34"/>
      <c r="E42" s="35"/>
      <c r="F42" s="36"/>
      <c r="G42" s="37" t="str">
        <f aca="false">IF(OR(C42="",D42=""),"",D42*IF(E42="",IFERROR(INDEX(Ürünler!$C$5:$C$204,MATCH(C42,Ürünler!$A$5:$A$204,0)),0),E42))</f>
        <v/>
      </c>
      <c r="H42" s="33"/>
    </row>
    <row r="43" customFormat="false" ht="15" hidden="false" customHeight="false" outlineLevel="0" collapsed="false">
      <c r="A43" s="32"/>
      <c r="B43" s="33"/>
      <c r="C43" s="33"/>
      <c r="D43" s="34"/>
      <c r="E43" s="35"/>
      <c r="F43" s="36"/>
      <c r="G43" s="37" t="str">
        <f aca="false">IF(OR(C43="",D43=""),"",D43*IF(E43="",IFERROR(INDEX(Ürünler!$C$5:$C$204,MATCH(C43,Ürünler!$A$5:$A$204,0)),0),E43))</f>
        <v/>
      </c>
      <c r="H43" s="33"/>
    </row>
    <row r="44" customFormat="false" ht="15" hidden="false" customHeight="false" outlineLevel="0" collapsed="false">
      <c r="A44" s="32"/>
      <c r="B44" s="33"/>
      <c r="C44" s="33"/>
      <c r="D44" s="34"/>
      <c r="E44" s="35"/>
      <c r="F44" s="36"/>
      <c r="G44" s="37" t="str">
        <f aca="false">IF(OR(C44="",D44=""),"",D44*IF(E44="",IFERROR(INDEX(Ürünler!$C$5:$C$204,MATCH(C44,Ürünler!$A$5:$A$204,0)),0),E44))</f>
        <v/>
      </c>
      <c r="H44" s="33"/>
    </row>
    <row r="45" customFormat="false" ht="15" hidden="false" customHeight="false" outlineLevel="0" collapsed="false">
      <c r="A45" s="32"/>
      <c r="B45" s="33"/>
      <c r="C45" s="33"/>
      <c r="D45" s="34"/>
      <c r="E45" s="35"/>
      <c r="F45" s="36"/>
      <c r="G45" s="37" t="str">
        <f aca="false">IF(OR(C45="",D45=""),"",D45*IF(E45="",IFERROR(INDEX(Ürünler!$C$5:$C$204,MATCH(C45,Ürünler!$A$5:$A$204,0)),0),E45))</f>
        <v/>
      </c>
      <c r="H45" s="33"/>
    </row>
    <row r="46" customFormat="false" ht="15" hidden="false" customHeight="false" outlineLevel="0" collapsed="false">
      <c r="A46" s="32"/>
      <c r="B46" s="33"/>
      <c r="C46" s="33"/>
      <c r="D46" s="34"/>
      <c r="E46" s="35"/>
      <c r="F46" s="36"/>
      <c r="G46" s="37" t="str">
        <f aca="false">IF(OR(C46="",D46=""),"",D46*IF(E46="",IFERROR(INDEX(Ürünler!$C$5:$C$204,MATCH(C46,Ürünler!$A$5:$A$204,0)),0),E46))</f>
        <v/>
      </c>
      <c r="H46" s="33"/>
    </row>
    <row r="47" customFormat="false" ht="15" hidden="false" customHeight="false" outlineLevel="0" collapsed="false">
      <c r="A47" s="32"/>
      <c r="B47" s="33"/>
      <c r="C47" s="33"/>
      <c r="D47" s="34"/>
      <c r="E47" s="35"/>
      <c r="F47" s="36"/>
      <c r="G47" s="37" t="str">
        <f aca="false">IF(OR(C47="",D47=""),"",D47*IF(E47="",IFERROR(INDEX(Ürünler!$C$5:$C$204,MATCH(C47,Ürünler!$A$5:$A$204,0)),0),E47))</f>
        <v/>
      </c>
      <c r="H47" s="33"/>
    </row>
    <row r="48" customFormat="false" ht="15" hidden="false" customHeight="false" outlineLevel="0" collapsed="false">
      <c r="A48" s="32"/>
      <c r="B48" s="33"/>
      <c r="C48" s="33"/>
      <c r="D48" s="34"/>
      <c r="E48" s="35"/>
      <c r="F48" s="36"/>
      <c r="G48" s="37" t="str">
        <f aca="false">IF(OR(C48="",D48=""),"",D48*IF(E48="",IFERROR(INDEX(Ürünler!$C$5:$C$204,MATCH(C48,Ürünler!$A$5:$A$204,0)),0),E48))</f>
        <v/>
      </c>
      <c r="H48" s="33"/>
    </row>
    <row r="49" customFormat="false" ht="15" hidden="false" customHeight="false" outlineLevel="0" collapsed="false">
      <c r="A49" s="32"/>
      <c r="B49" s="33"/>
      <c r="C49" s="33"/>
      <c r="D49" s="34"/>
      <c r="E49" s="35"/>
      <c r="F49" s="36"/>
      <c r="G49" s="37" t="str">
        <f aca="false">IF(OR(C49="",D49=""),"",D49*IF(E49="",IFERROR(INDEX(Ürünler!$C$5:$C$204,MATCH(C49,Ürünler!$A$5:$A$204,0)),0),E49))</f>
        <v/>
      </c>
      <c r="H49" s="33"/>
    </row>
    <row r="50" customFormat="false" ht="15" hidden="false" customHeight="false" outlineLevel="0" collapsed="false">
      <c r="A50" s="32"/>
      <c r="B50" s="33"/>
      <c r="C50" s="33"/>
      <c r="D50" s="34"/>
      <c r="E50" s="35"/>
      <c r="F50" s="36"/>
      <c r="G50" s="37" t="str">
        <f aca="false">IF(OR(C50="",D50=""),"",D50*IF(E50="",IFERROR(INDEX(Ürünler!$C$5:$C$204,MATCH(C50,Ürünler!$A$5:$A$204,0)),0),E50))</f>
        <v/>
      </c>
      <c r="H50" s="33"/>
    </row>
    <row r="51" customFormat="false" ht="15" hidden="false" customHeight="false" outlineLevel="0" collapsed="false">
      <c r="A51" s="32"/>
      <c r="B51" s="33"/>
      <c r="C51" s="33"/>
      <c r="D51" s="34"/>
      <c r="E51" s="35"/>
      <c r="F51" s="36"/>
      <c r="G51" s="37" t="str">
        <f aca="false">IF(OR(C51="",D51=""),"",D51*IF(E51="",IFERROR(INDEX(Ürünler!$C$5:$C$204,MATCH(C51,Ürünler!$A$5:$A$204,0)),0),E51))</f>
        <v/>
      </c>
      <c r="H51" s="33"/>
    </row>
    <row r="52" customFormat="false" ht="15" hidden="false" customHeight="false" outlineLevel="0" collapsed="false">
      <c r="A52" s="32"/>
      <c r="B52" s="33"/>
      <c r="C52" s="33"/>
      <c r="D52" s="34"/>
      <c r="E52" s="35"/>
      <c r="F52" s="36"/>
      <c r="G52" s="37" t="str">
        <f aca="false">IF(OR(C52="",D52=""),"",D52*IF(E52="",IFERROR(INDEX(Ürünler!$C$5:$C$204,MATCH(C52,Ürünler!$A$5:$A$204,0)),0),E52))</f>
        <v/>
      </c>
      <c r="H52" s="33"/>
    </row>
    <row r="53" customFormat="false" ht="15" hidden="false" customHeight="false" outlineLevel="0" collapsed="false">
      <c r="A53" s="32"/>
      <c r="B53" s="33"/>
      <c r="C53" s="33"/>
      <c r="D53" s="34"/>
      <c r="E53" s="35"/>
      <c r="F53" s="36"/>
      <c r="G53" s="37" t="str">
        <f aca="false">IF(OR(C53="",D53=""),"",D53*IF(E53="",IFERROR(INDEX(Ürünler!$C$5:$C$204,MATCH(C53,Ürünler!$A$5:$A$204,0)),0),E53))</f>
        <v/>
      </c>
      <c r="H53" s="33"/>
    </row>
    <row r="54" customFormat="false" ht="15" hidden="false" customHeight="false" outlineLevel="0" collapsed="false">
      <c r="A54" s="32"/>
      <c r="B54" s="33"/>
      <c r="C54" s="33"/>
      <c r="D54" s="34"/>
      <c r="E54" s="35"/>
      <c r="F54" s="36"/>
      <c r="G54" s="37" t="str">
        <f aca="false">IF(OR(C54="",D54=""),"",D54*IF(E54="",IFERROR(INDEX(Ürünler!$C$5:$C$204,MATCH(C54,Ürünler!$A$5:$A$204,0)),0),E54))</f>
        <v/>
      </c>
      <c r="H54" s="33"/>
    </row>
    <row r="55" customFormat="false" ht="15" hidden="false" customHeight="false" outlineLevel="0" collapsed="false">
      <c r="A55" s="32"/>
      <c r="B55" s="33"/>
      <c r="C55" s="33"/>
      <c r="D55" s="34"/>
      <c r="E55" s="35"/>
      <c r="F55" s="36"/>
      <c r="G55" s="37" t="str">
        <f aca="false">IF(OR(C55="",D55=""),"",D55*IF(E55="",IFERROR(INDEX(Ürünler!$C$5:$C$204,MATCH(C55,Ürünler!$A$5:$A$204,0)),0),E55))</f>
        <v/>
      </c>
      <c r="H55" s="33"/>
    </row>
    <row r="56" customFormat="false" ht="15" hidden="false" customHeight="false" outlineLevel="0" collapsed="false">
      <c r="A56" s="32"/>
      <c r="B56" s="33"/>
      <c r="C56" s="33"/>
      <c r="D56" s="34"/>
      <c r="E56" s="35"/>
      <c r="F56" s="36"/>
      <c r="G56" s="37" t="str">
        <f aca="false">IF(OR(C56="",D56=""),"",D56*IF(E56="",IFERROR(INDEX(Ürünler!$C$5:$C$204,MATCH(C56,Ürünler!$A$5:$A$204,0)),0),E56))</f>
        <v/>
      </c>
      <c r="H56" s="33"/>
    </row>
    <row r="57" customFormat="false" ht="15" hidden="false" customHeight="false" outlineLevel="0" collapsed="false">
      <c r="A57" s="32"/>
      <c r="B57" s="33"/>
      <c r="C57" s="33"/>
      <c r="D57" s="34"/>
      <c r="E57" s="35"/>
      <c r="F57" s="36"/>
      <c r="G57" s="37" t="str">
        <f aca="false">IF(OR(C57="",D57=""),"",D57*IF(E57="",IFERROR(INDEX(Ürünler!$C$5:$C$204,MATCH(C57,Ürünler!$A$5:$A$204,0)),0),E57))</f>
        <v/>
      </c>
      <c r="H57" s="33"/>
    </row>
    <row r="58" customFormat="false" ht="15" hidden="false" customHeight="false" outlineLevel="0" collapsed="false">
      <c r="A58" s="32"/>
      <c r="B58" s="33"/>
      <c r="C58" s="33"/>
      <c r="D58" s="34"/>
      <c r="E58" s="35"/>
      <c r="F58" s="36"/>
      <c r="G58" s="37" t="str">
        <f aca="false">IF(OR(C58="",D58=""),"",D58*IF(E58="",IFERROR(INDEX(Ürünler!$C$5:$C$204,MATCH(C58,Ürünler!$A$5:$A$204,0)),0),E58))</f>
        <v/>
      </c>
      <c r="H58" s="33"/>
    </row>
    <row r="59" customFormat="false" ht="15" hidden="false" customHeight="false" outlineLevel="0" collapsed="false">
      <c r="A59" s="32"/>
      <c r="B59" s="33"/>
      <c r="C59" s="33"/>
      <c r="D59" s="34"/>
      <c r="E59" s="35"/>
      <c r="F59" s="36"/>
      <c r="G59" s="37" t="str">
        <f aca="false">IF(OR(C59="",D59=""),"",D59*IF(E59="",IFERROR(INDEX(Ürünler!$C$5:$C$204,MATCH(C59,Ürünler!$A$5:$A$204,0)),0),E59))</f>
        <v/>
      </c>
      <c r="H59" s="33"/>
    </row>
    <row r="60" customFormat="false" ht="15" hidden="false" customHeight="false" outlineLevel="0" collapsed="false">
      <c r="A60" s="32"/>
      <c r="B60" s="33"/>
      <c r="C60" s="33"/>
      <c r="D60" s="34"/>
      <c r="E60" s="35"/>
      <c r="F60" s="36"/>
      <c r="G60" s="37" t="str">
        <f aca="false">IF(OR(C60="",D60=""),"",D60*IF(E60="",IFERROR(INDEX(Ürünler!$C$5:$C$204,MATCH(C60,Ürünler!$A$5:$A$204,0)),0),E60))</f>
        <v/>
      </c>
      <c r="H60" s="33"/>
    </row>
    <row r="61" customFormat="false" ht="15" hidden="false" customHeight="false" outlineLevel="0" collapsed="false">
      <c r="A61" s="32"/>
      <c r="B61" s="33"/>
      <c r="C61" s="33"/>
      <c r="D61" s="34"/>
      <c r="E61" s="35"/>
      <c r="F61" s="36"/>
      <c r="G61" s="37" t="str">
        <f aca="false">IF(OR(C61="",D61=""),"",D61*IF(E61="",IFERROR(INDEX(Ürünler!$C$5:$C$204,MATCH(C61,Ürünler!$A$5:$A$204,0)),0),E61))</f>
        <v/>
      </c>
      <c r="H61" s="33"/>
    </row>
    <row r="62" customFormat="false" ht="15" hidden="false" customHeight="false" outlineLevel="0" collapsed="false">
      <c r="A62" s="32"/>
      <c r="B62" s="33"/>
      <c r="C62" s="33"/>
      <c r="D62" s="34"/>
      <c r="E62" s="35"/>
      <c r="F62" s="36"/>
      <c r="G62" s="37" t="str">
        <f aca="false">IF(OR(C62="",D62=""),"",D62*IF(E62="",IFERROR(INDEX(Ürünler!$C$5:$C$204,MATCH(C62,Ürünler!$A$5:$A$204,0)),0),E62))</f>
        <v/>
      </c>
      <c r="H62" s="33"/>
    </row>
    <row r="63" customFormat="false" ht="15" hidden="false" customHeight="false" outlineLevel="0" collapsed="false">
      <c r="A63" s="32"/>
      <c r="B63" s="33"/>
      <c r="C63" s="33"/>
      <c r="D63" s="34"/>
      <c r="E63" s="35"/>
      <c r="F63" s="36"/>
      <c r="G63" s="37" t="str">
        <f aca="false">IF(OR(C63="",D63=""),"",D63*IF(E63="",IFERROR(INDEX(Ürünler!$C$5:$C$204,MATCH(C63,Ürünler!$A$5:$A$204,0)),0),E63))</f>
        <v/>
      </c>
      <c r="H63" s="33"/>
    </row>
    <row r="64" customFormat="false" ht="15" hidden="false" customHeight="false" outlineLevel="0" collapsed="false">
      <c r="A64" s="32"/>
      <c r="B64" s="33"/>
      <c r="C64" s="33"/>
      <c r="D64" s="34"/>
      <c r="E64" s="35"/>
      <c r="F64" s="36"/>
      <c r="G64" s="37" t="str">
        <f aca="false">IF(OR(C64="",D64=""),"",D64*IF(E64="",IFERROR(INDEX(Ürünler!$C$5:$C$204,MATCH(C64,Ürünler!$A$5:$A$204,0)),0),E64))</f>
        <v/>
      </c>
      <c r="H64" s="33"/>
    </row>
    <row r="65" customFormat="false" ht="15" hidden="false" customHeight="false" outlineLevel="0" collapsed="false">
      <c r="A65" s="32"/>
      <c r="B65" s="33"/>
      <c r="C65" s="33"/>
      <c r="D65" s="34"/>
      <c r="E65" s="35"/>
      <c r="F65" s="36"/>
      <c r="G65" s="37" t="str">
        <f aca="false">IF(OR(C65="",D65=""),"",D65*IF(E65="",IFERROR(INDEX(Ürünler!$C$5:$C$204,MATCH(C65,Ürünler!$A$5:$A$204,0)),0),E65))</f>
        <v/>
      </c>
      <c r="H65" s="33"/>
    </row>
    <row r="66" customFormat="false" ht="15" hidden="false" customHeight="false" outlineLevel="0" collapsed="false">
      <c r="A66" s="32"/>
      <c r="B66" s="33"/>
      <c r="C66" s="33"/>
      <c r="D66" s="34"/>
      <c r="E66" s="35"/>
      <c r="F66" s="36"/>
      <c r="G66" s="37" t="str">
        <f aca="false">IF(OR(C66="",D66=""),"",D66*IF(E66="",IFERROR(INDEX(Ürünler!$C$5:$C$204,MATCH(C66,Ürünler!$A$5:$A$204,0)),0),E66))</f>
        <v/>
      </c>
      <c r="H66" s="33"/>
    </row>
    <row r="67" customFormat="false" ht="15" hidden="false" customHeight="false" outlineLevel="0" collapsed="false">
      <c r="A67" s="32"/>
      <c r="B67" s="33"/>
      <c r="C67" s="33"/>
      <c r="D67" s="34"/>
      <c r="E67" s="35"/>
      <c r="F67" s="36"/>
      <c r="G67" s="37" t="str">
        <f aca="false">IF(OR(C67="",D67=""),"",D67*IF(E67="",IFERROR(INDEX(Ürünler!$C$5:$C$204,MATCH(C67,Ürünler!$A$5:$A$204,0)),0),E67))</f>
        <v/>
      </c>
      <c r="H67" s="33"/>
    </row>
    <row r="68" customFormat="false" ht="15" hidden="false" customHeight="false" outlineLevel="0" collapsed="false">
      <c r="A68" s="32"/>
      <c r="B68" s="33"/>
      <c r="C68" s="33"/>
      <c r="D68" s="34"/>
      <c r="E68" s="35"/>
      <c r="F68" s="36"/>
      <c r="G68" s="37" t="str">
        <f aca="false">IF(OR(C68="",D68=""),"",D68*IF(E68="",IFERROR(INDEX(Ürünler!$C$5:$C$204,MATCH(C68,Ürünler!$A$5:$A$204,0)),0),E68))</f>
        <v/>
      </c>
      <c r="H68" s="33"/>
    </row>
    <row r="69" customFormat="false" ht="15" hidden="false" customHeight="false" outlineLevel="0" collapsed="false">
      <c r="A69" s="32"/>
      <c r="B69" s="33"/>
      <c r="C69" s="33"/>
      <c r="D69" s="34"/>
      <c r="E69" s="35"/>
      <c r="F69" s="36"/>
      <c r="G69" s="37" t="str">
        <f aca="false">IF(OR(C69="",D69=""),"",D69*IF(E69="",IFERROR(INDEX(Ürünler!$C$5:$C$204,MATCH(C69,Ürünler!$A$5:$A$204,0)),0),E69))</f>
        <v/>
      </c>
      <c r="H69" s="33"/>
    </row>
    <row r="70" customFormat="false" ht="15" hidden="false" customHeight="false" outlineLevel="0" collapsed="false">
      <c r="A70" s="32"/>
      <c r="B70" s="33"/>
      <c r="C70" s="33"/>
      <c r="D70" s="34"/>
      <c r="E70" s="35"/>
      <c r="F70" s="36"/>
      <c r="G70" s="37" t="str">
        <f aca="false">IF(OR(C70="",D70=""),"",D70*IF(E70="",IFERROR(INDEX(Ürünler!$C$5:$C$204,MATCH(C70,Ürünler!$A$5:$A$204,0)),0),E70))</f>
        <v/>
      </c>
      <c r="H70" s="33"/>
    </row>
    <row r="71" customFormat="false" ht="15" hidden="false" customHeight="false" outlineLevel="0" collapsed="false">
      <c r="A71" s="32"/>
      <c r="B71" s="33"/>
      <c r="C71" s="33"/>
      <c r="D71" s="34"/>
      <c r="E71" s="35"/>
      <c r="F71" s="36"/>
      <c r="G71" s="37" t="str">
        <f aca="false">IF(OR(C71="",D71=""),"",D71*IF(E71="",IFERROR(INDEX(Ürünler!$C$5:$C$204,MATCH(C71,Ürünler!$A$5:$A$204,0)),0),E71))</f>
        <v/>
      </c>
      <c r="H71" s="33"/>
    </row>
    <row r="72" customFormat="false" ht="15" hidden="false" customHeight="false" outlineLevel="0" collapsed="false">
      <c r="A72" s="32"/>
      <c r="B72" s="33"/>
      <c r="C72" s="33"/>
      <c r="D72" s="34"/>
      <c r="E72" s="35"/>
      <c r="F72" s="36"/>
      <c r="G72" s="37" t="str">
        <f aca="false">IF(OR(C72="",D72=""),"",D72*IF(E72="",IFERROR(INDEX(Ürünler!$C$5:$C$204,MATCH(C72,Ürünler!$A$5:$A$204,0)),0),E72))</f>
        <v/>
      </c>
      <c r="H72" s="33"/>
    </row>
    <row r="73" customFormat="false" ht="15" hidden="false" customHeight="false" outlineLevel="0" collapsed="false">
      <c r="A73" s="32"/>
      <c r="B73" s="33"/>
      <c r="C73" s="33"/>
      <c r="D73" s="34"/>
      <c r="E73" s="35"/>
      <c r="F73" s="36"/>
      <c r="G73" s="37" t="str">
        <f aca="false">IF(OR(C73="",D73=""),"",D73*IF(E73="",IFERROR(INDEX(Ürünler!$C$5:$C$204,MATCH(C73,Ürünler!$A$5:$A$204,0)),0),E73))</f>
        <v/>
      </c>
      <c r="H73" s="33"/>
    </row>
    <row r="74" customFormat="false" ht="15" hidden="false" customHeight="false" outlineLevel="0" collapsed="false">
      <c r="A74" s="32"/>
      <c r="B74" s="33"/>
      <c r="C74" s="33"/>
      <c r="D74" s="34"/>
      <c r="E74" s="35"/>
      <c r="F74" s="36"/>
      <c r="G74" s="37" t="str">
        <f aca="false">IF(OR(C74="",D74=""),"",D74*IF(E74="",IFERROR(INDEX(Ürünler!$C$5:$C$204,MATCH(C74,Ürünler!$A$5:$A$204,0)),0),E74))</f>
        <v/>
      </c>
      <c r="H74" s="33"/>
    </row>
    <row r="75" customFormat="false" ht="15" hidden="false" customHeight="false" outlineLevel="0" collapsed="false">
      <c r="A75" s="32"/>
      <c r="B75" s="33"/>
      <c r="C75" s="33"/>
      <c r="D75" s="34"/>
      <c r="E75" s="35"/>
      <c r="F75" s="36"/>
      <c r="G75" s="37" t="str">
        <f aca="false">IF(OR(C75="",D75=""),"",D75*IF(E75="",IFERROR(INDEX(Ürünler!$C$5:$C$204,MATCH(C75,Ürünler!$A$5:$A$204,0)),0),E75))</f>
        <v/>
      </c>
      <c r="H75" s="33"/>
    </row>
    <row r="76" customFormat="false" ht="15" hidden="false" customHeight="false" outlineLevel="0" collapsed="false">
      <c r="A76" s="32"/>
      <c r="B76" s="33"/>
      <c r="C76" s="33"/>
      <c r="D76" s="34"/>
      <c r="E76" s="35"/>
      <c r="F76" s="36"/>
      <c r="G76" s="37" t="str">
        <f aca="false">IF(OR(C76="",D76=""),"",D76*IF(E76="",IFERROR(INDEX(Ürünler!$C$5:$C$204,MATCH(C76,Ürünler!$A$5:$A$204,0)),0),E76))</f>
        <v/>
      </c>
      <c r="H76" s="33"/>
    </row>
    <row r="77" customFormat="false" ht="15" hidden="false" customHeight="false" outlineLevel="0" collapsed="false">
      <c r="A77" s="32"/>
      <c r="B77" s="33"/>
      <c r="C77" s="33"/>
      <c r="D77" s="34"/>
      <c r="E77" s="35"/>
      <c r="F77" s="36"/>
      <c r="G77" s="37" t="str">
        <f aca="false">IF(OR(C77="",D77=""),"",D77*IF(E77="",IFERROR(INDEX(Ürünler!$C$5:$C$204,MATCH(C77,Ürünler!$A$5:$A$204,0)),0),E77))</f>
        <v/>
      </c>
      <c r="H77" s="33"/>
    </row>
    <row r="78" customFormat="false" ht="15" hidden="false" customHeight="false" outlineLevel="0" collapsed="false">
      <c r="A78" s="32"/>
      <c r="B78" s="33"/>
      <c r="C78" s="33"/>
      <c r="D78" s="34"/>
      <c r="E78" s="35"/>
      <c r="F78" s="36"/>
      <c r="G78" s="37" t="str">
        <f aca="false">IF(OR(C78="",D78=""),"",D78*IF(E78="",IFERROR(INDEX(Ürünler!$C$5:$C$204,MATCH(C78,Ürünler!$A$5:$A$204,0)),0),E78))</f>
        <v/>
      </c>
      <c r="H78" s="33"/>
    </row>
    <row r="79" customFormat="false" ht="15" hidden="false" customHeight="false" outlineLevel="0" collapsed="false">
      <c r="A79" s="32"/>
      <c r="B79" s="33"/>
      <c r="C79" s="33"/>
      <c r="D79" s="34"/>
      <c r="E79" s="35"/>
      <c r="F79" s="36"/>
      <c r="G79" s="37" t="str">
        <f aca="false">IF(OR(C79="",D79=""),"",D79*IF(E79="",IFERROR(INDEX(Ürünler!$C$5:$C$204,MATCH(C79,Ürünler!$A$5:$A$204,0)),0),E79))</f>
        <v/>
      </c>
      <c r="H79" s="33"/>
    </row>
    <row r="80" customFormat="false" ht="15" hidden="false" customHeight="false" outlineLevel="0" collapsed="false">
      <c r="A80" s="32"/>
      <c r="B80" s="33"/>
      <c r="C80" s="33"/>
      <c r="D80" s="34"/>
      <c r="E80" s="35"/>
      <c r="F80" s="36"/>
      <c r="G80" s="37" t="str">
        <f aca="false">IF(OR(C80="",D80=""),"",D80*IF(E80="",IFERROR(INDEX(Ürünler!$C$5:$C$204,MATCH(C80,Ürünler!$A$5:$A$204,0)),0),E80))</f>
        <v/>
      </c>
      <c r="H80" s="33"/>
    </row>
    <row r="81" customFormat="false" ht="15" hidden="false" customHeight="false" outlineLevel="0" collapsed="false">
      <c r="A81" s="32"/>
      <c r="B81" s="33"/>
      <c r="C81" s="33"/>
      <c r="D81" s="34"/>
      <c r="E81" s="35"/>
      <c r="F81" s="36"/>
      <c r="G81" s="37" t="str">
        <f aca="false">IF(OR(C81="",D81=""),"",D81*IF(E81="",IFERROR(INDEX(Ürünler!$C$5:$C$204,MATCH(C81,Ürünler!$A$5:$A$204,0)),0),E81))</f>
        <v/>
      </c>
      <c r="H81" s="33"/>
    </row>
    <row r="82" customFormat="false" ht="15" hidden="false" customHeight="false" outlineLevel="0" collapsed="false">
      <c r="A82" s="32"/>
      <c r="B82" s="33"/>
      <c r="C82" s="33"/>
      <c r="D82" s="34"/>
      <c r="E82" s="35"/>
      <c r="F82" s="36"/>
      <c r="G82" s="37" t="str">
        <f aca="false">IF(OR(C82="",D82=""),"",D82*IF(E82="",IFERROR(INDEX(Ürünler!$C$5:$C$204,MATCH(C82,Ürünler!$A$5:$A$204,0)),0),E82))</f>
        <v/>
      </c>
      <c r="H82" s="33"/>
    </row>
    <row r="83" customFormat="false" ht="15" hidden="false" customHeight="false" outlineLevel="0" collapsed="false">
      <c r="A83" s="32"/>
      <c r="B83" s="33"/>
      <c r="C83" s="33"/>
      <c r="D83" s="34"/>
      <c r="E83" s="35"/>
      <c r="F83" s="36"/>
      <c r="G83" s="37" t="str">
        <f aca="false">IF(OR(C83="",D83=""),"",D83*IF(E83="",IFERROR(INDEX(Ürünler!$C$5:$C$204,MATCH(C83,Ürünler!$A$5:$A$204,0)),0),E83))</f>
        <v/>
      </c>
      <c r="H83" s="33"/>
    </row>
    <row r="84" customFormat="false" ht="15" hidden="false" customHeight="false" outlineLevel="0" collapsed="false">
      <c r="A84" s="32"/>
      <c r="B84" s="33"/>
      <c r="C84" s="33"/>
      <c r="D84" s="34"/>
      <c r="E84" s="35"/>
      <c r="F84" s="36"/>
      <c r="G84" s="37" t="str">
        <f aca="false">IF(OR(C84="",D84=""),"",D84*IF(E84="",IFERROR(INDEX(Ürünler!$C$5:$C$204,MATCH(C84,Ürünler!$A$5:$A$204,0)),0),E84))</f>
        <v/>
      </c>
      <c r="H84" s="33"/>
    </row>
    <row r="85" customFormat="false" ht="15" hidden="false" customHeight="false" outlineLevel="0" collapsed="false">
      <c r="A85" s="32"/>
      <c r="B85" s="33"/>
      <c r="C85" s="33"/>
      <c r="D85" s="34"/>
      <c r="E85" s="35"/>
      <c r="F85" s="36"/>
      <c r="G85" s="37" t="str">
        <f aca="false">IF(OR(C85="",D85=""),"",D85*IF(E85="",IFERROR(INDEX(Ürünler!$C$5:$C$204,MATCH(C85,Ürünler!$A$5:$A$204,0)),0),E85))</f>
        <v/>
      </c>
      <c r="H85" s="33"/>
    </row>
    <row r="86" customFormat="false" ht="15" hidden="false" customHeight="false" outlineLevel="0" collapsed="false">
      <c r="A86" s="32"/>
      <c r="B86" s="33"/>
      <c r="C86" s="33"/>
      <c r="D86" s="34"/>
      <c r="E86" s="35"/>
      <c r="F86" s="36"/>
      <c r="G86" s="37" t="str">
        <f aca="false">IF(OR(C86="",D86=""),"",D86*IF(E86="",IFERROR(INDEX(Ürünler!$C$5:$C$204,MATCH(C86,Ürünler!$A$5:$A$204,0)),0),E86))</f>
        <v/>
      </c>
      <c r="H86" s="33"/>
    </row>
    <row r="87" customFormat="false" ht="15" hidden="false" customHeight="false" outlineLevel="0" collapsed="false">
      <c r="A87" s="32"/>
      <c r="B87" s="33"/>
      <c r="C87" s="33"/>
      <c r="D87" s="34"/>
      <c r="E87" s="35"/>
      <c r="F87" s="36"/>
      <c r="G87" s="37" t="str">
        <f aca="false">IF(OR(C87="",D87=""),"",D87*IF(E87="",IFERROR(INDEX(Ürünler!$C$5:$C$204,MATCH(C87,Ürünler!$A$5:$A$204,0)),0),E87))</f>
        <v/>
      </c>
      <c r="H87" s="33"/>
    </row>
    <row r="88" customFormat="false" ht="15" hidden="false" customHeight="false" outlineLevel="0" collapsed="false">
      <c r="A88" s="32"/>
      <c r="B88" s="33"/>
      <c r="C88" s="33"/>
      <c r="D88" s="34"/>
      <c r="E88" s="35"/>
      <c r="F88" s="36"/>
      <c r="G88" s="37" t="str">
        <f aca="false">IF(OR(C88="",D88=""),"",D88*IF(E88="",IFERROR(INDEX(Ürünler!$C$5:$C$204,MATCH(C88,Ürünler!$A$5:$A$204,0)),0),E88))</f>
        <v/>
      </c>
      <c r="H88" s="33"/>
    </row>
    <row r="89" customFormat="false" ht="15" hidden="false" customHeight="false" outlineLevel="0" collapsed="false">
      <c r="A89" s="32"/>
      <c r="B89" s="33"/>
      <c r="C89" s="33"/>
      <c r="D89" s="34"/>
      <c r="E89" s="35"/>
      <c r="F89" s="36"/>
      <c r="G89" s="37" t="str">
        <f aca="false">IF(OR(C89="",D89=""),"",D89*IF(E89="",IFERROR(INDEX(Ürünler!$C$5:$C$204,MATCH(C89,Ürünler!$A$5:$A$204,0)),0),E89))</f>
        <v/>
      </c>
      <c r="H89" s="33"/>
    </row>
    <row r="90" customFormat="false" ht="15" hidden="false" customHeight="false" outlineLevel="0" collapsed="false">
      <c r="A90" s="32"/>
      <c r="B90" s="33"/>
      <c r="C90" s="33"/>
      <c r="D90" s="34"/>
      <c r="E90" s="35"/>
      <c r="F90" s="36"/>
      <c r="G90" s="37" t="str">
        <f aca="false">IF(OR(C90="",D90=""),"",D90*IF(E90="",IFERROR(INDEX(Ürünler!$C$5:$C$204,MATCH(C90,Ürünler!$A$5:$A$204,0)),0),E90))</f>
        <v/>
      </c>
      <c r="H90" s="33"/>
    </row>
    <row r="91" customFormat="false" ht="15" hidden="false" customHeight="false" outlineLevel="0" collapsed="false">
      <c r="A91" s="32"/>
      <c r="B91" s="33"/>
      <c r="C91" s="33"/>
      <c r="D91" s="34"/>
      <c r="E91" s="35"/>
      <c r="F91" s="36"/>
      <c r="G91" s="37" t="str">
        <f aca="false">IF(OR(C91="",D91=""),"",D91*IF(E91="",IFERROR(INDEX(Ürünler!$C$5:$C$204,MATCH(C91,Ürünler!$A$5:$A$204,0)),0),E91))</f>
        <v/>
      </c>
      <c r="H91" s="33"/>
    </row>
    <row r="92" customFormat="false" ht="15" hidden="false" customHeight="false" outlineLevel="0" collapsed="false">
      <c r="A92" s="32"/>
      <c r="B92" s="33"/>
      <c r="C92" s="33"/>
      <c r="D92" s="34"/>
      <c r="E92" s="35"/>
      <c r="F92" s="36"/>
      <c r="G92" s="37" t="str">
        <f aca="false">IF(OR(C92="",D92=""),"",D92*IF(E92="",IFERROR(INDEX(Ürünler!$C$5:$C$204,MATCH(C92,Ürünler!$A$5:$A$204,0)),0),E92))</f>
        <v/>
      </c>
      <c r="H92" s="33"/>
    </row>
    <row r="93" customFormat="false" ht="15" hidden="false" customHeight="false" outlineLevel="0" collapsed="false">
      <c r="A93" s="32"/>
      <c r="B93" s="33"/>
      <c r="C93" s="33"/>
      <c r="D93" s="34"/>
      <c r="E93" s="35"/>
      <c r="F93" s="36"/>
      <c r="G93" s="37" t="str">
        <f aca="false">IF(OR(C93="",D93=""),"",D93*IF(E93="",IFERROR(INDEX(Ürünler!$C$5:$C$204,MATCH(C93,Ürünler!$A$5:$A$204,0)),0),E93))</f>
        <v/>
      </c>
      <c r="H93" s="33"/>
    </row>
    <row r="94" customFormat="false" ht="15" hidden="false" customHeight="false" outlineLevel="0" collapsed="false">
      <c r="A94" s="32"/>
      <c r="B94" s="33"/>
      <c r="C94" s="33"/>
      <c r="D94" s="34"/>
      <c r="E94" s="35"/>
      <c r="F94" s="36"/>
      <c r="G94" s="37" t="str">
        <f aca="false">IF(OR(C94="",D94=""),"",D94*IF(E94="",IFERROR(INDEX(Ürünler!$C$5:$C$204,MATCH(C94,Ürünler!$A$5:$A$204,0)),0),E94))</f>
        <v/>
      </c>
      <c r="H94" s="33"/>
    </row>
    <row r="95" customFormat="false" ht="15" hidden="false" customHeight="false" outlineLevel="0" collapsed="false">
      <c r="A95" s="32"/>
      <c r="B95" s="33"/>
      <c r="C95" s="33"/>
      <c r="D95" s="34"/>
      <c r="E95" s="35"/>
      <c r="F95" s="36"/>
      <c r="G95" s="37" t="str">
        <f aca="false">IF(OR(C95="",D95=""),"",D95*IF(E95="",IFERROR(INDEX(Ürünler!$C$5:$C$204,MATCH(C95,Ürünler!$A$5:$A$204,0)),0),E95))</f>
        <v/>
      </c>
      <c r="H95" s="33"/>
    </row>
    <row r="96" customFormat="false" ht="15" hidden="false" customHeight="false" outlineLevel="0" collapsed="false">
      <c r="A96" s="32"/>
      <c r="B96" s="33"/>
      <c r="C96" s="33"/>
      <c r="D96" s="34"/>
      <c r="E96" s="35"/>
      <c r="F96" s="36"/>
      <c r="G96" s="37" t="str">
        <f aca="false">IF(OR(C96="",D96=""),"",D96*IF(E96="",IFERROR(INDEX(Ürünler!$C$5:$C$204,MATCH(C96,Ürünler!$A$5:$A$204,0)),0),E96))</f>
        <v/>
      </c>
      <c r="H96" s="33"/>
    </row>
    <row r="97" customFormat="false" ht="15" hidden="false" customHeight="false" outlineLevel="0" collapsed="false">
      <c r="A97" s="32"/>
      <c r="B97" s="33"/>
      <c r="C97" s="33"/>
      <c r="D97" s="34"/>
      <c r="E97" s="35"/>
      <c r="F97" s="36"/>
      <c r="G97" s="37" t="str">
        <f aca="false">IF(OR(C97="",D97=""),"",D97*IF(E97="",IFERROR(INDEX(Ürünler!$C$5:$C$204,MATCH(C97,Ürünler!$A$5:$A$204,0)),0),E97))</f>
        <v/>
      </c>
      <c r="H97" s="33"/>
    </row>
    <row r="98" customFormat="false" ht="15" hidden="false" customHeight="false" outlineLevel="0" collapsed="false">
      <c r="A98" s="32"/>
      <c r="B98" s="33"/>
      <c r="C98" s="33"/>
      <c r="D98" s="34"/>
      <c r="E98" s="35"/>
      <c r="F98" s="36"/>
      <c r="G98" s="37" t="str">
        <f aca="false">IF(OR(C98="",D98=""),"",D98*IF(E98="",IFERROR(INDEX(Ürünler!$C$5:$C$204,MATCH(C98,Ürünler!$A$5:$A$204,0)),0),E98))</f>
        <v/>
      </c>
      <c r="H98" s="33"/>
    </row>
    <row r="99" customFormat="false" ht="15" hidden="false" customHeight="false" outlineLevel="0" collapsed="false">
      <c r="A99" s="32"/>
      <c r="B99" s="33"/>
      <c r="C99" s="33"/>
      <c r="D99" s="34"/>
      <c r="E99" s="35"/>
      <c r="F99" s="36"/>
      <c r="G99" s="37" t="str">
        <f aca="false">IF(OR(C99="",D99=""),"",D99*IF(E99="",IFERROR(INDEX(Ürünler!$C$5:$C$204,MATCH(C99,Ürünler!$A$5:$A$204,0)),0),E99))</f>
        <v/>
      </c>
      <c r="H99" s="33"/>
    </row>
    <row r="100" customFormat="false" ht="15" hidden="false" customHeight="false" outlineLevel="0" collapsed="false">
      <c r="A100" s="32"/>
      <c r="B100" s="33"/>
      <c r="C100" s="33"/>
      <c r="D100" s="34"/>
      <c r="E100" s="35"/>
      <c r="F100" s="36"/>
      <c r="G100" s="37" t="str">
        <f aca="false">IF(OR(C100="",D100=""),"",D100*IF(E100="",IFERROR(INDEX(Ürünler!$C$5:$C$204,MATCH(C100,Ürünler!$A$5:$A$204,0)),0),E100))</f>
        <v/>
      </c>
      <c r="H100" s="33"/>
    </row>
    <row r="101" customFormat="false" ht="15" hidden="false" customHeight="false" outlineLevel="0" collapsed="false">
      <c r="A101" s="32"/>
      <c r="B101" s="33"/>
      <c r="C101" s="33"/>
      <c r="D101" s="34"/>
      <c r="E101" s="35"/>
      <c r="F101" s="36"/>
      <c r="G101" s="37" t="str">
        <f aca="false">IF(OR(C101="",D101=""),"",D101*IF(E101="",IFERROR(INDEX(Ürünler!$C$5:$C$204,MATCH(C101,Ürünler!$A$5:$A$204,0)),0),E101))</f>
        <v/>
      </c>
      <c r="H101" s="33"/>
    </row>
    <row r="102" customFormat="false" ht="15" hidden="false" customHeight="false" outlineLevel="0" collapsed="false">
      <c r="A102" s="32"/>
      <c r="B102" s="33"/>
      <c r="C102" s="33"/>
      <c r="D102" s="34"/>
      <c r="E102" s="35"/>
      <c r="F102" s="36"/>
      <c r="G102" s="37" t="str">
        <f aca="false">IF(OR(C102="",D102=""),"",D102*IF(E102="",IFERROR(INDEX(Ürünler!$C$5:$C$204,MATCH(C102,Ürünler!$A$5:$A$204,0)),0),E102))</f>
        <v/>
      </c>
      <c r="H102" s="33"/>
    </row>
    <row r="103" customFormat="false" ht="15" hidden="false" customHeight="false" outlineLevel="0" collapsed="false">
      <c r="A103" s="32"/>
      <c r="B103" s="33"/>
      <c r="C103" s="33"/>
      <c r="D103" s="34"/>
      <c r="E103" s="35"/>
      <c r="F103" s="36"/>
      <c r="G103" s="37" t="str">
        <f aca="false">IF(OR(C103="",D103=""),"",D103*IF(E103="",IFERROR(INDEX(Ürünler!$C$5:$C$204,MATCH(C103,Ürünler!$A$5:$A$204,0)),0),E103))</f>
        <v/>
      </c>
      <c r="H103" s="33"/>
    </row>
    <row r="104" customFormat="false" ht="15" hidden="false" customHeight="false" outlineLevel="0" collapsed="false">
      <c r="A104" s="32"/>
      <c r="B104" s="33"/>
      <c r="C104" s="33"/>
      <c r="D104" s="34"/>
      <c r="E104" s="35"/>
      <c r="F104" s="36"/>
      <c r="G104" s="37" t="str">
        <f aca="false">IF(OR(C104="",D104=""),"",D104*IF(E104="",IFERROR(INDEX(Ürünler!$C$5:$C$204,MATCH(C104,Ürünler!$A$5:$A$204,0)),0),E104))</f>
        <v/>
      </c>
      <c r="H104" s="33"/>
    </row>
    <row r="105" customFormat="false" ht="15" hidden="false" customHeight="false" outlineLevel="0" collapsed="false">
      <c r="A105" s="32"/>
      <c r="B105" s="33"/>
      <c r="C105" s="33"/>
      <c r="D105" s="34"/>
      <c r="E105" s="35"/>
      <c r="F105" s="36"/>
      <c r="G105" s="37" t="str">
        <f aca="false">IF(OR(C105="",D105=""),"",D105*IF(E105="",IFERROR(INDEX(Ürünler!$C$5:$C$204,MATCH(C105,Ürünler!$A$5:$A$204,0)),0),E105))</f>
        <v/>
      </c>
      <c r="H105" s="33"/>
    </row>
    <row r="106" customFormat="false" ht="15" hidden="false" customHeight="false" outlineLevel="0" collapsed="false">
      <c r="A106" s="32"/>
      <c r="B106" s="33"/>
      <c r="C106" s="33"/>
      <c r="D106" s="34"/>
      <c r="E106" s="35"/>
      <c r="F106" s="36"/>
      <c r="G106" s="37" t="str">
        <f aca="false">IF(OR(C106="",D106=""),"",D106*IF(E106="",IFERROR(INDEX(Ürünler!$C$5:$C$204,MATCH(C106,Ürünler!$A$5:$A$204,0)),0),E106))</f>
        <v/>
      </c>
      <c r="H106" s="33"/>
    </row>
    <row r="107" customFormat="false" ht="15" hidden="false" customHeight="false" outlineLevel="0" collapsed="false">
      <c r="A107" s="32"/>
      <c r="B107" s="33"/>
      <c r="C107" s="33"/>
      <c r="D107" s="34"/>
      <c r="E107" s="35"/>
      <c r="F107" s="36"/>
      <c r="G107" s="37" t="str">
        <f aca="false">IF(OR(C107="",D107=""),"",D107*IF(E107="",IFERROR(INDEX(Ürünler!$C$5:$C$204,MATCH(C107,Ürünler!$A$5:$A$204,0)),0),E107))</f>
        <v/>
      </c>
      <c r="H107" s="33"/>
    </row>
    <row r="108" customFormat="false" ht="15" hidden="false" customHeight="false" outlineLevel="0" collapsed="false">
      <c r="A108" s="32"/>
      <c r="B108" s="33"/>
      <c r="C108" s="33"/>
      <c r="D108" s="34"/>
      <c r="E108" s="35"/>
      <c r="F108" s="36"/>
      <c r="G108" s="37" t="str">
        <f aca="false">IF(OR(C108="",D108=""),"",D108*IF(E108="",IFERROR(INDEX(Ürünler!$C$5:$C$204,MATCH(C108,Ürünler!$A$5:$A$204,0)),0),E108))</f>
        <v/>
      </c>
      <c r="H108" s="33"/>
    </row>
    <row r="109" customFormat="false" ht="15" hidden="false" customHeight="false" outlineLevel="0" collapsed="false">
      <c r="A109" s="32"/>
      <c r="B109" s="33"/>
      <c r="C109" s="33"/>
      <c r="D109" s="34"/>
      <c r="E109" s="35"/>
      <c r="F109" s="36"/>
      <c r="G109" s="37" t="str">
        <f aca="false">IF(OR(C109="",D109=""),"",D109*IF(E109="",IFERROR(INDEX(Ürünler!$C$5:$C$204,MATCH(C109,Ürünler!$A$5:$A$204,0)),0),E109))</f>
        <v/>
      </c>
      <c r="H109" s="33"/>
    </row>
    <row r="110" customFormat="false" ht="15" hidden="false" customHeight="false" outlineLevel="0" collapsed="false">
      <c r="A110" s="32"/>
      <c r="B110" s="33"/>
      <c r="C110" s="33"/>
      <c r="D110" s="34"/>
      <c r="E110" s="35"/>
      <c r="F110" s="36"/>
      <c r="G110" s="37" t="str">
        <f aca="false">IF(OR(C110="",D110=""),"",D110*IF(E110="",IFERROR(INDEX(Ürünler!$C$5:$C$204,MATCH(C110,Ürünler!$A$5:$A$204,0)),0),E110))</f>
        <v/>
      </c>
      <c r="H110" s="33"/>
    </row>
    <row r="111" customFormat="false" ht="15" hidden="false" customHeight="false" outlineLevel="0" collapsed="false">
      <c r="A111" s="32"/>
      <c r="B111" s="33"/>
      <c r="C111" s="33"/>
      <c r="D111" s="34"/>
      <c r="E111" s="35"/>
      <c r="F111" s="36"/>
      <c r="G111" s="37" t="str">
        <f aca="false">IF(OR(C111="",D111=""),"",D111*IF(E111="",IFERROR(INDEX(Ürünler!$C$5:$C$204,MATCH(C111,Ürünler!$A$5:$A$204,0)),0),E111))</f>
        <v/>
      </c>
      <c r="H111" s="33"/>
    </row>
    <row r="112" customFormat="false" ht="15" hidden="false" customHeight="false" outlineLevel="0" collapsed="false">
      <c r="A112" s="32"/>
      <c r="B112" s="33"/>
      <c r="C112" s="33"/>
      <c r="D112" s="34"/>
      <c r="E112" s="35"/>
      <c r="F112" s="36"/>
      <c r="G112" s="37" t="str">
        <f aca="false">IF(OR(C112="",D112=""),"",D112*IF(E112="",IFERROR(INDEX(Ürünler!$C$5:$C$204,MATCH(C112,Ürünler!$A$5:$A$204,0)),0),E112))</f>
        <v/>
      </c>
      <c r="H112" s="33"/>
    </row>
    <row r="113" customFormat="false" ht="15" hidden="false" customHeight="false" outlineLevel="0" collapsed="false">
      <c r="A113" s="32"/>
      <c r="B113" s="33"/>
      <c r="C113" s="33"/>
      <c r="D113" s="34"/>
      <c r="E113" s="35"/>
      <c r="F113" s="36"/>
      <c r="G113" s="37" t="str">
        <f aca="false">IF(OR(C113="",D113=""),"",D113*IF(E113="",IFERROR(INDEX(Ürünler!$C$5:$C$204,MATCH(C113,Ürünler!$A$5:$A$204,0)),0),E113))</f>
        <v/>
      </c>
      <c r="H113" s="33"/>
    </row>
    <row r="114" customFormat="false" ht="15" hidden="false" customHeight="false" outlineLevel="0" collapsed="false">
      <c r="A114" s="32"/>
      <c r="B114" s="33"/>
      <c r="C114" s="33"/>
      <c r="D114" s="34"/>
      <c r="E114" s="35"/>
      <c r="F114" s="36"/>
      <c r="G114" s="37" t="str">
        <f aca="false">IF(OR(C114="",D114=""),"",D114*IF(E114="",IFERROR(INDEX(Ürünler!$C$5:$C$204,MATCH(C114,Ürünler!$A$5:$A$204,0)),0),E114))</f>
        <v/>
      </c>
      <c r="H114" s="33"/>
    </row>
    <row r="115" customFormat="false" ht="15" hidden="false" customHeight="false" outlineLevel="0" collapsed="false">
      <c r="A115" s="32"/>
      <c r="B115" s="33"/>
      <c r="C115" s="33"/>
      <c r="D115" s="34"/>
      <c r="E115" s="35"/>
      <c r="F115" s="36"/>
      <c r="G115" s="37" t="str">
        <f aca="false">IF(OR(C115="",D115=""),"",D115*IF(E115="",IFERROR(INDEX(Ürünler!$C$5:$C$204,MATCH(C115,Ürünler!$A$5:$A$204,0)),0),E115))</f>
        <v/>
      </c>
      <c r="H115" s="33"/>
    </row>
    <row r="116" customFormat="false" ht="15" hidden="false" customHeight="false" outlineLevel="0" collapsed="false">
      <c r="A116" s="32"/>
      <c r="B116" s="33"/>
      <c r="C116" s="33"/>
      <c r="D116" s="34"/>
      <c r="E116" s="35"/>
      <c r="F116" s="36"/>
      <c r="G116" s="37" t="str">
        <f aca="false">IF(OR(C116="",D116=""),"",D116*IF(E116="",IFERROR(INDEX(Ürünler!$C$5:$C$204,MATCH(C116,Ürünler!$A$5:$A$204,0)),0),E116))</f>
        <v/>
      </c>
      <c r="H116" s="33"/>
    </row>
    <row r="117" customFormat="false" ht="15" hidden="false" customHeight="false" outlineLevel="0" collapsed="false">
      <c r="A117" s="32"/>
      <c r="B117" s="33"/>
      <c r="C117" s="33"/>
      <c r="D117" s="34"/>
      <c r="E117" s="35"/>
      <c r="F117" s="36"/>
      <c r="G117" s="37" t="str">
        <f aca="false">IF(OR(C117="",D117=""),"",D117*IF(E117="",IFERROR(INDEX(Ürünler!$C$5:$C$204,MATCH(C117,Ürünler!$A$5:$A$204,0)),0),E117))</f>
        <v/>
      </c>
      <c r="H117" s="33"/>
    </row>
    <row r="118" customFormat="false" ht="15" hidden="false" customHeight="false" outlineLevel="0" collapsed="false">
      <c r="A118" s="32"/>
      <c r="B118" s="33"/>
      <c r="C118" s="33"/>
      <c r="D118" s="34"/>
      <c r="E118" s="35"/>
      <c r="F118" s="36"/>
      <c r="G118" s="37" t="str">
        <f aca="false">IF(OR(C118="",D118=""),"",D118*IF(E118="",IFERROR(INDEX(Ürünler!$C$5:$C$204,MATCH(C118,Ürünler!$A$5:$A$204,0)),0),E118))</f>
        <v/>
      </c>
      <c r="H118" s="33"/>
    </row>
    <row r="119" customFormat="false" ht="15" hidden="false" customHeight="false" outlineLevel="0" collapsed="false">
      <c r="A119" s="32"/>
      <c r="B119" s="33"/>
      <c r="C119" s="33"/>
      <c r="D119" s="34"/>
      <c r="E119" s="35"/>
      <c r="F119" s="36"/>
      <c r="G119" s="37" t="str">
        <f aca="false">IF(OR(C119="",D119=""),"",D119*IF(E119="",IFERROR(INDEX(Ürünler!$C$5:$C$204,MATCH(C119,Ürünler!$A$5:$A$204,0)),0),E119))</f>
        <v/>
      </c>
      <c r="H119" s="33"/>
    </row>
    <row r="120" customFormat="false" ht="15" hidden="false" customHeight="false" outlineLevel="0" collapsed="false">
      <c r="A120" s="32"/>
      <c r="B120" s="33"/>
      <c r="C120" s="33"/>
      <c r="D120" s="34"/>
      <c r="E120" s="35"/>
      <c r="F120" s="36"/>
      <c r="G120" s="37" t="str">
        <f aca="false">IF(OR(C120="",D120=""),"",D120*IF(E120="",IFERROR(INDEX(Ürünler!$C$5:$C$204,MATCH(C120,Ürünler!$A$5:$A$204,0)),0),E120))</f>
        <v/>
      </c>
      <c r="H120" s="33"/>
    </row>
    <row r="121" customFormat="false" ht="15" hidden="false" customHeight="false" outlineLevel="0" collapsed="false">
      <c r="A121" s="32"/>
      <c r="B121" s="33"/>
      <c r="C121" s="33"/>
      <c r="D121" s="34"/>
      <c r="E121" s="35"/>
      <c r="F121" s="36"/>
      <c r="G121" s="37" t="str">
        <f aca="false">IF(OR(C121="",D121=""),"",D121*IF(E121="",IFERROR(INDEX(Ürünler!$C$5:$C$204,MATCH(C121,Ürünler!$A$5:$A$204,0)),0),E121))</f>
        <v/>
      </c>
      <c r="H121" s="33"/>
    </row>
    <row r="122" customFormat="false" ht="15" hidden="false" customHeight="false" outlineLevel="0" collapsed="false">
      <c r="A122" s="32"/>
      <c r="B122" s="33"/>
      <c r="C122" s="33"/>
      <c r="D122" s="34"/>
      <c r="E122" s="35"/>
      <c r="F122" s="36"/>
      <c r="G122" s="37" t="str">
        <f aca="false">IF(OR(C122="",D122=""),"",D122*IF(E122="",IFERROR(INDEX(Ürünler!$C$5:$C$204,MATCH(C122,Ürünler!$A$5:$A$204,0)),0),E122))</f>
        <v/>
      </c>
      <c r="H122" s="33"/>
    </row>
    <row r="123" customFormat="false" ht="15" hidden="false" customHeight="false" outlineLevel="0" collapsed="false">
      <c r="A123" s="32"/>
      <c r="B123" s="33"/>
      <c r="C123" s="33"/>
      <c r="D123" s="34"/>
      <c r="E123" s="35"/>
      <c r="F123" s="36"/>
      <c r="G123" s="37" t="str">
        <f aca="false">IF(OR(C123="",D123=""),"",D123*IF(E123="",IFERROR(INDEX(Ürünler!$C$5:$C$204,MATCH(C123,Ürünler!$A$5:$A$204,0)),0),E123))</f>
        <v/>
      </c>
      <c r="H123" s="33"/>
    </row>
    <row r="124" customFormat="false" ht="15" hidden="false" customHeight="false" outlineLevel="0" collapsed="false">
      <c r="A124" s="32"/>
      <c r="B124" s="33"/>
      <c r="C124" s="33"/>
      <c r="D124" s="34"/>
      <c r="E124" s="35"/>
      <c r="F124" s="36"/>
      <c r="G124" s="37" t="str">
        <f aca="false">IF(OR(C124="",D124=""),"",D124*IF(E124="",IFERROR(INDEX(Ürünler!$C$5:$C$204,MATCH(C124,Ürünler!$A$5:$A$204,0)),0),E124))</f>
        <v/>
      </c>
      <c r="H124" s="33"/>
    </row>
    <row r="125" customFormat="false" ht="15" hidden="false" customHeight="false" outlineLevel="0" collapsed="false">
      <c r="A125" s="32"/>
      <c r="B125" s="33"/>
      <c r="C125" s="33"/>
      <c r="D125" s="34"/>
      <c r="E125" s="35"/>
      <c r="F125" s="36"/>
      <c r="G125" s="37" t="str">
        <f aca="false">IF(OR(C125="",D125=""),"",D125*IF(E125="",IFERROR(INDEX(Ürünler!$C$5:$C$204,MATCH(C125,Ürünler!$A$5:$A$204,0)),0),E125))</f>
        <v/>
      </c>
      <c r="H125" s="33"/>
    </row>
    <row r="126" customFormat="false" ht="15" hidden="false" customHeight="false" outlineLevel="0" collapsed="false">
      <c r="A126" s="32"/>
      <c r="B126" s="33"/>
      <c r="C126" s="33"/>
      <c r="D126" s="34"/>
      <c r="E126" s="35"/>
      <c r="F126" s="36"/>
      <c r="G126" s="37" t="str">
        <f aca="false">IF(OR(C126="",D126=""),"",D126*IF(E126="",IFERROR(INDEX(Ürünler!$C$5:$C$204,MATCH(C126,Ürünler!$A$5:$A$204,0)),0),E126))</f>
        <v/>
      </c>
      <c r="H126" s="33"/>
    </row>
    <row r="127" customFormat="false" ht="15" hidden="false" customHeight="false" outlineLevel="0" collapsed="false">
      <c r="A127" s="32"/>
      <c r="B127" s="33"/>
      <c r="C127" s="33"/>
      <c r="D127" s="34"/>
      <c r="E127" s="35"/>
      <c r="F127" s="36"/>
      <c r="G127" s="37" t="str">
        <f aca="false">IF(OR(C127="",D127=""),"",D127*IF(E127="",IFERROR(INDEX(Ürünler!$C$5:$C$204,MATCH(C127,Ürünler!$A$5:$A$204,0)),0),E127))</f>
        <v/>
      </c>
      <c r="H127" s="33"/>
    </row>
    <row r="128" customFormat="false" ht="15" hidden="false" customHeight="false" outlineLevel="0" collapsed="false">
      <c r="A128" s="32"/>
      <c r="B128" s="33"/>
      <c r="C128" s="33"/>
      <c r="D128" s="34"/>
      <c r="E128" s="35"/>
      <c r="F128" s="36"/>
      <c r="G128" s="37" t="str">
        <f aca="false">IF(OR(C128="",D128=""),"",D128*IF(E128="",IFERROR(INDEX(Ürünler!$C$5:$C$204,MATCH(C128,Ürünler!$A$5:$A$204,0)),0),E128))</f>
        <v/>
      </c>
      <c r="H128" s="33"/>
    </row>
    <row r="129" customFormat="false" ht="15" hidden="false" customHeight="false" outlineLevel="0" collapsed="false">
      <c r="A129" s="32"/>
      <c r="B129" s="33"/>
      <c r="C129" s="33"/>
      <c r="D129" s="34"/>
      <c r="E129" s="35"/>
      <c r="F129" s="36"/>
      <c r="G129" s="37" t="str">
        <f aca="false">IF(OR(C129="",D129=""),"",D129*IF(E129="",IFERROR(INDEX(Ürünler!$C$5:$C$204,MATCH(C129,Ürünler!$A$5:$A$204,0)),0),E129))</f>
        <v/>
      </c>
      <c r="H129" s="33"/>
    </row>
    <row r="130" customFormat="false" ht="15" hidden="false" customHeight="false" outlineLevel="0" collapsed="false">
      <c r="A130" s="32"/>
      <c r="B130" s="33"/>
      <c r="C130" s="33"/>
      <c r="D130" s="34"/>
      <c r="E130" s="35"/>
      <c r="F130" s="36"/>
      <c r="G130" s="37" t="str">
        <f aca="false">IF(OR(C130="",D130=""),"",D130*IF(E130="",IFERROR(INDEX(Ürünler!$C$5:$C$204,MATCH(C130,Ürünler!$A$5:$A$204,0)),0),E130))</f>
        <v/>
      </c>
      <c r="H130" s="33"/>
    </row>
    <row r="131" customFormat="false" ht="15" hidden="false" customHeight="false" outlineLevel="0" collapsed="false">
      <c r="A131" s="32"/>
      <c r="B131" s="33"/>
      <c r="C131" s="33"/>
      <c r="D131" s="34"/>
      <c r="E131" s="35"/>
      <c r="F131" s="36"/>
      <c r="G131" s="37" t="str">
        <f aca="false">IF(OR(C131="",D131=""),"",D131*IF(E131="",IFERROR(INDEX(Ürünler!$C$5:$C$204,MATCH(C131,Ürünler!$A$5:$A$204,0)),0),E131))</f>
        <v/>
      </c>
      <c r="H131" s="33"/>
    </row>
    <row r="132" customFormat="false" ht="15" hidden="false" customHeight="false" outlineLevel="0" collapsed="false">
      <c r="A132" s="32"/>
      <c r="B132" s="33"/>
      <c r="C132" s="33"/>
      <c r="D132" s="34"/>
      <c r="E132" s="35"/>
      <c r="F132" s="36"/>
      <c r="G132" s="37" t="str">
        <f aca="false">IF(OR(C132="",D132=""),"",D132*IF(E132="",IFERROR(INDEX(Ürünler!$C$5:$C$204,MATCH(C132,Ürünler!$A$5:$A$204,0)),0),E132))</f>
        <v/>
      </c>
      <c r="H132" s="33"/>
    </row>
    <row r="133" customFormat="false" ht="15" hidden="false" customHeight="false" outlineLevel="0" collapsed="false">
      <c r="A133" s="32"/>
      <c r="B133" s="33"/>
      <c r="C133" s="33"/>
      <c r="D133" s="34"/>
      <c r="E133" s="35"/>
      <c r="F133" s="36"/>
      <c r="G133" s="37" t="str">
        <f aca="false">IF(OR(C133="",D133=""),"",D133*IF(E133="",IFERROR(INDEX(Ürünler!$C$5:$C$204,MATCH(C133,Ürünler!$A$5:$A$204,0)),0),E133))</f>
        <v/>
      </c>
      <c r="H133" s="33"/>
    </row>
    <row r="134" customFormat="false" ht="15" hidden="false" customHeight="false" outlineLevel="0" collapsed="false">
      <c r="A134" s="32"/>
      <c r="B134" s="33"/>
      <c r="C134" s="33"/>
      <c r="D134" s="34"/>
      <c r="E134" s="35"/>
      <c r="F134" s="36"/>
      <c r="G134" s="37" t="str">
        <f aca="false">IF(OR(C134="",D134=""),"",D134*IF(E134="",IFERROR(INDEX(Ürünler!$C$5:$C$204,MATCH(C134,Ürünler!$A$5:$A$204,0)),0),E134))</f>
        <v/>
      </c>
      <c r="H134" s="33"/>
    </row>
    <row r="135" customFormat="false" ht="15" hidden="false" customHeight="false" outlineLevel="0" collapsed="false">
      <c r="A135" s="32"/>
      <c r="B135" s="33"/>
      <c r="C135" s="33"/>
      <c r="D135" s="34"/>
      <c r="E135" s="35"/>
      <c r="F135" s="36"/>
      <c r="G135" s="37" t="str">
        <f aca="false">IF(OR(C135="",D135=""),"",D135*IF(E135="",IFERROR(INDEX(Ürünler!$C$5:$C$204,MATCH(C135,Ürünler!$A$5:$A$204,0)),0),E135))</f>
        <v/>
      </c>
      <c r="H135" s="33"/>
    </row>
    <row r="136" customFormat="false" ht="15" hidden="false" customHeight="false" outlineLevel="0" collapsed="false">
      <c r="A136" s="32"/>
      <c r="B136" s="33"/>
      <c r="C136" s="33"/>
      <c r="D136" s="34"/>
      <c r="E136" s="35"/>
      <c r="F136" s="36"/>
      <c r="G136" s="37" t="str">
        <f aca="false">IF(OR(C136="",D136=""),"",D136*IF(E136="",IFERROR(INDEX(Ürünler!$C$5:$C$204,MATCH(C136,Ürünler!$A$5:$A$204,0)),0),E136))</f>
        <v/>
      </c>
      <c r="H136" s="33"/>
    </row>
    <row r="137" customFormat="false" ht="15" hidden="false" customHeight="false" outlineLevel="0" collapsed="false">
      <c r="A137" s="32"/>
      <c r="B137" s="33"/>
      <c r="C137" s="33"/>
      <c r="D137" s="34"/>
      <c r="E137" s="35"/>
      <c r="F137" s="36"/>
      <c r="G137" s="37" t="str">
        <f aca="false">IF(OR(C137="",D137=""),"",D137*IF(E137="",IFERROR(INDEX(Ürünler!$C$5:$C$204,MATCH(C137,Ürünler!$A$5:$A$204,0)),0),E137))</f>
        <v/>
      </c>
      <c r="H137" s="33"/>
    </row>
    <row r="138" customFormat="false" ht="15" hidden="false" customHeight="false" outlineLevel="0" collapsed="false">
      <c r="A138" s="32"/>
      <c r="B138" s="33"/>
      <c r="C138" s="33"/>
      <c r="D138" s="34"/>
      <c r="E138" s="35"/>
      <c r="F138" s="36"/>
      <c r="G138" s="37" t="str">
        <f aca="false">IF(OR(C138="",D138=""),"",D138*IF(E138="",IFERROR(INDEX(Ürünler!$C$5:$C$204,MATCH(C138,Ürünler!$A$5:$A$204,0)),0),E138))</f>
        <v/>
      </c>
      <c r="H138" s="33"/>
    </row>
    <row r="139" customFormat="false" ht="15" hidden="false" customHeight="false" outlineLevel="0" collapsed="false">
      <c r="A139" s="32"/>
      <c r="B139" s="33"/>
      <c r="C139" s="33"/>
      <c r="D139" s="34"/>
      <c r="E139" s="35"/>
      <c r="F139" s="36"/>
      <c r="G139" s="37" t="str">
        <f aca="false">IF(OR(C139="",D139=""),"",D139*IF(E139="",IFERROR(INDEX(Ürünler!$C$5:$C$204,MATCH(C139,Ürünler!$A$5:$A$204,0)),0),E139))</f>
        <v/>
      </c>
      <c r="H139" s="33"/>
    </row>
    <row r="140" customFormat="false" ht="15" hidden="false" customHeight="false" outlineLevel="0" collapsed="false">
      <c r="A140" s="32"/>
      <c r="B140" s="33"/>
      <c r="C140" s="33"/>
      <c r="D140" s="34"/>
      <c r="E140" s="35"/>
      <c r="F140" s="36"/>
      <c r="G140" s="37" t="str">
        <f aca="false">IF(OR(C140="",D140=""),"",D140*IF(E140="",IFERROR(INDEX(Ürünler!$C$5:$C$204,MATCH(C140,Ürünler!$A$5:$A$204,0)),0),E140))</f>
        <v/>
      </c>
      <c r="H140" s="33"/>
    </row>
    <row r="141" customFormat="false" ht="15" hidden="false" customHeight="false" outlineLevel="0" collapsed="false">
      <c r="A141" s="32"/>
      <c r="B141" s="33"/>
      <c r="C141" s="33"/>
      <c r="D141" s="34"/>
      <c r="E141" s="35"/>
      <c r="F141" s="36"/>
      <c r="G141" s="37" t="str">
        <f aca="false">IF(OR(C141="",D141=""),"",D141*IF(E141="",IFERROR(INDEX(Ürünler!$C$5:$C$204,MATCH(C141,Ürünler!$A$5:$A$204,0)),0),E141))</f>
        <v/>
      </c>
      <c r="H141" s="33"/>
    </row>
    <row r="142" customFormat="false" ht="15" hidden="false" customHeight="false" outlineLevel="0" collapsed="false">
      <c r="A142" s="32"/>
      <c r="B142" s="33"/>
      <c r="C142" s="33"/>
      <c r="D142" s="34"/>
      <c r="E142" s="35"/>
      <c r="F142" s="36"/>
      <c r="G142" s="37" t="str">
        <f aca="false">IF(OR(C142="",D142=""),"",D142*IF(E142="",IFERROR(INDEX(Ürünler!$C$5:$C$204,MATCH(C142,Ürünler!$A$5:$A$204,0)),0),E142))</f>
        <v/>
      </c>
      <c r="H142" s="33"/>
    </row>
    <row r="143" customFormat="false" ht="15" hidden="false" customHeight="false" outlineLevel="0" collapsed="false">
      <c r="A143" s="32"/>
      <c r="B143" s="33"/>
      <c r="C143" s="33"/>
      <c r="D143" s="34"/>
      <c r="E143" s="35"/>
      <c r="F143" s="36"/>
      <c r="G143" s="37" t="str">
        <f aca="false">IF(OR(C143="",D143=""),"",D143*IF(E143="",IFERROR(INDEX(Ürünler!$C$5:$C$204,MATCH(C143,Ürünler!$A$5:$A$204,0)),0),E143))</f>
        <v/>
      </c>
      <c r="H143" s="33"/>
    </row>
    <row r="144" customFormat="false" ht="15" hidden="false" customHeight="false" outlineLevel="0" collapsed="false">
      <c r="A144" s="32"/>
      <c r="B144" s="33"/>
      <c r="C144" s="33"/>
      <c r="D144" s="34"/>
      <c r="E144" s="35"/>
      <c r="F144" s="36"/>
      <c r="G144" s="37" t="str">
        <f aca="false">IF(OR(C144="",D144=""),"",D144*IF(E144="",IFERROR(INDEX(Ürünler!$C$5:$C$204,MATCH(C144,Ürünler!$A$5:$A$204,0)),0),E144))</f>
        <v/>
      </c>
      <c r="H144" s="33"/>
    </row>
    <row r="145" customFormat="false" ht="15" hidden="false" customHeight="false" outlineLevel="0" collapsed="false">
      <c r="A145" s="32"/>
      <c r="B145" s="33"/>
      <c r="C145" s="33"/>
      <c r="D145" s="34"/>
      <c r="E145" s="35"/>
      <c r="F145" s="36"/>
      <c r="G145" s="37" t="str">
        <f aca="false">IF(OR(C145="",D145=""),"",D145*IF(E145="",IFERROR(INDEX(Ürünler!$C$5:$C$204,MATCH(C145,Ürünler!$A$5:$A$204,0)),0),E145))</f>
        <v/>
      </c>
      <c r="H145" s="33"/>
    </row>
    <row r="146" customFormat="false" ht="15" hidden="false" customHeight="false" outlineLevel="0" collapsed="false">
      <c r="A146" s="32"/>
      <c r="B146" s="33"/>
      <c r="C146" s="33"/>
      <c r="D146" s="34"/>
      <c r="E146" s="35"/>
      <c r="F146" s="36"/>
      <c r="G146" s="37" t="str">
        <f aca="false">IF(OR(C146="",D146=""),"",D146*IF(E146="",IFERROR(INDEX(Ürünler!$C$5:$C$204,MATCH(C146,Ürünler!$A$5:$A$204,0)),0),E146))</f>
        <v/>
      </c>
      <c r="H146" s="33"/>
    </row>
    <row r="147" customFormat="false" ht="15" hidden="false" customHeight="false" outlineLevel="0" collapsed="false">
      <c r="A147" s="32"/>
      <c r="B147" s="33"/>
      <c r="C147" s="33"/>
      <c r="D147" s="34"/>
      <c r="E147" s="35"/>
      <c r="F147" s="36"/>
      <c r="G147" s="37" t="str">
        <f aca="false">IF(OR(C147="",D147=""),"",D147*IF(E147="",IFERROR(INDEX(Ürünler!$C$5:$C$204,MATCH(C147,Ürünler!$A$5:$A$204,0)),0),E147))</f>
        <v/>
      </c>
      <c r="H147" s="33"/>
    </row>
    <row r="148" customFormat="false" ht="15" hidden="false" customHeight="false" outlineLevel="0" collapsed="false">
      <c r="A148" s="32"/>
      <c r="B148" s="33"/>
      <c r="C148" s="33"/>
      <c r="D148" s="34"/>
      <c r="E148" s="35"/>
      <c r="F148" s="36"/>
      <c r="G148" s="37" t="str">
        <f aca="false">IF(OR(C148="",D148=""),"",D148*IF(E148="",IFERROR(INDEX(Ürünler!$C$5:$C$204,MATCH(C148,Ürünler!$A$5:$A$204,0)),0),E148))</f>
        <v/>
      </c>
      <c r="H148" s="33"/>
    </row>
    <row r="149" customFormat="false" ht="15" hidden="false" customHeight="false" outlineLevel="0" collapsed="false">
      <c r="A149" s="32"/>
      <c r="B149" s="33"/>
      <c r="C149" s="33"/>
      <c r="D149" s="34"/>
      <c r="E149" s="35"/>
      <c r="F149" s="36"/>
      <c r="G149" s="37" t="str">
        <f aca="false">IF(OR(C149="",D149=""),"",D149*IF(E149="",IFERROR(INDEX(Ürünler!$C$5:$C$204,MATCH(C149,Ürünler!$A$5:$A$204,0)),0),E149))</f>
        <v/>
      </c>
      <c r="H149" s="33"/>
    </row>
    <row r="150" customFormat="false" ht="15" hidden="false" customHeight="false" outlineLevel="0" collapsed="false">
      <c r="A150" s="32"/>
      <c r="B150" s="33"/>
      <c r="C150" s="33"/>
      <c r="D150" s="34"/>
      <c r="E150" s="35"/>
      <c r="F150" s="36"/>
      <c r="G150" s="37" t="str">
        <f aca="false">IF(OR(C150="",D150=""),"",D150*IF(E150="",IFERROR(INDEX(Ürünler!$C$5:$C$204,MATCH(C150,Ürünler!$A$5:$A$204,0)),0),E150))</f>
        <v/>
      </c>
      <c r="H150" s="33"/>
    </row>
    <row r="151" customFormat="false" ht="15" hidden="false" customHeight="false" outlineLevel="0" collapsed="false">
      <c r="A151" s="32"/>
      <c r="B151" s="33"/>
      <c r="C151" s="33"/>
      <c r="D151" s="34"/>
      <c r="E151" s="35"/>
      <c r="F151" s="36"/>
      <c r="G151" s="37" t="str">
        <f aca="false">IF(OR(C151="",D151=""),"",D151*IF(E151="",IFERROR(INDEX(Ürünler!$C$5:$C$204,MATCH(C151,Ürünler!$A$5:$A$204,0)),0),E151))</f>
        <v/>
      </c>
      <c r="H151" s="33"/>
    </row>
    <row r="152" customFormat="false" ht="15" hidden="false" customHeight="false" outlineLevel="0" collapsed="false">
      <c r="A152" s="32"/>
      <c r="B152" s="33"/>
      <c r="C152" s="33"/>
      <c r="D152" s="34"/>
      <c r="E152" s="35"/>
      <c r="F152" s="36"/>
      <c r="G152" s="37" t="str">
        <f aca="false">IF(OR(C152="",D152=""),"",D152*IF(E152="",IFERROR(INDEX(Ürünler!$C$5:$C$204,MATCH(C152,Ürünler!$A$5:$A$204,0)),0),E152))</f>
        <v/>
      </c>
      <c r="H152" s="33"/>
    </row>
    <row r="153" customFormat="false" ht="15" hidden="false" customHeight="false" outlineLevel="0" collapsed="false">
      <c r="A153" s="32"/>
      <c r="B153" s="33"/>
      <c r="C153" s="33"/>
      <c r="D153" s="34"/>
      <c r="E153" s="35"/>
      <c r="F153" s="36"/>
      <c r="G153" s="37" t="str">
        <f aca="false">IF(OR(C153="",D153=""),"",D153*IF(E153="",IFERROR(INDEX(Ürünler!$C$5:$C$204,MATCH(C153,Ürünler!$A$5:$A$204,0)),0),E153))</f>
        <v/>
      </c>
      <c r="H153" s="33"/>
    </row>
    <row r="154" customFormat="false" ht="15" hidden="false" customHeight="false" outlineLevel="0" collapsed="false">
      <c r="A154" s="32"/>
      <c r="B154" s="33"/>
      <c r="C154" s="33"/>
      <c r="D154" s="34"/>
      <c r="E154" s="35"/>
      <c r="F154" s="36"/>
      <c r="G154" s="37" t="str">
        <f aca="false">IF(OR(C154="",D154=""),"",D154*IF(E154="",IFERROR(INDEX(Ürünler!$C$5:$C$204,MATCH(C154,Ürünler!$A$5:$A$204,0)),0),E154))</f>
        <v/>
      </c>
      <c r="H154" s="33"/>
    </row>
    <row r="155" customFormat="false" ht="15" hidden="false" customHeight="false" outlineLevel="0" collapsed="false">
      <c r="A155" s="32"/>
      <c r="B155" s="33"/>
      <c r="C155" s="33"/>
      <c r="D155" s="34"/>
      <c r="E155" s="35"/>
      <c r="F155" s="36"/>
      <c r="G155" s="37" t="str">
        <f aca="false">IF(OR(C155="",D155=""),"",D155*IF(E155="",IFERROR(INDEX(Ürünler!$C$5:$C$204,MATCH(C155,Ürünler!$A$5:$A$204,0)),0),E155))</f>
        <v/>
      </c>
      <c r="H155" s="33"/>
    </row>
    <row r="156" customFormat="false" ht="15" hidden="false" customHeight="false" outlineLevel="0" collapsed="false">
      <c r="A156" s="32"/>
      <c r="B156" s="33"/>
      <c r="C156" s="33"/>
      <c r="D156" s="34"/>
      <c r="E156" s="35"/>
      <c r="F156" s="36"/>
      <c r="G156" s="37" t="str">
        <f aca="false">IF(OR(C156="",D156=""),"",D156*IF(E156="",IFERROR(INDEX(Ürünler!$C$5:$C$204,MATCH(C156,Ürünler!$A$5:$A$204,0)),0),E156))</f>
        <v/>
      </c>
      <c r="H156" s="33"/>
    </row>
    <row r="157" customFormat="false" ht="15" hidden="false" customHeight="false" outlineLevel="0" collapsed="false">
      <c r="A157" s="32"/>
      <c r="B157" s="33"/>
      <c r="C157" s="33"/>
      <c r="D157" s="34"/>
      <c r="E157" s="35"/>
      <c r="F157" s="36"/>
      <c r="G157" s="37" t="str">
        <f aca="false">IF(OR(C157="",D157=""),"",D157*IF(E157="",IFERROR(INDEX(Ürünler!$C$5:$C$204,MATCH(C157,Ürünler!$A$5:$A$204,0)),0),E157))</f>
        <v/>
      </c>
      <c r="H157" s="33"/>
    </row>
    <row r="158" customFormat="false" ht="15" hidden="false" customHeight="false" outlineLevel="0" collapsed="false">
      <c r="A158" s="32"/>
      <c r="B158" s="33"/>
      <c r="C158" s="33"/>
      <c r="D158" s="34"/>
      <c r="E158" s="35"/>
      <c r="F158" s="36"/>
      <c r="G158" s="37" t="str">
        <f aca="false">IF(OR(C158="",D158=""),"",D158*IF(E158="",IFERROR(INDEX(Ürünler!$C$5:$C$204,MATCH(C158,Ürünler!$A$5:$A$204,0)),0),E158))</f>
        <v/>
      </c>
      <c r="H158" s="33"/>
    </row>
    <row r="159" customFormat="false" ht="15" hidden="false" customHeight="false" outlineLevel="0" collapsed="false">
      <c r="A159" s="32"/>
      <c r="B159" s="33"/>
      <c r="C159" s="33"/>
      <c r="D159" s="34"/>
      <c r="E159" s="35"/>
      <c r="F159" s="36"/>
      <c r="G159" s="37" t="str">
        <f aca="false">IF(OR(C159="",D159=""),"",D159*IF(E159="",IFERROR(INDEX(Ürünler!$C$5:$C$204,MATCH(C159,Ürünler!$A$5:$A$204,0)),0),E159))</f>
        <v/>
      </c>
      <c r="H159" s="33"/>
    </row>
    <row r="160" customFormat="false" ht="15" hidden="false" customHeight="false" outlineLevel="0" collapsed="false">
      <c r="A160" s="32"/>
      <c r="B160" s="33"/>
      <c r="C160" s="33"/>
      <c r="D160" s="34"/>
      <c r="E160" s="35"/>
      <c r="F160" s="36"/>
      <c r="G160" s="37" t="str">
        <f aca="false">IF(OR(C160="",D160=""),"",D160*IF(E160="",IFERROR(INDEX(Ürünler!$C$5:$C$204,MATCH(C160,Ürünler!$A$5:$A$204,0)),0),E160))</f>
        <v/>
      </c>
      <c r="H160" s="33"/>
    </row>
    <row r="161" customFormat="false" ht="15" hidden="false" customHeight="false" outlineLevel="0" collapsed="false">
      <c r="A161" s="32"/>
      <c r="B161" s="33"/>
      <c r="C161" s="33"/>
      <c r="D161" s="34"/>
      <c r="E161" s="35"/>
      <c r="F161" s="36"/>
      <c r="G161" s="37" t="str">
        <f aca="false">IF(OR(C161="",D161=""),"",D161*IF(E161="",IFERROR(INDEX(Ürünler!$C$5:$C$204,MATCH(C161,Ürünler!$A$5:$A$204,0)),0),E161))</f>
        <v/>
      </c>
      <c r="H161" s="33"/>
    </row>
    <row r="162" customFormat="false" ht="15" hidden="false" customHeight="false" outlineLevel="0" collapsed="false">
      <c r="A162" s="32"/>
      <c r="B162" s="33"/>
      <c r="C162" s="33"/>
      <c r="D162" s="34"/>
      <c r="E162" s="35"/>
      <c r="F162" s="36"/>
      <c r="G162" s="37" t="str">
        <f aca="false">IF(OR(C162="",D162=""),"",D162*IF(E162="",IFERROR(INDEX(Ürünler!$C$5:$C$204,MATCH(C162,Ürünler!$A$5:$A$204,0)),0),E162))</f>
        <v/>
      </c>
      <c r="H162" s="33"/>
    </row>
    <row r="163" customFormat="false" ht="15" hidden="false" customHeight="false" outlineLevel="0" collapsed="false">
      <c r="A163" s="32"/>
      <c r="B163" s="33"/>
      <c r="C163" s="33"/>
      <c r="D163" s="34"/>
      <c r="E163" s="35"/>
      <c r="F163" s="36"/>
      <c r="G163" s="37" t="str">
        <f aca="false">IF(OR(C163="",D163=""),"",D163*IF(E163="",IFERROR(INDEX(Ürünler!$C$5:$C$204,MATCH(C163,Ürünler!$A$5:$A$204,0)),0),E163))</f>
        <v/>
      </c>
      <c r="H163" s="33"/>
    </row>
    <row r="164" customFormat="false" ht="15" hidden="false" customHeight="false" outlineLevel="0" collapsed="false">
      <c r="A164" s="32"/>
      <c r="B164" s="33"/>
      <c r="C164" s="33"/>
      <c r="D164" s="34"/>
      <c r="E164" s="35"/>
      <c r="F164" s="36"/>
      <c r="G164" s="37" t="str">
        <f aca="false">IF(OR(C164="",D164=""),"",D164*IF(E164="",IFERROR(INDEX(Ürünler!$C$5:$C$204,MATCH(C164,Ürünler!$A$5:$A$204,0)),0),E164))</f>
        <v/>
      </c>
      <c r="H164" s="33"/>
    </row>
    <row r="165" customFormat="false" ht="15" hidden="false" customHeight="false" outlineLevel="0" collapsed="false">
      <c r="A165" s="32"/>
      <c r="B165" s="33"/>
      <c r="C165" s="33"/>
      <c r="D165" s="34"/>
      <c r="E165" s="35"/>
      <c r="F165" s="36"/>
      <c r="G165" s="37" t="str">
        <f aca="false">IF(OR(C165="",D165=""),"",D165*IF(E165="",IFERROR(INDEX(Ürünler!$C$5:$C$204,MATCH(C165,Ürünler!$A$5:$A$204,0)),0),E165))</f>
        <v/>
      </c>
      <c r="H165" s="33"/>
    </row>
    <row r="166" customFormat="false" ht="15" hidden="false" customHeight="false" outlineLevel="0" collapsed="false">
      <c r="A166" s="32"/>
      <c r="B166" s="33"/>
      <c r="C166" s="33"/>
      <c r="D166" s="34"/>
      <c r="E166" s="35"/>
      <c r="F166" s="36"/>
      <c r="G166" s="37" t="str">
        <f aca="false">IF(OR(C166="",D166=""),"",D166*IF(E166="",IFERROR(INDEX(Ürünler!$C$5:$C$204,MATCH(C166,Ürünler!$A$5:$A$204,0)),0),E166))</f>
        <v/>
      </c>
      <c r="H166" s="33"/>
    </row>
    <row r="167" customFormat="false" ht="15" hidden="false" customHeight="false" outlineLevel="0" collapsed="false">
      <c r="A167" s="32"/>
      <c r="B167" s="33"/>
      <c r="C167" s="33"/>
      <c r="D167" s="34"/>
      <c r="E167" s="35"/>
      <c r="F167" s="36"/>
      <c r="G167" s="37" t="str">
        <f aca="false">IF(OR(C167="",D167=""),"",D167*IF(E167="",IFERROR(INDEX(Ürünler!$C$5:$C$204,MATCH(C167,Ürünler!$A$5:$A$204,0)),0),E167))</f>
        <v/>
      </c>
      <c r="H167" s="33"/>
    </row>
    <row r="168" customFormat="false" ht="15" hidden="false" customHeight="false" outlineLevel="0" collapsed="false">
      <c r="A168" s="32"/>
      <c r="B168" s="33"/>
      <c r="C168" s="33"/>
      <c r="D168" s="34"/>
      <c r="E168" s="35"/>
      <c r="F168" s="36"/>
      <c r="G168" s="37" t="str">
        <f aca="false">IF(OR(C168="",D168=""),"",D168*IF(E168="",IFERROR(INDEX(Ürünler!$C$5:$C$204,MATCH(C168,Ürünler!$A$5:$A$204,0)),0),E168))</f>
        <v/>
      </c>
      <c r="H168" s="33"/>
    </row>
    <row r="169" customFormat="false" ht="15" hidden="false" customHeight="false" outlineLevel="0" collapsed="false">
      <c r="A169" s="32"/>
      <c r="B169" s="33"/>
      <c r="C169" s="33"/>
      <c r="D169" s="34"/>
      <c r="E169" s="35"/>
      <c r="F169" s="36"/>
      <c r="G169" s="37" t="str">
        <f aca="false">IF(OR(C169="",D169=""),"",D169*IF(E169="",IFERROR(INDEX(Ürünler!$C$5:$C$204,MATCH(C169,Ürünler!$A$5:$A$204,0)),0),E169))</f>
        <v/>
      </c>
      <c r="H169" s="33"/>
    </row>
    <row r="170" customFormat="false" ht="15" hidden="false" customHeight="false" outlineLevel="0" collapsed="false">
      <c r="A170" s="32"/>
      <c r="B170" s="33"/>
      <c r="C170" s="33"/>
      <c r="D170" s="34"/>
      <c r="E170" s="35"/>
      <c r="F170" s="36"/>
      <c r="G170" s="37" t="str">
        <f aca="false">IF(OR(C170="",D170=""),"",D170*IF(E170="",IFERROR(INDEX(Ürünler!$C$5:$C$204,MATCH(C170,Ürünler!$A$5:$A$204,0)),0),E170))</f>
        <v/>
      </c>
      <c r="H170" s="33"/>
    </row>
    <row r="171" customFormat="false" ht="15" hidden="false" customHeight="false" outlineLevel="0" collapsed="false">
      <c r="A171" s="32"/>
      <c r="B171" s="33"/>
      <c r="C171" s="33"/>
      <c r="D171" s="34"/>
      <c r="E171" s="35"/>
      <c r="F171" s="36"/>
      <c r="G171" s="37" t="str">
        <f aca="false">IF(OR(C171="",D171=""),"",D171*IF(E171="",IFERROR(INDEX(Ürünler!$C$5:$C$204,MATCH(C171,Ürünler!$A$5:$A$204,0)),0),E171))</f>
        <v/>
      </c>
      <c r="H171" s="33"/>
    </row>
    <row r="172" customFormat="false" ht="15" hidden="false" customHeight="false" outlineLevel="0" collapsed="false">
      <c r="A172" s="32"/>
      <c r="B172" s="33"/>
      <c r="C172" s="33"/>
      <c r="D172" s="34"/>
      <c r="E172" s="35"/>
      <c r="F172" s="36"/>
      <c r="G172" s="37" t="str">
        <f aca="false">IF(OR(C172="",D172=""),"",D172*IF(E172="",IFERROR(INDEX(Ürünler!$C$5:$C$204,MATCH(C172,Ürünler!$A$5:$A$204,0)),0),E172))</f>
        <v/>
      </c>
      <c r="H172" s="33"/>
    </row>
    <row r="173" customFormat="false" ht="15" hidden="false" customHeight="false" outlineLevel="0" collapsed="false">
      <c r="A173" s="32"/>
      <c r="B173" s="33"/>
      <c r="C173" s="33"/>
      <c r="D173" s="34"/>
      <c r="E173" s="35"/>
      <c r="F173" s="36"/>
      <c r="G173" s="37" t="str">
        <f aca="false">IF(OR(C173="",D173=""),"",D173*IF(E173="",IFERROR(INDEX(Ürünler!$C$5:$C$204,MATCH(C173,Ürünler!$A$5:$A$204,0)),0),E173))</f>
        <v/>
      </c>
      <c r="H173" s="33"/>
    </row>
    <row r="174" customFormat="false" ht="15" hidden="false" customHeight="false" outlineLevel="0" collapsed="false">
      <c r="A174" s="32"/>
      <c r="B174" s="33"/>
      <c r="C174" s="33"/>
      <c r="D174" s="34"/>
      <c r="E174" s="35"/>
      <c r="F174" s="36"/>
      <c r="G174" s="37" t="str">
        <f aca="false">IF(OR(C174="",D174=""),"",D174*IF(E174="",IFERROR(INDEX(Ürünler!$C$5:$C$204,MATCH(C174,Ürünler!$A$5:$A$204,0)),0),E174))</f>
        <v/>
      </c>
      <c r="H174" s="33"/>
    </row>
    <row r="175" customFormat="false" ht="15" hidden="false" customHeight="false" outlineLevel="0" collapsed="false">
      <c r="A175" s="32"/>
      <c r="B175" s="33"/>
      <c r="C175" s="33"/>
      <c r="D175" s="34"/>
      <c r="E175" s="35"/>
      <c r="F175" s="36"/>
      <c r="G175" s="37" t="str">
        <f aca="false">IF(OR(C175="",D175=""),"",D175*IF(E175="",IFERROR(INDEX(Ürünler!$C$5:$C$204,MATCH(C175,Ürünler!$A$5:$A$204,0)),0),E175))</f>
        <v/>
      </c>
      <c r="H175" s="33"/>
    </row>
    <row r="176" customFormat="false" ht="15" hidden="false" customHeight="false" outlineLevel="0" collapsed="false">
      <c r="A176" s="32"/>
      <c r="B176" s="33"/>
      <c r="C176" s="33"/>
      <c r="D176" s="34"/>
      <c r="E176" s="35"/>
      <c r="F176" s="36"/>
      <c r="G176" s="37" t="str">
        <f aca="false">IF(OR(C176="",D176=""),"",D176*IF(E176="",IFERROR(INDEX(Ürünler!$C$5:$C$204,MATCH(C176,Ürünler!$A$5:$A$204,0)),0),E176))</f>
        <v/>
      </c>
      <c r="H176" s="33"/>
    </row>
    <row r="177" customFormat="false" ht="15" hidden="false" customHeight="false" outlineLevel="0" collapsed="false">
      <c r="A177" s="32"/>
      <c r="B177" s="33"/>
      <c r="C177" s="33"/>
      <c r="D177" s="34"/>
      <c r="E177" s="35"/>
      <c r="F177" s="36"/>
      <c r="G177" s="37" t="str">
        <f aca="false">IF(OR(C177="",D177=""),"",D177*IF(E177="",IFERROR(INDEX(Ürünler!$C$5:$C$204,MATCH(C177,Ürünler!$A$5:$A$204,0)),0),E177))</f>
        <v/>
      </c>
      <c r="H177" s="33"/>
    </row>
    <row r="178" customFormat="false" ht="15" hidden="false" customHeight="false" outlineLevel="0" collapsed="false">
      <c r="A178" s="32"/>
      <c r="B178" s="33"/>
      <c r="C178" s="33"/>
      <c r="D178" s="34"/>
      <c r="E178" s="35"/>
      <c r="F178" s="36"/>
      <c r="G178" s="37" t="str">
        <f aca="false">IF(OR(C178="",D178=""),"",D178*IF(E178="",IFERROR(INDEX(Ürünler!$C$5:$C$204,MATCH(C178,Ürünler!$A$5:$A$204,0)),0),E178))</f>
        <v/>
      </c>
      <c r="H178" s="33"/>
    </row>
    <row r="179" customFormat="false" ht="15" hidden="false" customHeight="false" outlineLevel="0" collapsed="false">
      <c r="A179" s="32"/>
      <c r="B179" s="33"/>
      <c r="C179" s="33"/>
      <c r="D179" s="34"/>
      <c r="E179" s="35"/>
      <c r="F179" s="36"/>
      <c r="G179" s="37" t="str">
        <f aca="false">IF(OR(C179="",D179=""),"",D179*IF(E179="",IFERROR(INDEX(Ürünler!$C$5:$C$204,MATCH(C179,Ürünler!$A$5:$A$204,0)),0),E179))</f>
        <v/>
      </c>
      <c r="H179" s="33"/>
    </row>
    <row r="180" customFormat="false" ht="15" hidden="false" customHeight="false" outlineLevel="0" collapsed="false">
      <c r="A180" s="32"/>
      <c r="B180" s="33"/>
      <c r="C180" s="33"/>
      <c r="D180" s="34"/>
      <c r="E180" s="35"/>
      <c r="F180" s="36"/>
      <c r="G180" s="37" t="str">
        <f aca="false">IF(OR(C180="",D180=""),"",D180*IF(E180="",IFERROR(INDEX(Ürünler!$C$5:$C$204,MATCH(C180,Ürünler!$A$5:$A$204,0)),0),E180))</f>
        <v/>
      </c>
      <c r="H180" s="33"/>
    </row>
    <row r="181" customFormat="false" ht="15" hidden="false" customHeight="false" outlineLevel="0" collapsed="false">
      <c r="A181" s="32"/>
      <c r="B181" s="33"/>
      <c r="C181" s="33"/>
      <c r="D181" s="34"/>
      <c r="E181" s="35"/>
      <c r="F181" s="36"/>
      <c r="G181" s="37" t="str">
        <f aca="false">IF(OR(C181="",D181=""),"",D181*IF(E181="",IFERROR(INDEX(Ürünler!$C$5:$C$204,MATCH(C181,Ürünler!$A$5:$A$204,0)),0),E181))</f>
        <v/>
      </c>
      <c r="H181" s="33"/>
    </row>
    <row r="182" customFormat="false" ht="15" hidden="false" customHeight="false" outlineLevel="0" collapsed="false">
      <c r="A182" s="32"/>
      <c r="B182" s="33"/>
      <c r="C182" s="33"/>
      <c r="D182" s="34"/>
      <c r="E182" s="35"/>
      <c r="F182" s="36"/>
      <c r="G182" s="37" t="str">
        <f aca="false">IF(OR(C182="",D182=""),"",D182*IF(E182="",IFERROR(INDEX(Ürünler!$C$5:$C$204,MATCH(C182,Ürünler!$A$5:$A$204,0)),0),E182))</f>
        <v/>
      </c>
      <c r="H182" s="33"/>
    </row>
    <row r="183" customFormat="false" ht="15" hidden="false" customHeight="false" outlineLevel="0" collapsed="false">
      <c r="A183" s="32"/>
      <c r="B183" s="33"/>
      <c r="C183" s="33"/>
      <c r="D183" s="34"/>
      <c r="E183" s="35"/>
      <c r="F183" s="36"/>
      <c r="G183" s="37" t="str">
        <f aca="false">IF(OR(C183="",D183=""),"",D183*IF(E183="",IFERROR(INDEX(Ürünler!$C$5:$C$204,MATCH(C183,Ürünler!$A$5:$A$204,0)),0),E183))</f>
        <v/>
      </c>
      <c r="H183" s="33"/>
    </row>
    <row r="184" customFormat="false" ht="15" hidden="false" customHeight="false" outlineLevel="0" collapsed="false">
      <c r="A184" s="32"/>
      <c r="B184" s="33"/>
      <c r="C184" s="33"/>
      <c r="D184" s="34"/>
      <c r="E184" s="35"/>
      <c r="F184" s="36"/>
      <c r="G184" s="37" t="str">
        <f aca="false">IF(OR(C184="",D184=""),"",D184*IF(E184="",IFERROR(INDEX(Ürünler!$C$5:$C$204,MATCH(C184,Ürünler!$A$5:$A$204,0)),0),E184))</f>
        <v/>
      </c>
      <c r="H184" s="33"/>
    </row>
    <row r="185" customFormat="false" ht="15" hidden="false" customHeight="false" outlineLevel="0" collapsed="false">
      <c r="A185" s="32"/>
      <c r="B185" s="33"/>
      <c r="C185" s="33"/>
      <c r="D185" s="34"/>
      <c r="E185" s="35"/>
      <c r="F185" s="36"/>
      <c r="G185" s="37" t="str">
        <f aca="false">IF(OR(C185="",D185=""),"",D185*IF(E185="",IFERROR(INDEX(Ürünler!$C$5:$C$204,MATCH(C185,Ürünler!$A$5:$A$204,0)),0),E185))</f>
        <v/>
      </c>
      <c r="H185" s="33"/>
    </row>
    <row r="186" customFormat="false" ht="15" hidden="false" customHeight="false" outlineLevel="0" collapsed="false">
      <c r="A186" s="32"/>
      <c r="B186" s="33"/>
      <c r="C186" s="33"/>
      <c r="D186" s="34"/>
      <c r="E186" s="35"/>
      <c r="F186" s="36"/>
      <c r="G186" s="37" t="str">
        <f aca="false">IF(OR(C186="",D186=""),"",D186*IF(E186="",IFERROR(INDEX(Ürünler!$C$5:$C$204,MATCH(C186,Ürünler!$A$5:$A$204,0)),0),E186))</f>
        <v/>
      </c>
      <c r="H186" s="33"/>
    </row>
    <row r="187" customFormat="false" ht="15" hidden="false" customHeight="false" outlineLevel="0" collapsed="false">
      <c r="A187" s="32"/>
      <c r="B187" s="33"/>
      <c r="C187" s="33"/>
      <c r="D187" s="34"/>
      <c r="E187" s="35"/>
      <c r="F187" s="36"/>
      <c r="G187" s="37" t="str">
        <f aca="false">IF(OR(C187="",D187=""),"",D187*IF(E187="",IFERROR(INDEX(Ürünler!$C$5:$C$204,MATCH(C187,Ürünler!$A$5:$A$204,0)),0),E187))</f>
        <v/>
      </c>
      <c r="H187" s="33"/>
    </row>
    <row r="188" customFormat="false" ht="15" hidden="false" customHeight="false" outlineLevel="0" collapsed="false">
      <c r="A188" s="32"/>
      <c r="B188" s="33"/>
      <c r="C188" s="33"/>
      <c r="D188" s="34"/>
      <c r="E188" s="35"/>
      <c r="F188" s="36"/>
      <c r="G188" s="37" t="str">
        <f aca="false">IF(OR(C188="",D188=""),"",D188*IF(E188="",IFERROR(INDEX(Ürünler!$C$5:$C$204,MATCH(C188,Ürünler!$A$5:$A$204,0)),0),E188))</f>
        <v/>
      </c>
      <c r="H188" s="33"/>
    </row>
    <row r="189" customFormat="false" ht="15" hidden="false" customHeight="false" outlineLevel="0" collapsed="false">
      <c r="A189" s="32"/>
      <c r="B189" s="33"/>
      <c r="C189" s="33"/>
      <c r="D189" s="34"/>
      <c r="E189" s="35"/>
      <c r="F189" s="36"/>
      <c r="G189" s="37" t="str">
        <f aca="false">IF(OR(C189="",D189=""),"",D189*IF(E189="",IFERROR(INDEX(Ürünler!$C$5:$C$204,MATCH(C189,Ürünler!$A$5:$A$204,0)),0),E189))</f>
        <v/>
      </c>
      <c r="H189" s="33"/>
    </row>
    <row r="190" customFormat="false" ht="15" hidden="false" customHeight="false" outlineLevel="0" collapsed="false">
      <c r="A190" s="32"/>
      <c r="B190" s="33"/>
      <c r="C190" s="33"/>
      <c r="D190" s="34"/>
      <c r="E190" s="35"/>
      <c r="F190" s="36"/>
      <c r="G190" s="37" t="str">
        <f aca="false">IF(OR(C190="",D190=""),"",D190*IF(E190="",IFERROR(INDEX(Ürünler!$C$5:$C$204,MATCH(C190,Ürünler!$A$5:$A$204,0)),0),E190))</f>
        <v/>
      </c>
      <c r="H190" s="33"/>
    </row>
    <row r="191" customFormat="false" ht="15" hidden="false" customHeight="false" outlineLevel="0" collapsed="false">
      <c r="A191" s="32"/>
      <c r="B191" s="33"/>
      <c r="C191" s="33"/>
      <c r="D191" s="34"/>
      <c r="E191" s="35"/>
      <c r="F191" s="36"/>
      <c r="G191" s="37" t="str">
        <f aca="false">IF(OR(C191="",D191=""),"",D191*IF(E191="",IFERROR(INDEX(Ürünler!$C$5:$C$204,MATCH(C191,Ürünler!$A$5:$A$204,0)),0),E191))</f>
        <v/>
      </c>
      <c r="H191" s="33"/>
    </row>
    <row r="192" customFormat="false" ht="15" hidden="false" customHeight="false" outlineLevel="0" collapsed="false">
      <c r="A192" s="32"/>
      <c r="B192" s="33"/>
      <c r="C192" s="33"/>
      <c r="D192" s="34"/>
      <c r="E192" s="35"/>
      <c r="F192" s="36"/>
      <c r="G192" s="37" t="str">
        <f aca="false">IF(OR(C192="",D192=""),"",D192*IF(E192="",IFERROR(INDEX(Ürünler!$C$5:$C$204,MATCH(C192,Ürünler!$A$5:$A$204,0)),0),E192))</f>
        <v/>
      </c>
      <c r="H192" s="33"/>
    </row>
    <row r="193" customFormat="false" ht="15" hidden="false" customHeight="false" outlineLevel="0" collapsed="false">
      <c r="A193" s="32"/>
      <c r="B193" s="33"/>
      <c r="C193" s="33"/>
      <c r="D193" s="34"/>
      <c r="E193" s="35"/>
      <c r="F193" s="36"/>
      <c r="G193" s="37" t="str">
        <f aca="false">IF(OR(C193="",D193=""),"",D193*IF(E193="",IFERROR(INDEX(Ürünler!$C$5:$C$204,MATCH(C193,Ürünler!$A$5:$A$204,0)),0),E193))</f>
        <v/>
      </c>
      <c r="H193" s="33"/>
    </row>
    <row r="194" customFormat="false" ht="15" hidden="false" customHeight="false" outlineLevel="0" collapsed="false">
      <c r="A194" s="32"/>
      <c r="B194" s="33"/>
      <c r="C194" s="33"/>
      <c r="D194" s="34"/>
      <c r="E194" s="35"/>
      <c r="F194" s="36"/>
      <c r="G194" s="37" t="str">
        <f aca="false">IF(OR(C194="",D194=""),"",D194*IF(E194="",IFERROR(INDEX(Ürünler!$C$5:$C$204,MATCH(C194,Ürünler!$A$5:$A$204,0)),0),E194))</f>
        <v/>
      </c>
      <c r="H194" s="33"/>
    </row>
    <row r="195" customFormat="false" ht="15" hidden="false" customHeight="false" outlineLevel="0" collapsed="false">
      <c r="A195" s="32"/>
      <c r="B195" s="33"/>
      <c r="C195" s="33"/>
      <c r="D195" s="34"/>
      <c r="E195" s="35"/>
      <c r="F195" s="36"/>
      <c r="G195" s="37" t="str">
        <f aca="false">IF(OR(C195="",D195=""),"",D195*IF(E195="",IFERROR(INDEX(Ürünler!$C$5:$C$204,MATCH(C195,Ürünler!$A$5:$A$204,0)),0),E195))</f>
        <v/>
      </c>
      <c r="H195" s="33"/>
    </row>
    <row r="196" customFormat="false" ht="15" hidden="false" customHeight="false" outlineLevel="0" collapsed="false">
      <c r="A196" s="32"/>
      <c r="B196" s="33"/>
      <c r="C196" s="33"/>
      <c r="D196" s="34"/>
      <c r="E196" s="35"/>
      <c r="F196" s="36"/>
      <c r="G196" s="37" t="str">
        <f aca="false">IF(OR(C196="",D196=""),"",D196*IF(E196="",IFERROR(INDEX(Ürünler!$C$5:$C$204,MATCH(C196,Ürünler!$A$5:$A$204,0)),0),E196))</f>
        <v/>
      </c>
      <c r="H196" s="33"/>
    </row>
    <row r="197" customFormat="false" ht="15" hidden="false" customHeight="false" outlineLevel="0" collapsed="false">
      <c r="A197" s="32"/>
      <c r="B197" s="33"/>
      <c r="C197" s="33"/>
      <c r="D197" s="34"/>
      <c r="E197" s="35"/>
      <c r="F197" s="36"/>
      <c r="G197" s="37" t="str">
        <f aca="false">IF(OR(C197="",D197=""),"",D197*IF(E197="",IFERROR(INDEX(Ürünler!$C$5:$C$204,MATCH(C197,Ürünler!$A$5:$A$204,0)),0),E197))</f>
        <v/>
      </c>
      <c r="H197" s="33"/>
    </row>
    <row r="198" customFormat="false" ht="15" hidden="false" customHeight="false" outlineLevel="0" collapsed="false">
      <c r="A198" s="32"/>
      <c r="B198" s="33"/>
      <c r="C198" s="33"/>
      <c r="D198" s="34"/>
      <c r="E198" s="35"/>
      <c r="F198" s="36"/>
      <c r="G198" s="37" t="str">
        <f aca="false">IF(OR(C198="",D198=""),"",D198*IF(E198="",IFERROR(INDEX(Ürünler!$C$5:$C$204,MATCH(C198,Ürünler!$A$5:$A$204,0)),0),E198))</f>
        <v/>
      </c>
      <c r="H198" s="33"/>
    </row>
    <row r="199" customFormat="false" ht="15" hidden="false" customHeight="false" outlineLevel="0" collapsed="false">
      <c r="A199" s="32"/>
      <c r="B199" s="33"/>
      <c r="C199" s="33"/>
      <c r="D199" s="34"/>
      <c r="E199" s="35"/>
      <c r="F199" s="36"/>
      <c r="G199" s="37" t="str">
        <f aca="false">IF(OR(C199="",D199=""),"",D199*IF(E199="",IFERROR(INDEX(Ürünler!$C$5:$C$204,MATCH(C199,Ürünler!$A$5:$A$204,0)),0),E199))</f>
        <v/>
      </c>
      <c r="H199" s="33"/>
    </row>
    <row r="200" customFormat="false" ht="15" hidden="false" customHeight="false" outlineLevel="0" collapsed="false">
      <c r="A200" s="32"/>
      <c r="B200" s="33"/>
      <c r="C200" s="33"/>
      <c r="D200" s="34"/>
      <c r="E200" s="35"/>
      <c r="F200" s="36"/>
      <c r="G200" s="37" t="str">
        <f aca="false">IF(OR(C200="",D200=""),"",D200*IF(E200="",IFERROR(INDEX(Ürünler!$C$5:$C$204,MATCH(C200,Ürünler!$A$5:$A$204,0)),0),E200))</f>
        <v/>
      </c>
      <c r="H200" s="33"/>
    </row>
    <row r="201" customFormat="false" ht="15" hidden="false" customHeight="false" outlineLevel="0" collapsed="false">
      <c r="A201" s="32"/>
      <c r="B201" s="33"/>
      <c r="C201" s="33"/>
      <c r="D201" s="34"/>
      <c r="E201" s="35"/>
      <c r="F201" s="36"/>
      <c r="G201" s="37" t="str">
        <f aca="false">IF(OR(C201="",D201=""),"",D201*IF(E201="",IFERROR(INDEX(Ürünler!$C$5:$C$204,MATCH(C201,Ürünler!$A$5:$A$204,0)),0),E201))</f>
        <v/>
      </c>
      <c r="H201" s="33"/>
    </row>
    <row r="202" customFormat="false" ht="15" hidden="false" customHeight="false" outlineLevel="0" collapsed="false">
      <c r="A202" s="32"/>
      <c r="B202" s="33"/>
      <c r="C202" s="33"/>
      <c r="D202" s="34"/>
      <c r="E202" s="35"/>
      <c r="F202" s="36"/>
      <c r="G202" s="37" t="str">
        <f aca="false">IF(OR(C202="",D202=""),"",D202*IF(E202="",IFERROR(INDEX(Ürünler!$C$5:$C$204,MATCH(C202,Ürünler!$A$5:$A$204,0)),0),E202))</f>
        <v/>
      </c>
      <c r="H202" s="33"/>
    </row>
    <row r="203" customFormat="false" ht="15" hidden="false" customHeight="false" outlineLevel="0" collapsed="false">
      <c r="A203" s="32"/>
      <c r="B203" s="33"/>
      <c r="C203" s="33"/>
      <c r="D203" s="34"/>
      <c r="E203" s="35"/>
      <c r="F203" s="36"/>
      <c r="G203" s="37" t="str">
        <f aca="false">IF(OR(C203="",D203=""),"",D203*IF(E203="",IFERROR(INDEX(Ürünler!$C$5:$C$204,MATCH(C203,Ürünler!$A$5:$A$204,0)),0),E203))</f>
        <v/>
      </c>
      <c r="H203" s="33"/>
    </row>
    <row r="204" customFormat="false" ht="15" hidden="false" customHeight="false" outlineLevel="0" collapsed="false">
      <c r="A204" s="32"/>
      <c r="B204" s="33"/>
      <c r="C204" s="33"/>
      <c r="D204" s="34"/>
      <c r="E204" s="35"/>
      <c r="F204" s="36"/>
      <c r="G204" s="37" t="str">
        <f aca="false">IF(OR(C204="",D204=""),"",D204*IF(E204="",IFERROR(INDEX(Ürünler!$C$5:$C$204,MATCH(C204,Ürünler!$A$5:$A$204,0)),0),E204))</f>
        <v/>
      </c>
      <c r="H204" s="33"/>
    </row>
    <row r="205" customFormat="false" ht="15" hidden="false" customHeight="false" outlineLevel="0" collapsed="false">
      <c r="A205" s="32"/>
      <c r="B205" s="33"/>
      <c r="C205" s="33"/>
      <c r="D205" s="34"/>
      <c r="E205" s="35"/>
      <c r="F205" s="36"/>
      <c r="G205" s="37" t="str">
        <f aca="false">IF(OR(C205="",D205=""),"",D205*IF(E205="",IFERROR(INDEX(Ürünler!$C$5:$C$204,MATCH(C205,Ürünler!$A$5:$A$204,0)),0),E205))</f>
        <v/>
      </c>
      <c r="H205" s="33"/>
    </row>
    <row r="206" customFormat="false" ht="15" hidden="false" customHeight="false" outlineLevel="0" collapsed="false">
      <c r="A206" s="32"/>
      <c r="B206" s="33"/>
      <c r="C206" s="33"/>
      <c r="D206" s="34"/>
      <c r="E206" s="35"/>
      <c r="F206" s="36"/>
      <c r="G206" s="37" t="str">
        <f aca="false">IF(OR(C206="",D206=""),"",D206*IF(E206="",IFERROR(INDEX(Ürünler!$C$5:$C$204,MATCH(C206,Ürünler!$A$5:$A$204,0)),0),E206))</f>
        <v/>
      </c>
      <c r="H206" s="33"/>
    </row>
    <row r="207" customFormat="false" ht="15" hidden="false" customHeight="false" outlineLevel="0" collapsed="false">
      <c r="A207" s="32"/>
      <c r="B207" s="33"/>
      <c r="C207" s="33"/>
      <c r="D207" s="34"/>
      <c r="E207" s="35"/>
      <c r="F207" s="36"/>
      <c r="G207" s="37" t="str">
        <f aca="false">IF(OR(C207="",D207=""),"",D207*IF(E207="",IFERROR(INDEX(Ürünler!$C$5:$C$204,MATCH(C207,Ürünler!$A$5:$A$204,0)),0),E207))</f>
        <v/>
      </c>
      <c r="H207" s="33"/>
    </row>
    <row r="208" customFormat="false" ht="15" hidden="false" customHeight="false" outlineLevel="0" collapsed="false">
      <c r="A208" s="32"/>
      <c r="B208" s="33"/>
      <c r="C208" s="33"/>
      <c r="D208" s="34"/>
      <c r="E208" s="35"/>
      <c r="F208" s="36"/>
      <c r="G208" s="37" t="str">
        <f aca="false">IF(OR(C208="",D208=""),"",D208*IF(E208="",IFERROR(INDEX(Ürünler!$C$5:$C$204,MATCH(C208,Ürünler!$A$5:$A$204,0)),0),E208))</f>
        <v/>
      </c>
      <c r="H208" s="33"/>
    </row>
    <row r="209" customFormat="false" ht="15" hidden="false" customHeight="false" outlineLevel="0" collapsed="false">
      <c r="A209" s="32"/>
      <c r="B209" s="33"/>
      <c r="C209" s="33"/>
      <c r="D209" s="34"/>
      <c r="E209" s="35"/>
      <c r="F209" s="36"/>
      <c r="G209" s="37" t="str">
        <f aca="false">IF(OR(C209="",D209=""),"",D209*IF(E209="",IFERROR(INDEX(Ürünler!$C$5:$C$204,MATCH(C209,Ürünler!$A$5:$A$204,0)),0),E209))</f>
        <v/>
      </c>
      <c r="H209" s="33"/>
    </row>
    <row r="210" customFormat="false" ht="15" hidden="false" customHeight="false" outlineLevel="0" collapsed="false">
      <c r="A210" s="32"/>
      <c r="B210" s="33"/>
      <c r="C210" s="33"/>
      <c r="D210" s="34"/>
      <c r="E210" s="35"/>
      <c r="F210" s="36"/>
      <c r="G210" s="37" t="str">
        <f aca="false">IF(OR(C210="",D210=""),"",D210*IF(E210="",IFERROR(INDEX(Ürünler!$C$5:$C$204,MATCH(C210,Ürünler!$A$5:$A$204,0)),0),E210))</f>
        <v/>
      </c>
      <c r="H210" s="33"/>
    </row>
    <row r="211" customFormat="false" ht="15" hidden="false" customHeight="false" outlineLevel="0" collapsed="false">
      <c r="A211" s="32"/>
      <c r="B211" s="33"/>
      <c r="C211" s="33"/>
      <c r="D211" s="34"/>
      <c r="E211" s="35"/>
      <c r="F211" s="36"/>
      <c r="G211" s="37" t="str">
        <f aca="false">IF(OR(C211="",D211=""),"",D211*IF(E211="",IFERROR(INDEX(Ürünler!$C$5:$C$204,MATCH(C211,Ürünler!$A$5:$A$204,0)),0),E211))</f>
        <v/>
      </c>
      <c r="H211" s="33"/>
    </row>
    <row r="212" customFormat="false" ht="15" hidden="false" customHeight="false" outlineLevel="0" collapsed="false">
      <c r="A212" s="32"/>
      <c r="B212" s="33"/>
      <c r="C212" s="33"/>
      <c r="D212" s="34"/>
      <c r="E212" s="35"/>
      <c r="F212" s="36"/>
      <c r="G212" s="37" t="str">
        <f aca="false">IF(OR(C212="",D212=""),"",D212*IF(E212="",IFERROR(INDEX(Ürünler!$C$5:$C$204,MATCH(C212,Ürünler!$A$5:$A$204,0)),0),E212))</f>
        <v/>
      </c>
      <c r="H212" s="33"/>
    </row>
    <row r="213" customFormat="false" ht="15" hidden="false" customHeight="false" outlineLevel="0" collapsed="false">
      <c r="A213" s="32"/>
      <c r="B213" s="33"/>
      <c r="C213" s="33"/>
      <c r="D213" s="34"/>
      <c r="E213" s="35"/>
      <c r="F213" s="36"/>
      <c r="G213" s="37" t="str">
        <f aca="false">IF(OR(C213="",D213=""),"",D213*IF(E213="",IFERROR(INDEX(Ürünler!$C$5:$C$204,MATCH(C213,Ürünler!$A$5:$A$204,0)),0),E213))</f>
        <v/>
      </c>
      <c r="H213" s="33"/>
    </row>
    <row r="214" customFormat="false" ht="15" hidden="false" customHeight="false" outlineLevel="0" collapsed="false">
      <c r="A214" s="32"/>
      <c r="B214" s="33"/>
      <c r="C214" s="33"/>
      <c r="D214" s="34"/>
      <c r="E214" s="35"/>
      <c r="F214" s="36"/>
      <c r="G214" s="37" t="str">
        <f aca="false">IF(OR(C214="",D214=""),"",D214*IF(E214="",IFERROR(INDEX(Ürünler!$C$5:$C$204,MATCH(C214,Ürünler!$A$5:$A$204,0)),0),E214))</f>
        <v/>
      </c>
      <c r="H214" s="33"/>
    </row>
    <row r="215" customFormat="false" ht="15" hidden="false" customHeight="false" outlineLevel="0" collapsed="false">
      <c r="A215" s="32"/>
      <c r="B215" s="33"/>
      <c r="C215" s="33"/>
      <c r="D215" s="34"/>
      <c r="E215" s="35"/>
      <c r="F215" s="36"/>
      <c r="G215" s="37" t="str">
        <f aca="false">IF(OR(C215="",D215=""),"",D215*IF(E215="",IFERROR(INDEX(Ürünler!$C$5:$C$204,MATCH(C215,Ürünler!$A$5:$A$204,0)),0),E215))</f>
        <v/>
      </c>
      <c r="H215" s="33"/>
    </row>
    <row r="216" customFormat="false" ht="15" hidden="false" customHeight="false" outlineLevel="0" collapsed="false">
      <c r="A216" s="32"/>
      <c r="B216" s="33"/>
      <c r="C216" s="33"/>
      <c r="D216" s="34"/>
      <c r="E216" s="35"/>
      <c r="F216" s="36"/>
      <c r="G216" s="37" t="str">
        <f aca="false">IF(OR(C216="",D216=""),"",D216*IF(E216="",IFERROR(INDEX(Ürünler!$C$5:$C$204,MATCH(C216,Ürünler!$A$5:$A$204,0)),0),E216))</f>
        <v/>
      </c>
      <c r="H216" s="33"/>
    </row>
    <row r="217" customFormat="false" ht="15" hidden="false" customHeight="false" outlineLevel="0" collapsed="false">
      <c r="A217" s="32"/>
      <c r="B217" s="33"/>
      <c r="C217" s="33"/>
      <c r="D217" s="34"/>
      <c r="E217" s="35"/>
      <c r="F217" s="36"/>
      <c r="G217" s="37" t="str">
        <f aca="false">IF(OR(C217="",D217=""),"",D217*IF(E217="",IFERROR(INDEX(Ürünler!$C$5:$C$204,MATCH(C217,Ürünler!$A$5:$A$204,0)),0),E217))</f>
        <v/>
      </c>
      <c r="H217" s="33"/>
    </row>
    <row r="218" customFormat="false" ht="15" hidden="false" customHeight="false" outlineLevel="0" collapsed="false">
      <c r="A218" s="32"/>
      <c r="B218" s="33"/>
      <c r="C218" s="33"/>
      <c r="D218" s="34"/>
      <c r="E218" s="35"/>
      <c r="F218" s="36"/>
      <c r="G218" s="37" t="str">
        <f aca="false">IF(OR(C218="",D218=""),"",D218*IF(E218="",IFERROR(INDEX(Ürünler!$C$5:$C$204,MATCH(C218,Ürünler!$A$5:$A$204,0)),0),E218))</f>
        <v/>
      </c>
      <c r="H218" s="33"/>
    </row>
    <row r="219" customFormat="false" ht="15" hidden="false" customHeight="false" outlineLevel="0" collapsed="false">
      <c r="A219" s="32"/>
      <c r="B219" s="33"/>
      <c r="C219" s="33"/>
      <c r="D219" s="34"/>
      <c r="E219" s="35"/>
      <c r="F219" s="36"/>
      <c r="G219" s="37" t="str">
        <f aca="false">IF(OR(C219="",D219=""),"",D219*IF(E219="",IFERROR(INDEX(Ürünler!$C$5:$C$204,MATCH(C219,Ürünler!$A$5:$A$204,0)),0),E219))</f>
        <v/>
      </c>
      <c r="H219" s="33"/>
    </row>
    <row r="220" customFormat="false" ht="15" hidden="false" customHeight="false" outlineLevel="0" collapsed="false">
      <c r="A220" s="32"/>
      <c r="B220" s="33"/>
      <c r="C220" s="33"/>
      <c r="D220" s="34"/>
      <c r="E220" s="35"/>
      <c r="F220" s="36"/>
      <c r="G220" s="37" t="str">
        <f aca="false">IF(OR(C220="",D220=""),"",D220*IF(E220="",IFERROR(INDEX(Ürünler!$C$5:$C$204,MATCH(C220,Ürünler!$A$5:$A$204,0)),0),E220))</f>
        <v/>
      </c>
      <c r="H220" s="33"/>
    </row>
    <row r="221" customFormat="false" ht="15" hidden="false" customHeight="false" outlineLevel="0" collapsed="false">
      <c r="A221" s="32"/>
      <c r="B221" s="33"/>
      <c r="C221" s="33"/>
      <c r="D221" s="34"/>
      <c r="E221" s="35"/>
      <c r="F221" s="36"/>
      <c r="G221" s="37" t="str">
        <f aca="false">IF(OR(C221="",D221=""),"",D221*IF(E221="",IFERROR(INDEX(Ürünler!$C$5:$C$204,MATCH(C221,Ürünler!$A$5:$A$204,0)),0),E221))</f>
        <v/>
      </c>
      <c r="H221" s="33"/>
    </row>
    <row r="222" customFormat="false" ht="15" hidden="false" customHeight="false" outlineLevel="0" collapsed="false">
      <c r="A222" s="32"/>
      <c r="B222" s="33"/>
      <c r="C222" s="33"/>
      <c r="D222" s="34"/>
      <c r="E222" s="35"/>
      <c r="F222" s="36"/>
      <c r="G222" s="37" t="str">
        <f aca="false">IF(OR(C222="",D222=""),"",D222*IF(E222="",IFERROR(INDEX(Ürünler!$C$5:$C$204,MATCH(C222,Ürünler!$A$5:$A$204,0)),0),E222))</f>
        <v/>
      </c>
      <c r="H222" s="33"/>
    </row>
    <row r="223" customFormat="false" ht="15" hidden="false" customHeight="false" outlineLevel="0" collapsed="false">
      <c r="A223" s="32"/>
      <c r="B223" s="33"/>
      <c r="C223" s="33"/>
      <c r="D223" s="34"/>
      <c r="E223" s="35"/>
      <c r="F223" s="36"/>
      <c r="G223" s="37" t="str">
        <f aca="false">IF(OR(C223="",D223=""),"",D223*IF(E223="",IFERROR(INDEX(Ürünler!$C$5:$C$204,MATCH(C223,Ürünler!$A$5:$A$204,0)),0),E223))</f>
        <v/>
      </c>
      <c r="H223" s="33"/>
    </row>
    <row r="224" customFormat="false" ht="15" hidden="false" customHeight="false" outlineLevel="0" collapsed="false">
      <c r="A224" s="32"/>
      <c r="B224" s="33"/>
      <c r="C224" s="33"/>
      <c r="D224" s="34"/>
      <c r="E224" s="35"/>
      <c r="F224" s="36"/>
      <c r="G224" s="37" t="str">
        <f aca="false">IF(OR(C224="",D224=""),"",D224*IF(E224="",IFERROR(INDEX(Ürünler!$C$5:$C$204,MATCH(C224,Ürünler!$A$5:$A$204,0)),0),E224))</f>
        <v/>
      </c>
      <c r="H224" s="33"/>
    </row>
    <row r="225" customFormat="false" ht="15" hidden="false" customHeight="false" outlineLevel="0" collapsed="false">
      <c r="A225" s="32"/>
      <c r="B225" s="33"/>
      <c r="C225" s="33"/>
      <c r="D225" s="34"/>
      <c r="E225" s="35"/>
      <c r="F225" s="36"/>
      <c r="G225" s="37" t="str">
        <f aca="false">IF(OR(C225="",D225=""),"",D225*IF(E225="",IFERROR(INDEX(Ürünler!$C$5:$C$204,MATCH(C225,Ürünler!$A$5:$A$204,0)),0),E225))</f>
        <v/>
      </c>
      <c r="H225" s="33"/>
    </row>
    <row r="226" customFormat="false" ht="15" hidden="false" customHeight="false" outlineLevel="0" collapsed="false">
      <c r="A226" s="32"/>
      <c r="B226" s="33"/>
      <c r="C226" s="33"/>
      <c r="D226" s="34"/>
      <c r="E226" s="35"/>
      <c r="F226" s="36"/>
      <c r="G226" s="37" t="str">
        <f aca="false">IF(OR(C226="",D226=""),"",D226*IF(E226="",IFERROR(INDEX(Ürünler!$C$5:$C$204,MATCH(C226,Ürünler!$A$5:$A$204,0)),0),E226))</f>
        <v/>
      </c>
      <c r="H226" s="33"/>
    </row>
    <row r="227" customFormat="false" ht="15" hidden="false" customHeight="false" outlineLevel="0" collapsed="false">
      <c r="A227" s="32"/>
      <c r="B227" s="33"/>
      <c r="C227" s="33"/>
      <c r="D227" s="34"/>
      <c r="E227" s="35"/>
      <c r="F227" s="36"/>
      <c r="G227" s="37" t="str">
        <f aca="false">IF(OR(C227="",D227=""),"",D227*IF(E227="",IFERROR(INDEX(Ürünler!$C$5:$C$204,MATCH(C227,Ürünler!$A$5:$A$204,0)),0),E227))</f>
        <v/>
      </c>
      <c r="H227" s="33"/>
    </row>
    <row r="228" customFormat="false" ht="15" hidden="false" customHeight="false" outlineLevel="0" collapsed="false">
      <c r="A228" s="32"/>
      <c r="B228" s="33"/>
      <c r="C228" s="33"/>
      <c r="D228" s="34"/>
      <c r="E228" s="35"/>
      <c r="F228" s="36"/>
      <c r="G228" s="37" t="str">
        <f aca="false">IF(OR(C228="",D228=""),"",D228*IF(E228="",IFERROR(INDEX(Ürünler!$C$5:$C$204,MATCH(C228,Ürünler!$A$5:$A$204,0)),0),E228))</f>
        <v/>
      </c>
      <c r="H228" s="33"/>
    </row>
    <row r="229" customFormat="false" ht="15" hidden="false" customHeight="false" outlineLevel="0" collapsed="false">
      <c r="A229" s="32"/>
      <c r="B229" s="33"/>
      <c r="C229" s="33"/>
      <c r="D229" s="34"/>
      <c r="E229" s="35"/>
      <c r="F229" s="36"/>
      <c r="G229" s="37" t="str">
        <f aca="false">IF(OR(C229="",D229=""),"",D229*IF(E229="",IFERROR(INDEX(Ürünler!$C$5:$C$204,MATCH(C229,Ürünler!$A$5:$A$204,0)),0),E229))</f>
        <v/>
      </c>
      <c r="H229" s="33"/>
    </row>
    <row r="230" customFormat="false" ht="15" hidden="false" customHeight="false" outlineLevel="0" collapsed="false">
      <c r="A230" s="32"/>
      <c r="B230" s="33"/>
      <c r="C230" s="33"/>
      <c r="D230" s="34"/>
      <c r="E230" s="35"/>
      <c r="F230" s="36"/>
      <c r="G230" s="37" t="str">
        <f aca="false">IF(OR(C230="",D230=""),"",D230*IF(E230="",IFERROR(INDEX(Ürünler!$C$5:$C$204,MATCH(C230,Ürünler!$A$5:$A$204,0)),0),E230))</f>
        <v/>
      </c>
      <c r="H230" s="33"/>
    </row>
    <row r="231" customFormat="false" ht="15" hidden="false" customHeight="false" outlineLevel="0" collapsed="false">
      <c r="A231" s="32"/>
      <c r="B231" s="33"/>
      <c r="C231" s="33"/>
      <c r="D231" s="34"/>
      <c r="E231" s="35"/>
      <c r="F231" s="36"/>
      <c r="G231" s="37" t="str">
        <f aca="false">IF(OR(C231="",D231=""),"",D231*IF(E231="",IFERROR(INDEX(Ürünler!$C$5:$C$204,MATCH(C231,Ürünler!$A$5:$A$204,0)),0),E231))</f>
        <v/>
      </c>
      <c r="H231" s="33"/>
    </row>
    <row r="232" customFormat="false" ht="15" hidden="false" customHeight="false" outlineLevel="0" collapsed="false">
      <c r="A232" s="32"/>
      <c r="B232" s="33"/>
      <c r="C232" s="33"/>
      <c r="D232" s="34"/>
      <c r="E232" s="35"/>
      <c r="F232" s="36"/>
      <c r="G232" s="37" t="str">
        <f aca="false">IF(OR(C232="",D232=""),"",D232*IF(E232="",IFERROR(INDEX(Ürünler!$C$5:$C$204,MATCH(C232,Ürünler!$A$5:$A$204,0)),0),E232))</f>
        <v/>
      </c>
      <c r="H232" s="33"/>
    </row>
    <row r="233" customFormat="false" ht="15" hidden="false" customHeight="false" outlineLevel="0" collapsed="false">
      <c r="A233" s="32"/>
      <c r="B233" s="33"/>
      <c r="C233" s="33"/>
      <c r="D233" s="34"/>
      <c r="E233" s="35"/>
      <c r="F233" s="36"/>
      <c r="G233" s="37" t="str">
        <f aca="false">IF(OR(C233="",D233=""),"",D233*IF(E233="",IFERROR(INDEX(Ürünler!$C$5:$C$204,MATCH(C233,Ürünler!$A$5:$A$204,0)),0),E233))</f>
        <v/>
      </c>
      <c r="H233" s="33"/>
    </row>
    <row r="234" customFormat="false" ht="15" hidden="false" customHeight="false" outlineLevel="0" collapsed="false">
      <c r="A234" s="32"/>
      <c r="B234" s="33"/>
      <c r="C234" s="33"/>
      <c r="D234" s="34"/>
      <c r="E234" s="35"/>
      <c r="F234" s="36"/>
      <c r="G234" s="37" t="str">
        <f aca="false">IF(OR(C234="",D234=""),"",D234*IF(E234="",IFERROR(INDEX(Ürünler!$C$5:$C$204,MATCH(C234,Ürünler!$A$5:$A$204,0)),0),E234))</f>
        <v/>
      </c>
      <c r="H234" s="33"/>
    </row>
    <row r="235" customFormat="false" ht="15" hidden="false" customHeight="false" outlineLevel="0" collapsed="false">
      <c r="A235" s="32"/>
      <c r="B235" s="33"/>
      <c r="C235" s="33"/>
      <c r="D235" s="34"/>
      <c r="E235" s="35"/>
      <c r="F235" s="36"/>
      <c r="G235" s="37" t="str">
        <f aca="false">IF(OR(C235="",D235=""),"",D235*IF(E235="",IFERROR(INDEX(Ürünler!$C$5:$C$204,MATCH(C235,Ürünler!$A$5:$A$204,0)),0),E235))</f>
        <v/>
      </c>
      <c r="H235" s="33"/>
    </row>
    <row r="236" customFormat="false" ht="15" hidden="false" customHeight="false" outlineLevel="0" collapsed="false">
      <c r="A236" s="32"/>
      <c r="B236" s="33"/>
      <c r="C236" s="33"/>
      <c r="D236" s="34"/>
      <c r="E236" s="35"/>
      <c r="F236" s="36"/>
      <c r="G236" s="37" t="str">
        <f aca="false">IF(OR(C236="",D236=""),"",D236*IF(E236="",IFERROR(INDEX(Ürünler!$C$5:$C$204,MATCH(C236,Ürünler!$A$5:$A$204,0)),0),E236))</f>
        <v/>
      </c>
      <c r="H236" s="33"/>
    </row>
    <row r="237" customFormat="false" ht="15" hidden="false" customHeight="false" outlineLevel="0" collapsed="false">
      <c r="A237" s="32"/>
      <c r="B237" s="33"/>
      <c r="C237" s="33"/>
      <c r="D237" s="34"/>
      <c r="E237" s="35"/>
      <c r="F237" s="36"/>
      <c r="G237" s="37" t="str">
        <f aca="false">IF(OR(C237="",D237=""),"",D237*IF(E237="",IFERROR(INDEX(Ürünler!$C$5:$C$204,MATCH(C237,Ürünler!$A$5:$A$204,0)),0),E237))</f>
        <v/>
      </c>
      <c r="H237" s="33"/>
    </row>
    <row r="238" customFormat="false" ht="15" hidden="false" customHeight="false" outlineLevel="0" collapsed="false">
      <c r="A238" s="32"/>
      <c r="B238" s="33"/>
      <c r="C238" s="33"/>
      <c r="D238" s="34"/>
      <c r="E238" s="35"/>
      <c r="F238" s="36"/>
      <c r="G238" s="37" t="str">
        <f aca="false">IF(OR(C238="",D238=""),"",D238*IF(E238="",IFERROR(INDEX(Ürünler!$C$5:$C$204,MATCH(C238,Ürünler!$A$5:$A$204,0)),0),E238))</f>
        <v/>
      </c>
      <c r="H238" s="33"/>
    </row>
    <row r="239" customFormat="false" ht="15" hidden="false" customHeight="false" outlineLevel="0" collapsed="false">
      <c r="A239" s="32"/>
      <c r="B239" s="33"/>
      <c r="C239" s="33"/>
      <c r="D239" s="34"/>
      <c r="E239" s="35"/>
      <c r="F239" s="36"/>
      <c r="G239" s="37" t="str">
        <f aca="false">IF(OR(C239="",D239=""),"",D239*IF(E239="",IFERROR(INDEX(Ürünler!$C$5:$C$204,MATCH(C239,Ürünler!$A$5:$A$204,0)),0),E239))</f>
        <v/>
      </c>
      <c r="H239" s="33"/>
    </row>
    <row r="240" customFormat="false" ht="15" hidden="false" customHeight="false" outlineLevel="0" collapsed="false">
      <c r="A240" s="32"/>
      <c r="B240" s="33"/>
      <c r="C240" s="33"/>
      <c r="D240" s="34"/>
      <c r="E240" s="35"/>
      <c r="F240" s="36"/>
      <c r="G240" s="37" t="str">
        <f aca="false">IF(OR(C240="",D240=""),"",D240*IF(E240="",IFERROR(INDEX(Ürünler!$C$5:$C$204,MATCH(C240,Ürünler!$A$5:$A$204,0)),0),E240))</f>
        <v/>
      </c>
      <c r="H240" s="33"/>
    </row>
    <row r="241" customFormat="false" ht="15" hidden="false" customHeight="false" outlineLevel="0" collapsed="false">
      <c r="A241" s="32"/>
      <c r="B241" s="33"/>
      <c r="C241" s="33"/>
      <c r="D241" s="34"/>
      <c r="E241" s="35"/>
      <c r="F241" s="36"/>
      <c r="G241" s="37" t="str">
        <f aca="false">IF(OR(C241="",D241=""),"",D241*IF(E241="",IFERROR(INDEX(Ürünler!$C$5:$C$204,MATCH(C241,Ürünler!$A$5:$A$204,0)),0),E241))</f>
        <v/>
      </c>
      <c r="H241" s="33"/>
    </row>
    <row r="242" customFormat="false" ht="15" hidden="false" customHeight="false" outlineLevel="0" collapsed="false">
      <c r="A242" s="32"/>
      <c r="B242" s="33"/>
      <c r="C242" s="33"/>
      <c r="D242" s="34"/>
      <c r="E242" s="35"/>
      <c r="F242" s="36"/>
      <c r="G242" s="37" t="str">
        <f aca="false">IF(OR(C242="",D242=""),"",D242*IF(E242="",IFERROR(INDEX(Ürünler!$C$5:$C$204,MATCH(C242,Ürünler!$A$5:$A$204,0)),0),E242))</f>
        <v/>
      </c>
      <c r="H242" s="33"/>
    </row>
    <row r="243" customFormat="false" ht="15" hidden="false" customHeight="false" outlineLevel="0" collapsed="false">
      <c r="A243" s="32"/>
      <c r="B243" s="33"/>
      <c r="C243" s="33"/>
      <c r="D243" s="34"/>
      <c r="E243" s="35"/>
      <c r="F243" s="36"/>
      <c r="G243" s="37" t="str">
        <f aca="false">IF(OR(C243="",D243=""),"",D243*IF(E243="",IFERROR(INDEX(Ürünler!$C$5:$C$204,MATCH(C243,Ürünler!$A$5:$A$204,0)),0),E243))</f>
        <v/>
      </c>
      <c r="H243" s="33"/>
    </row>
    <row r="244" customFormat="false" ht="15" hidden="false" customHeight="false" outlineLevel="0" collapsed="false">
      <c r="A244" s="32"/>
      <c r="B244" s="33"/>
      <c r="C244" s="33"/>
      <c r="D244" s="34"/>
      <c r="E244" s="35"/>
      <c r="F244" s="36"/>
      <c r="G244" s="37" t="str">
        <f aca="false">IF(OR(C244="",D244=""),"",D244*IF(E244="",IFERROR(INDEX(Ürünler!$C$5:$C$204,MATCH(C244,Ürünler!$A$5:$A$204,0)),0),E244))</f>
        <v/>
      </c>
      <c r="H244" s="33"/>
    </row>
    <row r="245" customFormat="false" ht="15" hidden="false" customHeight="false" outlineLevel="0" collapsed="false">
      <c r="A245" s="32"/>
      <c r="B245" s="33"/>
      <c r="C245" s="33"/>
      <c r="D245" s="34"/>
      <c r="E245" s="35"/>
      <c r="F245" s="36"/>
      <c r="G245" s="37" t="str">
        <f aca="false">IF(OR(C245="",D245=""),"",D245*IF(E245="",IFERROR(INDEX(Ürünler!$C$5:$C$204,MATCH(C245,Ürünler!$A$5:$A$204,0)),0),E245))</f>
        <v/>
      </c>
      <c r="H245" s="33"/>
    </row>
    <row r="246" customFormat="false" ht="15" hidden="false" customHeight="false" outlineLevel="0" collapsed="false">
      <c r="A246" s="32"/>
      <c r="B246" s="33"/>
      <c r="C246" s="33"/>
      <c r="D246" s="34"/>
      <c r="E246" s="35"/>
      <c r="F246" s="36"/>
      <c r="G246" s="37" t="str">
        <f aca="false">IF(OR(C246="",D246=""),"",D246*IF(E246="",IFERROR(INDEX(Ürünler!$C$5:$C$204,MATCH(C246,Ürünler!$A$5:$A$204,0)),0),E246))</f>
        <v/>
      </c>
      <c r="H246" s="33"/>
    </row>
    <row r="247" customFormat="false" ht="15" hidden="false" customHeight="false" outlineLevel="0" collapsed="false">
      <c r="A247" s="32"/>
      <c r="B247" s="33"/>
      <c r="C247" s="33"/>
      <c r="D247" s="34"/>
      <c r="E247" s="35"/>
      <c r="F247" s="36"/>
      <c r="G247" s="37" t="str">
        <f aca="false">IF(OR(C247="",D247=""),"",D247*IF(E247="",IFERROR(INDEX(Ürünler!$C$5:$C$204,MATCH(C247,Ürünler!$A$5:$A$204,0)),0),E247))</f>
        <v/>
      </c>
      <c r="H247" s="33"/>
    </row>
    <row r="248" customFormat="false" ht="15" hidden="false" customHeight="false" outlineLevel="0" collapsed="false">
      <c r="A248" s="32"/>
      <c r="B248" s="33"/>
      <c r="C248" s="33"/>
      <c r="D248" s="34"/>
      <c r="E248" s="35"/>
      <c r="F248" s="36"/>
      <c r="G248" s="37" t="str">
        <f aca="false">IF(OR(C248="",D248=""),"",D248*IF(E248="",IFERROR(INDEX(Ürünler!$C$5:$C$204,MATCH(C248,Ürünler!$A$5:$A$204,0)),0),E248))</f>
        <v/>
      </c>
      <c r="H248" s="33"/>
    </row>
    <row r="249" customFormat="false" ht="15" hidden="false" customHeight="false" outlineLevel="0" collapsed="false">
      <c r="A249" s="32"/>
      <c r="B249" s="33"/>
      <c r="C249" s="33"/>
      <c r="D249" s="34"/>
      <c r="E249" s="35"/>
      <c r="F249" s="36"/>
      <c r="G249" s="37" t="str">
        <f aca="false">IF(OR(C249="",D249=""),"",D249*IF(E249="",IFERROR(INDEX(Ürünler!$C$5:$C$204,MATCH(C249,Ürünler!$A$5:$A$204,0)),0),E249))</f>
        <v/>
      </c>
      <c r="H249" s="33"/>
    </row>
    <row r="250" customFormat="false" ht="15" hidden="false" customHeight="false" outlineLevel="0" collapsed="false">
      <c r="A250" s="32"/>
      <c r="B250" s="33"/>
      <c r="C250" s="33"/>
      <c r="D250" s="34"/>
      <c r="E250" s="35"/>
      <c r="F250" s="36"/>
      <c r="G250" s="37" t="str">
        <f aca="false">IF(OR(C250="",D250=""),"",D250*IF(E250="",IFERROR(INDEX(Ürünler!$C$5:$C$204,MATCH(C250,Ürünler!$A$5:$A$204,0)),0),E250))</f>
        <v/>
      </c>
      <c r="H250" s="33"/>
    </row>
    <row r="251" customFormat="false" ht="15" hidden="false" customHeight="false" outlineLevel="0" collapsed="false">
      <c r="A251" s="32"/>
      <c r="B251" s="33"/>
      <c r="C251" s="33"/>
      <c r="D251" s="34"/>
      <c r="E251" s="35"/>
      <c r="F251" s="36"/>
      <c r="G251" s="37" t="str">
        <f aca="false">IF(OR(C251="",D251=""),"",D251*IF(E251="",IFERROR(INDEX(Ürünler!$C$5:$C$204,MATCH(C251,Ürünler!$A$5:$A$204,0)),0),E251))</f>
        <v/>
      </c>
      <c r="H251" s="33"/>
    </row>
    <row r="252" customFormat="false" ht="15" hidden="false" customHeight="false" outlineLevel="0" collapsed="false">
      <c r="A252" s="32"/>
      <c r="B252" s="33"/>
      <c r="C252" s="33"/>
      <c r="D252" s="34"/>
      <c r="E252" s="35"/>
      <c r="F252" s="36"/>
      <c r="G252" s="37" t="str">
        <f aca="false">IF(OR(C252="",D252=""),"",D252*IF(E252="",IFERROR(INDEX(Ürünler!$C$5:$C$204,MATCH(C252,Ürünler!$A$5:$A$204,0)),0),E252))</f>
        <v/>
      </c>
      <c r="H252" s="33"/>
    </row>
    <row r="253" customFormat="false" ht="15" hidden="false" customHeight="false" outlineLevel="0" collapsed="false">
      <c r="A253" s="32"/>
      <c r="B253" s="33"/>
      <c r="C253" s="33"/>
      <c r="D253" s="34"/>
      <c r="E253" s="35"/>
      <c r="F253" s="36"/>
      <c r="G253" s="37" t="str">
        <f aca="false">IF(OR(C253="",D253=""),"",D253*IF(E253="",IFERROR(INDEX(Ürünler!$C$5:$C$204,MATCH(C253,Ürünler!$A$5:$A$204,0)),0),E253))</f>
        <v/>
      </c>
      <c r="H253" s="33"/>
    </row>
    <row r="254" customFormat="false" ht="15" hidden="false" customHeight="false" outlineLevel="0" collapsed="false">
      <c r="A254" s="32"/>
      <c r="B254" s="33"/>
      <c r="C254" s="33"/>
      <c r="D254" s="34"/>
      <c r="E254" s="35"/>
      <c r="F254" s="36"/>
      <c r="G254" s="37" t="str">
        <f aca="false">IF(OR(C254="",D254=""),"",D254*IF(E254="",IFERROR(INDEX(Ürünler!$C$5:$C$204,MATCH(C254,Ürünler!$A$5:$A$204,0)),0),E254))</f>
        <v/>
      </c>
      <c r="H254" s="33"/>
    </row>
    <row r="255" customFormat="false" ht="15" hidden="false" customHeight="false" outlineLevel="0" collapsed="false">
      <c r="A255" s="32"/>
      <c r="B255" s="33"/>
      <c r="C255" s="33"/>
      <c r="D255" s="34"/>
      <c r="E255" s="35"/>
      <c r="F255" s="36"/>
      <c r="G255" s="37" t="str">
        <f aca="false">IF(OR(C255="",D255=""),"",D255*IF(E255="",IFERROR(INDEX(Ürünler!$C$5:$C$204,MATCH(C255,Ürünler!$A$5:$A$204,0)),0),E255))</f>
        <v/>
      </c>
      <c r="H255" s="33"/>
    </row>
    <row r="256" customFormat="false" ht="15" hidden="false" customHeight="false" outlineLevel="0" collapsed="false">
      <c r="A256" s="32"/>
      <c r="B256" s="33"/>
      <c r="C256" s="33"/>
      <c r="D256" s="34"/>
      <c r="E256" s="35"/>
      <c r="F256" s="36"/>
      <c r="G256" s="37" t="str">
        <f aca="false">IF(OR(C256="",D256=""),"",D256*IF(E256="",IFERROR(INDEX(Ürünler!$C$5:$C$204,MATCH(C256,Ürünler!$A$5:$A$204,0)),0),E256))</f>
        <v/>
      </c>
      <c r="H256" s="33"/>
    </row>
    <row r="257" customFormat="false" ht="15" hidden="false" customHeight="false" outlineLevel="0" collapsed="false">
      <c r="A257" s="32"/>
      <c r="B257" s="33"/>
      <c r="C257" s="33"/>
      <c r="D257" s="34"/>
      <c r="E257" s="35"/>
      <c r="F257" s="36"/>
      <c r="G257" s="37" t="str">
        <f aca="false">IF(OR(C257="",D257=""),"",D257*IF(E257="",IFERROR(INDEX(Ürünler!$C$5:$C$204,MATCH(C257,Ürünler!$A$5:$A$204,0)),0),E257))</f>
        <v/>
      </c>
      <c r="H257" s="33"/>
    </row>
    <row r="258" customFormat="false" ht="15" hidden="false" customHeight="false" outlineLevel="0" collapsed="false">
      <c r="A258" s="32"/>
      <c r="B258" s="33"/>
      <c r="C258" s="33"/>
      <c r="D258" s="34"/>
      <c r="E258" s="35"/>
      <c r="F258" s="36"/>
      <c r="G258" s="37" t="str">
        <f aca="false">IF(OR(C258="",D258=""),"",D258*IF(E258="",IFERROR(INDEX(Ürünler!$C$5:$C$204,MATCH(C258,Ürünler!$A$5:$A$204,0)),0),E258))</f>
        <v/>
      </c>
      <c r="H258" s="33"/>
    </row>
    <row r="259" customFormat="false" ht="15" hidden="false" customHeight="false" outlineLevel="0" collapsed="false">
      <c r="A259" s="32"/>
      <c r="B259" s="33"/>
      <c r="C259" s="33"/>
      <c r="D259" s="34"/>
      <c r="E259" s="35"/>
      <c r="F259" s="36"/>
      <c r="G259" s="37" t="str">
        <f aca="false">IF(OR(C259="",D259=""),"",D259*IF(E259="",IFERROR(INDEX(Ürünler!$C$5:$C$204,MATCH(C259,Ürünler!$A$5:$A$204,0)),0),E259))</f>
        <v/>
      </c>
      <c r="H259" s="33"/>
    </row>
    <row r="260" customFormat="false" ht="15" hidden="false" customHeight="false" outlineLevel="0" collapsed="false">
      <c r="A260" s="32"/>
      <c r="B260" s="33"/>
      <c r="C260" s="33"/>
      <c r="D260" s="34"/>
      <c r="E260" s="35"/>
      <c r="F260" s="36"/>
      <c r="G260" s="37" t="str">
        <f aca="false">IF(OR(C260="",D260=""),"",D260*IF(E260="",IFERROR(INDEX(Ürünler!$C$5:$C$204,MATCH(C260,Ürünler!$A$5:$A$204,0)),0),E260))</f>
        <v/>
      </c>
      <c r="H260" s="33"/>
    </row>
    <row r="261" customFormat="false" ht="15" hidden="false" customHeight="false" outlineLevel="0" collapsed="false">
      <c r="A261" s="32"/>
      <c r="B261" s="33"/>
      <c r="C261" s="33"/>
      <c r="D261" s="34"/>
      <c r="E261" s="35"/>
      <c r="F261" s="36"/>
      <c r="G261" s="37" t="str">
        <f aca="false">IF(OR(C261="",D261=""),"",D261*IF(E261="",IFERROR(INDEX(Ürünler!$C$5:$C$204,MATCH(C261,Ürünler!$A$5:$A$204,0)),0),E261))</f>
        <v/>
      </c>
      <c r="H261" s="33"/>
    </row>
    <row r="262" customFormat="false" ht="15" hidden="false" customHeight="false" outlineLevel="0" collapsed="false">
      <c r="A262" s="32"/>
      <c r="B262" s="33"/>
      <c r="C262" s="33"/>
      <c r="D262" s="34"/>
      <c r="E262" s="35"/>
      <c r="F262" s="36"/>
      <c r="G262" s="37" t="str">
        <f aca="false">IF(OR(C262="",D262=""),"",D262*IF(E262="",IFERROR(INDEX(Ürünler!$C$5:$C$204,MATCH(C262,Ürünler!$A$5:$A$204,0)),0),E262))</f>
        <v/>
      </c>
      <c r="H262" s="33"/>
    </row>
    <row r="263" customFormat="false" ht="15" hidden="false" customHeight="false" outlineLevel="0" collapsed="false">
      <c r="A263" s="32"/>
      <c r="B263" s="33"/>
      <c r="C263" s="33"/>
      <c r="D263" s="34"/>
      <c r="E263" s="35"/>
      <c r="F263" s="36"/>
      <c r="G263" s="37" t="str">
        <f aca="false">IF(OR(C263="",D263=""),"",D263*IF(E263="",IFERROR(INDEX(Ürünler!$C$5:$C$204,MATCH(C263,Ürünler!$A$5:$A$204,0)),0),E263))</f>
        <v/>
      </c>
      <c r="H263" s="33"/>
    </row>
    <row r="264" customFormat="false" ht="15" hidden="false" customHeight="false" outlineLevel="0" collapsed="false">
      <c r="A264" s="32"/>
      <c r="B264" s="33"/>
      <c r="C264" s="33"/>
      <c r="D264" s="34"/>
      <c r="E264" s="35"/>
      <c r="F264" s="36"/>
      <c r="G264" s="37" t="str">
        <f aca="false">IF(OR(C264="",D264=""),"",D264*IF(E264="",IFERROR(INDEX(Ürünler!$C$5:$C$204,MATCH(C264,Ürünler!$A$5:$A$204,0)),0),E264))</f>
        <v/>
      </c>
      <c r="H264" s="33"/>
    </row>
    <row r="265" customFormat="false" ht="15" hidden="false" customHeight="false" outlineLevel="0" collapsed="false">
      <c r="A265" s="32"/>
      <c r="B265" s="33"/>
      <c r="C265" s="33"/>
      <c r="D265" s="34"/>
      <c r="E265" s="35"/>
      <c r="F265" s="36"/>
      <c r="G265" s="37" t="str">
        <f aca="false">IF(OR(C265="",D265=""),"",D265*IF(E265="",IFERROR(INDEX(Ürünler!$C$5:$C$204,MATCH(C265,Ürünler!$A$5:$A$204,0)),0),E265))</f>
        <v/>
      </c>
      <c r="H265" s="33"/>
    </row>
    <row r="266" customFormat="false" ht="15" hidden="false" customHeight="false" outlineLevel="0" collapsed="false">
      <c r="A266" s="32"/>
      <c r="B266" s="33"/>
      <c r="C266" s="33"/>
      <c r="D266" s="34"/>
      <c r="E266" s="35"/>
      <c r="F266" s="36"/>
      <c r="G266" s="37" t="str">
        <f aca="false">IF(OR(C266="",D266=""),"",D266*IF(E266="",IFERROR(INDEX(Ürünler!$C$5:$C$204,MATCH(C266,Ürünler!$A$5:$A$204,0)),0),E266))</f>
        <v/>
      </c>
      <c r="H266" s="33"/>
    </row>
    <row r="267" customFormat="false" ht="15" hidden="false" customHeight="false" outlineLevel="0" collapsed="false">
      <c r="A267" s="32"/>
      <c r="B267" s="33"/>
      <c r="C267" s="33"/>
      <c r="D267" s="34"/>
      <c r="E267" s="35"/>
      <c r="F267" s="36"/>
      <c r="G267" s="37" t="str">
        <f aca="false">IF(OR(C267="",D267=""),"",D267*IF(E267="",IFERROR(INDEX(Ürünler!$C$5:$C$204,MATCH(C267,Ürünler!$A$5:$A$204,0)),0),E267))</f>
        <v/>
      </c>
      <c r="H267" s="33"/>
    </row>
    <row r="268" customFormat="false" ht="15" hidden="false" customHeight="false" outlineLevel="0" collapsed="false">
      <c r="A268" s="32"/>
      <c r="B268" s="33"/>
      <c r="C268" s="33"/>
      <c r="D268" s="34"/>
      <c r="E268" s="35"/>
      <c r="F268" s="36"/>
      <c r="G268" s="37" t="str">
        <f aca="false">IF(OR(C268="",D268=""),"",D268*IF(E268="",IFERROR(INDEX(Ürünler!$C$5:$C$204,MATCH(C268,Ürünler!$A$5:$A$204,0)),0),E268))</f>
        <v/>
      </c>
      <c r="H268" s="33"/>
    </row>
    <row r="269" customFormat="false" ht="15" hidden="false" customHeight="false" outlineLevel="0" collapsed="false">
      <c r="A269" s="32"/>
      <c r="B269" s="33"/>
      <c r="C269" s="33"/>
      <c r="D269" s="34"/>
      <c r="E269" s="35"/>
      <c r="F269" s="36"/>
      <c r="G269" s="37" t="str">
        <f aca="false">IF(OR(C269="",D269=""),"",D269*IF(E269="",IFERROR(INDEX(Ürünler!$C$5:$C$204,MATCH(C269,Ürünler!$A$5:$A$204,0)),0),E269))</f>
        <v/>
      </c>
      <c r="H269" s="33"/>
    </row>
    <row r="270" customFormat="false" ht="15" hidden="false" customHeight="false" outlineLevel="0" collapsed="false">
      <c r="A270" s="32"/>
      <c r="B270" s="33"/>
      <c r="C270" s="33"/>
      <c r="D270" s="34"/>
      <c r="E270" s="35"/>
      <c r="F270" s="36"/>
      <c r="G270" s="37" t="str">
        <f aca="false">IF(OR(C270="",D270=""),"",D270*IF(E270="",IFERROR(INDEX(Ürünler!$C$5:$C$204,MATCH(C270,Ürünler!$A$5:$A$204,0)),0),E270))</f>
        <v/>
      </c>
      <c r="H270" s="33"/>
    </row>
    <row r="271" customFormat="false" ht="15" hidden="false" customHeight="false" outlineLevel="0" collapsed="false">
      <c r="A271" s="32"/>
      <c r="B271" s="33"/>
      <c r="C271" s="33"/>
      <c r="D271" s="34"/>
      <c r="E271" s="35"/>
      <c r="F271" s="36"/>
      <c r="G271" s="37" t="str">
        <f aca="false">IF(OR(C271="",D271=""),"",D271*IF(E271="",IFERROR(INDEX(Ürünler!$C$5:$C$204,MATCH(C271,Ürünler!$A$5:$A$204,0)),0),E271))</f>
        <v/>
      </c>
      <c r="H271" s="33"/>
    </row>
    <row r="272" customFormat="false" ht="15" hidden="false" customHeight="false" outlineLevel="0" collapsed="false">
      <c r="A272" s="32"/>
      <c r="B272" s="33"/>
      <c r="C272" s="33"/>
      <c r="D272" s="34"/>
      <c r="E272" s="35"/>
      <c r="F272" s="36"/>
      <c r="G272" s="37" t="str">
        <f aca="false">IF(OR(C272="",D272=""),"",D272*IF(E272="",IFERROR(INDEX(Ürünler!$C$5:$C$204,MATCH(C272,Ürünler!$A$5:$A$204,0)),0),E272))</f>
        <v/>
      </c>
      <c r="H272" s="33"/>
    </row>
    <row r="273" customFormat="false" ht="15" hidden="false" customHeight="false" outlineLevel="0" collapsed="false">
      <c r="A273" s="32"/>
      <c r="B273" s="33"/>
      <c r="C273" s="33"/>
      <c r="D273" s="34"/>
      <c r="E273" s="35"/>
      <c r="F273" s="36"/>
      <c r="G273" s="37" t="str">
        <f aca="false">IF(OR(C273="",D273=""),"",D273*IF(E273="",IFERROR(INDEX(Ürünler!$C$5:$C$204,MATCH(C273,Ürünler!$A$5:$A$204,0)),0),E273))</f>
        <v/>
      </c>
      <c r="H273" s="33"/>
    </row>
    <row r="274" customFormat="false" ht="15" hidden="false" customHeight="false" outlineLevel="0" collapsed="false">
      <c r="A274" s="32"/>
      <c r="B274" s="33"/>
      <c r="C274" s="33"/>
      <c r="D274" s="34"/>
      <c r="E274" s="35"/>
      <c r="F274" s="36"/>
      <c r="G274" s="37" t="str">
        <f aca="false">IF(OR(C274="",D274=""),"",D274*IF(E274="",IFERROR(INDEX(Ürünler!$C$5:$C$204,MATCH(C274,Ürünler!$A$5:$A$204,0)),0),E274))</f>
        <v/>
      </c>
      <c r="H274" s="33"/>
    </row>
    <row r="275" customFormat="false" ht="15" hidden="false" customHeight="false" outlineLevel="0" collapsed="false">
      <c r="A275" s="32"/>
      <c r="B275" s="33"/>
      <c r="C275" s="33"/>
      <c r="D275" s="34"/>
      <c r="E275" s="35"/>
      <c r="F275" s="36"/>
      <c r="G275" s="37" t="str">
        <f aca="false">IF(OR(C275="",D275=""),"",D275*IF(E275="",IFERROR(INDEX(Ürünler!$C$5:$C$204,MATCH(C275,Ürünler!$A$5:$A$204,0)),0),E275))</f>
        <v/>
      </c>
      <c r="H275" s="33"/>
    </row>
    <row r="276" customFormat="false" ht="15" hidden="false" customHeight="false" outlineLevel="0" collapsed="false">
      <c r="A276" s="32"/>
      <c r="B276" s="33"/>
      <c r="C276" s="33"/>
      <c r="D276" s="34"/>
      <c r="E276" s="35"/>
      <c r="F276" s="36"/>
      <c r="G276" s="37" t="str">
        <f aca="false">IF(OR(C276="",D276=""),"",D276*IF(E276="",IFERROR(INDEX(Ürünler!$C$5:$C$204,MATCH(C276,Ürünler!$A$5:$A$204,0)),0),E276))</f>
        <v/>
      </c>
      <c r="H276" s="33"/>
    </row>
    <row r="277" customFormat="false" ht="15" hidden="false" customHeight="false" outlineLevel="0" collapsed="false">
      <c r="A277" s="32"/>
      <c r="B277" s="33"/>
      <c r="C277" s="33"/>
      <c r="D277" s="34"/>
      <c r="E277" s="35"/>
      <c r="F277" s="36"/>
      <c r="G277" s="37" t="str">
        <f aca="false">IF(OR(C277="",D277=""),"",D277*IF(E277="",IFERROR(INDEX(Ürünler!$C$5:$C$204,MATCH(C277,Ürünler!$A$5:$A$204,0)),0),E277))</f>
        <v/>
      </c>
      <c r="H277" s="33"/>
    </row>
    <row r="278" customFormat="false" ht="15" hidden="false" customHeight="false" outlineLevel="0" collapsed="false">
      <c r="A278" s="32"/>
      <c r="B278" s="33"/>
      <c r="C278" s="33"/>
      <c r="D278" s="34"/>
      <c r="E278" s="35"/>
      <c r="F278" s="36"/>
      <c r="G278" s="37" t="str">
        <f aca="false">IF(OR(C278="",D278=""),"",D278*IF(E278="",IFERROR(INDEX(Ürünler!$C$5:$C$204,MATCH(C278,Ürünler!$A$5:$A$204,0)),0),E278))</f>
        <v/>
      </c>
      <c r="H278" s="33"/>
    </row>
    <row r="279" customFormat="false" ht="15" hidden="false" customHeight="false" outlineLevel="0" collapsed="false">
      <c r="A279" s="32"/>
      <c r="B279" s="33"/>
      <c r="C279" s="33"/>
      <c r="D279" s="34"/>
      <c r="E279" s="35"/>
      <c r="F279" s="36"/>
      <c r="G279" s="37" t="str">
        <f aca="false">IF(OR(C279="",D279=""),"",D279*IF(E279="",IFERROR(INDEX(Ürünler!$C$5:$C$204,MATCH(C279,Ürünler!$A$5:$A$204,0)),0),E279))</f>
        <v/>
      </c>
      <c r="H279" s="33"/>
    </row>
    <row r="280" customFormat="false" ht="15" hidden="false" customHeight="false" outlineLevel="0" collapsed="false">
      <c r="A280" s="32"/>
      <c r="B280" s="33"/>
      <c r="C280" s="33"/>
      <c r="D280" s="34"/>
      <c r="E280" s="35"/>
      <c r="F280" s="36"/>
      <c r="G280" s="37" t="str">
        <f aca="false">IF(OR(C280="",D280=""),"",D280*IF(E280="",IFERROR(INDEX(Ürünler!$C$5:$C$204,MATCH(C280,Ürünler!$A$5:$A$204,0)),0),E280))</f>
        <v/>
      </c>
      <c r="H280" s="33"/>
    </row>
    <row r="281" customFormat="false" ht="15" hidden="false" customHeight="false" outlineLevel="0" collapsed="false">
      <c r="A281" s="32"/>
      <c r="B281" s="33"/>
      <c r="C281" s="33"/>
      <c r="D281" s="34"/>
      <c r="E281" s="35"/>
      <c r="F281" s="36"/>
      <c r="G281" s="37" t="str">
        <f aca="false">IF(OR(C281="",D281=""),"",D281*IF(E281="",IFERROR(INDEX(Ürünler!$C$5:$C$204,MATCH(C281,Ürünler!$A$5:$A$204,0)),0),E281))</f>
        <v/>
      </c>
      <c r="H281" s="33"/>
    </row>
    <row r="282" customFormat="false" ht="15" hidden="false" customHeight="false" outlineLevel="0" collapsed="false">
      <c r="A282" s="32"/>
      <c r="B282" s="33"/>
      <c r="C282" s="33"/>
      <c r="D282" s="34"/>
      <c r="E282" s="35"/>
      <c r="F282" s="36"/>
      <c r="G282" s="37" t="str">
        <f aca="false">IF(OR(C282="",D282=""),"",D282*IF(E282="",IFERROR(INDEX(Ürünler!$C$5:$C$204,MATCH(C282,Ürünler!$A$5:$A$204,0)),0),E282))</f>
        <v/>
      </c>
      <c r="H282" s="33"/>
    </row>
    <row r="283" customFormat="false" ht="15" hidden="false" customHeight="false" outlineLevel="0" collapsed="false">
      <c r="A283" s="32"/>
      <c r="B283" s="33"/>
      <c r="C283" s="33"/>
      <c r="D283" s="34"/>
      <c r="E283" s="35"/>
      <c r="F283" s="36"/>
      <c r="G283" s="37" t="str">
        <f aca="false">IF(OR(C283="",D283=""),"",D283*IF(E283="",IFERROR(INDEX(Ürünler!$C$5:$C$204,MATCH(C283,Ürünler!$A$5:$A$204,0)),0),E283))</f>
        <v/>
      </c>
      <c r="H283" s="33"/>
    </row>
    <row r="284" customFormat="false" ht="15" hidden="false" customHeight="false" outlineLevel="0" collapsed="false">
      <c r="A284" s="32"/>
      <c r="B284" s="33"/>
      <c r="C284" s="33"/>
      <c r="D284" s="34"/>
      <c r="E284" s="35"/>
      <c r="F284" s="36"/>
      <c r="G284" s="37" t="str">
        <f aca="false">IF(OR(C284="",D284=""),"",D284*IF(E284="",IFERROR(INDEX(Ürünler!$C$5:$C$204,MATCH(C284,Ürünler!$A$5:$A$204,0)),0),E284))</f>
        <v/>
      </c>
      <c r="H284" s="33"/>
    </row>
    <row r="285" customFormat="false" ht="15" hidden="false" customHeight="false" outlineLevel="0" collapsed="false">
      <c r="A285" s="32"/>
      <c r="B285" s="33"/>
      <c r="C285" s="33"/>
      <c r="D285" s="34"/>
      <c r="E285" s="35"/>
      <c r="F285" s="36"/>
      <c r="G285" s="37" t="str">
        <f aca="false">IF(OR(C285="",D285=""),"",D285*IF(E285="",IFERROR(INDEX(Ürünler!$C$5:$C$204,MATCH(C285,Ürünler!$A$5:$A$204,0)),0),E285))</f>
        <v/>
      </c>
      <c r="H285" s="33"/>
    </row>
    <row r="286" customFormat="false" ht="15" hidden="false" customHeight="false" outlineLevel="0" collapsed="false">
      <c r="A286" s="32"/>
      <c r="B286" s="33"/>
      <c r="C286" s="33"/>
      <c r="D286" s="34"/>
      <c r="E286" s="35"/>
      <c r="F286" s="36"/>
      <c r="G286" s="37" t="str">
        <f aca="false">IF(OR(C286="",D286=""),"",D286*IF(E286="",IFERROR(INDEX(Ürünler!$C$5:$C$204,MATCH(C286,Ürünler!$A$5:$A$204,0)),0),E286))</f>
        <v/>
      </c>
      <c r="H286" s="33"/>
    </row>
    <row r="287" customFormat="false" ht="15" hidden="false" customHeight="false" outlineLevel="0" collapsed="false">
      <c r="A287" s="32"/>
      <c r="B287" s="33"/>
      <c r="C287" s="33"/>
      <c r="D287" s="34"/>
      <c r="E287" s="35"/>
      <c r="F287" s="36"/>
      <c r="G287" s="37" t="str">
        <f aca="false">IF(OR(C287="",D287=""),"",D287*IF(E287="",IFERROR(INDEX(Ürünler!$C$5:$C$204,MATCH(C287,Ürünler!$A$5:$A$204,0)),0),E287))</f>
        <v/>
      </c>
      <c r="H287" s="33"/>
    </row>
    <row r="288" customFormat="false" ht="15" hidden="false" customHeight="false" outlineLevel="0" collapsed="false">
      <c r="A288" s="32"/>
      <c r="B288" s="33"/>
      <c r="C288" s="33"/>
      <c r="D288" s="34"/>
      <c r="E288" s="35"/>
      <c r="F288" s="36"/>
      <c r="G288" s="37" t="str">
        <f aca="false">IF(OR(C288="",D288=""),"",D288*IF(E288="",IFERROR(INDEX(Ürünler!$C$5:$C$204,MATCH(C288,Ürünler!$A$5:$A$204,0)),0),E288))</f>
        <v/>
      </c>
      <c r="H288" s="33"/>
    </row>
    <row r="289" customFormat="false" ht="15" hidden="false" customHeight="false" outlineLevel="0" collapsed="false">
      <c r="A289" s="32"/>
      <c r="B289" s="33"/>
      <c r="C289" s="33"/>
      <c r="D289" s="34"/>
      <c r="E289" s="35"/>
      <c r="F289" s="36"/>
      <c r="G289" s="37" t="str">
        <f aca="false">IF(OR(C289="",D289=""),"",D289*IF(E289="",IFERROR(INDEX(Ürünler!$C$5:$C$204,MATCH(C289,Ürünler!$A$5:$A$204,0)),0),E289))</f>
        <v/>
      </c>
      <c r="H289" s="33"/>
    </row>
    <row r="290" customFormat="false" ht="15" hidden="false" customHeight="false" outlineLevel="0" collapsed="false">
      <c r="A290" s="32"/>
      <c r="B290" s="33"/>
      <c r="C290" s="33"/>
      <c r="D290" s="34"/>
      <c r="E290" s="35"/>
      <c r="F290" s="36"/>
      <c r="G290" s="37" t="str">
        <f aca="false">IF(OR(C290="",D290=""),"",D290*IF(E290="",IFERROR(INDEX(Ürünler!$C$5:$C$204,MATCH(C290,Ürünler!$A$5:$A$204,0)),0),E290))</f>
        <v/>
      </c>
      <c r="H290" s="33"/>
    </row>
    <row r="291" customFormat="false" ht="15" hidden="false" customHeight="false" outlineLevel="0" collapsed="false">
      <c r="A291" s="32"/>
      <c r="B291" s="33"/>
      <c r="C291" s="33"/>
      <c r="D291" s="34"/>
      <c r="E291" s="35"/>
      <c r="F291" s="36"/>
      <c r="G291" s="37" t="str">
        <f aca="false">IF(OR(C291="",D291=""),"",D291*IF(E291="",IFERROR(INDEX(Ürünler!$C$5:$C$204,MATCH(C291,Ürünler!$A$5:$A$204,0)),0),E291))</f>
        <v/>
      </c>
      <c r="H291" s="33"/>
    </row>
    <row r="292" customFormat="false" ht="15" hidden="false" customHeight="false" outlineLevel="0" collapsed="false">
      <c r="A292" s="32"/>
      <c r="B292" s="33"/>
      <c r="C292" s="33"/>
      <c r="D292" s="34"/>
      <c r="E292" s="35"/>
      <c r="F292" s="36"/>
      <c r="G292" s="37" t="str">
        <f aca="false">IF(OR(C292="",D292=""),"",D292*IF(E292="",IFERROR(INDEX(Ürünler!$C$5:$C$204,MATCH(C292,Ürünler!$A$5:$A$204,0)),0),E292))</f>
        <v/>
      </c>
      <c r="H292" s="33"/>
    </row>
    <row r="293" customFormat="false" ht="15" hidden="false" customHeight="false" outlineLevel="0" collapsed="false">
      <c r="A293" s="32"/>
      <c r="B293" s="33"/>
      <c r="C293" s="33"/>
      <c r="D293" s="34"/>
      <c r="E293" s="35"/>
      <c r="F293" s="36"/>
      <c r="G293" s="37" t="str">
        <f aca="false">IF(OR(C293="",D293=""),"",D293*IF(E293="",IFERROR(INDEX(Ürünler!$C$5:$C$204,MATCH(C293,Ürünler!$A$5:$A$204,0)),0),E293))</f>
        <v/>
      </c>
      <c r="H293" s="33"/>
    </row>
    <row r="294" customFormat="false" ht="15" hidden="false" customHeight="false" outlineLevel="0" collapsed="false">
      <c r="A294" s="32"/>
      <c r="B294" s="33"/>
      <c r="C294" s="33"/>
      <c r="D294" s="34"/>
      <c r="E294" s="35"/>
      <c r="F294" s="36"/>
      <c r="G294" s="37" t="str">
        <f aca="false">IF(OR(C294="",D294=""),"",D294*IF(E294="",IFERROR(INDEX(Ürünler!$C$5:$C$204,MATCH(C294,Ürünler!$A$5:$A$204,0)),0),E294))</f>
        <v/>
      </c>
      <c r="H294" s="33"/>
    </row>
    <row r="295" customFormat="false" ht="15" hidden="false" customHeight="false" outlineLevel="0" collapsed="false">
      <c r="A295" s="32"/>
      <c r="B295" s="33"/>
      <c r="C295" s="33"/>
      <c r="D295" s="34"/>
      <c r="E295" s="35"/>
      <c r="F295" s="36"/>
      <c r="G295" s="37" t="str">
        <f aca="false">IF(OR(C295="",D295=""),"",D295*IF(E295="",IFERROR(INDEX(Ürünler!$C$5:$C$204,MATCH(C295,Ürünler!$A$5:$A$204,0)),0),E295))</f>
        <v/>
      </c>
      <c r="H295" s="33"/>
    </row>
    <row r="296" customFormat="false" ht="15" hidden="false" customHeight="false" outlineLevel="0" collapsed="false">
      <c r="A296" s="32"/>
      <c r="B296" s="33"/>
      <c r="C296" s="33"/>
      <c r="D296" s="34"/>
      <c r="E296" s="35"/>
      <c r="F296" s="36"/>
      <c r="G296" s="37" t="str">
        <f aca="false">IF(OR(C296="",D296=""),"",D296*IF(E296="",IFERROR(INDEX(Ürünler!$C$5:$C$204,MATCH(C296,Ürünler!$A$5:$A$204,0)),0),E296))</f>
        <v/>
      </c>
      <c r="H296" s="33"/>
    </row>
    <row r="297" customFormat="false" ht="15" hidden="false" customHeight="false" outlineLevel="0" collapsed="false">
      <c r="A297" s="32"/>
      <c r="B297" s="33"/>
      <c r="C297" s="33"/>
      <c r="D297" s="34"/>
      <c r="E297" s="35"/>
      <c r="F297" s="36"/>
      <c r="G297" s="37" t="str">
        <f aca="false">IF(OR(C297="",D297=""),"",D297*IF(E297="",IFERROR(INDEX(Ürünler!$C$5:$C$204,MATCH(C297,Ürünler!$A$5:$A$204,0)),0),E297))</f>
        <v/>
      </c>
      <c r="H297" s="33"/>
    </row>
    <row r="298" customFormat="false" ht="15" hidden="false" customHeight="false" outlineLevel="0" collapsed="false">
      <c r="A298" s="32"/>
      <c r="B298" s="33"/>
      <c r="C298" s="33"/>
      <c r="D298" s="34"/>
      <c r="E298" s="35"/>
      <c r="F298" s="36"/>
      <c r="G298" s="37" t="str">
        <f aca="false">IF(OR(C298="",D298=""),"",D298*IF(E298="",IFERROR(INDEX(Ürünler!$C$5:$C$204,MATCH(C298,Ürünler!$A$5:$A$204,0)),0),E298))</f>
        <v/>
      </c>
      <c r="H298" s="33"/>
    </row>
    <row r="299" customFormat="false" ht="15" hidden="false" customHeight="false" outlineLevel="0" collapsed="false">
      <c r="A299" s="32"/>
      <c r="B299" s="33"/>
      <c r="C299" s="33"/>
      <c r="D299" s="34"/>
      <c r="E299" s="35"/>
      <c r="F299" s="36"/>
      <c r="G299" s="37" t="str">
        <f aca="false">IF(OR(C299="",D299=""),"",D299*IF(E299="",IFERROR(INDEX(Ürünler!$C$5:$C$204,MATCH(C299,Ürünler!$A$5:$A$204,0)),0),E299))</f>
        <v/>
      </c>
      <c r="H299" s="33"/>
    </row>
    <row r="300" customFormat="false" ht="15" hidden="false" customHeight="false" outlineLevel="0" collapsed="false">
      <c r="A300" s="32"/>
      <c r="B300" s="33"/>
      <c r="C300" s="33"/>
      <c r="D300" s="34"/>
      <c r="E300" s="35"/>
      <c r="F300" s="36"/>
      <c r="G300" s="37" t="str">
        <f aca="false">IF(OR(C300="",D300=""),"",D300*IF(E300="",IFERROR(INDEX(Ürünler!$C$5:$C$204,MATCH(C300,Ürünler!$A$5:$A$204,0)),0),E300))</f>
        <v/>
      </c>
      <c r="H300" s="33"/>
    </row>
    <row r="301" customFormat="false" ht="15" hidden="false" customHeight="false" outlineLevel="0" collapsed="false">
      <c r="A301" s="32"/>
      <c r="B301" s="33"/>
      <c r="C301" s="33"/>
      <c r="D301" s="34"/>
      <c r="E301" s="35"/>
      <c r="F301" s="36"/>
      <c r="G301" s="37" t="str">
        <f aca="false">IF(OR(C301="",D301=""),"",D301*IF(E301="",IFERROR(INDEX(Ürünler!$C$5:$C$204,MATCH(C301,Ürünler!$A$5:$A$204,0)),0),E301))</f>
        <v/>
      </c>
      <c r="H301" s="33"/>
    </row>
    <row r="302" customFormat="false" ht="15" hidden="false" customHeight="false" outlineLevel="0" collapsed="false">
      <c r="A302" s="32"/>
      <c r="B302" s="33"/>
      <c r="C302" s="33"/>
      <c r="D302" s="34"/>
      <c r="E302" s="35"/>
      <c r="F302" s="36"/>
      <c r="G302" s="37" t="str">
        <f aca="false">IF(OR(C302="",D302=""),"",D302*IF(E302="",IFERROR(INDEX(Ürünler!$C$5:$C$204,MATCH(C302,Ürünler!$A$5:$A$204,0)),0),E302))</f>
        <v/>
      </c>
      <c r="H302" s="33"/>
    </row>
    <row r="303" customFormat="false" ht="15" hidden="false" customHeight="false" outlineLevel="0" collapsed="false">
      <c r="A303" s="32"/>
      <c r="B303" s="33"/>
      <c r="C303" s="33"/>
      <c r="D303" s="34"/>
      <c r="E303" s="35"/>
      <c r="F303" s="36"/>
      <c r="G303" s="37" t="str">
        <f aca="false">IF(OR(C303="",D303=""),"",D303*IF(E303="",IFERROR(INDEX(Ürünler!$C$5:$C$204,MATCH(C303,Ürünler!$A$5:$A$204,0)),0),E303))</f>
        <v/>
      </c>
      <c r="H303" s="33"/>
    </row>
    <row r="304" customFormat="false" ht="15" hidden="false" customHeight="false" outlineLevel="0" collapsed="false">
      <c r="A304" s="32"/>
      <c r="B304" s="33"/>
      <c r="C304" s="33"/>
      <c r="D304" s="34"/>
      <c r="E304" s="35"/>
      <c r="F304" s="36"/>
      <c r="G304" s="37" t="str">
        <f aca="false">IF(OR(C304="",D304=""),"",D304*IF(E304="",IFERROR(INDEX(Ürünler!$C$5:$C$204,MATCH(C304,Ürünler!$A$5:$A$204,0)),0),E304))</f>
        <v/>
      </c>
      <c r="H304" s="33"/>
    </row>
    <row r="305" customFormat="false" ht="15" hidden="false" customHeight="false" outlineLevel="0" collapsed="false">
      <c r="A305" s="32"/>
      <c r="B305" s="33"/>
      <c r="C305" s="33"/>
      <c r="D305" s="34"/>
      <c r="E305" s="35"/>
      <c r="F305" s="36"/>
      <c r="G305" s="37" t="str">
        <f aca="false">IF(OR(C305="",D305=""),"",D305*IF(E305="",IFERROR(INDEX(Ürünler!$C$5:$C$204,MATCH(C305,Ürünler!$A$5:$A$204,0)),0),E305))</f>
        <v/>
      </c>
      <c r="H305" s="33"/>
    </row>
    <row r="306" customFormat="false" ht="15" hidden="false" customHeight="false" outlineLevel="0" collapsed="false">
      <c r="A306" s="32"/>
      <c r="B306" s="33"/>
      <c r="C306" s="33"/>
      <c r="D306" s="34"/>
      <c r="E306" s="35"/>
      <c r="F306" s="36"/>
      <c r="G306" s="37" t="str">
        <f aca="false">IF(OR(C306="",D306=""),"",D306*IF(E306="",IFERROR(INDEX(Ürünler!$C$5:$C$204,MATCH(C306,Ürünler!$A$5:$A$204,0)),0),E306))</f>
        <v/>
      </c>
      <c r="H306" s="33"/>
    </row>
    <row r="307" customFormat="false" ht="15" hidden="false" customHeight="false" outlineLevel="0" collapsed="false">
      <c r="A307" s="32"/>
      <c r="B307" s="33"/>
      <c r="C307" s="33"/>
      <c r="D307" s="34"/>
      <c r="E307" s="35"/>
      <c r="F307" s="36"/>
      <c r="G307" s="37" t="str">
        <f aca="false">IF(OR(C307="",D307=""),"",D307*IF(E307="",IFERROR(INDEX(Ürünler!$C$5:$C$204,MATCH(C307,Ürünler!$A$5:$A$204,0)),0),E307))</f>
        <v/>
      </c>
      <c r="H307" s="33"/>
    </row>
    <row r="308" customFormat="false" ht="15" hidden="false" customHeight="false" outlineLevel="0" collapsed="false">
      <c r="A308" s="32"/>
      <c r="B308" s="33"/>
      <c r="C308" s="33"/>
      <c r="D308" s="34"/>
      <c r="E308" s="35"/>
      <c r="F308" s="36"/>
      <c r="G308" s="37" t="str">
        <f aca="false">IF(OR(C308="",D308=""),"",D308*IF(E308="",IFERROR(INDEX(Ürünler!$C$5:$C$204,MATCH(C308,Ürünler!$A$5:$A$204,0)),0),E308))</f>
        <v/>
      </c>
      <c r="H308" s="33"/>
    </row>
    <row r="309" customFormat="false" ht="15" hidden="false" customHeight="false" outlineLevel="0" collapsed="false">
      <c r="A309" s="32"/>
      <c r="B309" s="33"/>
      <c r="C309" s="33"/>
      <c r="D309" s="34"/>
      <c r="E309" s="35"/>
      <c r="F309" s="36"/>
      <c r="G309" s="37" t="str">
        <f aca="false">IF(OR(C309="",D309=""),"",D309*IF(E309="",IFERROR(INDEX(Ürünler!$C$5:$C$204,MATCH(C309,Ürünler!$A$5:$A$204,0)),0),E309))</f>
        <v/>
      </c>
      <c r="H309" s="33"/>
    </row>
    <row r="310" customFormat="false" ht="15" hidden="false" customHeight="false" outlineLevel="0" collapsed="false">
      <c r="A310" s="32"/>
      <c r="B310" s="33"/>
      <c r="C310" s="33"/>
      <c r="D310" s="34"/>
      <c r="E310" s="35"/>
      <c r="F310" s="36"/>
      <c r="G310" s="37" t="str">
        <f aca="false">IF(OR(C310="",D310=""),"",D310*IF(E310="",IFERROR(INDEX(Ürünler!$C$5:$C$204,MATCH(C310,Ürünler!$A$5:$A$204,0)),0),E310))</f>
        <v/>
      </c>
      <c r="H310" s="33"/>
    </row>
    <row r="311" customFormat="false" ht="15" hidden="false" customHeight="false" outlineLevel="0" collapsed="false">
      <c r="A311" s="32"/>
      <c r="B311" s="33"/>
      <c r="C311" s="33"/>
      <c r="D311" s="34"/>
      <c r="E311" s="35"/>
      <c r="F311" s="36"/>
      <c r="G311" s="37" t="str">
        <f aca="false">IF(OR(C311="",D311=""),"",D311*IF(E311="",IFERROR(INDEX(Ürünler!$C$5:$C$204,MATCH(C311,Ürünler!$A$5:$A$204,0)),0),E311))</f>
        <v/>
      </c>
      <c r="H311" s="33"/>
    </row>
    <row r="312" customFormat="false" ht="15" hidden="false" customHeight="false" outlineLevel="0" collapsed="false">
      <c r="A312" s="32"/>
      <c r="B312" s="33"/>
      <c r="C312" s="33"/>
      <c r="D312" s="34"/>
      <c r="E312" s="35"/>
      <c r="F312" s="36"/>
      <c r="G312" s="37" t="str">
        <f aca="false">IF(OR(C312="",D312=""),"",D312*IF(E312="",IFERROR(INDEX(Ürünler!$C$5:$C$204,MATCH(C312,Ürünler!$A$5:$A$204,0)),0),E312))</f>
        <v/>
      </c>
      <c r="H312" s="33"/>
    </row>
    <row r="313" customFormat="false" ht="15" hidden="false" customHeight="false" outlineLevel="0" collapsed="false">
      <c r="A313" s="32"/>
      <c r="B313" s="33"/>
      <c r="C313" s="33"/>
      <c r="D313" s="34"/>
      <c r="E313" s="35"/>
      <c r="F313" s="36"/>
      <c r="G313" s="37" t="str">
        <f aca="false">IF(OR(C313="",D313=""),"",D313*IF(E313="",IFERROR(INDEX(Ürünler!$C$5:$C$204,MATCH(C313,Ürünler!$A$5:$A$204,0)),0),E313))</f>
        <v/>
      </c>
      <c r="H313" s="33"/>
    </row>
    <row r="314" customFormat="false" ht="15" hidden="false" customHeight="false" outlineLevel="0" collapsed="false">
      <c r="A314" s="32"/>
      <c r="B314" s="33"/>
      <c r="C314" s="33"/>
      <c r="D314" s="34"/>
      <c r="E314" s="35"/>
      <c r="F314" s="36"/>
      <c r="G314" s="37" t="str">
        <f aca="false">IF(OR(C314="",D314=""),"",D314*IF(E314="",IFERROR(INDEX(Ürünler!$C$5:$C$204,MATCH(C314,Ürünler!$A$5:$A$204,0)),0),E314))</f>
        <v/>
      </c>
      <c r="H314" s="33"/>
    </row>
    <row r="315" customFormat="false" ht="15" hidden="false" customHeight="false" outlineLevel="0" collapsed="false">
      <c r="A315" s="32"/>
      <c r="B315" s="33"/>
      <c r="C315" s="33"/>
      <c r="D315" s="34"/>
      <c r="E315" s="35"/>
      <c r="F315" s="36"/>
      <c r="G315" s="37" t="str">
        <f aca="false">IF(OR(C315="",D315=""),"",D315*IF(E315="",IFERROR(INDEX(Ürünler!$C$5:$C$204,MATCH(C315,Ürünler!$A$5:$A$204,0)),0),E315))</f>
        <v/>
      </c>
      <c r="H315" s="33"/>
    </row>
    <row r="316" customFormat="false" ht="15" hidden="false" customHeight="false" outlineLevel="0" collapsed="false">
      <c r="A316" s="32"/>
      <c r="B316" s="33"/>
      <c r="C316" s="33"/>
      <c r="D316" s="34"/>
      <c r="E316" s="35"/>
      <c r="F316" s="36"/>
      <c r="G316" s="37" t="str">
        <f aca="false">IF(OR(C316="",D316=""),"",D316*IF(E316="",IFERROR(INDEX(Ürünler!$C$5:$C$204,MATCH(C316,Ürünler!$A$5:$A$204,0)),0),E316))</f>
        <v/>
      </c>
      <c r="H316" s="33"/>
    </row>
    <row r="317" customFormat="false" ht="15" hidden="false" customHeight="false" outlineLevel="0" collapsed="false">
      <c r="A317" s="32"/>
      <c r="B317" s="33"/>
      <c r="C317" s="33"/>
      <c r="D317" s="34"/>
      <c r="E317" s="35"/>
      <c r="F317" s="36"/>
      <c r="G317" s="37" t="str">
        <f aca="false">IF(OR(C317="",D317=""),"",D317*IF(E317="",IFERROR(INDEX(Ürünler!$C$5:$C$204,MATCH(C317,Ürünler!$A$5:$A$204,0)),0),E317))</f>
        <v/>
      </c>
      <c r="H317" s="33"/>
    </row>
    <row r="318" customFormat="false" ht="15" hidden="false" customHeight="false" outlineLevel="0" collapsed="false">
      <c r="A318" s="32"/>
      <c r="B318" s="33"/>
      <c r="C318" s="33"/>
      <c r="D318" s="34"/>
      <c r="E318" s="35"/>
      <c r="F318" s="36"/>
      <c r="G318" s="37" t="str">
        <f aca="false">IF(OR(C318="",D318=""),"",D318*IF(E318="",IFERROR(INDEX(Ürünler!$C$5:$C$204,MATCH(C318,Ürünler!$A$5:$A$204,0)),0),E318))</f>
        <v/>
      </c>
      <c r="H318" s="33"/>
    </row>
    <row r="319" customFormat="false" ht="15" hidden="false" customHeight="false" outlineLevel="0" collapsed="false">
      <c r="A319" s="32"/>
      <c r="B319" s="33"/>
      <c r="C319" s="33"/>
      <c r="D319" s="34"/>
      <c r="E319" s="35"/>
      <c r="F319" s="36"/>
      <c r="G319" s="37" t="str">
        <f aca="false">IF(OR(C319="",D319=""),"",D319*IF(E319="",IFERROR(INDEX(Ürünler!$C$5:$C$204,MATCH(C319,Ürünler!$A$5:$A$204,0)),0),E319))</f>
        <v/>
      </c>
      <c r="H319" s="33"/>
    </row>
    <row r="320" customFormat="false" ht="15" hidden="false" customHeight="false" outlineLevel="0" collapsed="false">
      <c r="A320" s="32"/>
      <c r="B320" s="33"/>
      <c r="C320" s="33"/>
      <c r="D320" s="34"/>
      <c r="E320" s="35"/>
      <c r="F320" s="36"/>
      <c r="G320" s="37" t="str">
        <f aca="false">IF(OR(C320="",D320=""),"",D320*IF(E320="",IFERROR(INDEX(Ürünler!$C$5:$C$204,MATCH(C320,Ürünler!$A$5:$A$204,0)),0),E320))</f>
        <v/>
      </c>
      <c r="H320" s="33"/>
    </row>
    <row r="321" customFormat="false" ht="15" hidden="false" customHeight="false" outlineLevel="0" collapsed="false">
      <c r="A321" s="32"/>
      <c r="B321" s="33"/>
      <c r="C321" s="33"/>
      <c r="D321" s="34"/>
      <c r="E321" s="35"/>
      <c r="F321" s="36"/>
      <c r="G321" s="37" t="str">
        <f aca="false">IF(OR(C321="",D321=""),"",D321*IF(E321="",IFERROR(INDEX(Ürünler!$C$5:$C$204,MATCH(C321,Ürünler!$A$5:$A$204,0)),0),E321))</f>
        <v/>
      </c>
      <c r="H321" s="33"/>
    </row>
    <row r="322" customFormat="false" ht="15" hidden="false" customHeight="false" outlineLevel="0" collapsed="false">
      <c r="A322" s="32"/>
      <c r="B322" s="33"/>
      <c r="C322" s="33"/>
      <c r="D322" s="34"/>
      <c r="E322" s="35"/>
      <c r="F322" s="36"/>
      <c r="G322" s="37" t="str">
        <f aca="false">IF(OR(C322="",D322=""),"",D322*IF(E322="",IFERROR(INDEX(Ürünler!$C$5:$C$204,MATCH(C322,Ürünler!$A$5:$A$204,0)),0),E322))</f>
        <v/>
      </c>
      <c r="H322" s="33"/>
    </row>
    <row r="323" customFormat="false" ht="15" hidden="false" customHeight="false" outlineLevel="0" collapsed="false">
      <c r="A323" s="32"/>
      <c r="B323" s="33"/>
      <c r="C323" s="33"/>
      <c r="D323" s="34"/>
      <c r="E323" s="35"/>
      <c r="F323" s="36"/>
      <c r="G323" s="37" t="str">
        <f aca="false">IF(OR(C323="",D323=""),"",D323*IF(E323="",IFERROR(INDEX(Ürünler!$C$5:$C$204,MATCH(C323,Ürünler!$A$5:$A$204,0)),0),E323))</f>
        <v/>
      </c>
      <c r="H323" s="33"/>
    </row>
    <row r="324" customFormat="false" ht="15" hidden="false" customHeight="false" outlineLevel="0" collapsed="false">
      <c r="A324" s="32"/>
      <c r="B324" s="33"/>
      <c r="C324" s="33"/>
      <c r="D324" s="34"/>
      <c r="E324" s="35"/>
      <c r="F324" s="36"/>
      <c r="G324" s="37" t="str">
        <f aca="false">IF(OR(C324="",D324=""),"",D324*IF(E324="",IFERROR(INDEX(Ürünler!$C$5:$C$204,MATCH(C324,Ürünler!$A$5:$A$204,0)),0),E324))</f>
        <v/>
      </c>
      <c r="H324" s="33"/>
    </row>
    <row r="325" customFormat="false" ht="15" hidden="false" customHeight="false" outlineLevel="0" collapsed="false">
      <c r="A325" s="32"/>
      <c r="B325" s="33"/>
      <c r="C325" s="33"/>
      <c r="D325" s="34"/>
      <c r="E325" s="35"/>
      <c r="F325" s="36"/>
      <c r="G325" s="37" t="str">
        <f aca="false">IF(OR(C325="",D325=""),"",D325*IF(E325="",IFERROR(INDEX(Ürünler!$C$5:$C$204,MATCH(C325,Ürünler!$A$5:$A$204,0)),0),E325))</f>
        <v/>
      </c>
      <c r="H325" s="33"/>
    </row>
    <row r="326" customFormat="false" ht="15" hidden="false" customHeight="false" outlineLevel="0" collapsed="false">
      <c r="A326" s="32"/>
      <c r="B326" s="33"/>
      <c r="C326" s="33"/>
      <c r="D326" s="34"/>
      <c r="E326" s="35"/>
      <c r="F326" s="36"/>
      <c r="G326" s="37" t="str">
        <f aca="false">IF(OR(C326="",D326=""),"",D326*IF(E326="",IFERROR(INDEX(Ürünler!$C$5:$C$204,MATCH(C326,Ürünler!$A$5:$A$204,0)),0),E326))</f>
        <v/>
      </c>
      <c r="H326" s="33"/>
    </row>
    <row r="327" customFormat="false" ht="15" hidden="false" customHeight="false" outlineLevel="0" collapsed="false">
      <c r="A327" s="32"/>
      <c r="B327" s="33"/>
      <c r="C327" s="33"/>
      <c r="D327" s="34"/>
      <c r="E327" s="35"/>
      <c r="F327" s="36"/>
      <c r="G327" s="37" t="str">
        <f aca="false">IF(OR(C327="",D327=""),"",D327*IF(E327="",IFERROR(INDEX(Ürünler!$C$5:$C$204,MATCH(C327,Ürünler!$A$5:$A$204,0)),0),E327))</f>
        <v/>
      </c>
      <c r="H327" s="33"/>
    </row>
    <row r="328" customFormat="false" ht="15" hidden="false" customHeight="false" outlineLevel="0" collapsed="false">
      <c r="A328" s="32"/>
      <c r="B328" s="33"/>
      <c r="C328" s="33"/>
      <c r="D328" s="34"/>
      <c r="E328" s="35"/>
      <c r="F328" s="36"/>
      <c r="G328" s="37" t="str">
        <f aca="false">IF(OR(C328="",D328=""),"",D328*IF(E328="",IFERROR(INDEX(Ürünler!$C$5:$C$204,MATCH(C328,Ürünler!$A$5:$A$204,0)),0),E328))</f>
        <v/>
      </c>
      <c r="H328" s="33"/>
    </row>
    <row r="329" customFormat="false" ht="15" hidden="false" customHeight="false" outlineLevel="0" collapsed="false">
      <c r="A329" s="32"/>
      <c r="B329" s="33"/>
      <c r="C329" s="33"/>
      <c r="D329" s="34"/>
      <c r="E329" s="35"/>
      <c r="F329" s="36"/>
      <c r="G329" s="37" t="str">
        <f aca="false">IF(OR(C329="",D329=""),"",D329*IF(E329="",IFERROR(INDEX(Ürünler!$C$5:$C$204,MATCH(C329,Ürünler!$A$5:$A$204,0)),0),E329))</f>
        <v/>
      </c>
      <c r="H329" s="33"/>
    </row>
    <row r="330" customFormat="false" ht="15" hidden="false" customHeight="false" outlineLevel="0" collapsed="false">
      <c r="A330" s="32"/>
      <c r="B330" s="33"/>
      <c r="C330" s="33"/>
      <c r="D330" s="34"/>
      <c r="E330" s="35"/>
      <c r="F330" s="36"/>
      <c r="G330" s="37" t="str">
        <f aca="false">IF(OR(C330="",D330=""),"",D330*IF(E330="",IFERROR(INDEX(Ürünler!$C$5:$C$204,MATCH(C330,Ürünler!$A$5:$A$204,0)),0),E330))</f>
        <v/>
      </c>
      <c r="H330" s="33"/>
    </row>
    <row r="331" customFormat="false" ht="15" hidden="false" customHeight="false" outlineLevel="0" collapsed="false">
      <c r="A331" s="32"/>
      <c r="B331" s="33"/>
      <c r="C331" s="33"/>
      <c r="D331" s="34"/>
      <c r="E331" s="35"/>
      <c r="F331" s="36"/>
      <c r="G331" s="37" t="str">
        <f aca="false">IF(OR(C331="",D331=""),"",D331*IF(E331="",IFERROR(INDEX(Ürünler!$C$5:$C$204,MATCH(C331,Ürünler!$A$5:$A$204,0)),0),E331))</f>
        <v/>
      </c>
      <c r="H331" s="33"/>
    </row>
    <row r="332" customFormat="false" ht="15" hidden="false" customHeight="false" outlineLevel="0" collapsed="false">
      <c r="A332" s="32"/>
      <c r="B332" s="33"/>
      <c r="C332" s="33"/>
      <c r="D332" s="34"/>
      <c r="E332" s="35"/>
      <c r="F332" s="36"/>
      <c r="G332" s="37" t="str">
        <f aca="false">IF(OR(C332="",D332=""),"",D332*IF(E332="",IFERROR(INDEX(Ürünler!$C$5:$C$204,MATCH(C332,Ürünler!$A$5:$A$204,0)),0),E332))</f>
        <v/>
      </c>
      <c r="H332" s="33"/>
    </row>
    <row r="333" customFormat="false" ht="15" hidden="false" customHeight="false" outlineLevel="0" collapsed="false">
      <c r="A333" s="32"/>
      <c r="B333" s="33"/>
      <c r="C333" s="33"/>
      <c r="D333" s="34"/>
      <c r="E333" s="35"/>
      <c r="F333" s="36"/>
      <c r="G333" s="37" t="str">
        <f aca="false">IF(OR(C333="",D333=""),"",D333*IF(E333="",IFERROR(INDEX(Ürünler!$C$5:$C$204,MATCH(C333,Ürünler!$A$5:$A$204,0)),0),E333))</f>
        <v/>
      </c>
      <c r="H333" s="33"/>
    </row>
    <row r="334" customFormat="false" ht="15" hidden="false" customHeight="false" outlineLevel="0" collapsed="false">
      <c r="A334" s="32"/>
      <c r="B334" s="33"/>
      <c r="C334" s="33"/>
      <c r="D334" s="34"/>
      <c r="E334" s="35"/>
      <c r="F334" s="36"/>
      <c r="G334" s="37" t="str">
        <f aca="false">IF(OR(C334="",D334=""),"",D334*IF(E334="",IFERROR(INDEX(Ürünler!$C$5:$C$204,MATCH(C334,Ürünler!$A$5:$A$204,0)),0),E334))</f>
        <v/>
      </c>
      <c r="H334" s="33"/>
    </row>
    <row r="335" customFormat="false" ht="15" hidden="false" customHeight="false" outlineLevel="0" collapsed="false">
      <c r="A335" s="32"/>
      <c r="B335" s="33"/>
      <c r="C335" s="33"/>
      <c r="D335" s="34"/>
      <c r="E335" s="35"/>
      <c r="F335" s="36"/>
      <c r="G335" s="37" t="str">
        <f aca="false">IF(OR(C335="",D335=""),"",D335*IF(E335="",IFERROR(INDEX(Ürünler!$C$5:$C$204,MATCH(C335,Ürünler!$A$5:$A$204,0)),0),E335))</f>
        <v/>
      </c>
      <c r="H335" s="33"/>
    </row>
    <row r="336" customFormat="false" ht="15" hidden="false" customHeight="false" outlineLevel="0" collapsed="false">
      <c r="A336" s="32"/>
      <c r="B336" s="33"/>
      <c r="C336" s="33"/>
      <c r="D336" s="34"/>
      <c r="E336" s="35"/>
      <c r="F336" s="36"/>
      <c r="G336" s="37" t="str">
        <f aca="false">IF(OR(C336="",D336=""),"",D336*IF(E336="",IFERROR(INDEX(Ürünler!$C$5:$C$204,MATCH(C336,Ürünler!$A$5:$A$204,0)),0),E336))</f>
        <v/>
      </c>
      <c r="H336" s="33"/>
    </row>
    <row r="337" customFormat="false" ht="15" hidden="false" customHeight="false" outlineLevel="0" collapsed="false">
      <c r="A337" s="32"/>
      <c r="B337" s="33"/>
      <c r="C337" s="33"/>
      <c r="D337" s="34"/>
      <c r="E337" s="35"/>
      <c r="F337" s="36"/>
      <c r="G337" s="37" t="str">
        <f aca="false">IF(OR(C337="",D337=""),"",D337*IF(E337="",IFERROR(INDEX(Ürünler!$C$5:$C$204,MATCH(C337,Ürünler!$A$5:$A$204,0)),0),E337))</f>
        <v/>
      </c>
      <c r="H337" s="33"/>
    </row>
    <row r="338" customFormat="false" ht="15" hidden="false" customHeight="false" outlineLevel="0" collapsed="false">
      <c r="A338" s="32"/>
      <c r="B338" s="33"/>
      <c r="C338" s="33"/>
      <c r="D338" s="34"/>
      <c r="E338" s="35"/>
      <c r="F338" s="36"/>
      <c r="G338" s="37" t="str">
        <f aca="false">IF(OR(C338="",D338=""),"",D338*IF(E338="",IFERROR(INDEX(Ürünler!$C$5:$C$204,MATCH(C338,Ürünler!$A$5:$A$204,0)),0),E338))</f>
        <v/>
      </c>
      <c r="H338" s="33"/>
    </row>
    <row r="339" customFormat="false" ht="15" hidden="false" customHeight="false" outlineLevel="0" collapsed="false">
      <c r="A339" s="32"/>
      <c r="B339" s="33"/>
      <c r="C339" s="33"/>
      <c r="D339" s="34"/>
      <c r="E339" s="35"/>
      <c r="F339" s="36"/>
      <c r="G339" s="37" t="str">
        <f aca="false">IF(OR(C339="",D339=""),"",D339*IF(E339="",IFERROR(INDEX(Ürünler!$C$5:$C$204,MATCH(C339,Ürünler!$A$5:$A$204,0)),0),E339))</f>
        <v/>
      </c>
      <c r="H339" s="33"/>
    </row>
    <row r="340" customFormat="false" ht="15" hidden="false" customHeight="false" outlineLevel="0" collapsed="false">
      <c r="A340" s="32"/>
      <c r="B340" s="33"/>
      <c r="C340" s="33"/>
      <c r="D340" s="34"/>
      <c r="E340" s="35"/>
      <c r="F340" s="36"/>
      <c r="G340" s="37" t="str">
        <f aca="false">IF(OR(C340="",D340=""),"",D340*IF(E340="",IFERROR(INDEX(Ürünler!$C$5:$C$204,MATCH(C340,Ürünler!$A$5:$A$204,0)),0),E340))</f>
        <v/>
      </c>
      <c r="H340" s="33"/>
    </row>
    <row r="341" customFormat="false" ht="15" hidden="false" customHeight="false" outlineLevel="0" collapsed="false">
      <c r="A341" s="32"/>
      <c r="B341" s="33"/>
      <c r="C341" s="33"/>
      <c r="D341" s="34"/>
      <c r="E341" s="35"/>
      <c r="F341" s="36"/>
      <c r="G341" s="37" t="str">
        <f aca="false">IF(OR(C341="",D341=""),"",D341*IF(E341="",IFERROR(INDEX(Ürünler!$C$5:$C$204,MATCH(C341,Ürünler!$A$5:$A$204,0)),0),E341))</f>
        <v/>
      </c>
      <c r="H341" s="33"/>
    </row>
    <row r="342" customFormat="false" ht="15" hidden="false" customHeight="false" outlineLevel="0" collapsed="false">
      <c r="A342" s="32"/>
      <c r="B342" s="33"/>
      <c r="C342" s="33"/>
      <c r="D342" s="34"/>
      <c r="E342" s="35"/>
      <c r="F342" s="36"/>
      <c r="G342" s="37" t="str">
        <f aca="false">IF(OR(C342="",D342=""),"",D342*IF(E342="",IFERROR(INDEX(Ürünler!$C$5:$C$204,MATCH(C342,Ürünler!$A$5:$A$204,0)),0),E342))</f>
        <v/>
      </c>
      <c r="H342" s="33"/>
    </row>
    <row r="343" customFormat="false" ht="15" hidden="false" customHeight="false" outlineLevel="0" collapsed="false">
      <c r="A343" s="32"/>
      <c r="B343" s="33"/>
      <c r="C343" s="33"/>
      <c r="D343" s="34"/>
      <c r="E343" s="35"/>
      <c r="F343" s="36"/>
      <c r="G343" s="37" t="str">
        <f aca="false">IF(OR(C343="",D343=""),"",D343*IF(E343="",IFERROR(INDEX(Ürünler!$C$5:$C$204,MATCH(C343,Ürünler!$A$5:$A$204,0)),0),E343))</f>
        <v/>
      </c>
      <c r="H343" s="33"/>
    </row>
    <row r="344" customFormat="false" ht="15" hidden="false" customHeight="false" outlineLevel="0" collapsed="false">
      <c r="A344" s="32"/>
      <c r="B344" s="33"/>
      <c r="C344" s="33"/>
      <c r="D344" s="34"/>
      <c r="E344" s="35"/>
      <c r="F344" s="36"/>
      <c r="G344" s="37" t="str">
        <f aca="false">IF(OR(C344="",D344=""),"",D344*IF(E344="",IFERROR(INDEX(Ürünler!$C$5:$C$204,MATCH(C344,Ürünler!$A$5:$A$204,0)),0),E344))</f>
        <v/>
      </c>
      <c r="H344" s="33"/>
    </row>
    <row r="345" customFormat="false" ht="15" hidden="false" customHeight="false" outlineLevel="0" collapsed="false">
      <c r="A345" s="32"/>
      <c r="B345" s="33"/>
      <c r="C345" s="33"/>
      <c r="D345" s="34"/>
      <c r="E345" s="35"/>
      <c r="F345" s="36"/>
      <c r="G345" s="37" t="str">
        <f aca="false">IF(OR(C345="",D345=""),"",D345*IF(E345="",IFERROR(INDEX(Ürünler!$C$5:$C$204,MATCH(C345,Ürünler!$A$5:$A$204,0)),0),E345))</f>
        <v/>
      </c>
      <c r="H345" s="33"/>
    </row>
    <row r="346" customFormat="false" ht="15" hidden="false" customHeight="false" outlineLevel="0" collapsed="false">
      <c r="A346" s="32"/>
      <c r="B346" s="33"/>
      <c r="C346" s="33"/>
      <c r="D346" s="34"/>
      <c r="E346" s="35"/>
      <c r="F346" s="36"/>
      <c r="G346" s="37" t="str">
        <f aca="false">IF(OR(C346="",D346=""),"",D346*IF(E346="",IFERROR(INDEX(Ürünler!$C$5:$C$204,MATCH(C346,Ürünler!$A$5:$A$204,0)),0),E346))</f>
        <v/>
      </c>
      <c r="H346" s="33"/>
    </row>
    <row r="347" customFormat="false" ht="15" hidden="false" customHeight="false" outlineLevel="0" collapsed="false">
      <c r="A347" s="32"/>
      <c r="B347" s="33"/>
      <c r="C347" s="33"/>
      <c r="D347" s="34"/>
      <c r="E347" s="35"/>
      <c r="F347" s="36"/>
      <c r="G347" s="37" t="str">
        <f aca="false">IF(OR(C347="",D347=""),"",D347*IF(E347="",IFERROR(INDEX(Ürünler!$C$5:$C$204,MATCH(C347,Ürünler!$A$5:$A$204,0)),0),E347))</f>
        <v/>
      </c>
      <c r="H347" s="33"/>
    </row>
    <row r="348" customFormat="false" ht="15" hidden="false" customHeight="false" outlineLevel="0" collapsed="false">
      <c r="A348" s="32"/>
      <c r="B348" s="33"/>
      <c r="C348" s="33"/>
      <c r="D348" s="34"/>
      <c r="E348" s="35"/>
      <c r="F348" s="36"/>
      <c r="G348" s="37" t="str">
        <f aca="false">IF(OR(C348="",D348=""),"",D348*IF(E348="",IFERROR(INDEX(Ürünler!$C$5:$C$204,MATCH(C348,Ürünler!$A$5:$A$204,0)),0),E348))</f>
        <v/>
      </c>
      <c r="H348" s="33"/>
    </row>
    <row r="349" customFormat="false" ht="15" hidden="false" customHeight="false" outlineLevel="0" collapsed="false">
      <c r="A349" s="32"/>
      <c r="B349" s="33"/>
      <c r="C349" s="33"/>
      <c r="D349" s="34"/>
      <c r="E349" s="35"/>
      <c r="F349" s="36"/>
      <c r="G349" s="37" t="str">
        <f aca="false">IF(OR(C349="",D349=""),"",D349*IF(E349="",IFERROR(INDEX(Ürünler!$C$5:$C$204,MATCH(C349,Ürünler!$A$5:$A$204,0)),0),E349))</f>
        <v/>
      </c>
      <c r="H349" s="33"/>
    </row>
    <row r="350" customFormat="false" ht="15" hidden="false" customHeight="false" outlineLevel="0" collapsed="false">
      <c r="A350" s="32"/>
      <c r="B350" s="33"/>
      <c r="C350" s="33"/>
      <c r="D350" s="34"/>
      <c r="E350" s="35"/>
      <c r="F350" s="36"/>
      <c r="G350" s="37" t="str">
        <f aca="false">IF(OR(C350="",D350=""),"",D350*IF(E350="",IFERROR(INDEX(Ürünler!$C$5:$C$204,MATCH(C350,Ürünler!$A$5:$A$204,0)),0),E350))</f>
        <v/>
      </c>
      <c r="H350" s="33"/>
    </row>
    <row r="351" customFormat="false" ht="15" hidden="false" customHeight="false" outlineLevel="0" collapsed="false">
      <c r="A351" s="32"/>
      <c r="B351" s="33"/>
      <c r="C351" s="33"/>
      <c r="D351" s="34"/>
      <c r="E351" s="35"/>
      <c r="F351" s="36"/>
      <c r="G351" s="37" t="str">
        <f aca="false">IF(OR(C351="",D351=""),"",D351*IF(E351="",IFERROR(INDEX(Ürünler!$C$5:$C$204,MATCH(C351,Ürünler!$A$5:$A$204,0)),0),E351))</f>
        <v/>
      </c>
      <c r="H351" s="33"/>
    </row>
    <row r="352" customFormat="false" ht="15" hidden="false" customHeight="false" outlineLevel="0" collapsed="false">
      <c r="A352" s="32"/>
      <c r="B352" s="33"/>
      <c r="C352" s="33"/>
      <c r="D352" s="34"/>
      <c r="E352" s="35"/>
      <c r="F352" s="36"/>
      <c r="G352" s="37" t="str">
        <f aca="false">IF(OR(C352="",D352=""),"",D352*IF(E352="",IFERROR(INDEX(Ürünler!$C$5:$C$204,MATCH(C352,Ürünler!$A$5:$A$204,0)),0),E352))</f>
        <v/>
      </c>
      <c r="H352" s="33"/>
    </row>
    <row r="353" customFormat="false" ht="15" hidden="false" customHeight="false" outlineLevel="0" collapsed="false">
      <c r="A353" s="32"/>
      <c r="B353" s="33"/>
      <c r="C353" s="33"/>
      <c r="D353" s="34"/>
      <c r="E353" s="35"/>
      <c r="F353" s="36"/>
      <c r="G353" s="37" t="str">
        <f aca="false">IF(OR(C353="",D353=""),"",D353*IF(E353="",IFERROR(INDEX(Ürünler!$C$5:$C$204,MATCH(C353,Ürünler!$A$5:$A$204,0)),0),E353))</f>
        <v/>
      </c>
      <c r="H353" s="33"/>
    </row>
    <row r="354" customFormat="false" ht="15" hidden="false" customHeight="false" outlineLevel="0" collapsed="false">
      <c r="A354" s="32"/>
      <c r="B354" s="33"/>
      <c r="C354" s="33"/>
      <c r="D354" s="34"/>
      <c r="E354" s="35"/>
      <c r="F354" s="36"/>
      <c r="G354" s="37" t="str">
        <f aca="false">IF(OR(C354="",D354=""),"",D354*IF(E354="",IFERROR(INDEX(Ürünler!$C$5:$C$204,MATCH(C354,Ürünler!$A$5:$A$204,0)),0),E354))</f>
        <v/>
      </c>
      <c r="H354" s="33"/>
    </row>
    <row r="355" customFormat="false" ht="15" hidden="false" customHeight="false" outlineLevel="0" collapsed="false">
      <c r="A355" s="32"/>
      <c r="B355" s="33"/>
      <c r="C355" s="33"/>
      <c r="D355" s="34"/>
      <c r="E355" s="35"/>
      <c r="F355" s="36"/>
      <c r="G355" s="37" t="str">
        <f aca="false">IF(OR(C355="",D355=""),"",D355*IF(E355="",IFERROR(INDEX(Ürünler!$C$5:$C$204,MATCH(C355,Ürünler!$A$5:$A$204,0)),0),E355))</f>
        <v/>
      </c>
      <c r="H355" s="33"/>
    </row>
    <row r="356" customFormat="false" ht="15" hidden="false" customHeight="false" outlineLevel="0" collapsed="false">
      <c r="A356" s="32"/>
      <c r="B356" s="33"/>
      <c r="C356" s="33"/>
      <c r="D356" s="34"/>
      <c r="E356" s="35"/>
      <c r="F356" s="36"/>
      <c r="G356" s="37" t="str">
        <f aca="false">IF(OR(C356="",D356=""),"",D356*IF(E356="",IFERROR(INDEX(Ürünler!$C$5:$C$204,MATCH(C356,Ürünler!$A$5:$A$204,0)),0),E356))</f>
        <v/>
      </c>
      <c r="H356" s="33"/>
    </row>
    <row r="357" customFormat="false" ht="15" hidden="false" customHeight="false" outlineLevel="0" collapsed="false">
      <c r="A357" s="32"/>
      <c r="B357" s="33"/>
      <c r="C357" s="33"/>
      <c r="D357" s="34"/>
      <c r="E357" s="35"/>
      <c r="F357" s="36"/>
      <c r="G357" s="37" t="str">
        <f aca="false">IF(OR(C357="",D357=""),"",D357*IF(E357="",IFERROR(INDEX(Ürünler!$C$5:$C$204,MATCH(C357,Ürünler!$A$5:$A$204,0)),0),E357))</f>
        <v/>
      </c>
      <c r="H357" s="33"/>
    </row>
    <row r="358" customFormat="false" ht="15" hidden="false" customHeight="false" outlineLevel="0" collapsed="false">
      <c r="A358" s="32"/>
      <c r="B358" s="33"/>
      <c r="C358" s="33"/>
      <c r="D358" s="34"/>
      <c r="E358" s="35"/>
      <c r="F358" s="36"/>
      <c r="G358" s="37" t="str">
        <f aca="false">IF(OR(C358="",D358=""),"",D358*IF(E358="",IFERROR(INDEX(Ürünler!$C$5:$C$204,MATCH(C358,Ürünler!$A$5:$A$204,0)),0),E358))</f>
        <v/>
      </c>
      <c r="H358" s="33"/>
    </row>
    <row r="359" customFormat="false" ht="15" hidden="false" customHeight="false" outlineLevel="0" collapsed="false">
      <c r="A359" s="32"/>
      <c r="B359" s="33"/>
      <c r="C359" s="33"/>
      <c r="D359" s="34"/>
      <c r="E359" s="35"/>
      <c r="F359" s="36"/>
      <c r="G359" s="37" t="str">
        <f aca="false">IF(OR(C359="",D359=""),"",D359*IF(E359="",IFERROR(INDEX(Ürünler!$C$5:$C$204,MATCH(C359,Ürünler!$A$5:$A$204,0)),0),E359))</f>
        <v/>
      </c>
      <c r="H359" s="33"/>
    </row>
    <row r="360" customFormat="false" ht="15" hidden="false" customHeight="false" outlineLevel="0" collapsed="false">
      <c r="A360" s="32"/>
      <c r="B360" s="33"/>
      <c r="C360" s="33"/>
      <c r="D360" s="34"/>
      <c r="E360" s="35"/>
      <c r="F360" s="36"/>
      <c r="G360" s="37" t="str">
        <f aca="false">IF(OR(C360="",D360=""),"",D360*IF(E360="",IFERROR(INDEX(Ürünler!$C$5:$C$204,MATCH(C360,Ürünler!$A$5:$A$204,0)),0),E360))</f>
        <v/>
      </c>
      <c r="H360" s="33"/>
    </row>
    <row r="361" customFormat="false" ht="15" hidden="false" customHeight="false" outlineLevel="0" collapsed="false">
      <c r="A361" s="32"/>
      <c r="B361" s="33"/>
      <c r="C361" s="33"/>
      <c r="D361" s="34"/>
      <c r="E361" s="35"/>
      <c r="F361" s="36"/>
      <c r="G361" s="37" t="str">
        <f aca="false">IF(OR(C361="",D361=""),"",D361*IF(E361="",IFERROR(INDEX(Ürünler!$C$5:$C$204,MATCH(C361,Ürünler!$A$5:$A$204,0)),0),E361))</f>
        <v/>
      </c>
      <c r="H361" s="33"/>
    </row>
    <row r="362" customFormat="false" ht="15" hidden="false" customHeight="false" outlineLevel="0" collapsed="false">
      <c r="A362" s="32"/>
      <c r="B362" s="33"/>
      <c r="C362" s="33"/>
      <c r="D362" s="34"/>
      <c r="E362" s="35"/>
      <c r="F362" s="36"/>
      <c r="G362" s="37" t="str">
        <f aca="false">IF(OR(C362="",D362=""),"",D362*IF(E362="",IFERROR(INDEX(Ürünler!$C$5:$C$204,MATCH(C362,Ürünler!$A$5:$A$204,0)),0),E362))</f>
        <v/>
      </c>
      <c r="H362" s="33"/>
    </row>
    <row r="363" customFormat="false" ht="15" hidden="false" customHeight="false" outlineLevel="0" collapsed="false">
      <c r="A363" s="32"/>
      <c r="B363" s="33"/>
      <c r="C363" s="33"/>
      <c r="D363" s="34"/>
      <c r="E363" s="35"/>
      <c r="F363" s="36"/>
      <c r="G363" s="37" t="str">
        <f aca="false">IF(OR(C363="",D363=""),"",D363*IF(E363="",IFERROR(INDEX(Ürünler!$C$5:$C$204,MATCH(C363,Ürünler!$A$5:$A$204,0)),0),E363))</f>
        <v/>
      </c>
      <c r="H363" s="33"/>
    </row>
    <row r="364" customFormat="false" ht="15" hidden="false" customHeight="false" outlineLevel="0" collapsed="false">
      <c r="A364" s="32"/>
      <c r="B364" s="33"/>
      <c r="C364" s="33"/>
      <c r="D364" s="34"/>
      <c r="E364" s="35"/>
      <c r="F364" s="36"/>
      <c r="G364" s="37" t="str">
        <f aca="false">IF(OR(C364="",D364=""),"",D364*IF(E364="",IFERROR(INDEX(Ürünler!$C$5:$C$204,MATCH(C364,Ürünler!$A$5:$A$204,0)),0),E364))</f>
        <v/>
      </c>
      <c r="H364" s="33"/>
    </row>
    <row r="365" customFormat="false" ht="15" hidden="false" customHeight="false" outlineLevel="0" collapsed="false">
      <c r="A365" s="32"/>
      <c r="B365" s="33"/>
      <c r="C365" s="33"/>
      <c r="D365" s="34"/>
      <c r="E365" s="35"/>
      <c r="F365" s="36"/>
      <c r="G365" s="37" t="str">
        <f aca="false">IF(OR(C365="",D365=""),"",D365*IF(E365="",IFERROR(INDEX(Ürünler!$C$5:$C$204,MATCH(C365,Ürünler!$A$5:$A$204,0)),0),E365))</f>
        <v/>
      </c>
      <c r="H365" s="33"/>
    </row>
    <row r="366" customFormat="false" ht="15" hidden="false" customHeight="false" outlineLevel="0" collapsed="false">
      <c r="A366" s="32"/>
      <c r="B366" s="33"/>
      <c r="C366" s="33"/>
      <c r="D366" s="34"/>
      <c r="E366" s="35"/>
      <c r="F366" s="36"/>
      <c r="G366" s="37" t="str">
        <f aca="false">IF(OR(C366="",D366=""),"",D366*IF(E366="",IFERROR(INDEX(Ürünler!$C$5:$C$204,MATCH(C366,Ürünler!$A$5:$A$204,0)),0),E366))</f>
        <v/>
      </c>
      <c r="H366" s="33"/>
    </row>
    <row r="367" customFormat="false" ht="15" hidden="false" customHeight="false" outlineLevel="0" collapsed="false">
      <c r="A367" s="32"/>
      <c r="B367" s="33"/>
      <c r="C367" s="33"/>
      <c r="D367" s="34"/>
      <c r="E367" s="35"/>
      <c r="F367" s="36"/>
      <c r="G367" s="37" t="str">
        <f aca="false">IF(OR(C367="",D367=""),"",D367*IF(E367="",IFERROR(INDEX(Ürünler!$C$5:$C$204,MATCH(C367,Ürünler!$A$5:$A$204,0)),0),E367))</f>
        <v/>
      </c>
      <c r="H367" s="33"/>
    </row>
    <row r="368" customFormat="false" ht="15" hidden="false" customHeight="false" outlineLevel="0" collapsed="false">
      <c r="A368" s="32"/>
      <c r="B368" s="33"/>
      <c r="C368" s="33"/>
      <c r="D368" s="34"/>
      <c r="E368" s="35"/>
      <c r="F368" s="36"/>
      <c r="G368" s="37" t="str">
        <f aca="false">IF(OR(C368="",D368=""),"",D368*IF(E368="",IFERROR(INDEX(Ürünler!$C$5:$C$204,MATCH(C368,Ürünler!$A$5:$A$204,0)),0),E368))</f>
        <v/>
      </c>
      <c r="H368" s="33"/>
    </row>
    <row r="369" customFormat="false" ht="15" hidden="false" customHeight="false" outlineLevel="0" collapsed="false">
      <c r="A369" s="32"/>
      <c r="B369" s="33"/>
      <c r="C369" s="33"/>
      <c r="D369" s="34"/>
      <c r="E369" s="35"/>
      <c r="F369" s="36"/>
      <c r="G369" s="37" t="str">
        <f aca="false">IF(OR(C369="",D369=""),"",D369*IF(E369="",IFERROR(INDEX(Ürünler!$C$5:$C$204,MATCH(C369,Ürünler!$A$5:$A$204,0)),0),E369))</f>
        <v/>
      </c>
      <c r="H369" s="33"/>
    </row>
    <row r="370" customFormat="false" ht="15" hidden="false" customHeight="false" outlineLevel="0" collapsed="false">
      <c r="A370" s="32"/>
      <c r="B370" s="33"/>
      <c r="C370" s="33"/>
      <c r="D370" s="34"/>
      <c r="E370" s="35"/>
      <c r="F370" s="36"/>
      <c r="G370" s="37" t="str">
        <f aca="false">IF(OR(C370="",D370=""),"",D370*IF(E370="",IFERROR(INDEX(Ürünler!$C$5:$C$204,MATCH(C370,Ürünler!$A$5:$A$204,0)),0),E370))</f>
        <v/>
      </c>
      <c r="H370" s="33"/>
    </row>
    <row r="371" customFormat="false" ht="15" hidden="false" customHeight="false" outlineLevel="0" collapsed="false">
      <c r="A371" s="32"/>
      <c r="B371" s="33"/>
      <c r="C371" s="33"/>
      <c r="D371" s="34"/>
      <c r="E371" s="35"/>
      <c r="F371" s="36"/>
      <c r="G371" s="37" t="str">
        <f aca="false">IF(OR(C371="",D371=""),"",D371*IF(E371="",IFERROR(INDEX(Ürünler!$C$5:$C$204,MATCH(C371,Ürünler!$A$5:$A$204,0)),0),E371))</f>
        <v/>
      </c>
      <c r="H371" s="33"/>
    </row>
    <row r="372" customFormat="false" ht="15" hidden="false" customHeight="false" outlineLevel="0" collapsed="false">
      <c r="A372" s="32"/>
      <c r="B372" s="33"/>
      <c r="C372" s="33"/>
      <c r="D372" s="34"/>
      <c r="E372" s="35"/>
      <c r="F372" s="36"/>
      <c r="G372" s="37" t="str">
        <f aca="false">IF(OR(C372="",D372=""),"",D372*IF(E372="",IFERROR(INDEX(Ürünler!$C$5:$C$204,MATCH(C372,Ürünler!$A$5:$A$204,0)),0),E372))</f>
        <v/>
      </c>
      <c r="H372" s="33"/>
    </row>
    <row r="373" customFormat="false" ht="15" hidden="false" customHeight="false" outlineLevel="0" collapsed="false">
      <c r="A373" s="32"/>
      <c r="B373" s="33"/>
      <c r="C373" s="33"/>
      <c r="D373" s="34"/>
      <c r="E373" s="35"/>
      <c r="F373" s="36"/>
      <c r="G373" s="37" t="str">
        <f aca="false">IF(OR(C373="",D373=""),"",D373*IF(E373="",IFERROR(INDEX(Ürünler!$C$5:$C$204,MATCH(C373,Ürünler!$A$5:$A$204,0)),0),E373))</f>
        <v/>
      </c>
      <c r="H373" s="33"/>
    </row>
    <row r="374" customFormat="false" ht="15" hidden="false" customHeight="false" outlineLevel="0" collapsed="false">
      <c r="A374" s="32"/>
      <c r="B374" s="33"/>
      <c r="C374" s="33"/>
      <c r="D374" s="34"/>
      <c r="E374" s="35"/>
      <c r="F374" s="36"/>
      <c r="G374" s="37" t="str">
        <f aca="false">IF(OR(C374="",D374=""),"",D374*IF(E374="",IFERROR(INDEX(Ürünler!$C$5:$C$204,MATCH(C374,Ürünler!$A$5:$A$204,0)),0),E374))</f>
        <v/>
      </c>
      <c r="H374" s="33"/>
    </row>
    <row r="375" customFormat="false" ht="15" hidden="false" customHeight="false" outlineLevel="0" collapsed="false">
      <c r="A375" s="32"/>
      <c r="B375" s="33"/>
      <c r="C375" s="33"/>
      <c r="D375" s="34"/>
      <c r="E375" s="35"/>
      <c r="F375" s="36"/>
      <c r="G375" s="37" t="str">
        <f aca="false">IF(OR(C375="",D375=""),"",D375*IF(E375="",IFERROR(INDEX(Ürünler!$C$5:$C$204,MATCH(C375,Ürünler!$A$5:$A$204,0)),0),E375))</f>
        <v/>
      </c>
      <c r="H375" s="33"/>
    </row>
    <row r="376" customFormat="false" ht="15" hidden="false" customHeight="false" outlineLevel="0" collapsed="false">
      <c r="A376" s="32"/>
      <c r="B376" s="33"/>
      <c r="C376" s="33"/>
      <c r="D376" s="34"/>
      <c r="E376" s="35"/>
      <c r="F376" s="36"/>
      <c r="G376" s="37" t="str">
        <f aca="false">IF(OR(C376="",D376=""),"",D376*IF(E376="",IFERROR(INDEX(Ürünler!$C$5:$C$204,MATCH(C376,Ürünler!$A$5:$A$204,0)),0),E376))</f>
        <v/>
      </c>
      <c r="H376" s="33"/>
    </row>
    <row r="377" customFormat="false" ht="15" hidden="false" customHeight="false" outlineLevel="0" collapsed="false">
      <c r="A377" s="32"/>
      <c r="B377" s="33"/>
      <c r="C377" s="33"/>
      <c r="D377" s="34"/>
      <c r="E377" s="35"/>
      <c r="F377" s="36"/>
      <c r="G377" s="37" t="str">
        <f aca="false">IF(OR(C377="",D377=""),"",D377*IF(E377="",IFERROR(INDEX(Ürünler!$C$5:$C$204,MATCH(C377,Ürünler!$A$5:$A$204,0)),0),E377))</f>
        <v/>
      </c>
      <c r="H377" s="33"/>
    </row>
    <row r="378" customFormat="false" ht="15" hidden="false" customHeight="false" outlineLevel="0" collapsed="false">
      <c r="A378" s="32"/>
      <c r="B378" s="33"/>
      <c r="C378" s="33"/>
      <c r="D378" s="34"/>
      <c r="E378" s="35"/>
      <c r="F378" s="36"/>
      <c r="G378" s="37" t="str">
        <f aca="false">IF(OR(C378="",D378=""),"",D378*IF(E378="",IFERROR(INDEX(Ürünler!$C$5:$C$204,MATCH(C378,Ürünler!$A$5:$A$204,0)),0),E378))</f>
        <v/>
      </c>
      <c r="H378" s="33"/>
    </row>
    <row r="379" customFormat="false" ht="15" hidden="false" customHeight="false" outlineLevel="0" collapsed="false">
      <c r="A379" s="32"/>
      <c r="B379" s="33"/>
      <c r="C379" s="33"/>
      <c r="D379" s="34"/>
      <c r="E379" s="35"/>
      <c r="F379" s="36"/>
      <c r="G379" s="37" t="str">
        <f aca="false">IF(OR(C379="",D379=""),"",D379*IF(E379="",IFERROR(INDEX(Ürünler!$C$5:$C$204,MATCH(C379,Ürünler!$A$5:$A$204,0)),0),E379))</f>
        <v/>
      </c>
      <c r="H379" s="33"/>
    </row>
    <row r="380" customFormat="false" ht="15" hidden="false" customHeight="false" outlineLevel="0" collapsed="false">
      <c r="A380" s="32"/>
      <c r="B380" s="33"/>
      <c r="C380" s="33"/>
      <c r="D380" s="34"/>
      <c r="E380" s="35"/>
      <c r="F380" s="36"/>
      <c r="G380" s="37" t="str">
        <f aca="false">IF(OR(C380="",D380=""),"",D380*IF(E380="",IFERROR(INDEX(Ürünler!$C$5:$C$204,MATCH(C380,Ürünler!$A$5:$A$204,0)),0),E380))</f>
        <v/>
      </c>
      <c r="H380" s="33"/>
    </row>
    <row r="381" customFormat="false" ht="15" hidden="false" customHeight="false" outlineLevel="0" collapsed="false">
      <c r="A381" s="32"/>
      <c r="B381" s="33"/>
      <c r="C381" s="33"/>
      <c r="D381" s="34"/>
      <c r="E381" s="35"/>
      <c r="F381" s="36"/>
      <c r="G381" s="37" t="str">
        <f aca="false">IF(OR(C381="",D381=""),"",D381*IF(E381="",IFERROR(INDEX(Ürünler!$C$5:$C$204,MATCH(C381,Ürünler!$A$5:$A$204,0)),0),E381))</f>
        <v/>
      </c>
      <c r="H381" s="33"/>
    </row>
    <row r="382" customFormat="false" ht="15" hidden="false" customHeight="false" outlineLevel="0" collapsed="false">
      <c r="A382" s="32"/>
      <c r="B382" s="33"/>
      <c r="C382" s="33"/>
      <c r="D382" s="34"/>
      <c r="E382" s="35"/>
      <c r="F382" s="36"/>
      <c r="G382" s="37" t="str">
        <f aca="false">IF(OR(C382="",D382=""),"",D382*IF(E382="",IFERROR(INDEX(Ürünler!$C$5:$C$204,MATCH(C382,Ürünler!$A$5:$A$204,0)),0),E382))</f>
        <v/>
      </c>
      <c r="H382" s="33"/>
    </row>
    <row r="383" customFormat="false" ht="15" hidden="false" customHeight="false" outlineLevel="0" collapsed="false">
      <c r="A383" s="32"/>
      <c r="B383" s="33"/>
      <c r="C383" s="33"/>
      <c r="D383" s="34"/>
      <c r="E383" s="35"/>
      <c r="F383" s="36"/>
      <c r="G383" s="37" t="str">
        <f aca="false">IF(OR(C383="",D383=""),"",D383*IF(E383="",IFERROR(INDEX(Ürünler!$C$5:$C$204,MATCH(C383,Ürünler!$A$5:$A$204,0)),0),E383))</f>
        <v/>
      </c>
      <c r="H383" s="33"/>
    </row>
    <row r="384" customFormat="false" ht="15" hidden="false" customHeight="false" outlineLevel="0" collapsed="false">
      <c r="A384" s="32"/>
      <c r="B384" s="33"/>
      <c r="C384" s="33"/>
      <c r="D384" s="34"/>
      <c r="E384" s="35"/>
      <c r="F384" s="36"/>
      <c r="G384" s="37" t="str">
        <f aca="false">IF(OR(C384="",D384=""),"",D384*IF(E384="",IFERROR(INDEX(Ürünler!$C$5:$C$204,MATCH(C384,Ürünler!$A$5:$A$204,0)),0),E384))</f>
        <v/>
      </c>
      <c r="H384" s="33"/>
    </row>
    <row r="385" customFormat="false" ht="15" hidden="false" customHeight="false" outlineLevel="0" collapsed="false">
      <c r="A385" s="32"/>
      <c r="B385" s="33"/>
      <c r="C385" s="33"/>
      <c r="D385" s="34"/>
      <c r="E385" s="35"/>
      <c r="F385" s="36"/>
      <c r="G385" s="37" t="str">
        <f aca="false">IF(OR(C385="",D385=""),"",D385*IF(E385="",IFERROR(INDEX(Ürünler!$C$5:$C$204,MATCH(C385,Ürünler!$A$5:$A$204,0)),0),E385))</f>
        <v/>
      </c>
      <c r="H385" s="33"/>
    </row>
    <row r="386" customFormat="false" ht="15" hidden="false" customHeight="false" outlineLevel="0" collapsed="false">
      <c r="A386" s="32"/>
      <c r="B386" s="33"/>
      <c r="C386" s="33"/>
      <c r="D386" s="34"/>
      <c r="E386" s="35"/>
      <c r="F386" s="36"/>
      <c r="G386" s="37" t="str">
        <f aca="false">IF(OR(C386="",D386=""),"",D386*IF(E386="",IFERROR(INDEX(Ürünler!$C$5:$C$204,MATCH(C386,Ürünler!$A$5:$A$204,0)),0),E386))</f>
        <v/>
      </c>
      <c r="H386" s="33"/>
    </row>
    <row r="387" customFormat="false" ht="15" hidden="false" customHeight="false" outlineLevel="0" collapsed="false">
      <c r="A387" s="32"/>
      <c r="B387" s="33"/>
      <c r="C387" s="33"/>
      <c r="D387" s="34"/>
      <c r="E387" s="35"/>
      <c r="F387" s="36"/>
      <c r="G387" s="37" t="str">
        <f aca="false">IF(OR(C387="",D387=""),"",D387*IF(E387="",IFERROR(INDEX(Ürünler!$C$5:$C$204,MATCH(C387,Ürünler!$A$5:$A$204,0)),0),E387))</f>
        <v/>
      </c>
      <c r="H387" s="33"/>
    </row>
    <row r="388" customFormat="false" ht="15" hidden="false" customHeight="false" outlineLevel="0" collapsed="false">
      <c r="A388" s="32"/>
      <c r="B388" s="33"/>
      <c r="C388" s="33"/>
      <c r="D388" s="34"/>
      <c r="E388" s="35"/>
      <c r="F388" s="36"/>
      <c r="G388" s="37" t="str">
        <f aca="false">IF(OR(C388="",D388=""),"",D388*IF(E388="",IFERROR(INDEX(Ürünler!$C$5:$C$204,MATCH(C388,Ürünler!$A$5:$A$204,0)),0),E388))</f>
        <v/>
      </c>
      <c r="H388" s="33"/>
    </row>
    <row r="389" customFormat="false" ht="15" hidden="false" customHeight="false" outlineLevel="0" collapsed="false">
      <c r="A389" s="32"/>
      <c r="B389" s="33"/>
      <c r="C389" s="33"/>
      <c r="D389" s="34"/>
      <c r="E389" s="35"/>
      <c r="F389" s="36"/>
      <c r="G389" s="37" t="str">
        <f aca="false">IF(OR(C389="",D389=""),"",D389*IF(E389="",IFERROR(INDEX(Ürünler!$C$5:$C$204,MATCH(C389,Ürünler!$A$5:$A$204,0)),0),E389))</f>
        <v/>
      </c>
      <c r="H389" s="33"/>
    </row>
    <row r="390" customFormat="false" ht="15" hidden="false" customHeight="false" outlineLevel="0" collapsed="false">
      <c r="A390" s="32"/>
      <c r="B390" s="33"/>
      <c r="C390" s="33"/>
      <c r="D390" s="34"/>
      <c r="E390" s="35"/>
      <c r="F390" s="36"/>
      <c r="G390" s="37" t="str">
        <f aca="false">IF(OR(C390="",D390=""),"",D390*IF(E390="",IFERROR(INDEX(Ürünler!$C$5:$C$204,MATCH(C390,Ürünler!$A$5:$A$204,0)),0),E390))</f>
        <v/>
      </c>
      <c r="H390" s="33"/>
    </row>
    <row r="391" customFormat="false" ht="15" hidden="false" customHeight="false" outlineLevel="0" collapsed="false">
      <c r="A391" s="32"/>
      <c r="B391" s="33"/>
      <c r="C391" s="33"/>
      <c r="D391" s="34"/>
      <c r="E391" s="35"/>
      <c r="F391" s="36"/>
      <c r="G391" s="37" t="str">
        <f aca="false">IF(OR(C391="",D391=""),"",D391*IF(E391="",IFERROR(INDEX(Ürünler!$C$5:$C$204,MATCH(C391,Ürünler!$A$5:$A$204,0)),0),E391))</f>
        <v/>
      </c>
      <c r="H391" s="33"/>
    </row>
    <row r="392" customFormat="false" ht="15" hidden="false" customHeight="false" outlineLevel="0" collapsed="false">
      <c r="A392" s="32"/>
      <c r="B392" s="33"/>
      <c r="C392" s="33"/>
      <c r="D392" s="34"/>
      <c r="E392" s="35"/>
      <c r="F392" s="36"/>
      <c r="G392" s="37" t="str">
        <f aca="false">IF(OR(C392="",D392=""),"",D392*IF(E392="",IFERROR(INDEX(Ürünler!$C$5:$C$204,MATCH(C392,Ürünler!$A$5:$A$204,0)),0),E392))</f>
        <v/>
      </c>
      <c r="H392" s="33"/>
    </row>
    <row r="393" customFormat="false" ht="15" hidden="false" customHeight="false" outlineLevel="0" collapsed="false">
      <c r="A393" s="32"/>
      <c r="B393" s="33"/>
      <c r="C393" s="33"/>
      <c r="D393" s="34"/>
      <c r="E393" s="35"/>
      <c r="F393" s="36"/>
      <c r="G393" s="37" t="str">
        <f aca="false">IF(OR(C393="",D393=""),"",D393*IF(E393="",IFERROR(INDEX(Ürünler!$C$5:$C$204,MATCH(C393,Ürünler!$A$5:$A$204,0)),0),E393))</f>
        <v/>
      </c>
      <c r="H393" s="33"/>
    </row>
    <row r="394" customFormat="false" ht="15" hidden="false" customHeight="false" outlineLevel="0" collapsed="false">
      <c r="A394" s="32"/>
      <c r="B394" s="33"/>
      <c r="C394" s="33"/>
      <c r="D394" s="34"/>
      <c r="E394" s="35"/>
      <c r="F394" s="36"/>
      <c r="G394" s="37" t="str">
        <f aca="false">IF(OR(C394="",D394=""),"",D394*IF(E394="",IFERROR(INDEX(Ürünler!$C$5:$C$204,MATCH(C394,Ürünler!$A$5:$A$204,0)),0),E394))</f>
        <v/>
      </c>
      <c r="H394" s="33"/>
    </row>
    <row r="395" customFormat="false" ht="15" hidden="false" customHeight="false" outlineLevel="0" collapsed="false">
      <c r="A395" s="32"/>
      <c r="B395" s="33"/>
      <c r="C395" s="33"/>
      <c r="D395" s="34"/>
      <c r="E395" s="35"/>
      <c r="F395" s="36"/>
      <c r="G395" s="37" t="str">
        <f aca="false">IF(OR(C395="",D395=""),"",D395*IF(E395="",IFERROR(INDEX(Ürünler!$C$5:$C$204,MATCH(C395,Ürünler!$A$5:$A$204,0)),0),E395))</f>
        <v/>
      </c>
      <c r="H395" s="33"/>
    </row>
    <row r="396" customFormat="false" ht="15" hidden="false" customHeight="false" outlineLevel="0" collapsed="false">
      <c r="A396" s="32"/>
      <c r="B396" s="33"/>
      <c r="C396" s="33"/>
      <c r="D396" s="34"/>
      <c r="E396" s="35"/>
      <c r="F396" s="36"/>
      <c r="G396" s="37" t="str">
        <f aca="false">IF(OR(C396="",D396=""),"",D396*IF(E396="",IFERROR(INDEX(Ürünler!$C$5:$C$204,MATCH(C396,Ürünler!$A$5:$A$204,0)),0),E396))</f>
        <v/>
      </c>
      <c r="H396" s="33"/>
    </row>
    <row r="397" customFormat="false" ht="15" hidden="false" customHeight="false" outlineLevel="0" collapsed="false">
      <c r="A397" s="32"/>
      <c r="B397" s="33"/>
      <c r="C397" s="33"/>
      <c r="D397" s="34"/>
      <c r="E397" s="35"/>
      <c r="F397" s="36"/>
      <c r="G397" s="37" t="str">
        <f aca="false">IF(OR(C397="",D397=""),"",D397*IF(E397="",IFERROR(INDEX(Ürünler!$C$5:$C$204,MATCH(C397,Ürünler!$A$5:$A$204,0)),0),E397))</f>
        <v/>
      </c>
      <c r="H397" s="33"/>
    </row>
    <row r="398" customFormat="false" ht="15" hidden="false" customHeight="false" outlineLevel="0" collapsed="false">
      <c r="A398" s="32"/>
      <c r="B398" s="33"/>
      <c r="C398" s="33"/>
      <c r="D398" s="34"/>
      <c r="E398" s="35"/>
      <c r="F398" s="36"/>
      <c r="G398" s="37" t="str">
        <f aca="false">IF(OR(C398="",D398=""),"",D398*IF(E398="",IFERROR(INDEX(Ürünler!$C$5:$C$204,MATCH(C398,Ürünler!$A$5:$A$204,0)),0),E398))</f>
        <v/>
      </c>
      <c r="H398" s="33"/>
    </row>
    <row r="399" customFormat="false" ht="15" hidden="false" customHeight="false" outlineLevel="0" collapsed="false">
      <c r="A399" s="32"/>
      <c r="B399" s="33"/>
      <c r="C399" s="33"/>
      <c r="D399" s="34"/>
      <c r="E399" s="35"/>
      <c r="F399" s="36"/>
      <c r="G399" s="37" t="str">
        <f aca="false">IF(OR(C399="",D399=""),"",D399*IF(E399="",IFERROR(INDEX(Ürünler!$C$5:$C$204,MATCH(C399,Ürünler!$A$5:$A$204,0)),0),E399))</f>
        <v/>
      </c>
      <c r="H399" s="33"/>
    </row>
    <row r="400" customFormat="false" ht="15" hidden="false" customHeight="false" outlineLevel="0" collapsed="false">
      <c r="A400" s="32"/>
      <c r="B400" s="33"/>
      <c r="C400" s="33"/>
      <c r="D400" s="34"/>
      <c r="E400" s="35"/>
      <c r="F400" s="36"/>
      <c r="G400" s="37" t="str">
        <f aca="false">IF(OR(C400="",D400=""),"",D400*IF(E400="",IFERROR(INDEX(Ürünler!$C$5:$C$204,MATCH(C400,Ürünler!$A$5:$A$204,0)),0),E400))</f>
        <v/>
      </c>
      <c r="H400" s="33"/>
    </row>
    <row r="401" customFormat="false" ht="15" hidden="false" customHeight="false" outlineLevel="0" collapsed="false">
      <c r="A401" s="32"/>
      <c r="B401" s="33"/>
      <c r="C401" s="33"/>
      <c r="D401" s="34"/>
      <c r="E401" s="35"/>
      <c r="F401" s="36"/>
      <c r="G401" s="37" t="str">
        <f aca="false">IF(OR(C401="",D401=""),"",D401*IF(E401="",IFERROR(INDEX(Ürünler!$C$5:$C$204,MATCH(C401,Ürünler!$A$5:$A$204,0)),0),E401))</f>
        <v/>
      </c>
      <c r="H401" s="33"/>
    </row>
    <row r="402" customFormat="false" ht="15" hidden="false" customHeight="false" outlineLevel="0" collapsed="false">
      <c r="A402" s="32"/>
      <c r="B402" s="33"/>
      <c r="C402" s="33"/>
      <c r="D402" s="34"/>
      <c r="E402" s="35"/>
      <c r="F402" s="36"/>
      <c r="G402" s="37" t="str">
        <f aca="false">IF(OR(C402="",D402=""),"",D402*IF(E402="",IFERROR(INDEX(Ürünler!$C$5:$C$204,MATCH(C402,Ürünler!$A$5:$A$204,0)),0),E402))</f>
        <v/>
      </c>
      <c r="H402" s="33"/>
    </row>
    <row r="403" customFormat="false" ht="15" hidden="false" customHeight="false" outlineLevel="0" collapsed="false">
      <c r="A403" s="32"/>
      <c r="B403" s="33"/>
      <c r="C403" s="33"/>
      <c r="D403" s="34"/>
      <c r="E403" s="35"/>
      <c r="F403" s="36"/>
      <c r="G403" s="37" t="str">
        <f aca="false">IF(OR(C403="",D403=""),"",D403*IF(E403="",IFERROR(INDEX(Ürünler!$C$5:$C$204,MATCH(C403,Ürünler!$A$5:$A$204,0)),0),E403))</f>
        <v/>
      </c>
      <c r="H403" s="33"/>
    </row>
    <row r="404" customFormat="false" ht="15" hidden="false" customHeight="false" outlineLevel="0" collapsed="false">
      <c r="A404" s="32"/>
      <c r="B404" s="33"/>
      <c r="C404" s="33"/>
      <c r="D404" s="34"/>
      <c r="E404" s="35"/>
      <c r="F404" s="36"/>
      <c r="G404" s="37" t="str">
        <f aca="false">IF(OR(C404="",D404=""),"",D404*IF(E404="",IFERROR(INDEX(Ürünler!$C$5:$C$204,MATCH(C404,Ürünler!$A$5:$A$204,0)),0),E404))</f>
        <v/>
      </c>
      <c r="H404" s="33"/>
    </row>
    <row r="405" customFormat="false" ht="15" hidden="false" customHeight="false" outlineLevel="0" collapsed="false">
      <c r="A405" s="32"/>
      <c r="B405" s="33"/>
      <c r="C405" s="33"/>
      <c r="D405" s="34"/>
      <c r="E405" s="35"/>
      <c r="F405" s="36"/>
      <c r="G405" s="37" t="str">
        <f aca="false">IF(OR(C405="",D405=""),"",D405*IF(E405="",IFERROR(INDEX(Ürünler!$C$5:$C$204,MATCH(C405,Ürünler!$A$5:$A$204,0)),0),E405))</f>
        <v/>
      </c>
      <c r="H405" s="33"/>
    </row>
    <row r="406" customFormat="false" ht="15" hidden="false" customHeight="false" outlineLevel="0" collapsed="false">
      <c r="A406" s="32"/>
      <c r="B406" s="33"/>
      <c r="C406" s="33"/>
      <c r="D406" s="34"/>
      <c r="E406" s="35"/>
      <c r="F406" s="36"/>
      <c r="G406" s="37" t="str">
        <f aca="false">IF(OR(C406="",D406=""),"",D406*IF(E406="",IFERROR(INDEX(Ürünler!$C$5:$C$204,MATCH(C406,Ürünler!$A$5:$A$204,0)),0),E406))</f>
        <v/>
      </c>
      <c r="H406" s="33"/>
    </row>
    <row r="407" customFormat="false" ht="15" hidden="false" customHeight="false" outlineLevel="0" collapsed="false">
      <c r="A407" s="32"/>
      <c r="B407" s="33"/>
      <c r="C407" s="33"/>
      <c r="D407" s="34"/>
      <c r="E407" s="35"/>
      <c r="F407" s="36"/>
      <c r="G407" s="37" t="str">
        <f aca="false">IF(OR(C407="",D407=""),"",D407*IF(E407="",IFERROR(INDEX(Ürünler!$C$5:$C$204,MATCH(C407,Ürünler!$A$5:$A$204,0)),0),E407))</f>
        <v/>
      </c>
      <c r="H407" s="33"/>
    </row>
    <row r="408" customFormat="false" ht="15" hidden="false" customHeight="false" outlineLevel="0" collapsed="false">
      <c r="A408" s="32"/>
      <c r="B408" s="33"/>
      <c r="C408" s="33"/>
      <c r="D408" s="34"/>
      <c r="E408" s="35"/>
      <c r="F408" s="36"/>
      <c r="G408" s="37" t="str">
        <f aca="false">IF(OR(C408="",D408=""),"",D408*IF(E408="",IFERROR(INDEX(Ürünler!$C$5:$C$204,MATCH(C408,Ürünler!$A$5:$A$204,0)),0),E408))</f>
        <v/>
      </c>
      <c r="H408" s="33"/>
    </row>
    <row r="409" customFormat="false" ht="15" hidden="false" customHeight="false" outlineLevel="0" collapsed="false">
      <c r="A409" s="32"/>
      <c r="B409" s="33"/>
      <c r="C409" s="33"/>
      <c r="D409" s="34"/>
      <c r="E409" s="35"/>
      <c r="F409" s="36"/>
      <c r="G409" s="37" t="str">
        <f aca="false">IF(OR(C409="",D409=""),"",D409*IF(E409="",IFERROR(INDEX(Ürünler!$C$5:$C$204,MATCH(C409,Ürünler!$A$5:$A$204,0)),0),E409))</f>
        <v/>
      </c>
      <c r="H409" s="33"/>
    </row>
    <row r="410" customFormat="false" ht="15" hidden="false" customHeight="false" outlineLevel="0" collapsed="false">
      <c r="A410" s="32"/>
      <c r="B410" s="33"/>
      <c r="C410" s="33"/>
      <c r="D410" s="34"/>
      <c r="E410" s="35"/>
      <c r="F410" s="36"/>
      <c r="G410" s="37" t="str">
        <f aca="false">IF(OR(C410="",D410=""),"",D410*IF(E410="",IFERROR(INDEX(Ürünler!$C$5:$C$204,MATCH(C410,Ürünler!$A$5:$A$204,0)),0),E410))</f>
        <v/>
      </c>
      <c r="H410" s="33"/>
    </row>
    <row r="411" customFormat="false" ht="15" hidden="false" customHeight="false" outlineLevel="0" collapsed="false">
      <c r="A411" s="32"/>
      <c r="B411" s="33"/>
      <c r="C411" s="33"/>
      <c r="D411" s="34"/>
      <c r="E411" s="35"/>
      <c r="F411" s="36"/>
      <c r="G411" s="37" t="str">
        <f aca="false">IF(OR(C411="",D411=""),"",D411*IF(E411="",IFERROR(INDEX(Ürünler!$C$5:$C$204,MATCH(C411,Ürünler!$A$5:$A$204,0)),0),E411))</f>
        <v/>
      </c>
      <c r="H411" s="33"/>
    </row>
    <row r="412" customFormat="false" ht="15" hidden="false" customHeight="false" outlineLevel="0" collapsed="false">
      <c r="A412" s="32"/>
      <c r="B412" s="33"/>
      <c r="C412" s="33"/>
      <c r="D412" s="34"/>
      <c r="E412" s="35"/>
      <c r="F412" s="36"/>
      <c r="G412" s="37" t="str">
        <f aca="false">IF(OR(C412="",D412=""),"",D412*IF(E412="",IFERROR(INDEX(Ürünler!$C$5:$C$204,MATCH(C412,Ürünler!$A$5:$A$204,0)),0),E412))</f>
        <v/>
      </c>
      <c r="H412" s="33"/>
    </row>
    <row r="413" customFormat="false" ht="15" hidden="false" customHeight="false" outlineLevel="0" collapsed="false">
      <c r="A413" s="32"/>
      <c r="B413" s="33"/>
      <c r="C413" s="33"/>
      <c r="D413" s="34"/>
      <c r="E413" s="35"/>
      <c r="F413" s="36"/>
      <c r="G413" s="37" t="str">
        <f aca="false">IF(OR(C413="",D413=""),"",D413*IF(E413="",IFERROR(INDEX(Ürünler!$C$5:$C$204,MATCH(C413,Ürünler!$A$5:$A$204,0)),0),E413))</f>
        <v/>
      </c>
      <c r="H413" s="33"/>
    </row>
    <row r="414" customFormat="false" ht="15" hidden="false" customHeight="false" outlineLevel="0" collapsed="false">
      <c r="A414" s="32"/>
      <c r="B414" s="33"/>
      <c r="C414" s="33"/>
      <c r="D414" s="34"/>
      <c r="E414" s="35"/>
      <c r="F414" s="36"/>
      <c r="G414" s="37" t="str">
        <f aca="false">IF(OR(C414="",D414=""),"",D414*IF(E414="",IFERROR(INDEX(Ürünler!$C$5:$C$204,MATCH(C414,Ürünler!$A$5:$A$204,0)),0),E414))</f>
        <v/>
      </c>
      <c r="H414" s="33"/>
    </row>
    <row r="415" customFormat="false" ht="15" hidden="false" customHeight="false" outlineLevel="0" collapsed="false">
      <c r="A415" s="32"/>
      <c r="B415" s="33"/>
      <c r="C415" s="33"/>
      <c r="D415" s="34"/>
      <c r="E415" s="35"/>
      <c r="F415" s="36"/>
      <c r="G415" s="37" t="str">
        <f aca="false">IF(OR(C415="",D415=""),"",D415*IF(E415="",IFERROR(INDEX(Ürünler!$C$5:$C$204,MATCH(C415,Ürünler!$A$5:$A$204,0)),0),E415))</f>
        <v/>
      </c>
      <c r="H415" s="33"/>
    </row>
    <row r="416" customFormat="false" ht="15" hidden="false" customHeight="false" outlineLevel="0" collapsed="false">
      <c r="A416" s="32"/>
      <c r="B416" s="33"/>
      <c r="C416" s="33"/>
      <c r="D416" s="34"/>
      <c r="E416" s="35"/>
      <c r="F416" s="36"/>
      <c r="G416" s="37" t="str">
        <f aca="false">IF(OR(C416="",D416=""),"",D416*IF(E416="",IFERROR(INDEX(Ürünler!$C$5:$C$204,MATCH(C416,Ürünler!$A$5:$A$204,0)),0),E416))</f>
        <v/>
      </c>
      <c r="H416" s="33"/>
    </row>
    <row r="417" customFormat="false" ht="15" hidden="false" customHeight="false" outlineLevel="0" collapsed="false">
      <c r="A417" s="32"/>
      <c r="B417" s="33"/>
      <c r="C417" s="33"/>
      <c r="D417" s="34"/>
      <c r="E417" s="35"/>
      <c r="F417" s="36"/>
      <c r="G417" s="37" t="str">
        <f aca="false">IF(OR(C417="",D417=""),"",D417*IF(E417="",IFERROR(INDEX(Ürünler!$C$5:$C$204,MATCH(C417,Ürünler!$A$5:$A$204,0)),0),E417))</f>
        <v/>
      </c>
      <c r="H417" s="33"/>
    </row>
    <row r="418" customFormat="false" ht="15" hidden="false" customHeight="false" outlineLevel="0" collapsed="false">
      <c r="A418" s="32"/>
      <c r="B418" s="33"/>
      <c r="C418" s="33"/>
      <c r="D418" s="34"/>
      <c r="E418" s="35"/>
      <c r="F418" s="36"/>
      <c r="G418" s="37" t="str">
        <f aca="false">IF(OR(C418="",D418=""),"",D418*IF(E418="",IFERROR(INDEX(Ürünler!$C$5:$C$204,MATCH(C418,Ürünler!$A$5:$A$204,0)),0),E418))</f>
        <v/>
      </c>
      <c r="H418" s="33"/>
    </row>
    <row r="419" customFormat="false" ht="15" hidden="false" customHeight="false" outlineLevel="0" collapsed="false">
      <c r="A419" s="32"/>
      <c r="B419" s="33"/>
      <c r="C419" s="33"/>
      <c r="D419" s="34"/>
      <c r="E419" s="35"/>
      <c r="F419" s="36"/>
      <c r="G419" s="37" t="str">
        <f aca="false">IF(OR(C419="",D419=""),"",D419*IF(E419="",IFERROR(INDEX(Ürünler!$C$5:$C$204,MATCH(C419,Ürünler!$A$5:$A$204,0)),0),E419))</f>
        <v/>
      </c>
      <c r="H419" s="33"/>
    </row>
    <row r="420" customFormat="false" ht="15" hidden="false" customHeight="false" outlineLevel="0" collapsed="false">
      <c r="A420" s="32"/>
      <c r="B420" s="33"/>
      <c r="C420" s="33"/>
      <c r="D420" s="34"/>
      <c r="E420" s="35"/>
      <c r="F420" s="36"/>
      <c r="G420" s="37" t="str">
        <f aca="false">IF(OR(C420="",D420=""),"",D420*IF(E420="",IFERROR(INDEX(Ürünler!$C$5:$C$204,MATCH(C420,Ürünler!$A$5:$A$204,0)),0),E420))</f>
        <v/>
      </c>
      <c r="H420" s="33"/>
    </row>
    <row r="421" customFormat="false" ht="15" hidden="false" customHeight="false" outlineLevel="0" collapsed="false">
      <c r="A421" s="32"/>
      <c r="B421" s="33"/>
      <c r="C421" s="33"/>
      <c r="D421" s="34"/>
      <c r="E421" s="35"/>
      <c r="F421" s="36"/>
      <c r="G421" s="37" t="str">
        <f aca="false">IF(OR(C421="",D421=""),"",D421*IF(E421="",IFERROR(INDEX(Ürünler!$C$5:$C$204,MATCH(C421,Ürünler!$A$5:$A$204,0)),0),E421))</f>
        <v/>
      </c>
      <c r="H421" s="33"/>
    </row>
    <row r="422" customFormat="false" ht="15" hidden="false" customHeight="false" outlineLevel="0" collapsed="false">
      <c r="A422" s="32"/>
      <c r="B422" s="33"/>
      <c r="C422" s="33"/>
      <c r="D422" s="34"/>
      <c r="E422" s="35"/>
      <c r="F422" s="36"/>
      <c r="G422" s="37" t="str">
        <f aca="false">IF(OR(C422="",D422=""),"",D422*IF(E422="",IFERROR(INDEX(Ürünler!$C$5:$C$204,MATCH(C422,Ürünler!$A$5:$A$204,0)),0),E422))</f>
        <v/>
      </c>
      <c r="H422" s="33"/>
    </row>
    <row r="423" customFormat="false" ht="15" hidden="false" customHeight="false" outlineLevel="0" collapsed="false">
      <c r="A423" s="32"/>
      <c r="B423" s="33"/>
      <c r="C423" s="33"/>
      <c r="D423" s="34"/>
      <c r="E423" s="35"/>
      <c r="F423" s="36"/>
      <c r="G423" s="37" t="str">
        <f aca="false">IF(OR(C423="",D423=""),"",D423*IF(E423="",IFERROR(INDEX(Ürünler!$C$5:$C$204,MATCH(C423,Ürünler!$A$5:$A$204,0)),0),E423))</f>
        <v/>
      </c>
      <c r="H423" s="33"/>
    </row>
    <row r="424" customFormat="false" ht="15" hidden="false" customHeight="false" outlineLevel="0" collapsed="false">
      <c r="A424" s="32"/>
      <c r="B424" s="33"/>
      <c r="C424" s="33"/>
      <c r="D424" s="34"/>
      <c r="E424" s="35"/>
      <c r="F424" s="36"/>
      <c r="G424" s="37" t="str">
        <f aca="false">IF(OR(C424="",D424=""),"",D424*IF(E424="",IFERROR(INDEX(Ürünler!$C$5:$C$204,MATCH(C424,Ürünler!$A$5:$A$204,0)),0),E424))</f>
        <v/>
      </c>
      <c r="H424" s="33"/>
    </row>
    <row r="425" customFormat="false" ht="15" hidden="false" customHeight="false" outlineLevel="0" collapsed="false">
      <c r="A425" s="32"/>
      <c r="B425" s="33"/>
      <c r="C425" s="33"/>
      <c r="D425" s="34"/>
      <c r="E425" s="35"/>
      <c r="F425" s="36"/>
      <c r="G425" s="37" t="str">
        <f aca="false">IF(OR(C425="",D425=""),"",D425*IF(E425="",IFERROR(INDEX(Ürünler!$C$5:$C$204,MATCH(C425,Ürünler!$A$5:$A$204,0)),0),E425))</f>
        <v/>
      </c>
      <c r="H425" s="33"/>
    </row>
    <row r="426" customFormat="false" ht="15" hidden="false" customHeight="false" outlineLevel="0" collapsed="false">
      <c r="A426" s="32"/>
      <c r="B426" s="33"/>
      <c r="C426" s="33"/>
      <c r="D426" s="34"/>
      <c r="E426" s="35"/>
      <c r="F426" s="36"/>
      <c r="G426" s="37" t="str">
        <f aca="false">IF(OR(C426="",D426=""),"",D426*IF(E426="",IFERROR(INDEX(Ürünler!$C$5:$C$204,MATCH(C426,Ürünler!$A$5:$A$204,0)),0),E426))</f>
        <v/>
      </c>
      <c r="H426" s="33"/>
    </row>
    <row r="427" customFormat="false" ht="15" hidden="false" customHeight="false" outlineLevel="0" collapsed="false">
      <c r="A427" s="32"/>
      <c r="B427" s="33"/>
      <c r="C427" s="33"/>
      <c r="D427" s="34"/>
      <c r="E427" s="35"/>
      <c r="F427" s="36"/>
      <c r="G427" s="37" t="str">
        <f aca="false">IF(OR(C427="",D427=""),"",D427*IF(E427="",IFERROR(INDEX(Ürünler!$C$5:$C$204,MATCH(C427,Ürünler!$A$5:$A$204,0)),0),E427))</f>
        <v/>
      </c>
      <c r="H427" s="33"/>
    </row>
    <row r="428" customFormat="false" ht="15" hidden="false" customHeight="false" outlineLevel="0" collapsed="false">
      <c r="A428" s="32"/>
      <c r="B428" s="33"/>
      <c r="C428" s="33"/>
      <c r="D428" s="34"/>
      <c r="E428" s="35"/>
      <c r="F428" s="36"/>
      <c r="G428" s="37" t="str">
        <f aca="false">IF(OR(C428="",D428=""),"",D428*IF(E428="",IFERROR(INDEX(Ürünler!$C$5:$C$204,MATCH(C428,Ürünler!$A$5:$A$204,0)),0),E428))</f>
        <v/>
      </c>
      <c r="H428" s="33"/>
    </row>
    <row r="429" customFormat="false" ht="15" hidden="false" customHeight="false" outlineLevel="0" collapsed="false">
      <c r="A429" s="32"/>
      <c r="B429" s="33"/>
      <c r="C429" s="33"/>
      <c r="D429" s="34"/>
      <c r="E429" s="35"/>
      <c r="F429" s="36"/>
      <c r="G429" s="37" t="str">
        <f aca="false">IF(OR(C429="",D429=""),"",D429*IF(E429="",IFERROR(INDEX(Ürünler!$C$5:$C$204,MATCH(C429,Ürünler!$A$5:$A$204,0)),0),E429))</f>
        <v/>
      </c>
      <c r="H429" s="33"/>
    </row>
    <row r="430" customFormat="false" ht="15" hidden="false" customHeight="false" outlineLevel="0" collapsed="false">
      <c r="A430" s="32"/>
      <c r="B430" s="33"/>
      <c r="C430" s="33"/>
      <c r="D430" s="34"/>
      <c r="E430" s="35"/>
      <c r="F430" s="36"/>
      <c r="G430" s="37" t="str">
        <f aca="false">IF(OR(C430="",D430=""),"",D430*IF(E430="",IFERROR(INDEX(Ürünler!$C$5:$C$204,MATCH(C430,Ürünler!$A$5:$A$204,0)),0),E430))</f>
        <v/>
      </c>
      <c r="H430" s="33"/>
    </row>
    <row r="431" customFormat="false" ht="15" hidden="false" customHeight="false" outlineLevel="0" collapsed="false">
      <c r="A431" s="32"/>
      <c r="B431" s="33"/>
      <c r="C431" s="33"/>
      <c r="D431" s="34"/>
      <c r="E431" s="35"/>
      <c r="F431" s="36"/>
      <c r="G431" s="37" t="str">
        <f aca="false">IF(OR(C431="",D431=""),"",D431*IF(E431="",IFERROR(INDEX(Ürünler!$C$5:$C$204,MATCH(C431,Ürünler!$A$5:$A$204,0)),0),E431))</f>
        <v/>
      </c>
      <c r="H431" s="33"/>
    </row>
    <row r="432" customFormat="false" ht="15" hidden="false" customHeight="false" outlineLevel="0" collapsed="false">
      <c r="A432" s="32"/>
      <c r="B432" s="33"/>
      <c r="C432" s="33"/>
      <c r="D432" s="34"/>
      <c r="E432" s="35"/>
      <c r="F432" s="36"/>
      <c r="G432" s="37" t="str">
        <f aca="false">IF(OR(C432="",D432=""),"",D432*IF(E432="",IFERROR(INDEX(Ürünler!$C$5:$C$204,MATCH(C432,Ürünler!$A$5:$A$204,0)),0),E432))</f>
        <v/>
      </c>
      <c r="H432" s="33"/>
    </row>
    <row r="433" customFormat="false" ht="15" hidden="false" customHeight="false" outlineLevel="0" collapsed="false">
      <c r="A433" s="32"/>
      <c r="B433" s="33"/>
      <c r="C433" s="33"/>
      <c r="D433" s="34"/>
      <c r="E433" s="35"/>
      <c r="F433" s="36"/>
      <c r="G433" s="37" t="str">
        <f aca="false">IF(OR(C433="",D433=""),"",D433*IF(E433="",IFERROR(INDEX(Ürünler!$C$5:$C$204,MATCH(C433,Ürünler!$A$5:$A$204,0)),0),E433))</f>
        <v/>
      </c>
      <c r="H433" s="33"/>
    </row>
    <row r="434" customFormat="false" ht="15" hidden="false" customHeight="false" outlineLevel="0" collapsed="false">
      <c r="A434" s="32"/>
      <c r="B434" s="33"/>
      <c r="C434" s="33"/>
      <c r="D434" s="34"/>
      <c r="E434" s="35"/>
      <c r="F434" s="36"/>
      <c r="G434" s="37" t="str">
        <f aca="false">IF(OR(C434="",D434=""),"",D434*IF(E434="",IFERROR(INDEX(Ürünler!$C$5:$C$204,MATCH(C434,Ürünler!$A$5:$A$204,0)),0),E434))</f>
        <v/>
      </c>
      <c r="H434" s="33"/>
    </row>
    <row r="435" customFormat="false" ht="15" hidden="false" customHeight="false" outlineLevel="0" collapsed="false">
      <c r="A435" s="32"/>
      <c r="B435" s="33"/>
      <c r="C435" s="33"/>
      <c r="D435" s="34"/>
      <c r="E435" s="35"/>
      <c r="F435" s="36"/>
      <c r="G435" s="37" t="str">
        <f aca="false">IF(OR(C435="",D435=""),"",D435*IF(E435="",IFERROR(INDEX(Ürünler!$C$5:$C$204,MATCH(C435,Ürünler!$A$5:$A$204,0)),0),E435))</f>
        <v/>
      </c>
      <c r="H435" s="33"/>
    </row>
    <row r="436" customFormat="false" ht="15" hidden="false" customHeight="false" outlineLevel="0" collapsed="false">
      <c r="A436" s="32"/>
      <c r="B436" s="33"/>
      <c r="C436" s="33"/>
      <c r="D436" s="34"/>
      <c r="E436" s="35"/>
      <c r="F436" s="36"/>
      <c r="G436" s="37" t="str">
        <f aca="false">IF(OR(C436="",D436=""),"",D436*IF(E436="",IFERROR(INDEX(Ürünler!$C$5:$C$204,MATCH(C436,Ürünler!$A$5:$A$204,0)),0),E436))</f>
        <v/>
      </c>
      <c r="H436" s="33"/>
    </row>
    <row r="437" customFormat="false" ht="15" hidden="false" customHeight="false" outlineLevel="0" collapsed="false">
      <c r="A437" s="32"/>
      <c r="B437" s="33"/>
      <c r="C437" s="33"/>
      <c r="D437" s="34"/>
      <c r="E437" s="35"/>
      <c r="F437" s="36"/>
      <c r="G437" s="37" t="str">
        <f aca="false">IF(OR(C437="",D437=""),"",D437*IF(E437="",IFERROR(INDEX(Ürünler!$C$5:$C$204,MATCH(C437,Ürünler!$A$5:$A$204,0)),0),E437))</f>
        <v/>
      </c>
      <c r="H437" s="33"/>
    </row>
    <row r="438" customFormat="false" ht="15" hidden="false" customHeight="false" outlineLevel="0" collapsed="false">
      <c r="A438" s="32"/>
      <c r="B438" s="33"/>
      <c r="C438" s="33"/>
      <c r="D438" s="34"/>
      <c r="E438" s="35"/>
      <c r="F438" s="36"/>
      <c r="G438" s="37" t="str">
        <f aca="false">IF(OR(C438="",D438=""),"",D438*IF(E438="",IFERROR(INDEX(Ürünler!$C$5:$C$204,MATCH(C438,Ürünler!$A$5:$A$204,0)),0),E438))</f>
        <v/>
      </c>
      <c r="H438" s="33"/>
    </row>
    <row r="439" customFormat="false" ht="15" hidden="false" customHeight="false" outlineLevel="0" collapsed="false">
      <c r="A439" s="32"/>
      <c r="B439" s="33"/>
      <c r="C439" s="33"/>
      <c r="D439" s="34"/>
      <c r="E439" s="35"/>
      <c r="F439" s="36"/>
      <c r="G439" s="37" t="str">
        <f aca="false">IF(OR(C439="",D439=""),"",D439*IF(E439="",IFERROR(INDEX(Ürünler!$C$5:$C$204,MATCH(C439,Ürünler!$A$5:$A$204,0)),0),E439))</f>
        <v/>
      </c>
      <c r="H439" s="33"/>
    </row>
    <row r="440" customFormat="false" ht="15" hidden="false" customHeight="false" outlineLevel="0" collapsed="false">
      <c r="A440" s="32"/>
      <c r="B440" s="33"/>
      <c r="C440" s="33"/>
      <c r="D440" s="34"/>
      <c r="E440" s="35"/>
      <c r="F440" s="36"/>
      <c r="G440" s="37" t="str">
        <f aca="false">IF(OR(C440="",D440=""),"",D440*IF(E440="",IFERROR(INDEX(Ürünler!$C$5:$C$204,MATCH(C440,Ürünler!$A$5:$A$204,0)),0),E440))</f>
        <v/>
      </c>
      <c r="H440" s="33"/>
    </row>
    <row r="441" customFormat="false" ht="15" hidden="false" customHeight="false" outlineLevel="0" collapsed="false">
      <c r="A441" s="32"/>
      <c r="B441" s="33"/>
      <c r="C441" s="33"/>
      <c r="D441" s="34"/>
      <c r="E441" s="35"/>
      <c r="F441" s="36"/>
      <c r="G441" s="37" t="str">
        <f aca="false">IF(OR(C441="",D441=""),"",D441*IF(E441="",IFERROR(INDEX(Ürünler!$C$5:$C$204,MATCH(C441,Ürünler!$A$5:$A$204,0)),0),E441))</f>
        <v/>
      </c>
      <c r="H441" s="33"/>
    </row>
    <row r="442" customFormat="false" ht="15" hidden="false" customHeight="false" outlineLevel="0" collapsed="false">
      <c r="A442" s="32"/>
      <c r="B442" s="33"/>
      <c r="C442" s="33"/>
      <c r="D442" s="34"/>
      <c r="E442" s="35"/>
      <c r="F442" s="36"/>
      <c r="G442" s="37" t="str">
        <f aca="false">IF(OR(C442="",D442=""),"",D442*IF(E442="",IFERROR(INDEX(Ürünler!$C$5:$C$204,MATCH(C442,Ürünler!$A$5:$A$204,0)),0),E442))</f>
        <v/>
      </c>
      <c r="H442" s="33"/>
    </row>
    <row r="443" customFormat="false" ht="15" hidden="false" customHeight="false" outlineLevel="0" collapsed="false">
      <c r="A443" s="32"/>
      <c r="B443" s="33"/>
      <c r="C443" s="33"/>
      <c r="D443" s="34"/>
      <c r="E443" s="35"/>
      <c r="F443" s="36"/>
      <c r="G443" s="37" t="str">
        <f aca="false">IF(OR(C443="",D443=""),"",D443*IF(E443="",IFERROR(INDEX(Ürünler!$C$5:$C$204,MATCH(C443,Ürünler!$A$5:$A$204,0)),0),E443))</f>
        <v/>
      </c>
      <c r="H443" s="33"/>
    </row>
    <row r="444" customFormat="false" ht="15" hidden="false" customHeight="false" outlineLevel="0" collapsed="false">
      <c r="A444" s="32"/>
      <c r="B444" s="33"/>
      <c r="C444" s="33"/>
      <c r="D444" s="34"/>
      <c r="E444" s="35"/>
      <c r="F444" s="36"/>
      <c r="G444" s="37" t="str">
        <f aca="false">IF(OR(C444="",D444=""),"",D444*IF(E444="",IFERROR(INDEX(Ürünler!$C$5:$C$204,MATCH(C444,Ürünler!$A$5:$A$204,0)),0),E444))</f>
        <v/>
      </c>
      <c r="H444" s="33"/>
    </row>
    <row r="445" customFormat="false" ht="15" hidden="false" customHeight="false" outlineLevel="0" collapsed="false">
      <c r="A445" s="32"/>
      <c r="B445" s="33"/>
      <c r="C445" s="33"/>
      <c r="D445" s="34"/>
      <c r="E445" s="35"/>
      <c r="F445" s="36"/>
      <c r="G445" s="37" t="str">
        <f aca="false">IF(OR(C445="",D445=""),"",D445*IF(E445="",IFERROR(INDEX(Ürünler!$C$5:$C$204,MATCH(C445,Ürünler!$A$5:$A$204,0)),0),E445))</f>
        <v/>
      </c>
      <c r="H445" s="33"/>
    </row>
    <row r="446" customFormat="false" ht="15" hidden="false" customHeight="false" outlineLevel="0" collapsed="false">
      <c r="A446" s="32"/>
      <c r="B446" s="33"/>
      <c r="C446" s="33"/>
      <c r="D446" s="34"/>
      <c r="E446" s="35"/>
      <c r="F446" s="36"/>
      <c r="G446" s="37" t="str">
        <f aca="false">IF(OR(C446="",D446=""),"",D446*IF(E446="",IFERROR(INDEX(Ürünler!$C$5:$C$204,MATCH(C446,Ürünler!$A$5:$A$204,0)),0),E446))</f>
        <v/>
      </c>
      <c r="H446" s="33"/>
    </row>
    <row r="447" customFormat="false" ht="15" hidden="false" customHeight="false" outlineLevel="0" collapsed="false">
      <c r="A447" s="32"/>
      <c r="B447" s="33"/>
      <c r="C447" s="33"/>
      <c r="D447" s="34"/>
      <c r="E447" s="35"/>
      <c r="F447" s="36"/>
      <c r="G447" s="37" t="str">
        <f aca="false">IF(OR(C447="",D447=""),"",D447*IF(E447="",IFERROR(INDEX(Ürünler!$C$5:$C$204,MATCH(C447,Ürünler!$A$5:$A$204,0)),0),E447))</f>
        <v/>
      </c>
      <c r="H447" s="33"/>
    </row>
    <row r="448" customFormat="false" ht="15" hidden="false" customHeight="false" outlineLevel="0" collapsed="false">
      <c r="A448" s="32"/>
      <c r="B448" s="33"/>
      <c r="C448" s="33"/>
      <c r="D448" s="34"/>
      <c r="E448" s="35"/>
      <c r="F448" s="36"/>
      <c r="G448" s="37" t="str">
        <f aca="false">IF(OR(C448="",D448=""),"",D448*IF(E448="",IFERROR(INDEX(Ürünler!$C$5:$C$204,MATCH(C448,Ürünler!$A$5:$A$204,0)),0),E448))</f>
        <v/>
      </c>
      <c r="H448" s="33"/>
    </row>
    <row r="449" customFormat="false" ht="15" hidden="false" customHeight="false" outlineLevel="0" collapsed="false">
      <c r="A449" s="32"/>
      <c r="B449" s="33"/>
      <c r="C449" s="33"/>
      <c r="D449" s="34"/>
      <c r="E449" s="35"/>
      <c r="F449" s="36"/>
      <c r="G449" s="37" t="str">
        <f aca="false">IF(OR(C449="",D449=""),"",D449*IF(E449="",IFERROR(INDEX(Ürünler!$C$5:$C$204,MATCH(C449,Ürünler!$A$5:$A$204,0)),0),E449))</f>
        <v/>
      </c>
      <c r="H449" s="33"/>
    </row>
    <row r="450" customFormat="false" ht="15" hidden="false" customHeight="false" outlineLevel="0" collapsed="false">
      <c r="A450" s="32"/>
      <c r="B450" s="33"/>
      <c r="C450" s="33"/>
      <c r="D450" s="34"/>
      <c r="E450" s="35"/>
      <c r="F450" s="36"/>
      <c r="G450" s="37" t="str">
        <f aca="false">IF(OR(C450="",D450=""),"",D450*IF(E450="",IFERROR(INDEX(Ürünler!$C$5:$C$204,MATCH(C450,Ürünler!$A$5:$A$204,0)),0),E450))</f>
        <v/>
      </c>
      <c r="H450" s="33"/>
    </row>
    <row r="451" customFormat="false" ht="15" hidden="false" customHeight="false" outlineLevel="0" collapsed="false">
      <c r="A451" s="32"/>
      <c r="B451" s="33"/>
      <c r="C451" s="33"/>
      <c r="D451" s="34"/>
      <c r="E451" s="35"/>
      <c r="F451" s="36"/>
      <c r="G451" s="37" t="str">
        <f aca="false">IF(OR(C451="",D451=""),"",D451*IF(E451="",IFERROR(INDEX(Ürünler!$C$5:$C$204,MATCH(C451,Ürünler!$A$5:$A$204,0)),0),E451))</f>
        <v/>
      </c>
      <c r="H451" s="33"/>
    </row>
    <row r="452" customFormat="false" ht="15" hidden="false" customHeight="false" outlineLevel="0" collapsed="false">
      <c r="A452" s="32"/>
      <c r="B452" s="33"/>
      <c r="C452" s="33"/>
      <c r="D452" s="34"/>
      <c r="E452" s="35"/>
      <c r="F452" s="36"/>
      <c r="G452" s="37" t="str">
        <f aca="false">IF(OR(C452="",D452=""),"",D452*IF(E452="",IFERROR(INDEX(Ürünler!$C$5:$C$204,MATCH(C452,Ürünler!$A$5:$A$204,0)),0),E452))</f>
        <v/>
      </c>
      <c r="H452" s="33"/>
    </row>
    <row r="453" customFormat="false" ht="15" hidden="false" customHeight="false" outlineLevel="0" collapsed="false">
      <c r="A453" s="32"/>
      <c r="B453" s="33"/>
      <c r="C453" s="33"/>
      <c r="D453" s="34"/>
      <c r="E453" s="35"/>
      <c r="F453" s="36"/>
      <c r="G453" s="37" t="str">
        <f aca="false">IF(OR(C453="",D453=""),"",D453*IF(E453="",IFERROR(INDEX(Ürünler!$C$5:$C$204,MATCH(C453,Ürünler!$A$5:$A$204,0)),0),E453))</f>
        <v/>
      </c>
      <c r="H453" s="33"/>
    </row>
    <row r="454" customFormat="false" ht="15" hidden="false" customHeight="false" outlineLevel="0" collapsed="false">
      <c r="A454" s="32"/>
      <c r="B454" s="33"/>
      <c r="C454" s="33"/>
      <c r="D454" s="34"/>
      <c r="E454" s="35"/>
      <c r="F454" s="36"/>
      <c r="G454" s="37" t="str">
        <f aca="false">IF(OR(C454="",D454=""),"",D454*IF(E454="",IFERROR(INDEX(Ürünler!$C$5:$C$204,MATCH(C454,Ürünler!$A$5:$A$204,0)),0),E454))</f>
        <v/>
      </c>
      <c r="H454" s="33"/>
    </row>
    <row r="455" customFormat="false" ht="15" hidden="false" customHeight="false" outlineLevel="0" collapsed="false">
      <c r="A455" s="32"/>
      <c r="B455" s="33"/>
      <c r="C455" s="33"/>
      <c r="D455" s="34"/>
      <c r="E455" s="35"/>
      <c r="F455" s="36"/>
      <c r="G455" s="37" t="str">
        <f aca="false">IF(OR(C455="",D455=""),"",D455*IF(E455="",IFERROR(INDEX(Ürünler!$C$5:$C$204,MATCH(C455,Ürünler!$A$5:$A$204,0)),0),E455))</f>
        <v/>
      </c>
      <c r="H455" s="33"/>
    </row>
    <row r="456" customFormat="false" ht="15" hidden="false" customHeight="false" outlineLevel="0" collapsed="false">
      <c r="A456" s="32"/>
      <c r="B456" s="33"/>
      <c r="C456" s="33"/>
      <c r="D456" s="34"/>
      <c r="E456" s="35"/>
      <c r="F456" s="36"/>
      <c r="G456" s="37" t="str">
        <f aca="false">IF(OR(C456="",D456=""),"",D456*IF(E456="",IFERROR(INDEX(Ürünler!$C$5:$C$204,MATCH(C456,Ürünler!$A$5:$A$204,0)),0),E456))</f>
        <v/>
      </c>
      <c r="H456" s="33"/>
    </row>
    <row r="457" customFormat="false" ht="15" hidden="false" customHeight="false" outlineLevel="0" collapsed="false">
      <c r="A457" s="32"/>
      <c r="B457" s="33"/>
      <c r="C457" s="33"/>
      <c r="D457" s="34"/>
      <c r="E457" s="35"/>
      <c r="F457" s="36"/>
      <c r="G457" s="37" t="str">
        <f aca="false">IF(OR(C457="",D457=""),"",D457*IF(E457="",IFERROR(INDEX(Ürünler!$C$5:$C$204,MATCH(C457,Ürünler!$A$5:$A$204,0)),0),E457))</f>
        <v/>
      </c>
      <c r="H457" s="33"/>
    </row>
    <row r="458" customFormat="false" ht="15" hidden="false" customHeight="false" outlineLevel="0" collapsed="false">
      <c r="A458" s="32"/>
      <c r="B458" s="33"/>
      <c r="C458" s="33"/>
      <c r="D458" s="34"/>
      <c r="E458" s="35"/>
      <c r="F458" s="36"/>
      <c r="G458" s="37" t="str">
        <f aca="false">IF(OR(C458="",D458=""),"",D458*IF(E458="",IFERROR(INDEX(Ürünler!$C$5:$C$204,MATCH(C458,Ürünler!$A$5:$A$204,0)),0),E458))</f>
        <v/>
      </c>
      <c r="H458" s="33"/>
    </row>
    <row r="459" customFormat="false" ht="15" hidden="false" customHeight="false" outlineLevel="0" collapsed="false">
      <c r="A459" s="32"/>
      <c r="B459" s="33"/>
      <c r="C459" s="33"/>
      <c r="D459" s="34"/>
      <c r="E459" s="35"/>
      <c r="F459" s="36"/>
      <c r="G459" s="37" t="str">
        <f aca="false">IF(OR(C459="",D459=""),"",D459*IF(E459="",IFERROR(INDEX(Ürünler!$C$5:$C$204,MATCH(C459,Ürünler!$A$5:$A$204,0)),0),E459))</f>
        <v/>
      </c>
      <c r="H459" s="33"/>
    </row>
    <row r="460" customFormat="false" ht="15" hidden="false" customHeight="false" outlineLevel="0" collapsed="false">
      <c r="A460" s="32"/>
      <c r="B460" s="33"/>
      <c r="C460" s="33"/>
      <c r="D460" s="34"/>
      <c r="E460" s="35"/>
      <c r="F460" s="36"/>
      <c r="G460" s="37" t="str">
        <f aca="false">IF(OR(C460="",D460=""),"",D460*IF(E460="",IFERROR(INDEX(Ürünler!$C$5:$C$204,MATCH(C460,Ürünler!$A$5:$A$204,0)),0),E460))</f>
        <v/>
      </c>
      <c r="H460" s="33"/>
    </row>
    <row r="461" customFormat="false" ht="15" hidden="false" customHeight="false" outlineLevel="0" collapsed="false">
      <c r="A461" s="32"/>
      <c r="B461" s="33"/>
      <c r="C461" s="33"/>
      <c r="D461" s="34"/>
      <c r="E461" s="35"/>
      <c r="F461" s="36"/>
      <c r="G461" s="37" t="str">
        <f aca="false">IF(OR(C461="",D461=""),"",D461*IF(E461="",IFERROR(INDEX(Ürünler!$C$5:$C$204,MATCH(C461,Ürünler!$A$5:$A$204,0)),0),E461))</f>
        <v/>
      </c>
      <c r="H461" s="33"/>
    </row>
    <row r="462" customFormat="false" ht="15" hidden="false" customHeight="false" outlineLevel="0" collapsed="false">
      <c r="A462" s="32"/>
      <c r="B462" s="33"/>
      <c r="C462" s="33"/>
      <c r="D462" s="34"/>
      <c r="E462" s="35"/>
      <c r="F462" s="36"/>
      <c r="G462" s="37" t="str">
        <f aca="false">IF(OR(C462="",D462=""),"",D462*IF(E462="",IFERROR(INDEX(Ürünler!$C$5:$C$204,MATCH(C462,Ürünler!$A$5:$A$204,0)),0),E462))</f>
        <v/>
      </c>
      <c r="H462" s="33"/>
    </row>
    <row r="463" customFormat="false" ht="15" hidden="false" customHeight="false" outlineLevel="0" collapsed="false">
      <c r="A463" s="32"/>
      <c r="B463" s="33"/>
      <c r="C463" s="33"/>
      <c r="D463" s="34"/>
      <c r="E463" s="35"/>
      <c r="F463" s="36"/>
      <c r="G463" s="37" t="str">
        <f aca="false">IF(OR(C463="",D463=""),"",D463*IF(E463="",IFERROR(INDEX(Ürünler!$C$5:$C$204,MATCH(C463,Ürünler!$A$5:$A$204,0)),0),E463))</f>
        <v/>
      </c>
      <c r="H463" s="33"/>
    </row>
    <row r="464" customFormat="false" ht="15" hidden="false" customHeight="false" outlineLevel="0" collapsed="false">
      <c r="A464" s="32"/>
      <c r="B464" s="33"/>
      <c r="C464" s="33"/>
      <c r="D464" s="34"/>
      <c r="E464" s="35"/>
      <c r="F464" s="36"/>
      <c r="G464" s="37" t="str">
        <f aca="false">IF(OR(C464="",D464=""),"",D464*IF(E464="",IFERROR(INDEX(Ürünler!$C$5:$C$204,MATCH(C464,Ürünler!$A$5:$A$204,0)),0),E464))</f>
        <v/>
      </c>
      <c r="H464" s="33"/>
    </row>
    <row r="465" customFormat="false" ht="15" hidden="false" customHeight="false" outlineLevel="0" collapsed="false">
      <c r="A465" s="32"/>
      <c r="B465" s="33"/>
      <c r="C465" s="33"/>
      <c r="D465" s="34"/>
      <c r="E465" s="35"/>
      <c r="F465" s="36"/>
      <c r="G465" s="37" t="str">
        <f aca="false">IF(OR(C465="",D465=""),"",D465*IF(E465="",IFERROR(INDEX(Ürünler!$C$5:$C$204,MATCH(C465,Ürünler!$A$5:$A$204,0)),0),E465))</f>
        <v/>
      </c>
      <c r="H465" s="33"/>
    </row>
    <row r="466" customFormat="false" ht="15" hidden="false" customHeight="false" outlineLevel="0" collapsed="false">
      <c r="A466" s="32"/>
      <c r="B466" s="33"/>
      <c r="C466" s="33"/>
      <c r="D466" s="34"/>
      <c r="E466" s="35"/>
      <c r="F466" s="36"/>
      <c r="G466" s="37" t="str">
        <f aca="false">IF(OR(C466="",D466=""),"",D466*IF(E466="",IFERROR(INDEX(Ürünler!$C$5:$C$204,MATCH(C466,Ürünler!$A$5:$A$204,0)),0),E466))</f>
        <v/>
      </c>
      <c r="H466" s="33"/>
    </row>
    <row r="467" customFormat="false" ht="15" hidden="false" customHeight="false" outlineLevel="0" collapsed="false">
      <c r="A467" s="32"/>
      <c r="B467" s="33"/>
      <c r="C467" s="33"/>
      <c r="D467" s="34"/>
      <c r="E467" s="35"/>
      <c r="F467" s="36"/>
      <c r="G467" s="37" t="str">
        <f aca="false">IF(OR(C467="",D467=""),"",D467*IF(E467="",IFERROR(INDEX(Ürünler!$C$5:$C$204,MATCH(C467,Ürünler!$A$5:$A$204,0)),0),E467))</f>
        <v/>
      </c>
      <c r="H467" s="33"/>
    </row>
    <row r="468" customFormat="false" ht="15" hidden="false" customHeight="false" outlineLevel="0" collapsed="false">
      <c r="A468" s="32"/>
      <c r="B468" s="33"/>
      <c r="C468" s="33"/>
      <c r="D468" s="34"/>
      <c r="E468" s="35"/>
      <c r="F468" s="36"/>
      <c r="G468" s="37" t="str">
        <f aca="false">IF(OR(C468="",D468=""),"",D468*IF(E468="",IFERROR(INDEX(Ürünler!$C$5:$C$204,MATCH(C468,Ürünler!$A$5:$A$204,0)),0),E468))</f>
        <v/>
      </c>
      <c r="H468" s="33"/>
    </row>
    <row r="469" customFormat="false" ht="15" hidden="false" customHeight="false" outlineLevel="0" collapsed="false">
      <c r="A469" s="32"/>
      <c r="B469" s="33"/>
      <c r="C469" s="33"/>
      <c r="D469" s="34"/>
      <c r="E469" s="35"/>
      <c r="F469" s="36"/>
      <c r="G469" s="37" t="str">
        <f aca="false">IF(OR(C469="",D469=""),"",D469*IF(E469="",IFERROR(INDEX(Ürünler!$C$5:$C$204,MATCH(C469,Ürünler!$A$5:$A$204,0)),0),E469))</f>
        <v/>
      </c>
      <c r="H469" s="33"/>
    </row>
    <row r="470" customFormat="false" ht="15" hidden="false" customHeight="false" outlineLevel="0" collapsed="false">
      <c r="A470" s="32"/>
      <c r="B470" s="33"/>
      <c r="C470" s="33"/>
      <c r="D470" s="34"/>
      <c r="E470" s="35"/>
      <c r="F470" s="36"/>
      <c r="G470" s="37" t="str">
        <f aca="false">IF(OR(C470="",D470=""),"",D470*IF(E470="",IFERROR(INDEX(Ürünler!$C$5:$C$204,MATCH(C470,Ürünler!$A$5:$A$204,0)),0),E470))</f>
        <v/>
      </c>
      <c r="H470" s="33"/>
    </row>
    <row r="471" customFormat="false" ht="15" hidden="false" customHeight="false" outlineLevel="0" collapsed="false">
      <c r="A471" s="32"/>
      <c r="B471" s="33"/>
      <c r="C471" s="33"/>
      <c r="D471" s="34"/>
      <c r="E471" s="35"/>
      <c r="F471" s="36"/>
      <c r="G471" s="37" t="str">
        <f aca="false">IF(OR(C471="",D471=""),"",D471*IF(E471="",IFERROR(INDEX(Ürünler!$C$5:$C$204,MATCH(C471,Ürünler!$A$5:$A$204,0)),0),E471))</f>
        <v/>
      </c>
      <c r="H471" s="33"/>
    </row>
    <row r="472" customFormat="false" ht="15" hidden="false" customHeight="false" outlineLevel="0" collapsed="false">
      <c r="A472" s="32"/>
      <c r="B472" s="33"/>
      <c r="C472" s="33"/>
      <c r="D472" s="34"/>
      <c r="E472" s="35"/>
      <c r="F472" s="36"/>
      <c r="G472" s="37" t="str">
        <f aca="false">IF(OR(C472="",D472=""),"",D472*IF(E472="",IFERROR(INDEX(Ürünler!$C$5:$C$204,MATCH(C472,Ürünler!$A$5:$A$204,0)),0),E472))</f>
        <v/>
      </c>
      <c r="H472" s="33"/>
    </row>
    <row r="473" customFormat="false" ht="15" hidden="false" customHeight="false" outlineLevel="0" collapsed="false">
      <c r="A473" s="32"/>
      <c r="B473" s="33"/>
      <c r="C473" s="33"/>
      <c r="D473" s="34"/>
      <c r="E473" s="35"/>
      <c r="F473" s="36"/>
      <c r="G473" s="37" t="str">
        <f aca="false">IF(OR(C473="",D473=""),"",D473*IF(E473="",IFERROR(INDEX(Ürünler!$C$5:$C$204,MATCH(C473,Ürünler!$A$5:$A$204,0)),0),E473))</f>
        <v/>
      </c>
      <c r="H473" s="33"/>
    </row>
    <row r="474" customFormat="false" ht="15" hidden="false" customHeight="false" outlineLevel="0" collapsed="false">
      <c r="A474" s="32"/>
      <c r="B474" s="33"/>
      <c r="C474" s="33"/>
      <c r="D474" s="34"/>
      <c r="E474" s="35"/>
      <c r="F474" s="36"/>
      <c r="G474" s="37" t="str">
        <f aca="false">IF(OR(C474="",D474=""),"",D474*IF(E474="",IFERROR(INDEX(Ürünler!$C$5:$C$204,MATCH(C474,Ürünler!$A$5:$A$204,0)),0),E474))</f>
        <v/>
      </c>
      <c r="H474" s="33"/>
    </row>
    <row r="475" customFormat="false" ht="15" hidden="false" customHeight="false" outlineLevel="0" collapsed="false">
      <c r="A475" s="32"/>
      <c r="B475" s="33"/>
      <c r="C475" s="33"/>
      <c r="D475" s="34"/>
      <c r="E475" s="35"/>
      <c r="F475" s="36"/>
      <c r="G475" s="37" t="str">
        <f aca="false">IF(OR(C475="",D475=""),"",D475*IF(E475="",IFERROR(INDEX(Ürünler!$C$5:$C$204,MATCH(C475,Ürünler!$A$5:$A$204,0)),0),E475))</f>
        <v/>
      </c>
      <c r="H475" s="33"/>
    </row>
    <row r="476" customFormat="false" ht="15" hidden="false" customHeight="false" outlineLevel="0" collapsed="false">
      <c r="A476" s="32"/>
      <c r="B476" s="33"/>
      <c r="C476" s="33"/>
      <c r="D476" s="34"/>
      <c r="E476" s="35"/>
      <c r="F476" s="36"/>
      <c r="G476" s="37" t="str">
        <f aca="false">IF(OR(C476="",D476=""),"",D476*IF(E476="",IFERROR(INDEX(Ürünler!$C$5:$C$204,MATCH(C476,Ürünler!$A$5:$A$204,0)),0),E476))</f>
        <v/>
      </c>
      <c r="H476" s="33"/>
    </row>
    <row r="477" customFormat="false" ht="15" hidden="false" customHeight="false" outlineLevel="0" collapsed="false">
      <c r="A477" s="32"/>
      <c r="B477" s="33"/>
      <c r="C477" s="33"/>
      <c r="D477" s="34"/>
      <c r="E477" s="35"/>
      <c r="F477" s="36"/>
      <c r="G477" s="37" t="str">
        <f aca="false">IF(OR(C477="",D477=""),"",D477*IF(E477="",IFERROR(INDEX(Ürünler!$C$5:$C$204,MATCH(C477,Ürünler!$A$5:$A$204,0)),0),E477))</f>
        <v/>
      </c>
      <c r="H477" s="33"/>
    </row>
    <row r="478" customFormat="false" ht="15" hidden="false" customHeight="false" outlineLevel="0" collapsed="false">
      <c r="A478" s="32"/>
      <c r="B478" s="33"/>
      <c r="C478" s="33"/>
      <c r="D478" s="34"/>
      <c r="E478" s="35"/>
      <c r="F478" s="36"/>
      <c r="G478" s="37" t="str">
        <f aca="false">IF(OR(C478="",D478=""),"",D478*IF(E478="",IFERROR(INDEX(Ürünler!$C$5:$C$204,MATCH(C478,Ürünler!$A$5:$A$204,0)),0),E478))</f>
        <v/>
      </c>
      <c r="H478" s="33"/>
    </row>
    <row r="479" customFormat="false" ht="15" hidden="false" customHeight="false" outlineLevel="0" collapsed="false">
      <c r="A479" s="32"/>
      <c r="B479" s="33"/>
      <c r="C479" s="33"/>
      <c r="D479" s="34"/>
      <c r="E479" s="35"/>
      <c r="F479" s="36"/>
      <c r="G479" s="37" t="str">
        <f aca="false">IF(OR(C479="",D479=""),"",D479*IF(E479="",IFERROR(INDEX(Ürünler!$C$5:$C$204,MATCH(C479,Ürünler!$A$5:$A$204,0)),0),E479))</f>
        <v/>
      </c>
      <c r="H479" s="33"/>
    </row>
    <row r="480" customFormat="false" ht="15" hidden="false" customHeight="false" outlineLevel="0" collapsed="false">
      <c r="A480" s="32"/>
      <c r="B480" s="33"/>
      <c r="C480" s="33"/>
      <c r="D480" s="34"/>
      <c r="E480" s="35"/>
      <c r="F480" s="36"/>
      <c r="G480" s="37" t="str">
        <f aca="false">IF(OR(C480="",D480=""),"",D480*IF(E480="",IFERROR(INDEX(Ürünler!$C$5:$C$204,MATCH(C480,Ürünler!$A$5:$A$204,0)),0),E480))</f>
        <v/>
      </c>
      <c r="H480" s="33"/>
    </row>
    <row r="481" customFormat="false" ht="15" hidden="false" customHeight="false" outlineLevel="0" collapsed="false">
      <c r="A481" s="32"/>
      <c r="B481" s="33"/>
      <c r="C481" s="33"/>
      <c r="D481" s="34"/>
      <c r="E481" s="35"/>
      <c r="F481" s="36"/>
      <c r="G481" s="37" t="str">
        <f aca="false">IF(OR(C481="",D481=""),"",D481*IF(E481="",IFERROR(INDEX(Ürünler!$C$5:$C$204,MATCH(C481,Ürünler!$A$5:$A$204,0)),0),E481))</f>
        <v/>
      </c>
      <c r="H481" s="33"/>
    </row>
    <row r="482" customFormat="false" ht="15" hidden="false" customHeight="false" outlineLevel="0" collapsed="false">
      <c r="A482" s="32"/>
      <c r="B482" s="33"/>
      <c r="C482" s="33"/>
      <c r="D482" s="34"/>
      <c r="E482" s="35"/>
      <c r="F482" s="36"/>
      <c r="G482" s="37" t="str">
        <f aca="false">IF(OR(C482="",D482=""),"",D482*IF(E482="",IFERROR(INDEX(Ürünler!$C$5:$C$204,MATCH(C482,Ürünler!$A$5:$A$204,0)),0),E482))</f>
        <v/>
      </c>
      <c r="H482" s="33"/>
    </row>
    <row r="483" customFormat="false" ht="15" hidden="false" customHeight="false" outlineLevel="0" collapsed="false">
      <c r="A483" s="32"/>
      <c r="B483" s="33"/>
      <c r="C483" s="33"/>
      <c r="D483" s="34"/>
      <c r="E483" s="35"/>
      <c r="F483" s="36"/>
      <c r="G483" s="37" t="str">
        <f aca="false">IF(OR(C483="",D483=""),"",D483*IF(E483="",IFERROR(INDEX(Ürünler!$C$5:$C$204,MATCH(C483,Ürünler!$A$5:$A$204,0)),0),E483))</f>
        <v/>
      </c>
      <c r="H483" s="33"/>
    </row>
    <row r="484" customFormat="false" ht="15" hidden="false" customHeight="false" outlineLevel="0" collapsed="false">
      <c r="A484" s="32"/>
      <c r="B484" s="33"/>
      <c r="C484" s="33"/>
      <c r="D484" s="34"/>
      <c r="E484" s="35"/>
      <c r="F484" s="36"/>
      <c r="G484" s="37" t="str">
        <f aca="false">IF(OR(C484="",D484=""),"",D484*IF(E484="",IFERROR(INDEX(Ürünler!$C$5:$C$204,MATCH(C484,Ürünler!$A$5:$A$204,0)),0),E484))</f>
        <v/>
      </c>
      <c r="H484" s="33"/>
    </row>
    <row r="485" customFormat="false" ht="15" hidden="false" customHeight="false" outlineLevel="0" collapsed="false">
      <c r="A485" s="32"/>
      <c r="B485" s="33"/>
      <c r="C485" s="33"/>
      <c r="D485" s="34"/>
      <c r="E485" s="35"/>
      <c r="F485" s="36"/>
      <c r="G485" s="37" t="str">
        <f aca="false">IF(OR(C485="",D485=""),"",D485*IF(E485="",IFERROR(INDEX(Ürünler!$C$5:$C$204,MATCH(C485,Ürünler!$A$5:$A$204,0)),0),E485))</f>
        <v/>
      </c>
      <c r="H485" s="33"/>
    </row>
    <row r="486" customFormat="false" ht="15" hidden="false" customHeight="false" outlineLevel="0" collapsed="false">
      <c r="A486" s="32"/>
      <c r="B486" s="33"/>
      <c r="C486" s="33"/>
      <c r="D486" s="34"/>
      <c r="E486" s="35"/>
      <c r="F486" s="36"/>
      <c r="G486" s="37" t="str">
        <f aca="false">IF(OR(C486="",D486=""),"",D486*IF(E486="",IFERROR(INDEX(Ürünler!$C$5:$C$204,MATCH(C486,Ürünler!$A$5:$A$204,0)),0),E486))</f>
        <v/>
      </c>
      <c r="H486" s="33"/>
    </row>
    <row r="487" customFormat="false" ht="15" hidden="false" customHeight="false" outlineLevel="0" collapsed="false">
      <c r="A487" s="32"/>
      <c r="B487" s="33"/>
      <c r="C487" s="33"/>
      <c r="D487" s="34"/>
      <c r="E487" s="35"/>
      <c r="F487" s="36"/>
      <c r="G487" s="37" t="str">
        <f aca="false">IF(OR(C487="",D487=""),"",D487*IF(E487="",IFERROR(INDEX(Ürünler!$C$5:$C$204,MATCH(C487,Ürünler!$A$5:$A$204,0)),0),E487))</f>
        <v/>
      </c>
      <c r="H487" s="33"/>
    </row>
    <row r="488" customFormat="false" ht="15" hidden="false" customHeight="false" outlineLevel="0" collapsed="false">
      <c r="A488" s="32"/>
      <c r="B488" s="33"/>
      <c r="C488" s="33"/>
      <c r="D488" s="34"/>
      <c r="E488" s="35"/>
      <c r="F488" s="36"/>
      <c r="G488" s="37" t="str">
        <f aca="false">IF(OR(C488="",D488=""),"",D488*IF(E488="",IFERROR(INDEX(Ürünler!$C$5:$C$204,MATCH(C488,Ürünler!$A$5:$A$204,0)),0),E488))</f>
        <v/>
      </c>
      <c r="H488" s="33"/>
    </row>
    <row r="489" customFormat="false" ht="15" hidden="false" customHeight="false" outlineLevel="0" collapsed="false">
      <c r="A489" s="32"/>
      <c r="B489" s="33"/>
      <c r="C489" s="33"/>
      <c r="D489" s="34"/>
      <c r="E489" s="35"/>
      <c r="F489" s="36"/>
      <c r="G489" s="37" t="str">
        <f aca="false">IF(OR(C489="",D489=""),"",D489*IF(E489="",IFERROR(INDEX(Ürünler!$C$5:$C$204,MATCH(C489,Ürünler!$A$5:$A$204,0)),0),E489))</f>
        <v/>
      </c>
      <c r="H489" s="33"/>
    </row>
    <row r="490" customFormat="false" ht="15" hidden="false" customHeight="false" outlineLevel="0" collapsed="false">
      <c r="A490" s="32"/>
      <c r="B490" s="33"/>
      <c r="C490" s="33"/>
      <c r="D490" s="34"/>
      <c r="E490" s="35"/>
      <c r="F490" s="36"/>
      <c r="G490" s="37" t="str">
        <f aca="false">IF(OR(C490="",D490=""),"",D490*IF(E490="",IFERROR(INDEX(Ürünler!$C$5:$C$204,MATCH(C490,Ürünler!$A$5:$A$204,0)),0),E490))</f>
        <v/>
      </c>
      <c r="H490" s="33"/>
    </row>
    <row r="491" customFormat="false" ht="15" hidden="false" customHeight="false" outlineLevel="0" collapsed="false">
      <c r="A491" s="32"/>
      <c r="B491" s="33"/>
      <c r="C491" s="33"/>
      <c r="D491" s="34"/>
      <c r="E491" s="35"/>
      <c r="F491" s="36"/>
      <c r="G491" s="37" t="str">
        <f aca="false">IF(OR(C491="",D491=""),"",D491*IF(E491="",IFERROR(INDEX(Ürünler!$C$5:$C$204,MATCH(C491,Ürünler!$A$5:$A$204,0)),0),E491))</f>
        <v/>
      </c>
      <c r="H491" s="33"/>
    </row>
    <row r="492" customFormat="false" ht="15" hidden="false" customHeight="false" outlineLevel="0" collapsed="false">
      <c r="A492" s="32"/>
      <c r="B492" s="33"/>
      <c r="C492" s="33"/>
      <c r="D492" s="34"/>
      <c r="E492" s="35"/>
      <c r="F492" s="36"/>
      <c r="G492" s="37" t="str">
        <f aca="false">IF(OR(C492="",D492=""),"",D492*IF(E492="",IFERROR(INDEX(Ürünler!$C$5:$C$204,MATCH(C492,Ürünler!$A$5:$A$204,0)),0),E492))</f>
        <v/>
      </c>
      <c r="H492" s="33"/>
    </row>
    <row r="493" customFormat="false" ht="15" hidden="false" customHeight="false" outlineLevel="0" collapsed="false">
      <c r="A493" s="32"/>
      <c r="B493" s="33"/>
      <c r="C493" s="33"/>
      <c r="D493" s="34"/>
      <c r="E493" s="35"/>
      <c r="F493" s="36"/>
      <c r="G493" s="37" t="str">
        <f aca="false">IF(OR(C493="",D493=""),"",D493*IF(E493="",IFERROR(INDEX(Ürünler!$C$5:$C$204,MATCH(C493,Ürünler!$A$5:$A$204,0)),0),E493))</f>
        <v/>
      </c>
      <c r="H493" s="33"/>
    </row>
    <row r="494" customFormat="false" ht="15" hidden="false" customHeight="false" outlineLevel="0" collapsed="false">
      <c r="A494" s="32"/>
      <c r="B494" s="33"/>
      <c r="C494" s="33"/>
      <c r="D494" s="34"/>
      <c r="E494" s="35"/>
      <c r="F494" s="36"/>
      <c r="G494" s="37" t="str">
        <f aca="false">IF(OR(C494="",D494=""),"",D494*IF(E494="",IFERROR(INDEX(Ürünler!$C$5:$C$204,MATCH(C494,Ürünler!$A$5:$A$204,0)),0),E494))</f>
        <v/>
      </c>
      <c r="H494" s="33"/>
    </row>
    <row r="495" customFormat="false" ht="15" hidden="false" customHeight="false" outlineLevel="0" collapsed="false">
      <c r="A495" s="32"/>
      <c r="B495" s="33"/>
      <c r="C495" s="33"/>
      <c r="D495" s="34"/>
      <c r="E495" s="35"/>
      <c r="F495" s="36"/>
      <c r="G495" s="37" t="str">
        <f aca="false">IF(OR(C495="",D495=""),"",D495*IF(E495="",IFERROR(INDEX(Ürünler!$C$5:$C$204,MATCH(C495,Ürünler!$A$5:$A$204,0)),0),E495))</f>
        <v/>
      </c>
      <c r="H495" s="33"/>
    </row>
    <row r="496" customFormat="false" ht="15" hidden="false" customHeight="false" outlineLevel="0" collapsed="false">
      <c r="A496" s="32"/>
      <c r="B496" s="33"/>
      <c r="C496" s="33"/>
      <c r="D496" s="34"/>
      <c r="E496" s="35"/>
      <c r="F496" s="36"/>
      <c r="G496" s="37" t="str">
        <f aca="false">IF(OR(C496="",D496=""),"",D496*IF(E496="",IFERROR(INDEX(Ürünler!$C$5:$C$204,MATCH(C496,Ürünler!$A$5:$A$204,0)),0),E496))</f>
        <v/>
      </c>
      <c r="H496" s="33"/>
    </row>
    <row r="497" customFormat="false" ht="15" hidden="false" customHeight="false" outlineLevel="0" collapsed="false">
      <c r="A497" s="32"/>
      <c r="B497" s="33"/>
      <c r="C497" s="33"/>
      <c r="D497" s="34"/>
      <c r="E497" s="35"/>
      <c r="F497" s="36"/>
      <c r="G497" s="37" t="str">
        <f aca="false">IF(OR(C497="",D497=""),"",D497*IF(E497="",IFERROR(INDEX(Ürünler!$C$5:$C$204,MATCH(C497,Ürünler!$A$5:$A$204,0)),0),E497))</f>
        <v/>
      </c>
      <c r="H497" s="33"/>
    </row>
    <row r="498" customFormat="false" ht="15" hidden="false" customHeight="false" outlineLevel="0" collapsed="false">
      <c r="A498" s="32"/>
      <c r="B498" s="33"/>
      <c r="C498" s="33"/>
      <c r="D498" s="34"/>
      <c r="E498" s="35"/>
      <c r="F498" s="36"/>
      <c r="G498" s="37" t="str">
        <f aca="false">IF(OR(C498="",D498=""),"",D498*IF(E498="",IFERROR(INDEX(Ürünler!$C$5:$C$204,MATCH(C498,Ürünler!$A$5:$A$204,0)),0),E498))</f>
        <v/>
      </c>
      <c r="H498" s="33"/>
    </row>
    <row r="499" customFormat="false" ht="15" hidden="false" customHeight="false" outlineLevel="0" collapsed="false">
      <c r="A499" s="32"/>
      <c r="B499" s="33"/>
      <c r="C499" s="33"/>
      <c r="D499" s="34"/>
      <c r="E499" s="35"/>
      <c r="F499" s="36"/>
      <c r="G499" s="37" t="str">
        <f aca="false">IF(OR(C499="",D499=""),"",D499*IF(E499="",IFERROR(INDEX(Ürünler!$C$5:$C$204,MATCH(C499,Ürünler!$A$5:$A$204,0)),0),E499))</f>
        <v/>
      </c>
      <c r="H499" s="33"/>
    </row>
    <row r="500" customFormat="false" ht="15" hidden="false" customHeight="false" outlineLevel="0" collapsed="false">
      <c r="A500" s="32"/>
      <c r="B500" s="33"/>
      <c r="C500" s="33"/>
      <c r="D500" s="34"/>
      <c r="E500" s="35"/>
      <c r="F500" s="36"/>
      <c r="G500" s="37" t="str">
        <f aca="false">IF(OR(C500="",D500=""),"",D500*IF(E500="",IFERROR(INDEX(Ürünler!$C$5:$C$204,MATCH(C500,Ürünler!$A$5:$A$204,0)),0),E500))</f>
        <v/>
      </c>
      <c r="H500" s="33"/>
    </row>
    <row r="501" customFormat="false" ht="15" hidden="false" customHeight="false" outlineLevel="0" collapsed="false">
      <c r="A501" s="32"/>
      <c r="B501" s="33"/>
      <c r="C501" s="33"/>
      <c r="D501" s="34"/>
      <c r="E501" s="35"/>
      <c r="F501" s="36"/>
      <c r="G501" s="37" t="str">
        <f aca="false">IF(OR(C501="",D501=""),"",D501*IF(E501="",IFERROR(INDEX(Ürünler!$C$5:$C$204,MATCH(C501,Ürünler!$A$5:$A$204,0)),0),E501))</f>
        <v/>
      </c>
      <c r="H501" s="33"/>
    </row>
    <row r="502" customFormat="false" ht="15" hidden="false" customHeight="false" outlineLevel="0" collapsed="false">
      <c r="A502" s="32"/>
      <c r="B502" s="33"/>
      <c r="C502" s="33"/>
      <c r="D502" s="34"/>
      <c r="E502" s="35"/>
      <c r="F502" s="36"/>
      <c r="G502" s="37" t="str">
        <f aca="false">IF(OR(C502="",D502=""),"",D502*IF(E502="",IFERROR(INDEX(Ürünler!$C$5:$C$204,MATCH(C502,Ürünler!$A$5:$A$204,0)),0),E502))</f>
        <v/>
      </c>
      <c r="H502" s="33"/>
    </row>
    <row r="503" customFormat="false" ht="15" hidden="false" customHeight="false" outlineLevel="0" collapsed="false">
      <c r="A503" s="32"/>
      <c r="B503" s="33"/>
      <c r="C503" s="33"/>
      <c r="D503" s="34"/>
      <c r="E503" s="35"/>
      <c r="F503" s="36"/>
      <c r="G503" s="37" t="str">
        <f aca="false">IF(OR(C503="",D503=""),"",D503*IF(E503="",IFERROR(INDEX(Ürünler!$C$5:$C$204,MATCH(C503,Ürünler!$A$5:$A$204,0)),0),E503))</f>
        <v/>
      </c>
      <c r="H503" s="33"/>
    </row>
    <row r="504" customFormat="false" ht="15" hidden="false" customHeight="false" outlineLevel="0" collapsed="false">
      <c r="A504" s="32"/>
      <c r="B504" s="33"/>
      <c r="C504" s="33"/>
      <c r="D504" s="34"/>
      <c r="E504" s="35"/>
      <c r="F504" s="36"/>
      <c r="G504" s="37" t="str">
        <f aca="false">IF(OR(C504="",D504=""),"",D504*IF(E504="",IFERROR(INDEX(Ürünler!$C$5:$C$204,MATCH(C504,Ürünler!$A$5:$A$204,0)),0),E504))</f>
        <v/>
      </c>
      <c r="H504" s="33"/>
    </row>
  </sheetData>
  <conditionalFormatting sqref="A5:F504">
    <cfRule type="expression" priority="2" aboveAverage="0" equalAverage="0" bottom="0" percent="0" rank="0" text="" dxfId="3">
      <formula>OR(AND($F5="Veresiye",$B5=""),AND($C5&lt;&gt;"",OR($A5="",$D5="",$F5="")))</formula>
    </cfRule>
  </conditionalFormatting>
  <dataValidations count="5">
    <dataValidation allowBlank="true" error="Geçerli bir tarih gir (örnek: 04.10.2026)." errorStyle="stop" errorTitle="Tarih" operator="greaterThan" showDropDown="false" showErrorMessage="true" showInputMessage="false" sqref="A5:A504" type="date">
      <formula1>36526</formula1>
      <formula2>0</formula2>
    </dataValidation>
    <dataValidation allowBlank="true" error="Listeden seç. Yeni tedarikçi için önce Cariler sayfasına ekle." errorStyle="stop" errorTitle="Tedarikçi" operator="between" showDropDown="false" showErrorMessage="true" showInputMessage="false" sqref="B5:B504" type="list">
      <formula1>Cariler!$A$5:$A$104</formula1>
      <formula2>0</formula2>
    </dataValidation>
    <dataValidation allowBlank="true" error="Listeden seç. Yeni ürün için önce Ürünler sayfasına ekle." errorStyle="stop" errorTitle="Ürün" operator="between" showDropDown="false" showErrorMessage="true" showInputMessage="false" sqref="C5:C504" type="list">
      <formula1>Ürünler!$A$5:$A$204</formula1>
      <formula2>0</formula2>
    </dataValidation>
    <dataValidation allowBlank="true" error="Sıfırdan büyük bir sayı gir." errorStyle="stop" errorTitle="Sayı" operator="greaterThan" showDropDown="false" showErrorMessage="true" showInputMessage="false" sqref="D5:E504" type="decimal">
      <formula1>0</formula1>
      <formula2>0</formula2>
    </dataValidation>
    <dataValidation allowBlank="true" error="Peşin ya da Veresiye seç." errorStyle="stop" errorTitle="Ödeme" operator="between" showDropDown="false" showErrorMessage="true" showInputMessage="false" sqref="F5:F504" type="list">
      <formula1>"Peşin,Veresiye"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90FA"/>
    <pageSetUpPr fitToPage="true"/>
  </sheetPr>
  <dimension ref="A1:D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4" min="4" style="0" width="16"/>
  </cols>
  <sheetData>
    <row r="1" customFormat="false" ht="19.7" hidden="false" customHeight="false" outlineLevel="0" collapsed="false">
      <c r="A1" s="8" t="s">
        <v>15</v>
      </c>
    </row>
    <row r="2" customFormat="false" ht="15" hidden="false" customHeight="false" outlineLevel="0" collapsed="false">
      <c r="A2" s="11" t="s">
        <v>113</v>
      </c>
    </row>
    <row r="4" customFormat="false" ht="27.75" hidden="false" customHeight="true" outlineLevel="0" collapsed="false">
      <c r="A4" s="30" t="s">
        <v>87</v>
      </c>
      <c r="B4" s="30" t="s">
        <v>114</v>
      </c>
      <c r="C4" s="30" t="s">
        <v>115</v>
      </c>
      <c r="D4" s="30" t="s">
        <v>92</v>
      </c>
    </row>
    <row r="5" customFormat="false" ht="15" hidden="false" customHeight="false" outlineLevel="0" collapsed="false">
      <c r="A5" s="32" t="n">
        <v>46266</v>
      </c>
      <c r="B5" s="33" t="s">
        <v>116</v>
      </c>
      <c r="C5" s="33" t="s">
        <v>117</v>
      </c>
      <c r="D5" s="35" t="n">
        <v>6000</v>
      </c>
    </row>
    <row r="6" customFormat="false" ht="15" hidden="false" customHeight="false" outlineLevel="0" collapsed="false">
      <c r="A6" s="32" t="n">
        <v>46277</v>
      </c>
      <c r="B6" s="33" t="s">
        <v>118</v>
      </c>
      <c r="C6" s="33" t="s">
        <v>119</v>
      </c>
      <c r="D6" s="35" t="n">
        <v>1250</v>
      </c>
    </row>
    <row r="7" customFormat="false" ht="15" hidden="false" customHeight="false" outlineLevel="0" collapsed="false">
      <c r="A7" s="32" t="n">
        <v>46290</v>
      </c>
      <c r="B7" s="33" t="s">
        <v>120</v>
      </c>
      <c r="C7" s="33" t="s">
        <v>121</v>
      </c>
      <c r="D7" s="35" t="n">
        <v>380</v>
      </c>
    </row>
    <row r="8" customFormat="false" ht="15" hidden="false" customHeight="false" outlineLevel="0" collapsed="false">
      <c r="A8" s="32" t="n">
        <v>46296</v>
      </c>
      <c r="B8" s="33" t="s">
        <v>116</v>
      </c>
      <c r="C8" s="33" t="s">
        <v>122</v>
      </c>
      <c r="D8" s="35" t="n">
        <v>6000</v>
      </c>
    </row>
    <row r="9" customFormat="false" ht="15" hidden="false" customHeight="false" outlineLevel="0" collapsed="false">
      <c r="A9" s="32" t="n">
        <v>46298</v>
      </c>
      <c r="B9" s="33" t="s">
        <v>123</v>
      </c>
      <c r="C9" s="33" t="s">
        <v>124</v>
      </c>
      <c r="D9" s="35" t="n">
        <v>420</v>
      </c>
    </row>
    <row r="10" customFormat="false" ht="15" hidden="false" customHeight="false" outlineLevel="0" collapsed="false">
      <c r="A10" s="32"/>
      <c r="B10" s="33"/>
      <c r="C10" s="33"/>
      <c r="D10" s="35"/>
    </row>
    <row r="11" customFormat="false" ht="15" hidden="false" customHeight="false" outlineLevel="0" collapsed="false">
      <c r="A11" s="32"/>
      <c r="B11" s="33"/>
      <c r="C11" s="33"/>
      <c r="D11" s="35"/>
    </row>
    <row r="12" customFormat="false" ht="15" hidden="false" customHeight="false" outlineLevel="0" collapsed="false">
      <c r="A12" s="32"/>
      <c r="B12" s="33"/>
      <c r="C12" s="33"/>
      <c r="D12" s="35"/>
    </row>
    <row r="13" customFormat="false" ht="15" hidden="false" customHeight="false" outlineLevel="0" collapsed="false">
      <c r="A13" s="32"/>
      <c r="B13" s="33"/>
      <c r="C13" s="33"/>
      <c r="D13" s="35"/>
    </row>
    <row r="14" customFormat="false" ht="15" hidden="false" customHeight="false" outlineLevel="0" collapsed="false">
      <c r="A14" s="32"/>
      <c r="B14" s="33"/>
      <c r="C14" s="33"/>
      <c r="D14" s="35"/>
    </row>
    <row r="15" customFormat="false" ht="15" hidden="false" customHeight="false" outlineLevel="0" collapsed="false">
      <c r="A15" s="32"/>
      <c r="B15" s="33"/>
      <c r="C15" s="33"/>
      <c r="D15" s="35"/>
    </row>
    <row r="16" customFormat="false" ht="15" hidden="false" customHeight="false" outlineLevel="0" collapsed="false">
      <c r="A16" s="32"/>
      <c r="B16" s="33"/>
      <c r="C16" s="33"/>
      <c r="D16" s="35"/>
    </row>
    <row r="17" customFormat="false" ht="15" hidden="false" customHeight="false" outlineLevel="0" collapsed="false">
      <c r="A17" s="32"/>
      <c r="B17" s="33"/>
      <c r="C17" s="33"/>
      <c r="D17" s="35"/>
    </row>
    <row r="18" customFormat="false" ht="15" hidden="false" customHeight="false" outlineLevel="0" collapsed="false">
      <c r="A18" s="32"/>
      <c r="B18" s="33"/>
      <c r="C18" s="33"/>
      <c r="D18" s="35"/>
    </row>
    <row r="19" customFormat="false" ht="15" hidden="false" customHeight="false" outlineLevel="0" collapsed="false">
      <c r="A19" s="32"/>
      <c r="B19" s="33"/>
      <c r="C19" s="33"/>
      <c r="D19" s="35"/>
    </row>
    <row r="20" customFormat="false" ht="15" hidden="false" customHeight="false" outlineLevel="0" collapsed="false">
      <c r="A20" s="32"/>
      <c r="B20" s="33"/>
      <c r="C20" s="33"/>
      <c r="D20" s="35"/>
    </row>
    <row r="21" customFormat="false" ht="15" hidden="false" customHeight="false" outlineLevel="0" collapsed="false">
      <c r="A21" s="32"/>
      <c r="B21" s="33"/>
      <c r="C21" s="33"/>
      <c r="D21" s="35"/>
    </row>
    <row r="22" customFormat="false" ht="15" hidden="false" customHeight="false" outlineLevel="0" collapsed="false">
      <c r="A22" s="32"/>
      <c r="B22" s="33"/>
      <c r="C22" s="33"/>
      <c r="D22" s="35"/>
    </row>
    <row r="23" customFormat="false" ht="15" hidden="false" customHeight="false" outlineLevel="0" collapsed="false">
      <c r="A23" s="32"/>
      <c r="B23" s="33"/>
      <c r="C23" s="33"/>
      <c r="D23" s="35"/>
    </row>
    <row r="24" customFormat="false" ht="15" hidden="false" customHeight="false" outlineLevel="0" collapsed="false">
      <c r="A24" s="32"/>
      <c r="B24" s="33"/>
      <c r="C24" s="33"/>
      <c r="D24" s="35"/>
    </row>
    <row r="25" customFormat="false" ht="15" hidden="false" customHeight="false" outlineLevel="0" collapsed="false">
      <c r="A25" s="32"/>
      <c r="B25" s="33"/>
      <c r="C25" s="33"/>
      <c r="D25" s="35"/>
    </row>
    <row r="26" customFormat="false" ht="15" hidden="false" customHeight="false" outlineLevel="0" collapsed="false">
      <c r="A26" s="32"/>
      <c r="B26" s="33"/>
      <c r="C26" s="33"/>
      <c r="D26" s="35"/>
    </row>
    <row r="27" customFormat="false" ht="15" hidden="false" customHeight="false" outlineLevel="0" collapsed="false">
      <c r="A27" s="32"/>
      <c r="B27" s="33"/>
      <c r="C27" s="33"/>
      <c r="D27" s="35"/>
    </row>
    <row r="28" customFormat="false" ht="15" hidden="false" customHeight="false" outlineLevel="0" collapsed="false">
      <c r="A28" s="32"/>
      <c r="B28" s="33"/>
      <c r="C28" s="33"/>
      <c r="D28" s="35"/>
    </row>
    <row r="29" customFormat="false" ht="15" hidden="false" customHeight="false" outlineLevel="0" collapsed="false">
      <c r="A29" s="32"/>
      <c r="B29" s="33"/>
      <c r="C29" s="33"/>
      <c r="D29" s="35"/>
    </row>
    <row r="30" customFormat="false" ht="15" hidden="false" customHeight="false" outlineLevel="0" collapsed="false">
      <c r="A30" s="32"/>
      <c r="B30" s="33"/>
      <c r="C30" s="33"/>
      <c r="D30" s="35"/>
    </row>
    <row r="31" customFormat="false" ht="15" hidden="false" customHeight="false" outlineLevel="0" collapsed="false">
      <c r="A31" s="32"/>
      <c r="B31" s="33"/>
      <c r="C31" s="33"/>
      <c r="D31" s="35"/>
    </row>
    <row r="32" customFormat="false" ht="15" hidden="false" customHeight="false" outlineLevel="0" collapsed="false">
      <c r="A32" s="32"/>
      <c r="B32" s="33"/>
      <c r="C32" s="33"/>
      <c r="D32" s="35"/>
    </row>
    <row r="33" customFormat="false" ht="15" hidden="false" customHeight="false" outlineLevel="0" collapsed="false">
      <c r="A33" s="32"/>
      <c r="B33" s="33"/>
      <c r="C33" s="33"/>
      <c r="D33" s="35"/>
    </row>
    <row r="34" customFormat="false" ht="15" hidden="false" customHeight="false" outlineLevel="0" collapsed="false">
      <c r="A34" s="32"/>
      <c r="B34" s="33"/>
      <c r="C34" s="33"/>
      <c r="D34" s="35"/>
    </row>
    <row r="35" customFormat="false" ht="15" hidden="false" customHeight="false" outlineLevel="0" collapsed="false">
      <c r="A35" s="32"/>
      <c r="B35" s="33"/>
      <c r="C35" s="33"/>
      <c r="D35" s="35"/>
    </row>
    <row r="36" customFormat="false" ht="15" hidden="false" customHeight="false" outlineLevel="0" collapsed="false">
      <c r="A36" s="32"/>
      <c r="B36" s="33"/>
      <c r="C36" s="33"/>
      <c r="D36" s="35"/>
    </row>
    <row r="37" customFormat="false" ht="15" hidden="false" customHeight="false" outlineLevel="0" collapsed="false">
      <c r="A37" s="32"/>
      <c r="B37" s="33"/>
      <c r="C37" s="33"/>
      <c r="D37" s="35"/>
    </row>
    <row r="38" customFormat="false" ht="15" hidden="false" customHeight="false" outlineLevel="0" collapsed="false">
      <c r="A38" s="32"/>
      <c r="B38" s="33"/>
      <c r="C38" s="33"/>
      <c r="D38" s="35"/>
    </row>
    <row r="39" customFormat="false" ht="15" hidden="false" customHeight="false" outlineLevel="0" collapsed="false">
      <c r="A39" s="32"/>
      <c r="B39" s="33"/>
      <c r="C39" s="33"/>
      <c r="D39" s="35"/>
    </row>
    <row r="40" customFormat="false" ht="15" hidden="false" customHeight="false" outlineLevel="0" collapsed="false">
      <c r="A40" s="32"/>
      <c r="B40" s="33"/>
      <c r="C40" s="33"/>
      <c r="D40" s="35"/>
    </row>
    <row r="41" customFormat="false" ht="15" hidden="false" customHeight="false" outlineLevel="0" collapsed="false">
      <c r="A41" s="32"/>
      <c r="B41" s="33"/>
      <c r="C41" s="33"/>
      <c r="D41" s="35"/>
    </row>
    <row r="42" customFormat="false" ht="15" hidden="false" customHeight="false" outlineLevel="0" collapsed="false">
      <c r="A42" s="32"/>
      <c r="B42" s="33"/>
      <c r="C42" s="33"/>
      <c r="D42" s="35"/>
    </row>
    <row r="43" customFormat="false" ht="15" hidden="false" customHeight="false" outlineLevel="0" collapsed="false">
      <c r="A43" s="32"/>
      <c r="B43" s="33"/>
      <c r="C43" s="33"/>
      <c r="D43" s="35"/>
    </row>
    <row r="44" customFormat="false" ht="15" hidden="false" customHeight="false" outlineLevel="0" collapsed="false">
      <c r="A44" s="32"/>
      <c r="B44" s="33"/>
      <c r="C44" s="33"/>
      <c r="D44" s="35"/>
    </row>
    <row r="45" customFormat="false" ht="15" hidden="false" customHeight="false" outlineLevel="0" collapsed="false">
      <c r="A45" s="32"/>
      <c r="B45" s="33"/>
      <c r="C45" s="33"/>
      <c r="D45" s="35"/>
    </row>
    <row r="46" customFormat="false" ht="15" hidden="false" customHeight="false" outlineLevel="0" collapsed="false">
      <c r="A46" s="32"/>
      <c r="B46" s="33"/>
      <c r="C46" s="33"/>
      <c r="D46" s="35"/>
    </row>
    <row r="47" customFormat="false" ht="15" hidden="false" customHeight="false" outlineLevel="0" collapsed="false">
      <c r="A47" s="32"/>
      <c r="B47" s="33"/>
      <c r="C47" s="33"/>
      <c r="D47" s="35"/>
    </row>
    <row r="48" customFormat="false" ht="15" hidden="false" customHeight="false" outlineLevel="0" collapsed="false">
      <c r="A48" s="32"/>
      <c r="B48" s="33"/>
      <c r="C48" s="33"/>
      <c r="D48" s="35"/>
    </row>
    <row r="49" customFormat="false" ht="15" hidden="false" customHeight="false" outlineLevel="0" collapsed="false">
      <c r="A49" s="32"/>
      <c r="B49" s="33"/>
      <c r="C49" s="33"/>
      <c r="D49" s="35"/>
    </row>
    <row r="50" customFormat="false" ht="15" hidden="false" customHeight="false" outlineLevel="0" collapsed="false">
      <c r="A50" s="32"/>
      <c r="B50" s="33"/>
      <c r="C50" s="33"/>
      <c r="D50" s="35"/>
    </row>
    <row r="51" customFormat="false" ht="15" hidden="false" customHeight="false" outlineLevel="0" collapsed="false">
      <c r="A51" s="32"/>
      <c r="B51" s="33"/>
      <c r="C51" s="33"/>
      <c r="D51" s="35"/>
    </row>
    <row r="52" customFormat="false" ht="15" hidden="false" customHeight="false" outlineLevel="0" collapsed="false">
      <c r="A52" s="32"/>
      <c r="B52" s="33"/>
      <c r="C52" s="33"/>
      <c r="D52" s="35"/>
    </row>
    <row r="53" customFormat="false" ht="15" hidden="false" customHeight="false" outlineLevel="0" collapsed="false">
      <c r="A53" s="32"/>
      <c r="B53" s="33"/>
      <c r="C53" s="33"/>
      <c r="D53" s="35"/>
    </row>
    <row r="54" customFormat="false" ht="15" hidden="false" customHeight="false" outlineLevel="0" collapsed="false">
      <c r="A54" s="32"/>
      <c r="B54" s="33"/>
      <c r="C54" s="33"/>
      <c r="D54" s="35"/>
    </row>
    <row r="55" customFormat="false" ht="15" hidden="false" customHeight="false" outlineLevel="0" collapsed="false">
      <c r="A55" s="32"/>
      <c r="B55" s="33"/>
      <c r="C55" s="33"/>
      <c r="D55" s="35"/>
    </row>
    <row r="56" customFormat="false" ht="15" hidden="false" customHeight="false" outlineLevel="0" collapsed="false">
      <c r="A56" s="32"/>
      <c r="B56" s="33"/>
      <c r="C56" s="33"/>
      <c r="D56" s="35"/>
    </row>
    <row r="57" customFormat="false" ht="15" hidden="false" customHeight="false" outlineLevel="0" collapsed="false">
      <c r="A57" s="32"/>
      <c r="B57" s="33"/>
      <c r="C57" s="33"/>
      <c r="D57" s="35"/>
    </row>
    <row r="58" customFormat="false" ht="15" hidden="false" customHeight="false" outlineLevel="0" collapsed="false">
      <c r="A58" s="32"/>
      <c r="B58" s="33"/>
      <c r="C58" s="33"/>
      <c r="D58" s="35"/>
    </row>
    <row r="59" customFormat="false" ht="15" hidden="false" customHeight="false" outlineLevel="0" collapsed="false">
      <c r="A59" s="32"/>
      <c r="B59" s="33"/>
      <c r="C59" s="33"/>
      <c r="D59" s="35"/>
    </row>
    <row r="60" customFormat="false" ht="15" hidden="false" customHeight="false" outlineLevel="0" collapsed="false">
      <c r="A60" s="32"/>
      <c r="B60" s="33"/>
      <c r="C60" s="33"/>
      <c r="D60" s="35"/>
    </row>
    <row r="61" customFormat="false" ht="15" hidden="false" customHeight="false" outlineLevel="0" collapsed="false">
      <c r="A61" s="32"/>
      <c r="B61" s="33"/>
      <c r="C61" s="33"/>
      <c r="D61" s="35"/>
    </row>
    <row r="62" customFormat="false" ht="15" hidden="false" customHeight="false" outlineLevel="0" collapsed="false">
      <c r="A62" s="32"/>
      <c r="B62" s="33"/>
      <c r="C62" s="33"/>
      <c r="D62" s="35"/>
    </row>
    <row r="63" customFormat="false" ht="15" hidden="false" customHeight="false" outlineLevel="0" collapsed="false">
      <c r="A63" s="32"/>
      <c r="B63" s="33"/>
      <c r="C63" s="33"/>
      <c r="D63" s="35"/>
    </row>
    <row r="64" customFormat="false" ht="15" hidden="false" customHeight="false" outlineLevel="0" collapsed="false">
      <c r="A64" s="32"/>
      <c r="B64" s="33"/>
      <c r="C64" s="33"/>
      <c r="D64" s="35"/>
    </row>
    <row r="65" customFormat="false" ht="15" hidden="false" customHeight="false" outlineLevel="0" collapsed="false">
      <c r="A65" s="32"/>
      <c r="B65" s="33"/>
      <c r="C65" s="33"/>
      <c r="D65" s="35"/>
    </row>
    <row r="66" customFormat="false" ht="15" hidden="false" customHeight="false" outlineLevel="0" collapsed="false">
      <c r="A66" s="32"/>
      <c r="B66" s="33"/>
      <c r="C66" s="33"/>
      <c r="D66" s="35"/>
    </row>
    <row r="67" customFormat="false" ht="15" hidden="false" customHeight="false" outlineLevel="0" collapsed="false">
      <c r="A67" s="32"/>
      <c r="B67" s="33"/>
      <c r="C67" s="33"/>
      <c r="D67" s="35"/>
    </row>
    <row r="68" customFormat="false" ht="15" hidden="false" customHeight="false" outlineLevel="0" collapsed="false">
      <c r="A68" s="32"/>
      <c r="B68" s="33"/>
      <c r="C68" s="33"/>
      <c r="D68" s="35"/>
    </row>
    <row r="69" customFormat="false" ht="15" hidden="false" customHeight="false" outlineLevel="0" collapsed="false">
      <c r="A69" s="32"/>
      <c r="B69" s="33"/>
      <c r="C69" s="33"/>
      <c r="D69" s="35"/>
    </row>
    <row r="70" customFormat="false" ht="15" hidden="false" customHeight="false" outlineLevel="0" collapsed="false">
      <c r="A70" s="32"/>
      <c r="B70" s="33"/>
      <c r="C70" s="33"/>
      <c r="D70" s="35"/>
    </row>
    <row r="71" customFormat="false" ht="15" hidden="false" customHeight="false" outlineLevel="0" collapsed="false">
      <c r="A71" s="32"/>
      <c r="B71" s="33"/>
      <c r="C71" s="33"/>
      <c r="D71" s="35"/>
    </row>
    <row r="72" customFormat="false" ht="15" hidden="false" customHeight="false" outlineLevel="0" collapsed="false">
      <c r="A72" s="32"/>
      <c r="B72" s="33"/>
      <c r="C72" s="33"/>
      <c r="D72" s="35"/>
    </row>
    <row r="73" customFormat="false" ht="15" hidden="false" customHeight="false" outlineLevel="0" collapsed="false">
      <c r="A73" s="32"/>
      <c r="B73" s="33"/>
      <c r="C73" s="33"/>
      <c r="D73" s="35"/>
    </row>
    <row r="74" customFormat="false" ht="15" hidden="false" customHeight="false" outlineLevel="0" collapsed="false">
      <c r="A74" s="32"/>
      <c r="B74" s="33"/>
      <c r="C74" s="33"/>
      <c r="D74" s="35"/>
    </row>
    <row r="75" customFormat="false" ht="15" hidden="false" customHeight="false" outlineLevel="0" collapsed="false">
      <c r="A75" s="32"/>
      <c r="B75" s="33"/>
      <c r="C75" s="33"/>
      <c r="D75" s="35"/>
    </row>
    <row r="76" customFormat="false" ht="15" hidden="false" customHeight="false" outlineLevel="0" collapsed="false">
      <c r="A76" s="32"/>
      <c r="B76" s="33"/>
      <c r="C76" s="33"/>
      <c r="D76" s="35"/>
    </row>
    <row r="77" customFormat="false" ht="15" hidden="false" customHeight="false" outlineLevel="0" collapsed="false">
      <c r="A77" s="32"/>
      <c r="B77" s="33"/>
      <c r="C77" s="33"/>
      <c r="D77" s="35"/>
    </row>
    <row r="78" customFormat="false" ht="15" hidden="false" customHeight="false" outlineLevel="0" collapsed="false">
      <c r="A78" s="32"/>
      <c r="B78" s="33"/>
      <c r="C78" s="33"/>
      <c r="D78" s="35"/>
    </row>
    <row r="79" customFormat="false" ht="15" hidden="false" customHeight="false" outlineLevel="0" collapsed="false">
      <c r="A79" s="32"/>
      <c r="B79" s="33"/>
      <c r="C79" s="33"/>
      <c r="D79" s="35"/>
    </row>
    <row r="80" customFormat="false" ht="15" hidden="false" customHeight="false" outlineLevel="0" collapsed="false">
      <c r="A80" s="32"/>
      <c r="B80" s="33"/>
      <c r="C80" s="33"/>
      <c r="D80" s="35"/>
    </row>
    <row r="81" customFormat="false" ht="15" hidden="false" customHeight="false" outlineLevel="0" collapsed="false">
      <c r="A81" s="32"/>
      <c r="B81" s="33"/>
      <c r="C81" s="33"/>
      <c r="D81" s="35"/>
    </row>
    <row r="82" customFormat="false" ht="15" hidden="false" customHeight="false" outlineLevel="0" collapsed="false">
      <c r="A82" s="32"/>
      <c r="B82" s="33"/>
      <c r="C82" s="33"/>
      <c r="D82" s="35"/>
    </row>
    <row r="83" customFormat="false" ht="15" hidden="false" customHeight="false" outlineLevel="0" collapsed="false">
      <c r="A83" s="32"/>
      <c r="B83" s="33"/>
      <c r="C83" s="33"/>
      <c r="D83" s="35"/>
    </row>
    <row r="84" customFormat="false" ht="15" hidden="false" customHeight="false" outlineLevel="0" collapsed="false">
      <c r="A84" s="32"/>
      <c r="B84" s="33"/>
      <c r="C84" s="33"/>
      <c r="D84" s="35"/>
    </row>
    <row r="85" customFormat="false" ht="15" hidden="false" customHeight="false" outlineLevel="0" collapsed="false">
      <c r="A85" s="32"/>
      <c r="B85" s="33"/>
      <c r="C85" s="33"/>
      <c r="D85" s="35"/>
    </row>
    <row r="86" customFormat="false" ht="15" hidden="false" customHeight="false" outlineLevel="0" collapsed="false">
      <c r="A86" s="32"/>
      <c r="B86" s="33"/>
      <c r="C86" s="33"/>
      <c r="D86" s="35"/>
    </row>
    <row r="87" customFormat="false" ht="15" hidden="false" customHeight="false" outlineLevel="0" collapsed="false">
      <c r="A87" s="32"/>
      <c r="B87" s="33"/>
      <c r="C87" s="33"/>
      <c r="D87" s="35"/>
    </row>
    <row r="88" customFormat="false" ht="15" hidden="false" customHeight="false" outlineLevel="0" collapsed="false">
      <c r="A88" s="32"/>
      <c r="B88" s="33"/>
      <c r="C88" s="33"/>
      <c r="D88" s="35"/>
    </row>
    <row r="89" customFormat="false" ht="15" hidden="false" customHeight="false" outlineLevel="0" collapsed="false">
      <c r="A89" s="32"/>
      <c r="B89" s="33"/>
      <c r="C89" s="33"/>
      <c r="D89" s="35"/>
    </row>
    <row r="90" customFormat="false" ht="15" hidden="false" customHeight="false" outlineLevel="0" collapsed="false">
      <c r="A90" s="32"/>
      <c r="B90" s="33"/>
      <c r="C90" s="33"/>
      <c r="D90" s="35"/>
    </row>
    <row r="91" customFormat="false" ht="15" hidden="false" customHeight="false" outlineLevel="0" collapsed="false">
      <c r="A91" s="32"/>
      <c r="B91" s="33"/>
      <c r="C91" s="33"/>
      <c r="D91" s="35"/>
    </row>
    <row r="92" customFormat="false" ht="15" hidden="false" customHeight="false" outlineLevel="0" collapsed="false">
      <c r="A92" s="32"/>
      <c r="B92" s="33"/>
      <c r="C92" s="33"/>
      <c r="D92" s="35"/>
    </row>
    <row r="93" customFormat="false" ht="15" hidden="false" customHeight="false" outlineLevel="0" collapsed="false">
      <c r="A93" s="32"/>
      <c r="B93" s="33"/>
      <c r="C93" s="33"/>
      <c r="D93" s="35"/>
    </row>
    <row r="94" customFormat="false" ht="15" hidden="false" customHeight="false" outlineLevel="0" collapsed="false">
      <c r="A94" s="32"/>
      <c r="B94" s="33"/>
      <c r="C94" s="33"/>
      <c r="D94" s="35"/>
    </row>
    <row r="95" customFormat="false" ht="15" hidden="false" customHeight="false" outlineLevel="0" collapsed="false">
      <c r="A95" s="32"/>
      <c r="B95" s="33"/>
      <c r="C95" s="33"/>
      <c r="D95" s="35"/>
    </row>
    <row r="96" customFormat="false" ht="15" hidden="false" customHeight="false" outlineLevel="0" collapsed="false">
      <c r="A96" s="32"/>
      <c r="B96" s="33"/>
      <c r="C96" s="33"/>
      <c r="D96" s="35"/>
    </row>
    <row r="97" customFormat="false" ht="15" hidden="false" customHeight="false" outlineLevel="0" collapsed="false">
      <c r="A97" s="32"/>
      <c r="B97" s="33"/>
      <c r="C97" s="33"/>
      <c r="D97" s="35"/>
    </row>
    <row r="98" customFormat="false" ht="15" hidden="false" customHeight="false" outlineLevel="0" collapsed="false">
      <c r="A98" s="32"/>
      <c r="B98" s="33"/>
      <c r="C98" s="33"/>
      <c r="D98" s="35"/>
    </row>
    <row r="99" customFormat="false" ht="15" hidden="false" customHeight="false" outlineLevel="0" collapsed="false">
      <c r="A99" s="32"/>
      <c r="B99" s="33"/>
      <c r="C99" s="33"/>
      <c r="D99" s="35"/>
    </row>
    <row r="100" customFormat="false" ht="15" hidden="false" customHeight="false" outlineLevel="0" collapsed="false">
      <c r="A100" s="32"/>
      <c r="B100" s="33"/>
      <c r="C100" s="33"/>
      <c r="D100" s="35"/>
    </row>
    <row r="101" customFormat="false" ht="15" hidden="false" customHeight="false" outlineLevel="0" collapsed="false">
      <c r="A101" s="32"/>
      <c r="B101" s="33"/>
      <c r="C101" s="33"/>
      <c r="D101" s="35"/>
    </row>
    <row r="102" customFormat="false" ht="15" hidden="false" customHeight="false" outlineLevel="0" collapsed="false">
      <c r="A102" s="32"/>
      <c r="B102" s="33"/>
      <c r="C102" s="33"/>
      <c r="D102" s="35"/>
    </row>
    <row r="103" customFormat="false" ht="15" hidden="false" customHeight="false" outlineLevel="0" collapsed="false">
      <c r="A103" s="32"/>
      <c r="B103" s="33"/>
      <c r="C103" s="33"/>
      <c r="D103" s="35"/>
    </row>
    <row r="104" customFormat="false" ht="15" hidden="false" customHeight="false" outlineLevel="0" collapsed="false">
      <c r="A104" s="32"/>
      <c r="B104" s="33"/>
      <c r="C104" s="33"/>
      <c r="D104" s="35"/>
    </row>
    <row r="105" customFormat="false" ht="15" hidden="false" customHeight="false" outlineLevel="0" collapsed="false">
      <c r="A105" s="32"/>
      <c r="B105" s="33"/>
      <c r="C105" s="33"/>
      <c r="D105" s="35"/>
    </row>
    <row r="106" customFormat="false" ht="15" hidden="false" customHeight="false" outlineLevel="0" collapsed="false">
      <c r="A106" s="32"/>
      <c r="B106" s="33"/>
      <c r="C106" s="33"/>
      <c r="D106" s="35"/>
    </row>
    <row r="107" customFormat="false" ht="15" hidden="false" customHeight="false" outlineLevel="0" collapsed="false">
      <c r="A107" s="32"/>
      <c r="B107" s="33"/>
      <c r="C107" s="33"/>
      <c r="D107" s="35"/>
    </row>
    <row r="108" customFormat="false" ht="15" hidden="false" customHeight="false" outlineLevel="0" collapsed="false">
      <c r="A108" s="32"/>
      <c r="B108" s="33"/>
      <c r="C108" s="33"/>
      <c r="D108" s="35"/>
    </row>
    <row r="109" customFormat="false" ht="15" hidden="false" customHeight="false" outlineLevel="0" collapsed="false">
      <c r="A109" s="32"/>
      <c r="B109" s="33"/>
      <c r="C109" s="33"/>
      <c r="D109" s="35"/>
    </row>
    <row r="110" customFormat="false" ht="15" hidden="false" customHeight="false" outlineLevel="0" collapsed="false">
      <c r="A110" s="32"/>
      <c r="B110" s="33"/>
      <c r="C110" s="33"/>
      <c r="D110" s="35"/>
    </row>
    <row r="111" customFormat="false" ht="15" hidden="false" customHeight="false" outlineLevel="0" collapsed="false">
      <c r="A111" s="32"/>
      <c r="B111" s="33"/>
      <c r="C111" s="33"/>
      <c r="D111" s="35"/>
    </row>
    <row r="112" customFormat="false" ht="15" hidden="false" customHeight="false" outlineLevel="0" collapsed="false">
      <c r="A112" s="32"/>
      <c r="B112" s="33"/>
      <c r="C112" s="33"/>
      <c r="D112" s="35"/>
    </row>
    <row r="113" customFormat="false" ht="15" hidden="false" customHeight="false" outlineLevel="0" collapsed="false">
      <c r="A113" s="32"/>
      <c r="B113" s="33"/>
      <c r="C113" s="33"/>
      <c r="D113" s="35"/>
    </row>
    <row r="114" customFormat="false" ht="15" hidden="false" customHeight="false" outlineLevel="0" collapsed="false">
      <c r="A114" s="32"/>
      <c r="B114" s="33"/>
      <c r="C114" s="33"/>
      <c r="D114" s="35"/>
    </row>
    <row r="115" customFormat="false" ht="15" hidden="false" customHeight="false" outlineLevel="0" collapsed="false">
      <c r="A115" s="32"/>
      <c r="B115" s="33"/>
      <c r="C115" s="33"/>
      <c r="D115" s="35"/>
    </row>
    <row r="116" customFormat="false" ht="15" hidden="false" customHeight="false" outlineLevel="0" collapsed="false">
      <c r="A116" s="32"/>
      <c r="B116" s="33"/>
      <c r="C116" s="33"/>
      <c r="D116" s="35"/>
    </row>
    <row r="117" customFormat="false" ht="15" hidden="false" customHeight="false" outlineLevel="0" collapsed="false">
      <c r="A117" s="32"/>
      <c r="B117" s="33"/>
      <c r="C117" s="33"/>
      <c r="D117" s="35"/>
    </row>
    <row r="118" customFormat="false" ht="15" hidden="false" customHeight="false" outlineLevel="0" collapsed="false">
      <c r="A118" s="32"/>
      <c r="B118" s="33"/>
      <c r="C118" s="33"/>
      <c r="D118" s="35"/>
    </row>
    <row r="119" customFormat="false" ht="15" hidden="false" customHeight="false" outlineLevel="0" collapsed="false">
      <c r="A119" s="32"/>
      <c r="B119" s="33"/>
      <c r="C119" s="33"/>
      <c r="D119" s="35"/>
    </row>
    <row r="120" customFormat="false" ht="15" hidden="false" customHeight="false" outlineLevel="0" collapsed="false">
      <c r="A120" s="32"/>
      <c r="B120" s="33"/>
      <c r="C120" s="33"/>
      <c r="D120" s="35"/>
    </row>
    <row r="121" customFormat="false" ht="15" hidden="false" customHeight="false" outlineLevel="0" collapsed="false">
      <c r="A121" s="32"/>
      <c r="B121" s="33"/>
      <c r="C121" s="33"/>
      <c r="D121" s="35"/>
    </row>
    <row r="122" customFormat="false" ht="15" hidden="false" customHeight="false" outlineLevel="0" collapsed="false">
      <c r="A122" s="32"/>
      <c r="B122" s="33"/>
      <c r="C122" s="33"/>
      <c r="D122" s="35"/>
    </row>
    <row r="123" customFormat="false" ht="15" hidden="false" customHeight="false" outlineLevel="0" collapsed="false">
      <c r="A123" s="32"/>
      <c r="B123" s="33"/>
      <c r="C123" s="33"/>
      <c r="D123" s="35"/>
    </row>
    <row r="124" customFormat="false" ht="15" hidden="false" customHeight="false" outlineLevel="0" collapsed="false">
      <c r="A124" s="32"/>
      <c r="B124" s="33"/>
      <c r="C124" s="33"/>
      <c r="D124" s="35"/>
    </row>
    <row r="125" customFormat="false" ht="15" hidden="false" customHeight="false" outlineLevel="0" collapsed="false">
      <c r="A125" s="32"/>
      <c r="B125" s="33"/>
      <c r="C125" s="33"/>
      <c r="D125" s="35"/>
    </row>
    <row r="126" customFormat="false" ht="15" hidden="false" customHeight="false" outlineLevel="0" collapsed="false">
      <c r="A126" s="32"/>
      <c r="B126" s="33"/>
      <c r="C126" s="33"/>
      <c r="D126" s="35"/>
    </row>
    <row r="127" customFormat="false" ht="15" hidden="false" customHeight="false" outlineLevel="0" collapsed="false">
      <c r="A127" s="32"/>
      <c r="B127" s="33"/>
      <c r="C127" s="33"/>
      <c r="D127" s="35"/>
    </row>
    <row r="128" customFormat="false" ht="15" hidden="false" customHeight="false" outlineLevel="0" collapsed="false">
      <c r="A128" s="32"/>
      <c r="B128" s="33"/>
      <c r="C128" s="33"/>
      <c r="D128" s="35"/>
    </row>
    <row r="129" customFormat="false" ht="15" hidden="false" customHeight="false" outlineLevel="0" collapsed="false">
      <c r="A129" s="32"/>
      <c r="B129" s="33"/>
      <c r="C129" s="33"/>
      <c r="D129" s="35"/>
    </row>
    <row r="130" customFormat="false" ht="15" hidden="false" customHeight="false" outlineLevel="0" collapsed="false">
      <c r="A130" s="32"/>
      <c r="B130" s="33"/>
      <c r="C130" s="33"/>
      <c r="D130" s="35"/>
    </row>
    <row r="131" customFormat="false" ht="15" hidden="false" customHeight="false" outlineLevel="0" collapsed="false">
      <c r="A131" s="32"/>
      <c r="B131" s="33"/>
      <c r="C131" s="33"/>
      <c r="D131" s="35"/>
    </row>
    <row r="132" customFormat="false" ht="15" hidden="false" customHeight="false" outlineLevel="0" collapsed="false">
      <c r="A132" s="32"/>
      <c r="B132" s="33"/>
      <c r="C132" s="33"/>
      <c r="D132" s="35"/>
    </row>
    <row r="133" customFormat="false" ht="15" hidden="false" customHeight="false" outlineLevel="0" collapsed="false">
      <c r="A133" s="32"/>
      <c r="B133" s="33"/>
      <c r="C133" s="33"/>
      <c r="D133" s="35"/>
    </row>
    <row r="134" customFormat="false" ht="15" hidden="false" customHeight="false" outlineLevel="0" collapsed="false">
      <c r="A134" s="32"/>
      <c r="B134" s="33"/>
      <c r="C134" s="33"/>
      <c r="D134" s="35"/>
    </row>
    <row r="135" customFormat="false" ht="15" hidden="false" customHeight="false" outlineLevel="0" collapsed="false">
      <c r="A135" s="32"/>
      <c r="B135" s="33"/>
      <c r="C135" s="33"/>
      <c r="D135" s="35"/>
    </row>
    <row r="136" customFormat="false" ht="15" hidden="false" customHeight="false" outlineLevel="0" collapsed="false">
      <c r="A136" s="32"/>
      <c r="B136" s="33"/>
      <c r="C136" s="33"/>
      <c r="D136" s="35"/>
    </row>
    <row r="137" customFormat="false" ht="15" hidden="false" customHeight="false" outlineLevel="0" collapsed="false">
      <c r="A137" s="32"/>
      <c r="B137" s="33"/>
      <c r="C137" s="33"/>
      <c r="D137" s="35"/>
    </row>
    <row r="138" customFormat="false" ht="15" hidden="false" customHeight="false" outlineLevel="0" collapsed="false">
      <c r="A138" s="32"/>
      <c r="B138" s="33"/>
      <c r="C138" s="33"/>
      <c r="D138" s="35"/>
    </row>
    <row r="139" customFormat="false" ht="15" hidden="false" customHeight="false" outlineLevel="0" collapsed="false">
      <c r="A139" s="32"/>
      <c r="B139" s="33"/>
      <c r="C139" s="33"/>
      <c r="D139" s="35"/>
    </row>
    <row r="140" customFormat="false" ht="15" hidden="false" customHeight="false" outlineLevel="0" collapsed="false">
      <c r="A140" s="32"/>
      <c r="B140" s="33"/>
      <c r="C140" s="33"/>
      <c r="D140" s="35"/>
    </row>
    <row r="141" customFormat="false" ht="15" hidden="false" customHeight="false" outlineLevel="0" collapsed="false">
      <c r="A141" s="32"/>
      <c r="B141" s="33"/>
      <c r="C141" s="33"/>
      <c r="D141" s="35"/>
    </row>
    <row r="142" customFormat="false" ht="15" hidden="false" customHeight="false" outlineLevel="0" collapsed="false">
      <c r="A142" s="32"/>
      <c r="B142" s="33"/>
      <c r="C142" s="33"/>
      <c r="D142" s="35"/>
    </row>
    <row r="143" customFormat="false" ht="15" hidden="false" customHeight="false" outlineLevel="0" collapsed="false">
      <c r="A143" s="32"/>
      <c r="B143" s="33"/>
      <c r="C143" s="33"/>
      <c r="D143" s="35"/>
    </row>
    <row r="144" customFormat="false" ht="15" hidden="false" customHeight="false" outlineLevel="0" collapsed="false">
      <c r="A144" s="32"/>
      <c r="B144" s="33"/>
      <c r="C144" s="33"/>
      <c r="D144" s="35"/>
    </row>
    <row r="145" customFormat="false" ht="15" hidden="false" customHeight="false" outlineLevel="0" collapsed="false">
      <c r="A145" s="32"/>
      <c r="B145" s="33"/>
      <c r="C145" s="33"/>
      <c r="D145" s="35"/>
    </row>
    <row r="146" customFormat="false" ht="15" hidden="false" customHeight="false" outlineLevel="0" collapsed="false">
      <c r="A146" s="32"/>
      <c r="B146" s="33"/>
      <c r="C146" s="33"/>
      <c r="D146" s="35"/>
    </row>
    <row r="147" customFormat="false" ht="15" hidden="false" customHeight="false" outlineLevel="0" collapsed="false">
      <c r="A147" s="32"/>
      <c r="B147" s="33"/>
      <c r="C147" s="33"/>
      <c r="D147" s="35"/>
    </row>
    <row r="148" customFormat="false" ht="15" hidden="false" customHeight="false" outlineLevel="0" collapsed="false">
      <c r="A148" s="32"/>
      <c r="B148" s="33"/>
      <c r="C148" s="33"/>
      <c r="D148" s="35"/>
    </row>
    <row r="149" customFormat="false" ht="15" hidden="false" customHeight="false" outlineLevel="0" collapsed="false">
      <c r="A149" s="32"/>
      <c r="B149" s="33"/>
      <c r="C149" s="33"/>
      <c r="D149" s="35"/>
    </row>
    <row r="150" customFormat="false" ht="15" hidden="false" customHeight="false" outlineLevel="0" collapsed="false">
      <c r="A150" s="32"/>
      <c r="B150" s="33"/>
      <c r="C150" s="33"/>
      <c r="D150" s="35"/>
    </row>
    <row r="151" customFormat="false" ht="15" hidden="false" customHeight="false" outlineLevel="0" collapsed="false">
      <c r="A151" s="32"/>
      <c r="B151" s="33"/>
      <c r="C151" s="33"/>
      <c r="D151" s="35"/>
    </row>
    <row r="152" customFormat="false" ht="15" hidden="false" customHeight="false" outlineLevel="0" collapsed="false">
      <c r="A152" s="32"/>
      <c r="B152" s="33"/>
      <c r="C152" s="33"/>
      <c r="D152" s="35"/>
    </row>
    <row r="153" customFormat="false" ht="15" hidden="false" customHeight="false" outlineLevel="0" collapsed="false">
      <c r="A153" s="32"/>
      <c r="B153" s="33"/>
      <c r="C153" s="33"/>
      <c r="D153" s="35"/>
    </row>
    <row r="154" customFormat="false" ht="15" hidden="false" customHeight="false" outlineLevel="0" collapsed="false">
      <c r="A154" s="32"/>
      <c r="B154" s="33"/>
      <c r="C154" s="33"/>
      <c r="D154" s="35"/>
    </row>
    <row r="155" customFormat="false" ht="15" hidden="false" customHeight="false" outlineLevel="0" collapsed="false">
      <c r="A155" s="32"/>
      <c r="B155" s="33"/>
      <c r="C155" s="33"/>
      <c r="D155" s="35"/>
    </row>
    <row r="156" customFormat="false" ht="15" hidden="false" customHeight="false" outlineLevel="0" collapsed="false">
      <c r="A156" s="32"/>
      <c r="B156" s="33"/>
      <c r="C156" s="33"/>
      <c r="D156" s="35"/>
    </row>
    <row r="157" customFormat="false" ht="15" hidden="false" customHeight="false" outlineLevel="0" collapsed="false">
      <c r="A157" s="32"/>
      <c r="B157" s="33"/>
      <c r="C157" s="33"/>
      <c r="D157" s="35"/>
    </row>
    <row r="158" customFormat="false" ht="15" hidden="false" customHeight="false" outlineLevel="0" collapsed="false">
      <c r="A158" s="32"/>
      <c r="B158" s="33"/>
      <c r="C158" s="33"/>
      <c r="D158" s="35"/>
    </row>
    <row r="159" customFormat="false" ht="15" hidden="false" customHeight="false" outlineLevel="0" collapsed="false">
      <c r="A159" s="32"/>
      <c r="B159" s="33"/>
      <c r="C159" s="33"/>
      <c r="D159" s="35"/>
    </row>
    <row r="160" customFormat="false" ht="15" hidden="false" customHeight="false" outlineLevel="0" collapsed="false">
      <c r="A160" s="32"/>
      <c r="B160" s="33"/>
      <c r="C160" s="33"/>
      <c r="D160" s="35"/>
    </row>
    <row r="161" customFormat="false" ht="15" hidden="false" customHeight="false" outlineLevel="0" collapsed="false">
      <c r="A161" s="32"/>
      <c r="B161" s="33"/>
      <c r="C161" s="33"/>
      <c r="D161" s="35"/>
    </row>
    <row r="162" customFormat="false" ht="15" hidden="false" customHeight="false" outlineLevel="0" collapsed="false">
      <c r="A162" s="32"/>
      <c r="B162" s="33"/>
      <c r="C162" s="33"/>
      <c r="D162" s="35"/>
    </row>
    <row r="163" customFormat="false" ht="15" hidden="false" customHeight="false" outlineLevel="0" collapsed="false">
      <c r="A163" s="32"/>
      <c r="B163" s="33"/>
      <c r="C163" s="33"/>
      <c r="D163" s="35"/>
    </row>
    <row r="164" customFormat="false" ht="15" hidden="false" customHeight="false" outlineLevel="0" collapsed="false">
      <c r="A164" s="32"/>
      <c r="B164" s="33"/>
      <c r="C164" s="33"/>
      <c r="D164" s="35"/>
    </row>
    <row r="165" customFormat="false" ht="15" hidden="false" customHeight="false" outlineLevel="0" collapsed="false">
      <c r="A165" s="32"/>
      <c r="B165" s="33"/>
      <c r="C165" s="33"/>
      <c r="D165" s="35"/>
    </row>
    <row r="166" customFormat="false" ht="15" hidden="false" customHeight="false" outlineLevel="0" collapsed="false">
      <c r="A166" s="32"/>
      <c r="B166" s="33"/>
      <c r="C166" s="33"/>
      <c r="D166" s="35"/>
    </row>
    <row r="167" customFormat="false" ht="15" hidden="false" customHeight="false" outlineLevel="0" collapsed="false">
      <c r="A167" s="32"/>
      <c r="B167" s="33"/>
      <c r="C167" s="33"/>
      <c r="D167" s="35"/>
    </row>
    <row r="168" customFormat="false" ht="15" hidden="false" customHeight="false" outlineLevel="0" collapsed="false">
      <c r="A168" s="32"/>
      <c r="B168" s="33"/>
      <c r="C168" s="33"/>
      <c r="D168" s="35"/>
    </row>
    <row r="169" customFormat="false" ht="15" hidden="false" customHeight="false" outlineLevel="0" collapsed="false">
      <c r="A169" s="32"/>
      <c r="B169" s="33"/>
      <c r="C169" s="33"/>
      <c r="D169" s="35"/>
    </row>
    <row r="170" customFormat="false" ht="15" hidden="false" customHeight="false" outlineLevel="0" collapsed="false">
      <c r="A170" s="32"/>
      <c r="B170" s="33"/>
      <c r="C170" s="33"/>
      <c r="D170" s="35"/>
    </row>
    <row r="171" customFormat="false" ht="15" hidden="false" customHeight="false" outlineLevel="0" collapsed="false">
      <c r="A171" s="32"/>
      <c r="B171" s="33"/>
      <c r="C171" s="33"/>
      <c r="D171" s="35"/>
    </row>
    <row r="172" customFormat="false" ht="15" hidden="false" customHeight="false" outlineLevel="0" collapsed="false">
      <c r="A172" s="32"/>
      <c r="B172" s="33"/>
      <c r="C172" s="33"/>
      <c r="D172" s="35"/>
    </row>
    <row r="173" customFormat="false" ht="15" hidden="false" customHeight="false" outlineLevel="0" collapsed="false">
      <c r="A173" s="32"/>
      <c r="B173" s="33"/>
      <c r="C173" s="33"/>
      <c r="D173" s="35"/>
    </row>
    <row r="174" customFormat="false" ht="15" hidden="false" customHeight="false" outlineLevel="0" collapsed="false">
      <c r="A174" s="32"/>
      <c r="B174" s="33"/>
      <c r="C174" s="33"/>
      <c r="D174" s="35"/>
    </row>
    <row r="175" customFormat="false" ht="15" hidden="false" customHeight="false" outlineLevel="0" collapsed="false">
      <c r="A175" s="32"/>
      <c r="B175" s="33"/>
      <c r="C175" s="33"/>
      <c r="D175" s="35"/>
    </row>
    <row r="176" customFormat="false" ht="15" hidden="false" customHeight="false" outlineLevel="0" collapsed="false">
      <c r="A176" s="32"/>
      <c r="B176" s="33"/>
      <c r="C176" s="33"/>
      <c r="D176" s="35"/>
    </row>
    <row r="177" customFormat="false" ht="15" hidden="false" customHeight="false" outlineLevel="0" collapsed="false">
      <c r="A177" s="32"/>
      <c r="B177" s="33"/>
      <c r="C177" s="33"/>
      <c r="D177" s="35"/>
    </row>
    <row r="178" customFormat="false" ht="15" hidden="false" customHeight="false" outlineLevel="0" collapsed="false">
      <c r="A178" s="32"/>
      <c r="B178" s="33"/>
      <c r="C178" s="33"/>
      <c r="D178" s="35"/>
    </row>
    <row r="179" customFormat="false" ht="15" hidden="false" customHeight="false" outlineLevel="0" collapsed="false">
      <c r="A179" s="32"/>
      <c r="B179" s="33"/>
      <c r="C179" s="33"/>
      <c r="D179" s="35"/>
    </row>
    <row r="180" customFormat="false" ht="15" hidden="false" customHeight="false" outlineLevel="0" collapsed="false">
      <c r="A180" s="32"/>
      <c r="B180" s="33"/>
      <c r="C180" s="33"/>
      <c r="D180" s="35"/>
    </row>
    <row r="181" customFormat="false" ht="15" hidden="false" customHeight="false" outlineLevel="0" collapsed="false">
      <c r="A181" s="32"/>
      <c r="B181" s="33"/>
      <c r="C181" s="33"/>
      <c r="D181" s="35"/>
    </row>
    <row r="182" customFormat="false" ht="15" hidden="false" customHeight="false" outlineLevel="0" collapsed="false">
      <c r="A182" s="32"/>
      <c r="B182" s="33"/>
      <c r="C182" s="33"/>
      <c r="D182" s="35"/>
    </row>
    <row r="183" customFormat="false" ht="15" hidden="false" customHeight="false" outlineLevel="0" collapsed="false">
      <c r="A183" s="32"/>
      <c r="B183" s="33"/>
      <c r="C183" s="33"/>
      <c r="D183" s="35"/>
    </row>
    <row r="184" customFormat="false" ht="15" hidden="false" customHeight="false" outlineLevel="0" collapsed="false">
      <c r="A184" s="32"/>
      <c r="B184" s="33"/>
      <c r="C184" s="33"/>
      <c r="D184" s="35"/>
    </row>
    <row r="185" customFormat="false" ht="15" hidden="false" customHeight="false" outlineLevel="0" collapsed="false">
      <c r="A185" s="32"/>
      <c r="B185" s="33"/>
      <c r="C185" s="33"/>
      <c r="D185" s="35"/>
    </row>
    <row r="186" customFormat="false" ht="15" hidden="false" customHeight="false" outlineLevel="0" collapsed="false">
      <c r="A186" s="32"/>
      <c r="B186" s="33"/>
      <c r="C186" s="33"/>
      <c r="D186" s="35"/>
    </row>
    <row r="187" customFormat="false" ht="15" hidden="false" customHeight="false" outlineLevel="0" collapsed="false">
      <c r="A187" s="32"/>
      <c r="B187" s="33"/>
      <c r="C187" s="33"/>
      <c r="D187" s="35"/>
    </row>
    <row r="188" customFormat="false" ht="15" hidden="false" customHeight="false" outlineLevel="0" collapsed="false">
      <c r="A188" s="32"/>
      <c r="B188" s="33"/>
      <c r="C188" s="33"/>
      <c r="D188" s="35"/>
    </row>
    <row r="189" customFormat="false" ht="15" hidden="false" customHeight="false" outlineLevel="0" collapsed="false">
      <c r="A189" s="32"/>
      <c r="B189" s="33"/>
      <c r="C189" s="33"/>
      <c r="D189" s="35"/>
    </row>
    <row r="190" customFormat="false" ht="15" hidden="false" customHeight="false" outlineLevel="0" collapsed="false">
      <c r="A190" s="32"/>
      <c r="B190" s="33"/>
      <c r="C190" s="33"/>
      <c r="D190" s="35"/>
    </row>
    <row r="191" customFormat="false" ht="15" hidden="false" customHeight="false" outlineLevel="0" collapsed="false">
      <c r="A191" s="32"/>
      <c r="B191" s="33"/>
      <c r="C191" s="33"/>
      <c r="D191" s="35"/>
    </row>
    <row r="192" customFormat="false" ht="15" hidden="false" customHeight="false" outlineLevel="0" collapsed="false">
      <c r="A192" s="32"/>
      <c r="B192" s="33"/>
      <c r="C192" s="33"/>
      <c r="D192" s="35"/>
    </row>
    <row r="193" customFormat="false" ht="15" hidden="false" customHeight="false" outlineLevel="0" collapsed="false">
      <c r="A193" s="32"/>
      <c r="B193" s="33"/>
      <c r="C193" s="33"/>
      <c r="D193" s="35"/>
    </row>
    <row r="194" customFormat="false" ht="15" hidden="false" customHeight="false" outlineLevel="0" collapsed="false">
      <c r="A194" s="32"/>
      <c r="B194" s="33"/>
      <c r="C194" s="33"/>
      <c r="D194" s="35"/>
    </row>
    <row r="195" customFormat="false" ht="15" hidden="false" customHeight="false" outlineLevel="0" collapsed="false">
      <c r="A195" s="32"/>
      <c r="B195" s="33"/>
      <c r="C195" s="33"/>
      <c r="D195" s="35"/>
    </row>
    <row r="196" customFormat="false" ht="15" hidden="false" customHeight="false" outlineLevel="0" collapsed="false">
      <c r="A196" s="32"/>
      <c r="B196" s="33"/>
      <c r="C196" s="33"/>
      <c r="D196" s="35"/>
    </row>
    <row r="197" customFormat="false" ht="15" hidden="false" customHeight="false" outlineLevel="0" collapsed="false">
      <c r="A197" s="32"/>
      <c r="B197" s="33"/>
      <c r="C197" s="33"/>
      <c r="D197" s="35"/>
    </row>
    <row r="198" customFormat="false" ht="15" hidden="false" customHeight="false" outlineLevel="0" collapsed="false">
      <c r="A198" s="32"/>
      <c r="B198" s="33"/>
      <c r="C198" s="33"/>
      <c r="D198" s="35"/>
    </row>
    <row r="199" customFormat="false" ht="15" hidden="false" customHeight="false" outlineLevel="0" collapsed="false">
      <c r="A199" s="32"/>
      <c r="B199" s="33"/>
      <c r="C199" s="33"/>
      <c r="D199" s="35"/>
    </row>
    <row r="200" customFormat="false" ht="15" hidden="false" customHeight="false" outlineLevel="0" collapsed="false">
      <c r="A200" s="32"/>
      <c r="B200" s="33"/>
      <c r="C200" s="33"/>
      <c r="D200" s="35"/>
    </row>
    <row r="201" customFormat="false" ht="15" hidden="false" customHeight="false" outlineLevel="0" collapsed="false">
      <c r="A201" s="32"/>
      <c r="B201" s="33"/>
      <c r="C201" s="33"/>
      <c r="D201" s="35"/>
    </row>
    <row r="202" customFormat="false" ht="15" hidden="false" customHeight="false" outlineLevel="0" collapsed="false">
      <c r="A202" s="32"/>
      <c r="B202" s="33"/>
      <c r="C202" s="33"/>
      <c r="D202" s="35"/>
    </row>
    <row r="203" customFormat="false" ht="15" hidden="false" customHeight="false" outlineLevel="0" collapsed="false">
      <c r="A203" s="32"/>
      <c r="B203" s="33"/>
      <c r="C203" s="33"/>
      <c r="D203" s="35"/>
    </row>
    <row r="204" customFormat="false" ht="15" hidden="false" customHeight="false" outlineLevel="0" collapsed="false">
      <c r="A204" s="32"/>
      <c r="B204" s="33"/>
      <c r="C204" s="33"/>
      <c r="D204" s="35"/>
    </row>
    <row r="205" customFormat="false" ht="15" hidden="false" customHeight="false" outlineLevel="0" collapsed="false">
      <c r="A205" s="32"/>
      <c r="B205" s="33"/>
      <c r="C205" s="33"/>
      <c r="D205" s="35"/>
    </row>
    <row r="206" customFormat="false" ht="15" hidden="false" customHeight="false" outlineLevel="0" collapsed="false">
      <c r="A206" s="32"/>
      <c r="B206" s="33"/>
      <c r="C206" s="33"/>
      <c r="D206" s="35"/>
    </row>
    <row r="207" customFormat="false" ht="15" hidden="false" customHeight="false" outlineLevel="0" collapsed="false">
      <c r="A207" s="32"/>
      <c r="B207" s="33"/>
      <c r="C207" s="33"/>
      <c r="D207" s="35"/>
    </row>
    <row r="208" customFormat="false" ht="15" hidden="false" customHeight="false" outlineLevel="0" collapsed="false">
      <c r="A208" s="32"/>
      <c r="B208" s="33"/>
      <c r="C208" s="33"/>
      <c r="D208" s="35"/>
    </row>
    <row r="209" customFormat="false" ht="15" hidden="false" customHeight="false" outlineLevel="0" collapsed="false">
      <c r="A209" s="32"/>
      <c r="B209" s="33"/>
      <c r="C209" s="33"/>
      <c r="D209" s="35"/>
    </row>
    <row r="210" customFormat="false" ht="15" hidden="false" customHeight="false" outlineLevel="0" collapsed="false">
      <c r="A210" s="32"/>
      <c r="B210" s="33"/>
      <c r="C210" s="33"/>
      <c r="D210" s="35"/>
    </row>
    <row r="211" customFormat="false" ht="15" hidden="false" customHeight="false" outlineLevel="0" collapsed="false">
      <c r="A211" s="32"/>
      <c r="B211" s="33"/>
      <c r="C211" s="33"/>
      <c r="D211" s="35"/>
    </row>
    <row r="212" customFormat="false" ht="15" hidden="false" customHeight="false" outlineLevel="0" collapsed="false">
      <c r="A212" s="32"/>
      <c r="B212" s="33"/>
      <c r="C212" s="33"/>
      <c r="D212" s="35"/>
    </row>
    <row r="213" customFormat="false" ht="15" hidden="false" customHeight="false" outlineLevel="0" collapsed="false">
      <c r="A213" s="32"/>
      <c r="B213" s="33"/>
      <c r="C213" s="33"/>
      <c r="D213" s="35"/>
    </row>
    <row r="214" customFormat="false" ht="15" hidden="false" customHeight="false" outlineLevel="0" collapsed="false">
      <c r="A214" s="32"/>
      <c r="B214" s="33"/>
      <c r="C214" s="33"/>
      <c r="D214" s="35"/>
    </row>
    <row r="215" customFormat="false" ht="15" hidden="false" customHeight="false" outlineLevel="0" collapsed="false">
      <c r="A215" s="32"/>
      <c r="B215" s="33"/>
      <c r="C215" s="33"/>
      <c r="D215" s="35"/>
    </row>
    <row r="216" customFormat="false" ht="15" hidden="false" customHeight="false" outlineLevel="0" collapsed="false">
      <c r="A216" s="32"/>
      <c r="B216" s="33"/>
      <c r="C216" s="33"/>
      <c r="D216" s="35"/>
    </row>
    <row r="217" customFormat="false" ht="15" hidden="false" customHeight="false" outlineLevel="0" collapsed="false">
      <c r="A217" s="32"/>
      <c r="B217" s="33"/>
      <c r="C217" s="33"/>
      <c r="D217" s="35"/>
    </row>
    <row r="218" customFormat="false" ht="15" hidden="false" customHeight="false" outlineLevel="0" collapsed="false">
      <c r="A218" s="32"/>
      <c r="B218" s="33"/>
      <c r="C218" s="33"/>
      <c r="D218" s="35"/>
    </row>
    <row r="219" customFormat="false" ht="15" hidden="false" customHeight="false" outlineLevel="0" collapsed="false">
      <c r="A219" s="32"/>
      <c r="B219" s="33"/>
      <c r="C219" s="33"/>
      <c r="D219" s="35"/>
    </row>
    <row r="220" customFormat="false" ht="15" hidden="false" customHeight="false" outlineLevel="0" collapsed="false">
      <c r="A220" s="32"/>
      <c r="B220" s="33"/>
      <c r="C220" s="33"/>
      <c r="D220" s="35"/>
    </row>
    <row r="221" customFormat="false" ht="15" hidden="false" customHeight="false" outlineLevel="0" collapsed="false">
      <c r="A221" s="32"/>
      <c r="B221" s="33"/>
      <c r="C221" s="33"/>
      <c r="D221" s="35"/>
    </row>
    <row r="222" customFormat="false" ht="15" hidden="false" customHeight="false" outlineLevel="0" collapsed="false">
      <c r="A222" s="32"/>
      <c r="B222" s="33"/>
      <c r="C222" s="33"/>
      <c r="D222" s="35"/>
    </row>
    <row r="223" customFormat="false" ht="15" hidden="false" customHeight="false" outlineLevel="0" collapsed="false">
      <c r="A223" s="32"/>
      <c r="B223" s="33"/>
      <c r="C223" s="33"/>
      <c r="D223" s="35"/>
    </row>
    <row r="224" customFormat="false" ht="15" hidden="false" customHeight="false" outlineLevel="0" collapsed="false">
      <c r="A224" s="32"/>
      <c r="B224" s="33"/>
      <c r="C224" s="33"/>
      <c r="D224" s="35"/>
    </row>
    <row r="225" customFormat="false" ht="15" hidden="false" customHeight="false" outlineLevel="0" collapsed="false">
      <c r="A225" s="32"/>
      <c r="B225" s="33"/>
      <c r="C225" s="33"/>
      <c r="D225" s="35"/>
    </row>
    <row r="226" customFormat="false" ht="15" hidden="false" customHeight="false" outlineLevel="0" collapsed="false">
      <c r="A226" s="32"/>
      <c r="B226" s="33"/>
      <c r="C226" s="33"/>
      <c r="D226" s="35"/>
    </row>
    <row r="227" customFormat="false" ht="15" hidden="false" customHeight="false" outlineLevel="0" collapsed="false">
      <c r="A227" s="32"/>
      <c r="B227" s="33"/>
      <c r="C227" s="33"/>
      <c r="D227" s="35"/>
    </row>
    <row r="228" customFormat="false" ht="15" hidden="false" customHeight="false" outlineLevel="0" collapsed="false">
      <c r="A228" s="32"/>
      <c r="B228" s="33"/>
      <c r="C228" s="33"/>
      <c r="D228" s="35"/>
    </row>
    <row r="229" customFormat="false" ht="15" hidden="false" customHeight="false" outlineLevel="0" collapsed="false">
      <c r="A229" s="32"/>
      <c r="B229" s="33"/>
      <c r="C229" s="33"/>
      <c r="D229" s="35"/>
    </row>
    <row r="230" customFormat="false" ht="15" hidden="false" customHeight="false" outlineLevel="0" collapsed="false">
      <c r="A230" s="32"/>
      <c r="B230" s="33"/>
      <c r="C230" s="33"/>
      <c r="D230" s="35"/>
    </row>
    <row r="231" customFormat="false" ht="15" hidden="false" customHeight="false" outlineLevel="0" collapsed="false">
      <c r="A231" s="32"/>
      <c r="B231" s="33"/>
      <c r="C231" s="33"/>
      <c r="D231" s="35"/>
    </row>
    <row r="232" customFormat="false" ht="15" hidden="false" customHeight="false" outlineLevel="0" collapsed="false">
      <c r="A232" s="32"/>
      <c r="B232" s="33"/>
      <c r="C232" s="33"/>
      <c r="D232" s="35"/>
    </row>
    <row r="233" customFormat="false" ht="15" hidden="false" customHeight="false" outlineLevel="0" collapsed="false">
      <c r="A233" s="32"/>
      <c r="B233" s="33"/>
      <c r="C233" s="33"/>
      <c r="D233" s="35"/>
    </row>
    <row r="234" customFormat="false" ht="15" hidden="false" customHeight="false" outlineLevel="0" collapsed="false">
      <c r="A234" s="32"/>
      <c r="B234" s="33"/>
      <c r="C234" s="33"/>
      <c r="D234" s="35"/>
    </row>
    <row r="235" customFormat="false" ht="15" hidden="false" customHeight="false" outlineLevel="0" collapsed="false">
      <c r="A235" s="32"/>
      <c r="B235" s="33"/>
      <c r="C235" s="33"/>
      <c r="D235" s="35"/>
    </row>
    <row r="236" customFormat="false" ht="15" hidden="false" customHeight="false" outlineLevel="0" collapsed="false">
      <c r="A236" s="32"/>
      <c r="B236" s="33"/>
      <c r="C236" s="33"/>
      <c r="D236" s="35"/>
    </row>
    <row r="237" customFormat="false" ht="15" hidden="false" customHeight="false" outlineLevel="0" collapsed="false">
      <c r="A237" s="32"/>
      <c r="B237" s="33"/>
      <c r="C237" s="33"/>
      <c r="D237" s="35"/>
    </row>
    <row r="238" customFormat="false" ht="15" hidden="false" customHeight="false" outlineLevel="0" collapsed="false">
      <c r="A238" s="32"/>
      <c r="B238" s="33"/>
      <c r="C238" s="33"/>
      <c r="D238" s="35"/>
    </row>
    <row r="239" customFormat="false" ht="15" hidden="false" customHeight="false" outlineLevel="0" collapsed="false">
      <c r="A239" s="32"/>
      <c r="B239" s="33"/>
      <c r="C239" s="33"/>
      <c r="D239" s="35"/>
    </row>
    <row r="240" customFormat="false" ht="15" hidden="false" customHeight="false" outlineLevel="0" collapsed="false">
      <c r="A240" s="32"/>
      <c r="B240" s="33"/>
      <c r="C240" s="33"/>
      <c r="D240" s="35"/>
    </row>
    <row r="241" customFormat="false" ht="15" hidden="false" customHeight="false" outlineLevel="0" collapsed="false">
      <c r="A241" s="32"/>
      <c r="B241" s="33"/>
      <c r="C241" s="33"/>
      <c r="D241" s="35"/>
    </row>
    <row r="242" customFormat="false" ht="15" hidden="false" customHeight="false" outlineLevel="0" collapsed="false">
      <c r="A242" s="32"/>
      <c r="B242" s="33"/>
      <c r="C242" s="33"/>
      <c r="D242" s="35"/>
    </row>
    <row r="243" customFormat="false" ht="15" hidden="false" customHeight="false" outlineLevel="0" collapsed="false">
      <c r="A243" s="32"/>
      <c r="B243" s="33"/>
      <c r="C243" s="33"/>
      <c r="D243" s="35"/>
    </row>
    <row r="244" customFormat="false" ht="15" hidden="false" customHeight="false" outlineLevel="0" collapsed="false">
      <c r="A244" s="32"/>
      <c r="B244" s="33"/>
      <c r="C244" s="33"/>
      <c r="D244" s="35"/>
    </row>
    <row r="245" customFormat="false" ht="15" hidden="false" customHeight="false" outlineLevel="0" collapsed="false">
      <c r="A245" s="32"/>
      <c r="B245" s="33"/>
      <c r="C245" s="33"/>
      <c r="D245" s="35"/>
    </row>
    <row r="246" customFormat="false" ht="15" hidden="false" customHeight="false" outlineLevel="0" collapsed="false">
      <c r="A246" s="32"/>
      <c r="B246" s="33"/>
      <c r="C246" s="33"/>
      <c r="D246" s="35"/>
    </row>
    <row r="247" customFormat="false" ht="15" hidden="false" customHeight="false" outlineLevel="0" collapsed="false">
      <c r="A247" s="32"/>
      <c r="B247" s="33"/>
      <c r="C247" s="33"/>
      <c r="D247" s="35"/>
    </row>
    <row r="248" customFormat="false" ht="15" hidden="false" customHeight="false" outlineLevel="0" collapsed="false">
      <c r="A248" s="32"/>
      <c r="B248" s="33"/>
      <c r="C248" s="33"/>
      <c r="D248" s="35"/>
    </row>
    <row r="249" customFormat="false" ht="15" hidden="false" customHeight="false" outlineLevel="0" collapsed="false">
      <c r="A249" s="32"/>
      <c r="B249" s="33"/>
      <c r="C249" s="33"/>
      <c r="D249" s="35"/>
    </row>
    <row r="250" customFormat="false" ht="15" hidden="false" customHeight="false" outlineLevel="0" collapsed="false">
      <c r="A250" s="32"/>
      <c r="B250" s="33"/>
      <c r="C250" s="33"/>
      <c r="D250" s="35"/>
    </row>
    <row r="251" customFormat="false" ht="15" hidden="false" customHeight="false" outlineLevel="0" collapsed="false">
      <c r="A251" s="32"/>
      <c r="B251" s="33"/>
      <c r="C251" s="33"/>
      <c r="D251" s="35"/>
    </row>
    <row r="252" customFormat="false" ht="15" hidden="false" customHeight="false" outlineLevel="0" collapsed="false">
      <c r="A252" s="32"/>
      <c r="B252" s="33"/>
      <c r="C252" s="33"/>
      <c r="D252" s="35"/>
    </row>
    <row r="253" customFormat="false" ht="15" hidden="false" customHeight="false" outlineLevel="0" collapsed="false">
      <c r="A253" s="32"/>
      <c r="B253" s="33"/>
      <c r="C253" s="33"/>
      <c r="D253" s="35"/>
    </row>
    <row r="254" customFormat="false" ht="15" hidden="false" customHeight="false" outlineLevel="0" collapsed="false">
      <c r="A254" s="32"/>
      <c r="B254" s="33"/>
      <c r="C254" s="33"/>
      <c r="D254" s="35"/>
    </row>
    <row r="255" customFormat="false" ht="15" hidden="false" customHeight="false" outlineLevel="0" collapsed="false">
      <c r="A255" s="32"/>
      <c r="B255" s="33"/>
      <c r="C255" s="33"/>
      <c r="D255" s="35"/>
    </row>
    <row r="256" customFormat="false" ht="15" hidden="false" customHeight="false" outlineLevel="0" collapsed="false">
      <c r="A256" s="32"/>
      <c r="B256" s="33"/>
      <c r="C256" s="33"/>
      <c r="D256" s="35"/>
    </row>
    <row r="257" customFormat="false" ht="15" hidden="false" customHeight="false" outlineLevel="0" collapsed="false">
      <c r="A257" s="32"/>
      <c r="B257" s="33"/>
      <c r="C257" s="33"/>
      <c r="D257" s="35"/>
    </row>
    <row r="258" customFormat="false" ht="15" hidden="false" customHeight="false" outlineLevel="0" collapsed="false">
      <c r="A258" s="32"/>
      <c r="B258" s="33"/>
      <c r="C258" s="33"/>
      <c r="D258" s="35"/>
    </row>
    <row r="259" customFormat="false" ht="15" hidden="false" customHeight="false" outlineLevel="0" collapsed="false">
      <c r="A259" s="32"/>
      <c r="B259" s="33"/>
      <c r="C259" s="33"/>
      <c r="D259" s="35"/>
    </row>
    <row r="260" customFormat="false" ht="15" hidden="false" customHeight="false" outlineLevel="0" collapsed="false">
      <c r="A260" s="32"/>
      <c r="B260" s="33"/>
      <c r="C260" s="33"/>
      <c r="D260" s="35"/>
    </row>
    <row r="261" customFormat="false" ht="15" hidden="false" customHeight="false" outlineLevel="0" collapsed="false">
      <c r="A261" s="32"/>
      <c r="B261" s="33"/>
      <c r="C261" s="33"/>
      <c r="D261" s="35"/>
    </row>
    <row r="262" customFormat="false" ht="15" hidden="false" customHeight="false" outlineLevel="0" collapsed="false">
      <c r="A262" s="32"/>
      <c r="B262" s="33"/>
      <c r="C262" s="33"/>
      <c r="D262" s="35"/>
    </row>
    <row r="263" customFormat="false" ht="15" hidden="false" customHeight="false" outlineLevel="0" collapsed="false">
      <c r="A263" s="32"/>
      <c r="B263" s="33"/>
      <c r="C263" s="33"/>
      <c r="D263" s="35"/>
    </row>
    <row r="264" customFormat="false" ht="15" hidden="false" customHeight="false" outlineLevel="0" collapsed="false">
      <c r="A264" s="32"/>
      <c r="B264" s="33"/>
      <c r="C264" s="33"/>
      <c r="D264" s="35"/>
    </row>
    <row r="265" customFormat="false" ht="15" hidden="false" customHeight="false" outlineLevel="0" collapsed="false">
      <c r="A265" s="32"/>
      <c r="B265" s="33"/>
      <c r="C265" s="33"/>
      <c r="D265" s="35"/>
    </row>
    <row r="266" customFormat="false" ht="15" hidden="false" customHeight="false" outlineLevel="0" collapsed="false">
      <c r="A266" s="32"/>
      <c r="B266" s="33"/>
      <c r="C266" s="33"/>
      <c r="D266" s="35"/>
    </row>
    <row r="267" customFormat="false" ht="15" hidden="false" customHeight="false" outlineLevel="0" collapsed="false">
      <c r="A267" s="32"/>
      <c r="B267" s="33"/>
      <c r="C267" s="33"/>
      <c r="D267" s="35"/>
    </row>
    <row r="268" customFormat="false" ht="15" hidden="false" customHeight="false" outlineLevel="0" collapsed="false">
      <c r="A268" s="32"/>
      <c r="B268" s="33"/>
      <c r="C268" s="33"/>
      <c r="D268" s="35"/>
    </row>
    <row r="269" customFormat="false" ht="15" hidden="false" customHeight="false" outlineLevel="0" collapsed="false">
      <c r="A269" s="32"/>
      <c r="B269" s="33"/>
      <c r="C269" s="33"/>
      <c r="D269" s="35"/>
    </row>
    <row r="270" customFormat="false" ht="15" hidden="false" customHeight="false" outlineLevel="0" collapsed="false">
      <c r="A270" s="32"/>
      <c r="B270" s="33"/>
      <c r="C270" s="33"/>
      <c r="D270" s="35"/>
    </row>
    <row r="271" customFormat="false" ht="15" hidden="false" customHeight="false" outlineLevel="0" collapsed="false">
      <c r="A271" s="32"/>
      <c r="B271" s="33"/>
      <c r="C271" s="33"/>
      <c r="D271" s="35"/>
    </row>
    <row r="272" customFormat="false" ht="15" hidden="false" customHeight="false" outlineLevel="0" collapsed="false">
      <c r="A272" s="32"/>
      <c r="B272" s="33"/>
      <c r="C272" s="33"/>
      <c r="D272" s="35"/>
    </row>
    <row r="273" customFormat="false" ht="15" hidden="false" customHeight="false" outlineLevel="0" collapsed="false">
      <c r="A273" s="32"/>
      <c r="B273" s="33"/>
      <c r="C273" s="33"/>
      <c r="D273" s="35"/>
    </row>
    <row r="274" customFormat="false" ht="15" hidden="false" customHeight="false" outlineLevel="0" collapsed="false">
      <c r="A274" s="32"/>
      <c r="B274" s="33"/>
      <c r="C274" s="33"/>
      <c r="D274" s="35"/>
    </row>
    <row r="275" customFormat="false" ht="15" hidden="false" customHeight="false" outlineLevel="0" collapsed="false">
      <c r="A275" s="32"/>
      <c r="B275" s="33"/>
      <c r="C275" s="33"/>
      <c r="D275" s="35"/>
    </row>
    <row r="276" customFormat="false" ht="15" hidden="false" customHeight="false" outlineLevel="0" collapsed="false">
      <c r="A276" s="32"/>
      <c r="B276" s="33"/>
      <c r="C276" s="33"/>
      <c r="D276" s="35"/>
    </row>
    <row r="277" customFormat="false" ht="15" hidden="false" customHeight="false" outlineLevel="0" collapsed="false">
      <c r="A277" s="32"/>
      <c r="B277" s="33"/>
      <c r="C277" s="33"/>
      <c r="D277" s="35"/>
    </row>
    <row r="278" customFormat="false" ht="15" hidden="false" customHeight="false" outlineLevel="0" collapsed="false">
      <c r="A278" s="32"/>
      <c r="B278" s="33"/>
      <c r="C278" s="33"/>
      <c r="D278" s="35"/>
    </row>
    <row r="279" customFormat="false" ht="15" hidden="false" customHeight="false" outlineLevel="0" collapsed="false">
      <c r="A279" s="32"/>
      <c r="B279" s="33"/>
      <c r="C279" s="33"/>
      <c r="D279" s="35"/>
    </row>
    <row r="280" customFormat="false" ht="15" hidden="false" customHeight="false" outlineLevel="0" collapsed="false">
      <c r="A280" s="32"/>
      <c r="B280" s="33"/>
      <c r="C280" s="33"/>
      <c r="D280" s="35"/>
    </row>
    <row r="281" customFormat="false" ht="15" hidden="false" customHeight="false" outlineLevel="0" collapsed="false">
      <c r="A281" s="32"/>
      <c r="B281" s="33"/>
      <c r="C281" s="33"/>
      <c r="D281" s="35"/>
    </row>
    <row r="282" customFormat="false" ht="15" hidden="false" customHeight="false" outlineLevel="0" collapsed="false">
      <c r="A282" s="32"/>
      <c r="B282" s="33"/>
      <c r="C282" s="33"/>
      <c r="D282" s="35"/>
    </row>
    <row r="283" customFormat="false" ht="15" hidden="false" customHeight="false" outlineLevel="0" collapsed="false">
      <c r="A283" s="32"/>
      <c r="B283" s="33"/>
      <c r="C283" s="33"/>
      <c r="D283" s="35"/>
    </row>
    <row r="284" customFormat="false" ht="15" hidden="false" customHeight="false" outlineLevel="0" collapsed="false">
      <c r="A284" s="32"/>
      <c r="B284" s="33"/>
      <c r="C284" s="33"/>
      <c r="D284" s="35"/>
    </row>
    <row r="285" customFormat="false" ht="15" hidden="false" customHeight="false" outlineLevel="0" collapsed="false">
      <c r="A285" s="32"/>
      <c r="B285" s="33"/>
      <c r="C285" s="33"/>
      <c r="D285" s="35"/>
    </row>
    <row r="286" customFormat="false" ht="15" hidden="false" customHeight="false" outlineLevel="0" collapsed="false">
      <c r="A286" s="32"/>
      <c r="B286" s="33"/>
      <c r="C286" s="33"/>
      <c r="D286" s="35"/>
    </row>
    <row r="287" customFormat="false" ht="15" hidden="false" customHeight="false" outlineLevel="0" collapsed="false">
      <c r="A287" s="32"/>
      <c r="B287" s="33"/>
      <c r="C287" s="33"/>
      <c r="D287" s="35"/>
    </row>
    <row r="288" customFormat="false" ht="15" hidden="false" customHeight="false" outlineLevel="0" collapsed="false">
      <c r="A288" s="32"/>
      <c r="B288" s="33"/>
      <c r="C288" s="33"/>
      <c r="D288" s="35"/>
    </row>
    <row r="289" customFormat="false" ht="15" hidden="false" customHeight="false" outlineLevel="0" collapsed="false">
      <c r="A289" s="32"/>
      <c r="B289" s="33"/>
      <c r="C289" s="33"/>
      <c r="D289" s="35"/>
    </row>
    <row r="290" customFormat="false" ht="15" hidden="false" customHeight="false" outlineLevel="0" collapsed="false">
      <c r="A290" s="32"/>
      <c r="B290" s="33"/>
      <c r="C290" s="33"/>
      <c r="D290" s="35"/>
    </row>
    <row r="291" customFormat="false" ht="15" hidden="false" customHeight="false" outlineLevel="0" collapsed="false">
      <c r="A291" s="32"/>
      <c r="B291" s="33"/>
      <c r="C291" s="33"/>
      <c r="D291" s="35"/>
    </row>
    <row r="292" customFormat="false" ht="15" hidden="false" customHeight="false" outlineLevel="0" collapsed="false">
      <c r="A292" s="32"/>
      <c r="B292" s="33"/>
      <c r="C292" s="33"/>
      <c r="D292" s="35"/>
    </row>
    <row r="293" customFormat="false" ht="15" hidden="false" customHeight="false" outlineLevel="0" collapsed="false">
      <c r="A293" s="32"/>
      <c r="B293" s="33"/>
      <c r="C293" s="33"/>
      <c r="D293" s="35"/>
    </row>
    <row r="294" customFormat="false" ht="15" hidden="false" customHeight="false" outlineLevel="0" collapsed="false">
      <c r="A294" s="32"/>
      <c r="B294" s="33"/>
      <c r="C294" s="33"/>
      <c r="D294" s="35"/>
    </row>
    <row r="295" customFormat="false" ht="15" hidden="false" customHeight="false" outlineLevel="0" collapsed="false">
      <c r="A295" s="32"/>
      <c r="B295" s="33"/>
      <c r="C295" s="33"/>
      <c r="D295" s="35"/>
    </row>
    <row r="296" customFormat="false" ht="15" hidden="false" customHeight="false" outlineLevel="0" collapsed="false">
      <c r="A296" s="32"/>
      <c r="B296" s="33"/>
      <c r="C296" s="33"/>
      <c r="D296" s="35"/>
    </row>
    <row r="297" customFormat="false" ht="15" hidden="false" customHeight="false" outlineLevel="0" collapsed="false">
      <c r="A297" s="32"/>
      <c r="B297" s="33"/>
      <c r="C297" s="33"/>
      <c r="D297" s="35"/>
    </row>
    <row r="298" customFormat="false" ht="15" hidden="false" customHeight="false" outlineLevel="0" collapsed="false">
      <c r="A298" s="32"/>
      <c r="B298" s="33"/>
      <c r="C298" s="33"/>
      <c r="D298" s="35"/>
    </row>
    <row r="299" customFormat="false" ht="15" hidden="false" customHeight="false" outlineLevel="0" collapsed="false">
      <c r="A299" s="32"/>
      <c r="B299" s="33"/>
      <c r="C299" s="33"/>
      <c r="D299" s="35"/>
    </row>
    <row r="300" customFormat="false" ht="15" hidden="false" customHeight="false" outlineLevel="0" collapsed="false">
      <c r="A300" s="32"/>
      <c r="B300" s="33"/>
      <c r="C300" s="33"/>
      <c r="D300" s="35"/>
    </row>
    <row r="301" customFormat="false" ht="15" hidden="false" customHeight="false" outlineLevel="0" collapsed="false">
      <c r="A301" s="32"/>
      <c r="B301" s="33"/>
      <c r="C301" s="33"/>
      <c r="D301" s="35"/>
    </row>
    <row r="302" customFormat="false" ht="15" hidden="false" customHeight="false" outlineLevel="0" collapsed="false">
      <c r="A302" s="32"/>
      <c r="B302" s="33"/>
      <c r="C302" s="33"/>
      <c r="D302" s="35"/>
    </row>
    <row r="303" customFormat="false" ht="15" hidden="false" customHeight="false" outlineLevel="0" collapsed="false">
      <c r="A303" s="32"/>
      <c r="B303" s="33"/>
      <c r="C303" s="33"/>
      <c r="D303" s="35"/>
    </row>
    <row r="304" customFormat="false" ht="15" hidden="false" customHeight="false" outlineLevel="0" collapsed="false">
      <c r="A304" s="32"/>
      <c r="B304" s="33"/>
      <c r="C304" s="33"/>
      <c r="D304" s="35"/>
    </row>
    <row r="305" customFormat="false" ht="15" hidden="false" customHeight="false" outlineLevel="0" collapsed="false">
      <c r="A305" s="32"/>
      <c r="B305" s="33"/>
      <c r="C305" s="33"/>
      <c r="D305" s="35"/>
    </row>
    <row r="306" customFormat="false" ht="15" hidden="false" customHeight="false" outlineLevel="0" collapsed="false">
      <c r="A306" s="32"/>
      <c r="B306" s="33"/>
      <c r="C306" s="33"/>
      <c r="D306" s="35"/>
    </row>
    <row r="307" customFormat="false" ht="15" hidden="false" customHeight="false" outlineLevel="0" collapsed="false">
      <c r="A307" s="32"/>
      <c r="B307" s="33"/>
      <c r="C307" s="33"/>
      <c r="D307" s="35"/>
    </row>
    <row r="308" customFormat="false" ht="15" hidden="false" customHeight="false" outlineLevel="0" collapsed="false">
      <c r="A308" s="32"/>
      <c r="B308" s="33"/>
      <c r="C308" s="33"/>
      <c r="D308" s="35"/>
    </row>
    <row r="309" customFormat="false" ht="15" hidden="false" customHeight="false" outlineLevel="0" collapsed="false">
      <c r="A309" s="32"/>
      <c r="B309" s="33"/>
      <c r="C309" s="33"/>
      <c r="D309" s="35"/>
    </row>
    <row r="310" customFormat="false" ht="15" hidden="false" customHeight="false" outlineLevel="0" collapsed="false">
      <c r="A310" s="32"/>
      <c r="B310" s="33"/>
      <c r="C310" s="33"/>
      <c r="D310" s="35"/>
    </row>
    <row r="311" customFormat="false" ht="15" hidden="false" customHeight="false" outlineLevel="0" collapsed="false">
      <c r="A311" s="32"/>
      <c r="B311" s="33"/>
      <c r="C311" s="33"/>
      <c r="D311" s="35"/>
    </row>
    <row r="312" customFormat="false" ht="15" hidden="false" customHeight="false" outlineLevel="0" collapsed="false">
      <c r="A312" s="32"/>
      <c r="B312" s="33"/>
      <c r="C312" s="33"/>
      <c r="D312" s="35"/>
    </row>
    <row r="313" customFormat="false" ht="15" hidden="false" customHeight="false" outlineLevel="0" collapsed="false">
      <c r="A313" s="32"/>
      <c r="B313" s="33"/>
      <c r="C313" s="33"/>
      <c r="D313" s="35"/>
    </row>
    <row r="314" customFormat="false" ht="15" hidden="false" customHeight="false" outlineLevel="0" collapsed="false">
      <c r="A314" s="32"/>
      <c r="B314" s="33"/>
      <c r="C314" s="33"/>
      <c r="D314" s="35"/>
    </row>
    <row r="315" customFormat="false" ht="15" hidden="false" customHeight="false" outlineLevel="0" collapsed="false">
      <c r="A315" s="32"/>
      <c r="B315" s="33"/>
      <c r="C315" s="33"/>
      <c r="D315" s="35"/>
    </row>
    <row r="316" customFormat="false" ht="15" hidden="false" customHeight="false" outlineLevel="0" collapsed="false">
      <c r="A316" s="32"/>
      <c r="B316" s="33"/>
      <c r="C316" s="33"/>
      <c r="D316" s="35"/>
    </row>
    <row r="317" customFormat="false" ht="15" hidden="false" customHeight="false" outlineLevel="0" collapsed="false">
      <c r="A317" s="32"/>
      <c r="B317" s="33"/>
      <c r="C317" s="33"/>
      <c r="D317" s="35"/>
    </row>
    <row r="318" customFormat="false" ht="15" hidden="false" customHeight="false" outlineLevel="0" collapsed="false">
      <c r="A318" s="32"/>
      <c r="B318" s="33"/>
      <c r="C318" s="33"/>
      <c r="D318" s="35"/>
    </row>
    <row r="319" customFormat="false" ht="15" hidden="false" customHeight="false" outlineLevel="0" collapsed="false">
      <c r="A319" s="32"/>
      <c r="B319" s="33"/>
      <c r="C319" s="33"/>
      <c r="D319" s="35"/>
    </row>
    <row r="320" customFormat="false" ht="15" hidden="false" customHeight="false" outlineLevel="0" collapsed="false">
      <c r="A320" s="32"/>
      <c r="B320" s="33"/>
      <c r="C320" s="33"/>
      <c r="D320" s="35"/>
    </row>
    <row r="321" customFormat="false" ht="15" hidden="false" customHeight="false" outlineLevel="0" collapsed="false">
      <c r="A321" s="32"/>
      <c r="B321" s="33"/>
      <c r="C321" s="33"/>
      <c r="D321" s="35"/>
    </row>
    <row r="322" customFormat="false" ht="15" hidden="false" customHeight="false" outlineLevel="0" collapsed="false">
      <c r="A322" s="32"/>
      <c r="B322" s="33"/>
      <c r="C322" s="33"/>
      <c r="D322" s="35"/>
    </row>
    <row r="323" customFormat="false" ht="15" hidden="false" customHeight="false" outlineLevel="0" collapsed="false">
      <c r="A323" s="32"/>
      <c r="B323" s="33"/>
      <c r="C323" s="33"/>
      <c r="D323" s="35"/>
    </row>
    <row r="324" customFormat="false" ht="15" hidden="false" customHeight="false" outlineLevel="0" collapsed="false">
      <c r="A324" s="32"/>
      <c r="B324" s="33"/>
      <c r="C324" s="33"/>
      <c r="D324" s="35"/>
    </row>
    <row r="325" customFormat="false" ht="15" hidden="false" customHeight="false" outlineLevel="0" collapsed="false">
      <c r="A325" s="32"/>
      <c r="B325" s="33"/>
      <c r="C325" s="33"/>
      <c r="D325" s="35"/>
    </row>
    <row r="326" customFormat="false" ht="15" hidden="false" customHeight="false" outlineLevel="0" collapsed="false">
      <c r="A326" s="32"/>
      <c r="B326" s="33"/>
      <c r="C326" s="33"/>
      <c r="D326" s="35"/>
    </row>
    <row r="327" customFormat="false" ht="15" hidden="false" customHeight="false" outlineLevel="0" collapsed="false">
      <c r="A327" s="32"/>
      <c r="B327" s="33"/>
      <c r="C327" s="33"/>
      <c r="D327" s="35"/>
    </row>
    <row r="328" customFormat="false" ht="15" hidden="false" customHeight="false" outlineLevel="0" collapsed="false">
      <c r="A328" s="32"/>
      <c r="B328" s="33"/>
      <c r="C328" s="33"/>
      <c r="D328" s="35"/>
    </row>
    <row r="329" customFormat="false" ht="15" hidden="false" customHeight="false" outlineLevel="0" collapsed="false">
      <c r="A329" s="32"/>
      <c r="B329" s="33"/>
      <c r="C329" s="33"/>
      <c r="D329" s="35"/>
    </row>
    <row r="330" customFormat="false" ht="15" hidden="false" customHeight="false" outlineLevel="0" collapsed="false">
      <c r="A330" s="32"/>
      <c r="B330" s="33"/>
      <c r="C330" s="33"/>
      <c r="D330" s="35"/>
    </row>
    <row r="331" customFormat="false" ht="15" hidden="false" customHeight="false" outlineLevel="0" collapsed="false">
      <c r="A331" s="32"/>
      <c r="B331" s="33"/>
      <c r="C331" s="33"/>
      <c r="D331" s="35"/>
    </row>
    <row r="332" customFormat="false" ht="15" hidden="false" customHeight="false" outlineLevel="0" collapsed="false">
      <c r="A332" s="32"/>
      <c r="B332" s="33"/>
      <c r="C332" s="33"/>
      <c r="D332" s="35"/>
    </row>
    <row r="333" customFormat="false" ht="15" hidden="false" customHeight="false" outlineLevel="0" collapsed="false">
      <c r="A333" s="32"/>
      <c r="B333" s="33"/>
      <c r="C333" s="33"/>
      <c r="D333" s="35"/>
    </row>
    <row r="334" customFormat="false" ht="15" hidden="false" customHeight="false" outlineLevel="0" collapsed="false">
      <c r="A334" s="32"/>
      <c r="B334" s="33"/>
      <c r="C334" s="33"/>
      <c r="D334" s="35"/>
    </row>
    <row r="335" customFormat="false" ht="15" hidden="false" customHeight="false" outlineLevel="0" collapsed="false">
      <c r="A335" s="32"/>
      <c r="B335" s="33"/>
      <c r="C335" s="33"/>
      <c r="D335" s="35"/>
    </row>
    <row r="336" customFormat="false" ht="15" hidden="false" customHeight="false" outlineLevel="0" collapsed="false">
      <c r="A336" s="32"/>
      <c r="B336" s="33"/>
      <c r="C336" s="33"/>
      <c r="D336" s="35"/>
    </row>
    <row r="337" customFormat="false" ht="15" hidden="false" customHeight="false" outlineLevel="0" collapsed="false">
      <c r="A337" s="32"/>
      <c r="B337" s="33"/>
      <c r="C337" s="33"/>
      <c r="D337" s="35"/>
    </row>
    <row r="338" customFormat="false" ht="15" hidden="false" customHeight="false" outlineLevel="0" collapsed="false">
      <c r="A338" s="32"/>
      <c r="B338" s="33"/>
      <c r="C338" s="33"/>
      <c r="D338" s="35"/>
    </row>
    <row r="339" customFormat="false" ht="15" hidden="false" customHeight="false" outlineLevel="0" collapsed="false">
      <c r="A339" s="32"/>
      <c r="B339" s="33"/>
      <c r="C339" s="33"/>
      <c r="D339" s="35"/>
    </row>
    <row r="340" customFormat="false" ht="15" hidden="false" customHeight="false" outlineLevel="0" collapsed="false">
      <c r="A340" s="32"/>
      <c r="B340" s="33"/>
      <c r="C340" s="33"/>
      <c r="D340" s="35"/>
    </row>
    <row r="341" customFormat="false" ht="15" hidden="false" customHeight="false" outlineLevel="0" collapsed="false">
      <c r="A341" s="32"/>
      <c r="B341" s="33"/>
      <c r="C341" s="33"/>
      <c r="D341" s="35"/>
    </row>
    <row r="342" customFormat="false" ht="15" hidden="false" customHeight="false" outlineLevel="0" collapsed="false">
      <c r="A342" s="32"/>
      <c r="B342" s="33"/>
      <c r="C342" s="33"/>
      <c r="D342" s="35"/>
    </row>
    <row r="343" customFormat="false" ht="15" hidden="false" customHeight="false" outlineLevel="0" collapsed="false">
      <c r="A343" s="32"/>
      <c r="B343" s="33"/>
      <c r="C343" s="33"/>
      <c r="D343" s="35"/>
    </row>
    <row r="344" customFormat="false" ht="15" hidden="false" customHeight="false" outlineLevel="0" collapsed="false">
      <c r="A344" s="32"/>
      <c r="B344" s="33"/>
      <c r="C344" s="33"/>
      <c r="D344" s="35"/>
    </row>
    <row r="345" customFormat="false" ht="15" hidden="false" customHeight="false" outlineLevel="0" collapsed="false">
      <c r="A345" s="32"/>
      <c r="B345" s="33"/>
      <c r="C345" s="33"/>
      <c r="D345" s="35"/>
    </row>
    <row r="346" customFormat="false" ht="15" hidden="false" customHeight="false" outlineLevel="0" collapsed="false">
      <c r="A346" s="32"/>
      <c r="B346" s="33"/>
      <c r="C346" s="33"/>
      <c r="D346" s="35"/>
    </row>
    <row r="347" customFormat="false" ht="15" hidden="false" customHeight="false" outlineLevel="0" collapsed="false">
      <c r="A347" s="32"/>
      <c r="B347" s="33"/>
      <c r="C347" s="33"/>
      <c r="D347" s="35"/>
    </row>
    <row r="348" customFormat="false" ht="15" hidden="false" customHeight="false" outlineLevel="0" collapsed="false">
      <c r="A348" s="32"/>
      <c r="B348" s="33"/>
      <c r="C348" s="33"/>
      <c r="D348" s="35"/>
    </row>
    <row r="349" customFormat="false" ht="15" hidden="false" customHeight="false" outlineLevel="0" collapsed="false">
      <c r="A349" s="32"/>
      <c r="B349" s="33"/>
      <c r="C349" s="33"/>
      <c r="D349" s="35"/>
    </row>
    <row r="350" customFormat="false" ht="15" hidden="false" customHeight="false" outlineLevel="0" collapsed="false">
      <c r="A350" s="32"/>
      <c r="B350" s="33"/>
      <c r="C350" s="33"/>
      <c r="D350" s="35"/>
    </row>
    <row r="351" customFormat="false" ht="15" hidden="false" customHeight="false" outlineLevel="0" collapsed="false">
      <c r="A351" s="32"/>
      <c r="B351" s="33"/>
      <c r="C351" s="33"/>
      <c r="D351" s="35"/>
    </row>
    <row r="352" customFormat="false" ht="15" hidden="false" customHeight="false" outlineLevel="0" collapsed="false">
      <c r="A352" s="32"/>
      <c r="B352" s="33"/>
      <c r="C352" s="33"/>
      <c r="D352" s="35"/>
    </row>
    <row r="353" customFormat="false" ht="15" hidden="false" customHeight="false" outlineLevel="0" collapsed="false">
      <c r="A353" s="32"/>
      <c r="B353" s="33"/>
      <c r="C353" s="33"/>
      <c r="D353" s="35"/>
    </row>
    <row r="354" customFormat="false" ht="15" hidden="false" customHeight="false" outlineLevel="0" collapsed="false">
      <c r="A354" s="32"/>
      <c r="B354" s="33"/>
      <c r="C354" s="33"/>
      <c r="D354" s="35"/>
    </row>
    <row r="355" customFormat="false" ht="15" hidden="false" customHeight="false" outlineLevel="0" collapsed="false">
      <c r="A355" s="32"/>
      <c r="B355" s="33"/>
      <c r="C355" s="33"/>
      <c r="D355" s="35"/>
    </row>
    <row r="356" customFormat="false" ht="15" hidden="false" customHeight="false" outlineLevel="0" collapsed="false">
      <c r="A356" s="32"/>
      <c r="B356" s="33"/>
      <c r="C356" s="33"/>
      <c r="D356" s="35"/>
    </row>
    <row r="357" customFormat="false" ht="15" hidden="false" customHeight="false" outlineLevel="0" collapsed="false">
      <c r="A357" s="32"/>
      <c r="B357" s="33"/>
      <c r="C357" s="33"/>
      <c r="D357" s="35"/>
    </row>
    <row r="358" customFormat="false" ht="15" hidden="false" customHeight="false" outlineLevel="0" collapsed="false">
      <c r="A358" s="32"/>
      <c r="B358" s="33"/>
      <c r="C358" s="33"/>
      <c r="D358" s="35"/>
    </row>
    <row r="359" customFormat="false" ht="15" hidden="false" customHeight="false" outlineLevel="0" collapsed="false">
      <c r="A359" s="32"/>
      <c r="B359" s="33"/>
      <c r="C359" s="33"/>
      <c r="D359" s="35"/>
    </row>
    <row r="360" customFormat="false" ht="15" hidden="false" customHeight="false" outlineLevel="0" collapsed="false">
      <c r="A360" s="32"/>
      <c r="B360" s="33"/>
      <c r="C360" s="33"/>
      <c r="D360" s="35"/>
    </row>
    <row r="361" customFormat="false" ht="15" hidden="false" customHeight="false" outlineLevel="0" collapsed="false">
      <c r="A361" s="32"/>
      <c r="B361" s="33"/>
      <c r="C361" s="33"/>
      <c r="D361" s="35"/>
    </row>
    <row r="362" customFormat="false" ht="15" hidden="false" customHeight="false" outlineLevel="0" collapsed="false">
      <c r="A362" s="32"/>
      <c r="B362" s="33"/>
      <c r="C362" s="33"/>
      <c r="D362" s="35"/>
    </row>
    <row r="363" customFormat="false" ht="15" hidden="false" customHeight="false" outlineLevel="0" collapsed="false">
      <c r="A363" s="32"/>
      <c r="B363" s="33"/>
      <c r="C363" s="33"/>
      <c r="D363" s="35"/>
    </row>
    <row r="364" customFormat="false" ht="15" hidden="false" customHeight="false" outlineLevel="0" collapsed="false">
      <c r="A364" s="32"/>
      <c r="B364" s="33"/>
      <c r="C364" s="33"/>
      <c r="D364" s="35"/>
    </row>
    <row r="365" customFormat="false" ht="15" hidden="false" customHeight="false" outlineLevel="0" collapsed="false">
      <c r="A365" s="32"/>
      <c r="B365" s="33"/>
      <c r="C365" s="33"/>
      <c r="D365" s="35"/>
    </row>
    <row r="366" customFormat="false" ht="15" hidden="false" customHeight="false" outlineLevel="0" collapsed="false">
      <c r="A366" s="32"/>
      <c r="B366" s="33"/>
      <c r="C366" s="33"/>
      <c r="D366" s="35"/>
    </row>
    <row r="367" customFormat="false" ht="15" hidden="false" customHeight="false" outlineLevel="0" collapsed="false">
      <c r="A367" s="32"/>
      <c r="B367" s="33"/>
      <c r="C367" s="33"/>
      <c r="D367" s="35"/>
    </row>
    <row r="368" customFormat="false" ht="15" hidden="false" customHeight="false" outlineLevel="0" collapsed="false">
      <c r="A368" s="32"/>
      <c r="B368" s="33"/>
      <c r="C368" s="33"/>
      <c r="D368" s="35"/>
    </row>
    <row r="369" customFormat="false" ht="15" hidden="false" customHeight="false" outlineLevel="0" collapsed="false">
      <c r="A369" s="32"/>
      <c r="B369" s="33"/>
      <c r="C369" s="33"/>
      <c r="D369" s="35"/>
    </row>
    <row r="370" customFormat="false" ht="15" hidden="false" customHeight="false" outlineLevel="0" collapsed="false">
      <c r="A370" s="32"/>
      <c r="B370" s="33"/>
      <c r="C370" s="33"/>
      <c r="D370" s="35"/>
    </row>
    <row r="371" customFormat="false" ht="15" hidden="false" customHeight="false" outlineLevel="0" collapsed="false">
      <c r="A371" s="32"/>
      <c r="B371" s="33"/>
      <c r="C371" s="33"/>
      <c r="D371" s="35"/>
    </row>
    <row r="372" customFormat="false" ht="15" hidden="false" customHeight="false" outlineLevel="0" collapsed="false">
      <c r="A372" s="32"/>
      <c r="B372" s="33"/>
      <c r="C372" s="33"/>
      <c r="D372" s="35"/>
    </row>
    <row r="373" customFormat="false" ht="15" hidden="false" customHeight="false" outlineLevel="0" collapsed="false">
      <c r="A373" s="32"/>
      <c r="B373" s="33"/>
      <c r="C373" s="33"/>
      <c r="D373" s="35"/>
    </row>
    <row r="374" customFormat="false" ht="15" hidden="false" customHeight="false" outlineLevel="0" collapsed="false">
      <c r="A374" s="32"/>
      <c r="B374" s="33"/>
      <c r="C374" s="33"/>
      <c r="D374" s="35"/>
    </row>
    <row r="375" customFormat="false" ht="15" hidden="false" customHeight="false" outlineLevel="0" collapsed="false">
      <c r="A375" s="32"/>
      <c r="B375" s="33"/>
      <c r="C375" s="33"/>
      <c r="D375" s="35"/>
    </row>
    <row r="376" customFormat="false" ht="15" hidden="false" customHeight="false" outlineLevel="0" collapsed="false">
      <c r="A376" s="32"/>
      <c r="B376" s="33"/>
      <c r="C376" s="33"/>
      <c r="D376" s="35"/>
    </row>
    <row r="377" customFormat="false" ht="15" hidden="false" customHeight="false" outlineLevel="0" collapsed="false">
      <c r="A377" s="32"/>
      <c r="B377" s="33"/>
      <c r="C377" s="33"/>
      <c r="D377" s="35"/>
    </row>
    <row r="378" customFormat="false" ht="15" hidden="false" customHeight="false" outlineLevel="0" collapsed="false">
      <c r="A378" s="32"/>
      <c r="B378" s="33"/>
      <c r="C378" s="33"/>
      <c r="D378" s="35"/>
    </row>
    <row r="379" customFormat="false" ht="15" hidden="false" customHeight="false" outlineLevel="0" collapsed="false">
      <c r="A379" s="32"/>
      <c r="B379" s="33"/>
      <c r="C379" s="33"/>
      <c r="D379" s="35"/>
    </row>
    <row r="380" customFormat="false" ht="15" hidden="false" customHeight="false" outlineLevel="0" collapsed="false">
      <c r="A380" s="32"/>
      <c r="B380" s="33"/>
      <c r="C380" s="33"/>
      <c r="D380" s="35"/>
    </row>
    <row r="381" customFormat="false" ht="15" hidden="false" customHeight="false" outlineLevel="0" collapsed="false">
      <c r="A381" s="32"/>
      <c r="B381" s="33"/>
      <c r="C381" s="33"/>
      <c r="D381" s="35"/>
    </row>
    <row r="382" customFormat="false" ht="15" hidden="false" customHeight="false" outlineLevel="0" collapsed="false">
      <c r="A382" s="32"/>
      <c r="B382" s="33"/>
      <c r="C382" s="33"/>
      <c r="D382" s="35"/>
    </row>
    <row r="383" customFormat="false" ht="15" hidden="false" customHeight="false" outlineLevel="0" collapsed="false">
      <c r="A383" s="32"/>
      <c r="B383" s="33"/>
      <c r="C383" s="33"/>
      <c r="D383" s="35"/>
    </row>
    <row r="384" customFormat="false" ht="15" hidden="false" customHeight="false" outlineLevel="0" collapsed="false">
      <c r="A384" s="32"/>
      <c r="B384" s="33"/>
      <c r="C384" s="33"/>
      <c r="D384" s="35"/>
    </row>
    <row r="385" customFormat="false" ht="15" hidden="false" customHeight="false" outlineLevel="0" collapsed="false">
      <c r="A385" s="32"/>
      <c r="B385" s="33"/>
      <c r="C385" s="33"/>
      <c r="D385" s="35"/>
    </row>
    <row r="386" customFormat="false" ht="15" hidden="false" customHeight="false" outlineLevel="0" collapsed="false">
      <c r="A386" s="32"/>
      <c r="B386" s="33"/>
      <c r="C386" s="33"/>
      <c r="D386" s="35"/>
    </row>
    <row r="387" customFormat="false" ht="15" hidden="false" customHeight="false" outlineLevel="0" collapsed="false">
      <c r="A387" s="32"/>
      <c r="B387" s="33"/>
      <c r="C387" s="33"/>
      <c r="D387" s="35"/>
    </row>
    <row r="388" customFormat="false" ht="15" hidden="false" customHeight="false" outlineLevel="0" collapsed="false">
      <c r="A388" s="32"/>
      <c r="B388" s="33"/>
      <c r="C388" s="33"/>
      <c r="D388" s="35"/>
    </row>
    <row r="389" customFormat="false" ht="15" hidden="false" customHeight="false" outlineLevel="0" collapsed="false">
      <c r="A389" s="32"/>
      <c r="B389" s="33"/>
      <c r="C389" s="33"/>
      <c r="D389" s="35"/>
    </row>
    <row r="390" customFormat="false" ht="15" hidden="false" customHeight="false" outlineLevel="0" collapsed="false">
      <c r="A390" s="32"/>
      <c r="B390" s="33"/>
      <c r="C390" s="33"/>
      <c r="D390" s="35"/>
    </row>
    <row r="391" customFormat="false" ht="15" hidden="false" customHeight="false" outlineLevel="0" collapsed="false">
      <c r="A391" s="32"/>
      <c r="B391" s="33"/>
      <c r="C391" s="33"/>
      <c r="D391" s="35"/>
    </row>
    <row r="392" customFormat="false" ht="15" hidden="false" customHeight="false" outlineLevel="0" collapsed="false">
      <c r="A392" s="32"/>
      <c r="B392" s="33"/>
      <c r="C392" s="33"/>
      <c r="D392" s="35"/>
    </row>
    <row r="393" customFormat="false" ht="15" hidden="false" customHeight="false" outlineLevel="0" collapsed="false">
      <c r="A393" s="32"/>
      <c r="B393" s="33"/>
      <c r="C393" s="33"/>
      <c r="D393" s="35"/>
    </row>
    <row r="394" customFormat="false" ht="15" hidden="false" customHeight="false" outlineLevel="0" collapsed="false">
      <c r="A394" s="32"/>
      <c r="B394" s="33"/>
      <c r="C394" s="33"/>
      <c r="D394" s="35"/>
    </row>
    <row r="395" customFormat="false" ht="15" hidden="false" customHeight="false" outlineLevel="0" collapsed="false">
      <c r="A395" s="32"/>
      <c r="B395" s="33"/>
      <c r="C395" s="33"/>
      <c r="D395" s="35"/>
    </row>
    <row r="396" customFormat="false" ht="15" hidden="false" customHeight="false" outlineLevel="0" collapsed="false">
      <c r="A396" s="32"/>
      <c r="B396" s="33"/>
      <c r="C396" s="33"/>
      <c r="D396" s="35"/>
    </row>
    <row r="397" customFormat="false" ht="15" hidden="false" customHeight="false" outlineLevel="0" collapsed="false">
      <c r="A397" s="32"/>
      <c r="B397" s="33"/>
      <c r="C397" s="33"/>
      <c r="D397" s="35"/>
    </row>
    <row r="398" customFormat="false" ht="15" hidden="false" customHeight="false" outlineLevel="0" collapsed="false">
      <c r="A398" s="32"/>
      <c r="B398" s="33"/>
      <c r="C398" s="33"/>
      <c r="D398" s="35"/>
    </row>
    <row r="399" customFormat="false" ht="15" hidden="false" customHeight="false" outlineLevel="0" collapsed="false">
      <c r="A399" s="32"/>
      <c r="B399" s="33"/>
      <c r="C399" s="33"/>
      <c r="D399" s="35"/>
    </row>
    <row r="400" customFormat="false" ht="15" hidden="false" customHeight="false" outlineLevel="0" collapsed="false">
      <c r="A400" s="32"/>
      <c r="B400" s="33"/>
      <c r="C400" s="33"/>
      <c r="D400" s="35"/>
    </row>
    <row r="401" customFormat="false" ht="15" hidden="false" customHeight="false" outlineLevel="0" collapsed="false">
      <c r="A401" s="32"/>
      <c r="B401" s="33"/>
      <c r="C401" s="33"/>
      <c r="D401" s="35"/>
    </row>
    <row r="402" customFormat="false" ht="15" hidden="false" customHeight="false" outlineLevel="0" collapsed="false">
      <c r="A402" s="32"/>
      <c r="B402" s="33"/>
      <c r="C402" s="33"/>
      <c r="D402" s="35"/>
    </row>
    <row r="403" customFormat="false" ht="15" hidden="false" customHeight="false" outlineLevel="0" collapsed="false">
      <c r="A403" s="32"/>
      <c r="B403" s="33"/>
      <c r="C403" s="33"/>
      <c r="D403" s="35"/>
    </row>
    <row r="404" customFormat="false" ht="15" hidden="false" customHeight="false" outlineLevel="0" collapsed="false">
      <c r="A404" s="32"/>
      <c r="B404" s="33"/>
      <c r="C404" s="33"/>
      <c r="D404" s="35"/>
    </row>
    <row r="405" customFormat="false" ht="15" hidden="false" customHeight="false" outlineLevel="0" collapsed="false">
      <c r="A405" s="32"/>
      <c r="B405" s="33"/>
      <c r="C405" s="33"/>
      <c r="D405" s="35"/>
    </row>
    <row r="406" customFormat="false" ht="15" hidden="false" customHeight="false" outlineLevel="0" collapsed="false">
      <c r="A406" s="32"/>
      <c r="B406" s="33"/>
      <c r="C406" s="33"/>
      <c r="D406" s="35"/>
    </row>
    <row r="407" customFormat="false" ht="15" hidden="false" customHeight="false" outlineLevel="0" collapsed="false">
      <c r="A407" s="32"/>
      <c r="B407" s="33"/>
      <c r="C407" s="33"/>
      <c r="D407" s="35"/>
    </row>
    <row r="408" customFormat="false" ht="15" hidden="false" customHeight="false" outlineLevel="0" collapsed="false">
      <c r="A408" s="32"/>
      <c r="B408" s="33"/>
      <c r="C408" s="33"/>
      <c r="D408" s="35"/>
    </row>
    <row r="409" customFormat="false" ht="15" hidden="false" customHeight="false" outlineLevel="0" collapsed="false">
      <c r="A409" s="32"/>
      <c r="B409" s="33"/>
      <c r="C409" s="33"/>
      <c r="D409" s="35"/>
    </row>
    <row r="410" customFormat="false" ht="15" hidden="false" customHeight="false" outlineLevel="0" collapsed="false">
      <c r="A410" s="32"/>
      <c r="B410" s="33"/>
      <c r="C410" s="33"/>
      <c r="D410" s="35"/>
    </row>
    <row r="411" customFormat="false" ht="15" hidden="false" customHeight="false" outlineLevel="0" collapsed="false">
      <c r="A411" s="32"/>
      <c r="B411" s="33"/>
      <c r="C411" s="33"/>
      <c r="D411" s="35"/>
    </row>
    <row r="412" customFormat="false" ht="15" hidden="false" customHeight="false" outlineLevel="0" collapsed="false">
      <c r="A412" s="32"/>
      <c r="B412" s="33"/>
      <c r="C412" s="33"/>
      <c r="D412" s="35"/>
    </row>
    <row r="413" customFormat="false" ht="15" hidden="false" customHeight="false" outlineLevel="0" collapsed="false">
      <c r="A413" s="32"/>
      <c r="B413" s="33"/>
      <c r="C413" s="33"/>
      <c r="D413" s="35"/>
    </row>
    <row r="414" customFormat="false" ht="15" hidden="false" customHeight="false" outlineLevel="0" collapsed="false">
      <c r="A414" s="32"/>
      <c r="B414" s="33"/>
      <c r="C414" s="33"/>
      <c r="D414" s="35"/>
    </row>
    <row r="415" customFormat="false" ht="15" hidden="false" customHeight="false" outlineLevel="0" collapsed="false">
      <c r="A415" s="32"/>
      <c r="B415" s="33"/>
      <c r="C415" s="33"/>
      <c r="D415" s="35"/>
    </row>
    <row r="416" customFormat="false" ht="15" hidden="false" customHeight="false" outlineLevel="0" collapsed="false">
      <c r="A416" s="32"/>
      <c r="B416" s="33"/>
      <c r="C416" s="33"/>
      <c r="D416" s="35"/>
    </row>
    <row r="417" customFormat="false" ht="15" hidden="false" customHeight="false" outlineLevel="0" collapsed="false">
      <c r="A417" s="32"/>
      <c r="B417" s="33"/>
      <c r="C417" s="33"/>
      <c r="D417" s="35"/>
    </row>
    <row r="418" customFormat="false" ht="15" hidden="false" customHeight="false" outlineLevel="0" collapsed="false">
      <c r="A418" s="32"/>
      <c r="B418" s="33"/>
      <c r="C418" s="33"/>
      <c r="D418" s="35"/>
    </row>
    <row r="419" customFormat="false" ht="15" hidden="false" customHeight="false" outlineLevel="0" collapsed="false">
      <c r="A419" s="32"/>
      <c r="B419" s="33"/>
      <c r="C419" s="33"/>
      <c r="D419" s="35"/>
    </row>
    <row r="420" customFormat="false" ht="15" hidden="false" customHeight="false" outlineLevel="0" collapsed="false">
      <c r="A420" s="32"/>
      <c r="B420" s="33"/>
      <c r="C420" s="33"/>
      <c r="D420" s="35"/>
    </row>
    <row r="421" customFormat="false" ht="15" hidden="false" customHeight="false" outlineLevel="0" collapsed="false">
      <c r="A421" s="32"/>
      <c r="B421" s="33"/>
      <c r="C421" s="33"/>
      <c r="D421" s="35"/>
    </row>
    <row r="422" customFormat="false" ht="15" hidden="false" customHeight="false" outlineLevel="0" collapsed="false">
      <c r="A422" s="32"/>
      <c r="B422" s="33"/>
      <c r="C422" s="33"/>
      <c r="D422" s="35"/>
    </row>
    <row r="423" customFormat="false" ht="15" hidden="false" customHeight="false" outlineLevel="0" collapsed="false">
      <c r="A423" s="32"/>
      <c r="B423" s="33"/>
      <c r="C423" s="33"/>
      <c r="D423" s="35"/>
    </row>
    <row r="424" customFormat="false" ht="15" hidden="false" customHeight="false" outlineLevel="0" collapsed="false">
      <c r="A424" s="32"/>
      <c r="B424" s="33"/>
      <c r="C424" s="33"/>
      <c r="D424" s="35"/>
    </row>
    <row r="425" customFormat="false" ht="15" hidden="false" customHeight="false" outlineLevel="0" collapsed="false">
      <c r="A425" s="32"/>
      <c r="B425" s="33"/>
      <c r="C425" s="33"/>
      <c r="D425" s="35"/>
    </row>
    <row r="426" customFormat="false" ht="15" hidden="false" customHeight="false" outlineLevel="0" collapsed="false">
      <c r="A426" s="32"/>
      <c r="B426" s="33"/>
      <c r="C426" s="33"/>
      <c r="D426" s="35"/>
    </row>
    <row r="427" customFormat="false" ht="15" hidden="false" customHeight="false" outlineLevel="0" collapsed="false">
      <c r="A427" s="32"/>
      <c r="B427" s="33"/>
      <c r="C427" s="33"/>
      <c r="D427" s="35"/>
    </row>
    <row r="428" customFormat="false" ht="15" hidden="false" customHeight="false" outlineLevel="0" collapsed="false">
      <c r="A428" s="32"/>
      <c r="B428" s="33"/>
      <c r="C428" s="33"/>
      <c r="D428" s="35"/>
    </row>
    <row r="429" customFormat="false" ht="15" hidden="false" customHeight="false" outlineLevel="0" collapsed="false">
      <c r="A429" s="32"/>
      <c r="B429" s="33"/>
      <c r="C429" s="33"/>
      <c r="D429" s="35"/>
    </row>
    <row r="430" customFormat="false" ht="15" hidden="false" customHeight="false" outlineLevel="0" collapsed="false">
      <c r="A430" s="32"/>
      <c r="B430" s="33"/>
      <c r="C430" s="33"/>
      <c r="D430" s="35"/>
    </row>
    <row r="431" customFormat="false" ht="15" hidden="false" customHeight="false" outlineLevel="0" collapsed="false">
      <c r="A431" s="32"/>
      <c r="B431" s="33"/>
      <c r="C431" s="33"/>
      <c r="D431" s="35"/>
    </row>
    <row r="432" customFormat="false" ht="15" hidden="false" customHeight="false" outlineLevel="0" collapsed="false">
      <c r="A432" s="32"/>
      <c r="B432" s="33"/>
      <c r="C432" s="33"/>
      <c r="D432" s="35"/>
    </row>
    <row r="433" customFormat="false" ht="15" hidden="false" customHeight="false" outlineLevel="0" collapsed="false">
      <c r="A433" s="32"/>
      <c r="B433" s="33"/>
      <c r="C433" s="33"/>
      <c r="D433" s="35"/>
    </row>
    <row r="434" customFormat="false" ht="15" hidden="false" customHeight="false" outlineLevel="0" collapsed="false">
      <c r="A434" s="32"/>
      <c r="B434" s="33"/>
      <c r="C434" s="33"/>
      <c r="D434" s="35"/>
    </row>
    <row r="435" customFormat="false" ht="15" hidden="false" customHeight="false" outlineLevel="0" collapsed="false">
      <c r="A435" s="32"/>
      <c r="B435" s="33"/>
      <c r="C435" s="33"/>
      <c r="D435" s="35"/>
    </row>
    <row r="436" customFormat="false" ht="15" hidden="false" customHeight="false" outlineLevel="0" collapsed="false">
      <c r="A436" s="32"/>
      <c r="B436" s="33"/>
      <c r="C436" s="33"/>
      <c r="D436" s="35"/>
    </row>
    <row r="437" customFormat="false" ht="15" hidden="false" customHeight="false" outlineLevel="0" collapsed="false">
      <c r="A437" s="32"/>
      <c r="B437" s="33"/>
      <c r="C437" s="33"/>
      <c r="D437" s="35"/>
    </row>
    <row r="438" customFormat="false" ht="15" hidden="false" customHeight="false" outlineLevel="0" collapsed="false">
      <c r="A438" s="32"/>
      <c r="B438" s="33"/>
      <c r="C438" s="33"/>
      <c r="D438" s="35"/>
    </row>
    <row r="439" customFormat="false" ht="15" hidden="false" customHeight="false" outlineLevel="0" collapsed="false">
      <c r="A439" s="32"/>
      <c r="B439" s="33"/>
      <c r="C439" s="33"/>
      <c r="D439" s="35"/>
    </row>
    <row r="440" customFormat="false" ht="15" hidden="false" customHeight="false" outlineLevel="0" collapsed="false">
      <c r="A440" s="32"/>
      <c r="B440" s="33"/>
      <c r="C440" s="33"/>
      <c r="D440" s="35"/>
    </row>
    <row r="441" customFormat="false" ht="15" hidden="false" customHeight="false" outlineLevel="0" collapsed="false">
      <c r="A441" s="32"/>
      <c r="B441" s="33"/>
      <c r="C441" s="33"/>
      <c r="D441" s="35"/>
    </row>
    <row r="442" customFormat="false" ht="15" hidden="false" customHeight="false" outlineLevel="0" collapsed="false">
      <c r="A442" s="32"/>
      <c r="B442" s="33"/>
      <c r="C442" s="33"/>
      <c r="D442" s="35"/>
    </row>
    <row r="443" customFormat="false" ht="15" hidden="false" customHeight="false" outlineLevel="0" collapsed="false">
      <c r="A443" s="32"/>
      <c r="B443" s="33"/>
      <c r="C443" s="33"/>
      <c r="D443" s="35"/>
    </row>
    <row r="444" customFormat="false" ht="15" hidden="false" customHeight="false" outlineLevel="0" collapsed="false">
      <c r="A444" s="32"/>
      <c r="B444" s="33"/>
      <c r="C444" s="33"/>
      <c r="D444" s="35"/>
    </row>
    <row r="445" customFormat="false" ht="15" hidden="false" customHeight="false" outlineLevel="0" collapsed="false">
      <c r="A445" s="32"/>
      <c r="B445" s="33"/>
      <c r="C445" s="33"/>
      <c r="D445" s="35"/>
    </row>
    <row r="446" customFormat="false" ht="15" hidden="false" customHeight="false" outlineLevel="0" collapsed="false">
      <c r="A446" s="32"/>
      <c r="B446" s="33"/>
      <c r="C446" s="33"/>
      <c r="D446" s="35"/>
    </row>
    <row r="447" customFormat="false" ht="15" hidden="false" customHeight="false" outlineLevel="0" collapsed="false">
      <c r="A447" s="32"/>
      <c r="B447" s="33"/>
      <c r="C447" s="33"/>
      <c r="D447" s="35"/>
    </row>
    <row r="448" customFormat="false" ht="15" hidden="false" customHeight="false" outlineLevel="0" collapsed="false">
      <c r="A448" s="32"/>
      <c r="B448" s="33"/>
      <c r="C448" s="33"/>
      <c r="D448" s="35"/>
    </row>
    <row r="449" customFormat="false" ht="15" hidden="false" customHeight="false" outlineLevel="0" collapsed="false">
      <c r="A449" s="32"/>
      <c r="B449" s="33"/>
      <c r="C449" s="33"/>
      <c r="D449" s="35"/>
    </row>
    <row r="450" customFormat="false" ht="15" hidden="false" customHeight="false" outlineLevel="0" collapsed="false">
      <c r="A450" s="32"/>
      <c r="B450" s="33"/>
      <c r="C450" s="33"/>
      <c r="D450" s="35"/>
    </row>
    <row r="451" customFormat="false" ht="15" hidden="false" customHeight="false" outlineLevel="0" collapsed="false">
      <c r="A451" s="32"/>
      <c r="B451" s="33"/>
      <c r="C451" s="33"/>
      <c r="D451" s="35"/>
    </row>
    <row r="452" customFormat="false" ht="15" hidden="false" customHeight="false" outlineLevel="0" collapsed="false">
      <c r="A452" s="32"/>
      <c r="B452" s="33"/>
      <c r="C452" s="33"/>
      <c r="D452" s="35"/>
    </row>
    <row r="453" customFormat="false" ht="15" hidden="false" customHeight="false" outlineLevel="0" collapsed="false">
      <c r="A453" s="32"/>
      <c r="B453" s="33"/>
      <c r="C453" s="33"/>
      <c r="D453" s="35"/>
    </row>
    <row r="454" customFormat="false" ht="15" hidden="false" customHeight="false" outlineLevel="0" collapsed="false">
      <c r="A454" s="32"/>
      <c r="B454" s="33"/>
      <c r="C454" s="33"/>
      <c r="D454" s="35"/>
    </row>
    <row r="455" customFormat="false" ht="15" hidden="false" customHeight="false" outlineLevel="0" collapsed="false">
      <c r="A455" s="32"/>
      <c r="B455" s="33"/>
      <c r="C455" s="33"/>
      <c r="D455" s="35"/>
    </row>
    <row r="456" customFormat="false" ht="15" hidden="false" customHeight="false" outlineLevel="0" collapsed="false">
      <c r="A456" s="32"/>
      <c r="B456" s="33"/>
      <c r="C456" s="33"/>
      <c r="D456" s="35"/>
    </row>
    <row r="457" customFormat="false" ht="15" hidden="false" customHeight="false" outlineLevel="0" collapsed="false">
      <c r="A457" s="32"/>
      <c r="B457" s="33"/>
      <c r="C457" s="33"/>
      <c r="D457" s="35"/>
    </row>
    <row r="458" customFormat="false" ht="15" hidden="false" customHeight="false" outlineLevel="0" collapsed="false">
      <c r="A458" s="32"/>
      <c r="B458" s="33"/>
      <c r="C458" s="33"/>
      <c r="D458" s="35"/>
    </row>
    <row r="459" customFormat="false" ht="15" hidden="false" customHeight="false" outlineLevel="0" collapsed="false">
      <c r="A459" s="32"/>
      <c r="B459" s="33"/>
      <c r="C459" s="33"/>
      <c r="D459" s="35"/>
    </row>
    <row r="460" customFormat="false" ht="15" hidden="false" customHeight="false" outlineLevel="0" collapsed="false">
      <c r="A460" s="32"/>
      <c r="B460" s="33"/>
      <c r="C460" s="33"/>
      <c r="D460" s="35"/>
    </row>
    <row r="461" customFormat="false" ht="15" hidden="false" customHeight="false" outlineLevel="0" collapsed="false">
      <c r="A461" s="32"/>
      <c r="B461" s="33"/>
      <c r="C461" s="33"/>
      <c r="D461" s="35"/>
    </row>
    <row r="462" customFormat="false" ht="15" hidden="false" customHeight="false" outlineLevel="0" collapsed="false">
      <c r="A462" s="32"/>
      <c r="B462" s="33"/>
      <c r="C462" s="33"/>
      <c r="D462" s="35"/>
    </row>
    <row r="463" customFormat="false" ht="15" hidden="false" customHeight="false" outlineLevel="0" collapsed="false">
      <c r="A463" s="32"/>
      <c r="B463" s="33"/>
      <c r="C463" s="33"/>
      <c r="D463" s="35"/>
    </row>
    <row r="464" customFormat="false" ht="15" hidden="false" customHeight="false" outlineLevel="0" collapsed="false">
      <c r="A464" s="32"/>
      <c r="B464" s="33"/>
      <c r="C464" s="33"/>
      <c r="D464" s="35"/>
    </row>
    <row r="465" customFormat="false" ht="15" hidden="false" customHeight="false" outlineLevel="0" collapsed="false">
      <c r="A465" s="32"/>
      <c r="B465" s="33"/>
      <c r="C465" s="33"/>
      <c r="D465" s="35"/>
    </row>
    <row r="466" customFormat="false" ht="15" hidden="false" customHeight="false" outlineLevel="0" collapsed="false">
      <c r="A466" s="32"/>
      <c r="B466" s="33"/>
      <c r="C466" s="33"/>
      <c r="D466" s="35"/>
    </row>
    <row r="467" customFormat="false" ht="15" hidden="false" customHeight="false" outlineLevel="0" collapsed="false">
      <c r="A467" s="32"/>
      <c r="B467" s="33"/>
      <c r="C467" s="33"/>
      <c r="D467" s="35"/>
    </row>
    <row r="468" customFormat="false" ht="15" hidden="false" customHeight="false" outlineLevel="0" collapsed="false">
      <c r="A468" s="32"/>
      <c r="B468" s="33"/>
      <c r="C468" s="33"/>
      <c r="D468" s="35"/>
    </row>
    <row r="469" customFormat="false" ht="15" hidden="false" customHeight="false" outlineLevel="0" collapsed="false">
      <c r="A469" s="32"/>
      <c r="B469" s="33"/>
      <c r="C469" s="33"/>
      <c r="D469" s="35"/>
    </row>
    <row r="470" customFormat="false" ht="15" hidden="false" customHeight="false" outlineLevel="0" collapsed="false">
      <c r="A470" s="32"/>
      <c r="B470" s="33"/>
      <c r="C470" s="33"/>
      <c r="D470" s="35"/>
    </row>
    <row r="471" customFormat="false" ht="15" hidden="false" customHeight="false" outlineLevel="0" collapsed="false">
      <c r="A471" s="32"/>
      <c r="B471" s="33"/>
      <c r="C471" s="33"/>
      <c r="D471" s="35"/>
    </row>
    <row r="472" customFormat="false" ht="15" hidden="false" customHeight="false" outlineLevel="0" collapsed="false">
      <c r="A472" s="32"/>
      <c r="B472" s="33"/>
      <c r="C472" s="33"/>
      <c r="D472" s="35"/>
    </row>
    <row r="473" customFormat="false" ht="15" hidden="false" customHeight="false" outlineLevel="0" collapsed="false">
      <c r="A473" s="32"/>
      <c r="B473" s="33"/>
      <c r="C473" s="33"/>
      <c r="D473" s="35"/>
    </row>
    <row r="474" customFormat="false" ht="15" hidden="false" customHeight="false" outlineLevel="0" collapsed="false">
      <c r="A474" s="32"/>
      <c r="B474" s="33"/>
      <c r="C474" s="33"/>
      <c r="D474" s="35"/>
    </row>
    <row r="475" customFormat="false" ht="15" hidden="false" customHeight="false" outlineLevel="0" collapsed="false">
      <c r="A475" s="32"/>
      <c r="B475" s="33"/>
      <c r="C475" s="33"/>
      <c r="D475" s="35"/>
    </row>
    <row r="476" customFormat="false" ht="15" hidden="false" customHeight="false" outlineLevel="0" collapsed="false">
      <c r="A476" s="32"/>
      <c r="B476" s="33"/>
      <c r="C476" s="33"/>
      <c r="D476" s="35"/>
    </row>
    <row r="477" customFormat="false" ht="15" hidden="false" customHeight="false" outlineLevel="0" collapsed="false">
      <c r="A477" s="32"/>
      <c r="B477" s="33"/>
      <c r="C477" s="33"/>
      <c r="D477" s="35"/>
    </row>
    <row r="478" customFormat="false" ht="15" hidden="false" customHeight="false" outlineLevel="0" collapsed="false">
      <c r="A478" s="32"/>
      <c r="B478" s="33"/>
      <c r="C478" s="33"/>
      <c r="D478" s="35"/>
    </row>
    <row r="479" customFormat="false" ht="15" hidden="false" customHeight="false" outlineLevel="0" collapsed="false">
      <c r="A479" s="32"/>
      <c r="B479" s="33"/>
      <c r="C479" s="33"/>
      <c r="D479" s="35"/>
    </row>
    <row r="480" customFormat="false" ht="15" hidden="false" customHeight="false" outlineLevel="0" collapsed="false">
      <c r="A480" s="32"/>
      <c r="B480" s="33"/>
      <c r="C480" s="33"/>
      <c r="D480" s="35"/>
    </row>
    <row r="481" customFormat="false" ht="15" hidden="false" customHeight="false" outlineLevel="0" collapsed="false">
      <c r="A481" s="32"/>
      <c r="B481" s="33"/>
      <c r="C481" s="33"/>
      <c r="D481" s="35"/>
    </row>
    <row r="482" customFormat="false" ht="15" hidden="false" customHeight="false" outlineLevel="0" collapsed="false">
      <c r="A482" s="32"/>
      <c r="B482" s="33"/>
      <c r="C482" s="33"/>
      <c r="D482" s="35"/>
    </row>
    <row r="483" customFormat="false" ht="15" hidden="false" customHeight="false" outlineLevel="0" collapsed="false">
      <c r="A483" s="32"/>
      <c r="B483" s="33"/>
      <c r="C483" s="33"/>
      <c r="D483" s="35"/>
    </row>
    <row r="484" customFormat="false" ht="15" hidden="false" customHeight="false" outlineLevel="0" collapsed="false">
      <c r="A484" s="32"/>
      <c r="B484" s="33"/>
      <c r="C484" s="33"/>
      <c r="D484" s="35"/>
    </row>
    <row r="485" customFormat="false" ht="15" hidden="false" customHeight="false" outlineLevel="0" collapsed="false">
      <c r="A485" s="32"/>
      <c r="B485" s="33"/>
      <c r="C485" s="33"/>
      <c r="D485" s="35"/>
    </row>
    <row r="486" customFormat="false" ht="15" hidden="false" customHeight="false" outlineLevel="0" collapsed="false">
      <c r="A486" s="32"/>
      <c r="B486" s="33"/>
      <c r="C486" s="33"/>
      <c r="D486" s="35"/>
    </row>
    <row r="487" customFormat="false" ht="15" hidden="false" customHeight="false" outlineLevel="0" collapsed="false">
      <c r="A487" s="32"/>
      <c r="B487" s="33"/>
      <c r="C487" s="33"/>
      <c r="D487" s="35"/>
    </row>
    <row r="488" customFormat="false" ht="15" hidden="false" customHeight="false" outlineLevel="0" collapsed="false">
      <c r="A488" s="32"/>
      <c r="B488" s="33"/>
      <c r="C488" s="33"/>
      <c r="D488" s="35"/>
    </row>
    <row r="489" customFormat="false" ht="15" hidden="false" customHeight="false" outlineLevel="0" collapsed="false">
      <c r="A489" s="32"/>
      <c r="B489" s="33"/>
      <c r="C489" s="33"/>
      <c r="D489" s="35"/>
    </row>
    <row r="490" customFormat="false" ht="15" hidden="false" customHeight="false" outlineLevel="0" collapsed="false">
      <c r="A490" s="32"/>
      <c r="B490" s="33"/>
      <c r="C490" s="33"/>
      <c r="D490" s="35"/>
    </row>
    <row r="491" customFormat="false" ht="15" hidden="false" customHeight="false" outlineLevel="0" collapsed="false">
      <c r="A491" s="32"/>
      <c r="B491" s="33"/>
      <c r="C491" s="33"/>
      <c r="D491" s="35"/>
    </row>
    <row r="492" customFormat="false" ht="15" hidden="false" customHeight="false" outlineLevel="0" collapsed="false">
      <c r="A492" s="32"/>
      <c r="B492" s="33"/>
      <c r="C492" s="33"/>
      <c r="D492" s="35"/>
    </row>
    <row r="493" customFormat="false" ht="15" hidden="false" customHeight="false" outlineLevel="0" collapsed="false">
      <c r="A493" s="32"/>
      <c r="B493" s="33"/>
      <c r="C493" s="33"/>
      <c r="D493" s="35"/>
    </row>
    <row r="494" customFormat="false" ht="15" hidden="false" customHeight="false" outlineLevel="0" collapsed="false">
      <c r="A494" s="32"/>
      <c r="B494" s="33"/>
      <c r="C494" s="33"/>
      <c r="D494" s="35"/>
    </row>
    <row r="495" customFormat="false" ht="15" hidden="false" customHeight="false" outlineLevel="0" collapsed="false">
      <c r="A495" s="32"/>
      <c r="B495" s="33"/>
      <c r="C495" s="33"/>
      <c r="D495" s="35"/>
    </row>
    <row r="496" customFormat="false" ht="15" hidden="false" customHeight="false" outlineLevel="0" collapsed="false">
      <c r="A496" s="32"/>
      <c r="B496" s="33"/>
      <c r="C496" s="33"/>
      <c r="D496" s="35"/>
    </row>
    <row r="497" customFormat="false" ht="15" hidden="false" customHeight="false" outlineLevel="0" collapsed="false">
      <c r="A497" s="32"/>
      <c r="B497" s="33"/>
      <c r="C497" s="33"/>
      <c r="D497" s="35"/>
    </row>
    <row r="498" customFormat="false" ht="15" hidden="false" customHeight="false" outlineLevel="0" collapsed="false">
      <c r="A498" s="32"/>
      <c r="B498" s="33"/>
      <c r="C498" s="33"/>
      <c r="D498" s="35"/>
    </row>
    <row r="499" customFormat="false" ht="15" hidden="false" customHeight="false" outlineLevel="0" collapsed="false">
      <c r="A499" s="32"/>
      <c r="B499" s="33"/>
      <c r="C499" s="33"/>
      <c r="D499" s="35"/>
    </row>
    <row r="500" customFormat="false" ht="15" hidden="false" customHeight="false" outlineLevel="0" collapsed="false">
      <c r="A500" s="32"/>
      <c r="B500" s="33"/>
      <c r="C500" s="33"/>
      <c r="D500" s="35"/>
    </row>
    <row r="501" customFormat="false" ht="15" hidden="false" customHeight="false" outlineLevel="0" collapsed="false">
      <c r="A501" s="32"/>
      <c r="B501" s="33"/>
      <c r="C501" s="33"/>
      <c r="D501" s="35"/>
    </row>
    <row r="502" customFormat="false" ht="15" hidden="false" customHeight="false" outlineLevel="0" collapsed="false">
      <c r="A502" s="32"/>
      <c r="B502" s="33"/>
      <c r="C502" s="33"/>
      <c r="D502" s="35"/>
    </row>
    <row r="503" customFormat="false" ht="15" hidden="false" customHeight="false" outlineLevel="0" collapsed="false">
      <c r="A503" s="32"/>
      <c r="B503" s="33"/>
      <c r="C503" s="33"/>
      <c r="D503" s="35"/>
    </row>
    <row r="504" customFormat="false" ht="15" hidden="false" customHeight="false" outlineLevel="0" collapsed="false">
      <c r="A504" s="32"/>
      <c r="B504" s="33"/>
      <c r="C504" s="33"/>
      <c r="D504" s="35"/>
    </row>
  </sheetData>
  <conditionalFormatting sqref="A5:D504">
    <cfRule type="expression" priority="2" aboveAverage="0" equalAverage="0" bottom="0" percent="0" rank="0" text="" dxfId="3">
      <formula>AND($D5&lt;&gt;"",$A5="")</formula>
    </cfRule>
  </conditionalFormatting>
  <dataValidations count="3">
    <dataValidation allowBlank="true" error="Geçerli bir tarih gir (örnek: 04.10.2026)." errorStyle="stop" errorTitle="Tarih" operator="greaterThan" showDropDown="false" showErrorMessage="true" showInputMessage="false" sqref="A5:A504" type="date">
      <formula1>36526</formula1>
      <formula2>0</formula2>
    </dataValidation>
    <dataValidation allowBlank="true" error="Sıfırdan büyük bir sayı gir." errorStyle="stop" errorTitle="Tutar" operator="greaterThan" showDropDown="false" showErrorMessage="true" showInputMessage="false" sqref="D5:D504" type="decimal">
      <formula1>0</formula1>
      <formula2>0</formula2>
    </dataValidation>
    <dataValidation allowBlank="true" error="Listeden seç. Yeni kategori için Ayarlar sayfasına ekle." errorStyle="stop" errorTitle="Kategori" operator="between" showDropDown="false" showErrorMessage="true" showInputMessage="false" sqref="B5:B504" type="list">
      <formula1>Ayarlar!$E$4:$E$23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90FA"/>
    <pageSetUpPr fitToPage="true"/>
  </sheetPr>
  <dimension ref="A1:E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5" min="5" style="0" width="40"/>
  </cols>
  <sheetData>
    <row r="1" customFormat="false" ht="19.7" hidden="false" customHeight="false" outlineLevel="0" collapsed="false">
      <c r="A1" s="8" t="s">
        <v>17</v>
      </c>
    </row>
    <row r="2" customFormat="false" ht="15" hidden="false" customHeight="false" outlineLevel="0" collapsed="false">
      <c r="A2" s="11" t="s">
        <v>125</v>
      </c>
    </row>
    <row r="4" customFormat="false" ht="27.75" hidden="false" customHeight="true" outlineLevel="0" collapsed="false">
      <c r="A4" s="30" t="s">
        <v>87</v>
      </c>
      <c r="B4" s="30" t="s">
        <v>126</v>
      </c>
      <c r="C4" s="30" t="s">
        <v>84</v>
      </c>
      <c r="D4" s="30" t="s">
        <v>92</v>
      </c>
      <c r="E4" s="30" t="s">
        <v>115</v>
      </c>
    </row>
    <row r="5" customFormat="false" ht="15" hidden="false" customHeight="false" outlineLevel="0" collapsed="false">
      <c r="A5" s="32" t="n">
        <v>46285</v>
      </c>
      <c r="B5" s="36" t="s">
        <v>127</v>
      </c>
      <c r="C5" s="33" t="s">
        <v>99</v>
      </c>
      <c r="D5" s="35" t="n">
        <v>3000</v>
      </c>
      <c r="E5" s="33" t="s">
        <v>98</v>
      </c>
    </row>
    <row r="6" customFormat="false" ht="15" hidden="false" customHeight="false" outlineLevel="0" collapsed="false">
      <c r="A6" s="32" t="n">
        <v>46296</v>
      </c>
      <c r="B6" s="36" t="s">
        <v>91</v>
      </c>
      <c r="C6" s="33" t="s">
        <v>111</v>
      </c>
      <c r="D6" s="35" t="n">
        <v>2000</v>
      </c>
      <c r="E6" s="33" t="s">
        <v>98</v>
      </c>
    </row>
    <row r="7" customFormat="false" ht="15" hidden="false" customHeight="false" outlineLevel="0" collapsed="false">
      <c r="A7" s="32" t="n">
        <v>46298</v>
      </c>
      <c r="B7" s="36" t="s">
        <v>127</v>
      </c>
      <c r="C7" s="33" t="s">
        <v>103</v>
      </c>
      <c r="D7" s="35" t="n">
        <v>4000</v>
      </c>
      <c r="E7" s="33" t="s">
        <v>98</v>
      </c>
    </row>
    <row r="8" customFormat="false" ht="15" hidden="false" customHeight="false" outlineLevel="0" collapsed="false">
      <c r="A8" s="32"/>
      <c r="B8" s="36"/>
      <c r="C8" s="33"/>
      <c r="D8" s="35"/>
      <c r="E8" s="33"/>
    </row>
    <row r="9" customFormat="false" ht="15" hidden="false" customHeight="false" outlineLevel="0" collapsed="false">
      <c r="A9" s="32"/>
      <c r="B9" s="36"/>
      <c r="C9" s="33"/>
      <c r="D9" s="35"/>
      <c r="E9" s="33"/>
    </row>
    <row r="10" customFormat="false" ht="15" hidden="false" customHeight="false" outlineLevel="0" collapsed="false">
      <c r="A10" s="32"/>
      <c r="B10" s="36"/>
      <c r="C10" s="33"/>
      <c r="D10" s="35"/>
      <c r="E10" s="33"/>
    </row>
    <row r="11" customFormat="false" ht="15" hidden="false" customHeight="false" outlineLevel="0" collapsed="false">
      <c r="A11" s="32"/>
      <c r="B11" s="36"/>
      <c r="C11" s="33"/>
      <c r="D11" s="35"/>
      <c r="E11" s="33"/>
    </row>
    <row r="12" customFormat="false" ht="15" hidden="false" customHeight="false" outlineLevel="0" collapsed="false">
      <c r="A12" s="32"/>
      <c r="B12" s="36"/>
      <c r="C12" s="33"/>
      <c r="D12" s="35"/>
      <c r="E12" s="33"/>
    </row>
    <row r="13" customFormat="false" ht="15" hidden="false" customHeight="false" outlineLevel="0" collapsed="false">
      <c r="A13" s="32"/>
      <c r="B13" s="36"/>
      <c r="C13" s="33"/>
      <c r="D13" s="35"/>
      <c r="E13" s="33"/>
    </row>
    <row r="14" customFormat="false" ht="15" hidden="false" customHeight="false" outlineLevel="0" collapsed="false">
      <c r="A14" s="32"/>
      <c r="B14" s="36"/>
      <c r="C14" s="33"/>
      <c r="D14" s="35"/>
      <c r="E14" s="33"/>
    </row>
    <row r="15" customFormat="false" ht="15" hidden="false" customHeight="false" outlineLevel="0" collapsed="false">
      <c r="A15" s="32"/>
      <c r="B15" s="36"/>
      <c r="C15" s="33"/>
      <c r="D15" s="35"/>
      <c r="E15" s="33"/>
    </row>
    <row r="16" customFormat="false" ht="15" hidden="false" customHeight="false" outlineLevel="0" collapsed="false">
      <c r="A16" s="32"/>
      <c r="B16" s="36"/>
      <c r="C16" s="33"/>
      <c r="D16" s="35"/>
      <c r="E16" s="33"/>
    </row>
    <row r="17" customFormat="false" ht="15" hidden="false" customHeight="false" outlineLevel="0" collapsed="false">
      <c r="A17" s="32"/>
      <c r="B17" s="36"/>
      <c r="C17" s="33"/>
      <c r="D17" s="35"/>
      <c r="E17" s="33"/>
    </row>
    <row r="18" customFormat="false" ht="15" hidden="false" customHeight="false" outlineLevel="0" collapsed="false">
      <c r="A18" s="32"/>
      <c r="B18" s="36"/>
      <c r="C18" s="33"/>
      <c r="D18" s="35"/>
      <c r="E18" s="33"/>
    </row>
    <row r="19" customFormat="false" ht="15" hidden="false" customHeight="false" outlineLevel="0" collapsed="false">
      <c r="A19" s="32"/>
      <c r="B19" s="36"/>
      <c r="C19" s="33"/>
      <c r="D19" s="35"/>
      <c r="E19" s="33"/>
    </row>
    <row r="20" customFormat="false" ht="15" hidden="false" customHeight="false" outlineLevel="0" collapsed="false">
      <c r="A20" s="32"/>
      <c r="B20" s="36"/>
      <c r="C20" s="33"/>
      <c r="D20" s="35"/>
      <c r="E20" s="33"/>
    </row>
    <row r="21" customFormat="false" ht="15" hidden="false" customHeight="false" outlineLevel="0" collapsed="false">
      <c r="A21" s="32"/>
      <c r="B21" s="36"/>
      <c r="C21" s="33"/>
      <c r="D21" s="35"/>
      <c r="E21" s="33"/>
    </row>
    <row r="22" customFormat="false" ht="15" hidden="false" customHeight="false" outlineLevel="0" collapsed="false">
      <c r="A22" s="32"/>
      <c r="B22" s="36"/>
      <c r="C22" s="33"/>
      <c r="D22" s="35"/>
      <c r="E22" s="33"/>
    </row>
    <row r="23" customFormat="false" ht="15" hidden="false" customHeight="false" outlineLevel="0" collapsed="false">
      <c r="A23" s="32"/>
      <c r="B23" s="36"/>
      <c r="C23" s="33"/>
      <c r="D23" s="35"/>
      <c r="E23" s="33"/>
    </row>
    <row r="24" customFormat="false" ht="15" hidden="false" customHeight="false" outlineLevel="0" collapsed="false">
      <c r="A24" s="32"/>
      <c r="B24" s="36"/>
      <c r="C24" s="33"/>
      <c r="D24" s="35"/>
      <c r="E24" s="33"/>
    </row>
    <row r="25" customFormat="false" ht="15" hidden="false" customHeight="false" outlineLevel="0" collapsed="false">
      <c r="A25" s="32"/>
      <c r="B25" s="36"/>
      <c r="C25" s="33"/>
      <c r="D25" s="35"/>
      <c r="E25" s="33"/>
    </row>
    <row r="26" customFormat="false" ht="15" hidden="false" customHeight="false" outlineLevel="0" collapsed="false">
      <c r="A26" s="32"/>
      <c r="B26" s="36"/>
      <c r="C26" s="33"/>
      <c r="D26" s="35"/>
      <c r="E26" s="33"/>
    </row>
    <row r="27" customFormat="false" ht="15" hidden="false" customHeight="false" outlineLevel="0" collapsed="false">
      <c r="A27" s="32"/>
      <c r="B27" s="36"/>
      <c r="C27" s="33"/>
      <c r="D27" s="35"/>
      <c r="E27" s="33"/>
    </row>
    <row r="28" customFormat="false" ht="15" hidden="false" customHeight="false" outlineLevel="0" collapsed="false">
      <c r="A28" s="32"/>
      <c r="B28" s="36"/>
      <c r="C28" s="33"/>
      <c r="D28" s="35"/>
      <c r="E28" s="33"/>
    </row>
    <row r="29" customFormat="false" ht="15" hidden="false" customHeight="false" outlineLevel="0" collapsed="false">
      <c r="A29" s="32"/>
      <c r="B29" s="36"/>
      <c r="C29" s="33"/>
      <c r="D29" s="35"/>
      <c r="E29" s="33"/>
    </row>
    <row r="30" customFormat="false" ht="15" hidden="false" customHeight="false" outlineLevel="0" collapsed="false">
      <c r="A30" s="32"/>
      <c r="B30" s="36"/>
      <c r="C30" s="33"/>
      <c r="D30" s="35"/>
      <c r="E30" s="33"/>
    </row>
    <row r="31" customFormat="false" ht="15" hidden="false" customHeight="false" outlineLevel="0" collapsed="false">
      <c r="A31" s="32"/>
      <c r="B31" s="36"/>
      <c r="C31" s="33"/>
      <c r="D31" s="35"/>
      <c r="E31" s="33"/>
    </row>
    <row r="32" customFormat="false" ht="15" hidden="false" customHeight="false" outlineLevel="0" collapsed="false">
      <c r="A32" s="32"/>
      <c r="B32" s="36"/>
      <c r="C32" s="33"/>
      <c r="D32" s="35"/>
      <c r="E32" s="33"/>
    </row>
    <row r="33" customFormat="false" ht="15" hidden="false" customHeight="false" outlineLevel="0" collapsed="false">
      <c r="A33" s="32"/>
      <c r="B33" s="36"/>
      <c r="C33" s="33"/>
      <c r="D33" s="35"/>
      <c r="E33" s="33"/>
    </row>
    <row r="34" customFormat="false" ht="15" hidden="false" customHeight="false" outlineLevel="0" collapsed="false">
      <c r="A34" s="32"/>
      <c r="B34" s="36"/>
      <c r="C34" s="33"/>
      <c r="D34" s="35"/>
      <c r="E34" s="33"/>
    </row>
    <row r="35" customFormat="false" ht="15" hidden="false" customHeight="false" outlineLevel="0" collapsed="false">
      <c r="A35" s="32"/>
      <c r="B35" s="36"/>
      <c r="C35" s="33"/>
      <c r="D35" s="35"/>
      <c r="E35" s="33"/>
    </row>
    <row r="36" customFormat="false" ht="15" hidden="false" customHeight="false" outlineLevel="0" collapsed="false">
      <c r="A36" s="32"/>
      <c r="B36" s="36"/>
      <c r="C36" s="33"/>
      <c r="D36" s="35"/>
      <c r="E36" s="33"/>
    </row>
    <row r="37" customFormat="false" ht="15" hidden="false" customHeight="false" outlineLevel="0" collapsed="false">
      <c r="A37" s="32"/>
      <c r="B37" s="36"/>
      <c r="C37" s="33"/>
      <c r="D37" s="35"/>
      <c r="E37" s="33"/>
    </row>
    <row r="38" customFormat="false" ht="15" hidden="false" customHeight="false" outlineLevel="0" collapsed="false">
      <c r="A38" s="32"/>
      <c r="B38" s="36"/>
      <c r="C38" s="33"/>
      <c r="D38" s="35"/>
      <c r="E38" s="33"/>
    </row>
    <row r="39" customFormat="false" ht="15" hidden="false" customHeight="false" outlineLevel="0" collapsed="false">
      <c r="A39" s="32"/>
      <c r="B39" s="36"/>
      <c r="C39" s="33"/>
      <c r="D39" s="35"/>
      <c r="E39" s="33"/>
    </row>
    <row r="40" customFormat="false" ht="15" hidden="false" customHeight="false" outlineLevel="0" collapsed="false">
      <c r="A40" s="32"/>
      <c r="B40" s="36"/>
      <c r="C40" s="33"/>
      <c r="D40" s="35"/>
      <c r="E40" s="33"/>
    </row>
    <row r="41" customFormat="false" ht="15" hidden="false" customHeight="false" outlineLevel="0" collapsed="false">
      <c r="A41" s="32"/>
      <c r="B41" s="36"/>
      <c r="C41" s="33"/>
      <c r="D41" s="35"/>
      <c r="E41" s="33"/>
    </row>
    <row r="42" customFormat="false" ht="15" hidden="false" customHeight="false" outlineLevel="0" collapsed="false">
      <c r="A42" s="32"/>
      <c r="B42" s="36"/>
      <c r="C42" s="33"/>
      <c r="D42" s="35"/>
      <c r="E42" s="33"/>
    </row>
    <row r="43" customFormat="false" ht="15" hidden="false" customHeight="false" outlineLevel="0" collapsed="false">
      <c r="A43" s="32"/>
      <c r="B43" s="36"/>
      <c r="C43" s="33"/>
      <c r="D43" s="35"/>
      <c r="E43" s="33"/>
    </row>
    <row r="44" customFormat="false" ht="15" hidden="false" customHeight="false" outlineLevel="0" collapsed="false">
      <c r="A44" s="32"/>
      <c r="B44" s="36"/>
      <c r="C44" s="33"/>
      <c r="D44" s="35"/>
      <c r="E44" s="33"/>
    </row>
    <row r="45" customFormat="false" ht="15" hidden="false" customHeight="false" outlineLevel="0" collapsed="false">
      <c r="A45" s="32"/>
      <c r="B45" s="36"/>
      <c r="C45" s="33"/>
      <c r="D45" s="35"/>
      <c r="E45" s="33"/>
    </row>
    <row r="46" customFormat="false" ht="15" hidden="false" customHeight="false" outlineLevel="0" collapsed="false">
      <c r="A46" s="32"/>
      <c r="B46" s="36"/>
      <c r="C46" s="33"/>
      <c r="D46" s="35"/>
      <c r="E46" s="33"/>
    </row>
    <row r="47" customFormat="false" ht="15" hidden="false" customHeight="false" outlineLevel="0" collapsed="false">
      <c r="A47" s="32"/>
      <c r="B47" s="36"/>
      <c r="C47" s="33"/>
      <c r="D47" s="35"/>
      <c r="E47" s="33"/>
    </row>
    <row r="48" customFormat="false" ht="15" hidden="false" customHeight="false" outlineLevel="0" collapsed="false">
      <c r="A48" s="32"/>
      <c r="B48" s="36"/>
      <c r="C48" s="33"/>
      <c r="D48" s="35"/>
      <c r="E48" s="33"/>
    </row>
    <row r="49" customFormat="false" ht="15" hidden="false" customHeight="false" outlineLevel="0" collapsed="false">
      <c r="A49" s="32"/>
      <c r="B49" s="36"/>
      <c r="C49" s="33"/>
      <c r="D49" s="35"/>
      <c r="E49" s="33"/>
    </row>
    <row r="50" customFormat="false" ht="15" hidden="false" customHeight="false" outlineLevel="0" collapsed="false">
      <c r="A50" s="32"/>
      <c r="B50" s="36"/>
      <c r="C50" s="33"/>
      <c r="D50" s="35"/>
      <c r="E50" s="33"/>
    </row>
    <row r="51" customFormat="false" ht="15" hidden="false" customHeight="false" outlineLevel="0" collapsed="false">
      <c r="A51" s="32"/>
      <c r="B51" s="36"/>
      <c r="C51" s="33"/>
      <c r="D51" s="35"/>
      <c r="E51" s="33"/>
    </row>
    <row r="52" customFormat="false" ht="15" hidden="false" customHeight="false" outlineLevel="0" collapsed="false">
      <c r="A52" s="32"/>
      <c r="B52" s="36"/>
      <c r="C52" s="33"/>
      <c r="D52" s="35"/>
      <c r="E52" s="33"/>
    </row>
    <row r="53" customFormat="false" ht="15" hidden="false" customHeight="false" outlineLevel="0" collapsed="false">
      <c r="A53" s="32"/>
      <c r="B53" s="36"/>
      <c r="C53" s="33"/>
      <c r="D53" s="35"/>
      <c r="E53" s="33"/>
    </row>
    <row r="54" customFormat="false" ht="15" hidden="false" customHeight="false" outlineLevel="0" collapsed="false">
      <c r="A54" s="32"/>
      <c r="B54" s="36"/>
      <c r="C54" s="33"/>
      <c r="D54" s="35"/>
      <c r="E54" s="33"/>
    </row>
    <row r="55" customFormat="false" ht="15" hidden="false" customHeight="false" outlineLevel="0" collapsed="false">
      <c r="A55" s="32"/>
      <c r="B55" s="36"/>
      <c r="C55" s="33"/>
      <c r="D55" s="35"/>
      <c r="E55" s="33"/>
    </row>
    <row r="56" customFormat="false" ht="15" hidden="false" customHeight="false" outlineLevel="0" collapsed="false">
      <c r="A56" s="32"/>
      <c r="B56" s="36"/>
      <c r="C56" s="33"/>
      <c r="D56" s="35"/>
      <c r="E56" s="33"/>
    </row>
    <row r="57" customFormat="false" ht="15" hidden="false" customHeight="false" outlineLevel="0" collapsed="false">
      <c r="A57" s="32"/>
      <c r="B57" s="36"/>
      <c r="C57" s="33"/>
      <c r="D57" s="35"/>
      <c r="E57" s="33"/>
    </row>
    <row r="58" customFormat="false" ht="15" hidden="false" customHeight="false" outlineLevel="0" collapsed="false">
      <c r="A58" s="32"/>
      <c r="B58" s="36"/>
      <c r="C58" s="33"/>
      <c r="D58" s="35"/>
      <c r="E58" s="33"/>
    </row>
    <row r="59" customFormat="false" ht="15" hidden="false" customHeight="false" outlineLevel="0" collapsed="false">
      <c r="A59" s="32"/>
      <c r="B59" s="36"/>
      <c r="C59" s="33"/>
      <c r="D59" s="35"/>
      <c r="E59" s="33"/>
    </row>
    <row r="60" customFormat="false" ht="15" hidden="false" customHeight="false" outlineLevel="0" collapsed="false">
      <c r="A60" s="32"/>
      <c r="B60" s="36"/>
      <c r="C60" s="33"/>
      <c r="D60" s="35"/>
      <c r="E60" s="33"/>
    </row>
    <row r="61" customFormat="false" ht="15" hidden="false" customHeight="false" outlineLevel="0" collapsed="false">
      <c r="A61" s="32"/>
      <c r="B61" s="36"/>
      <c r="C61" s="33"/>
      <c r="D61" s="35"/>
      <c r="E61" s="33"/>
    </row>
    <row r="62" customFormat="false" ht="15" hidden="false" customHeight="false" outlineLevel="0" collapsed="false">
      <c r="A62" s="32"/>
      <c r="B62" s="36"/>
      <c r="C62" s="33"/>
      <c r="D62" s="35"/>
      <c r="E62" s="33"/>
    </row>
    <row r="63" customFormat="false" ht="15" hidden="false" customHeight="false" outlineLevel="0" collapsed="false">
      <c r="A63" s="32"/>
      <c r="B63" s="36"/>
      <c r="C63" s="33"/>
      <c r="D63" s="35"/>
      <c r="E63" s="33"/>
    </row>
    <row r="64" customFormat="false" ht="15" hidden="false" customHeight="false" outlineLevel="0" collapsed="false">
      <c r="A64" s="32"/>
      <c r="B64" s="36"/>
      <c r="C64" s="33"/>
      <c r="D64" s="35"/>
      <c r="E64" s="33"/>
    </row>
    <row r="65" customFormat="false" ht="15" hidden="false" customHeight="false" outlineLevel="0" collapsed="false">
      <c r="A65" s="32"/>
      <c r="B65" s="36"/>
      <c r="C65" s="33"/>
      <c r="D65" s="35"/>
      <c r="E65" s="33"/>
    </row>
    <row r="66" customFormat="false" ht="15" hidden="false" customHeight="false" outlineLevel="0" collapsed="false">
      <c r="A66" s="32"/>
      <c r="B66" s="36"/>
      <c r="C66" s="33"/>
      <c r="D66" s="35"/>
      <c r="E66" s="33"/>
    </row>
    <row r="67" customFormat="false" ht="15" hidden="false" customHeight="false" outlineLevel="0" collapsed="false">
      <c r="A67" s="32"/>
      <c r="B67" s="36"/>
      <c r="C67" s="33"/>
      <c r="D67" s="35"/>
      <c r="E67" s="33"/>
    </row>
    <row r="68" customFormat="false" ht="15" hidden="false" customHeight="false" outlineLevel="0" collapsed="false">
      <c r="A68" s="32"/>
      <c r="B68" s="36"/>
      <c r="C68" s="33"/>
      <c r="D68" s="35"/>
      <c r="E68" s="33"/>
    </row>
    <row r="69" customFormat="false" ht="15" hidden="false" customHeight="false" outlineLevel="0" collapsed="false">
      <c r="A69" s="32"/>
      <c r="B69" s="36"/>
      <c r="C69" s="33"/>
      <c r="D69" s="35"/>
      <c r="E69" s="33"/>
    </row>
    <row r="70" customFormat="false" ht="15" hidden="false" customHeight="false" outlineLevel="0" collapsed="false">
      <c r="A70" s="32"/>
      <c r="B70" s="36"/>
      <c r="C70" s="33"/>
      <c r="D70" s="35"/>
      <c r="E70" s="33"/>
    </row>
    <row r="71" customFormat="false" ht="15" hidden="false" customHeight="false" outlineLevel="0" collapsed="false">
      <c r="A71" s="32"/>
      <c r="B71" s="36"/>
      <c r="C71" s="33"/>
      <c r="D71" s="35"/>
      <c r="E71" s="33"/>
    </row>
    <row r="72" customFormat="false" ht="15" hidden="false" customHeight="false" outlineLevel="0" collapsed="false">
      <c r="A72" s="32"/>
      <c r="B72" s="36"/>
      <c r="C72" s="33"/>
      <c r="D72" s="35"/>
      <c r="E72" s="33"/>
    </row>
    <row r="73" customFormat="false" ht="15" hidden="false" customHeight="false" outlineLevel="0" collapsed="false">
      <c r="A73" s="32"/>
      <c r="B73" s="36"/>
      <c r="C73" s="33"/>
      <c r="D73" s="35"/>
      <c r="E73" s="33"/>
    </row>
    <row r="74" customFormat="false" ht="15" hidden="false" customHeight="false" outlineLevel="0" collapsed="false">
      <c r="A74" s="32"/>
      <c r="B74" s="36"/>
      <c r="C74" s="33"/>
      <c r="D74" s="35"/>
      <c r="E74" s="33"/>
    </row>
    <row r="75" customFormat="false" ht="15" hidden="false" customHeight="false" outlineLevel="0" collapsed="false">
      <c r="A75" s="32"/>
      <c r="B75" s="36"/>
      <c r="C75" s="33"/>
      <c r="D75" s="35"/>
      <c r="E75" s="33"/>
    </row>
    <row r="76" customFormat="false" ht="15" hidden="false" customHeight="false" outlineLevel="0" collapsed="false">
      <c r="A76" s="32"/>
      <c r="B76" s="36"/>
      <c r="C76" s="33"/>
      <c r="D76" s="35"/>
      <c r="E76" s="33"/>
    </row>
    <row r="77" customFormat="false" ht="15" hidden="false" customHeight="false" outlineLevel="0" collapsed="false">
      <c r="A77" s="32"/>
      <c r="B77" s="36"/>
      <c r="C77" s="33"/>
      <c r="D77" s="35"/>
      <c r="E77" s="33"/>
    </row>
    <row r="78" customFormat="false" ht="15" hidden="false" customHeight="false" outlineLevel="0" collapsed="false">
      <c r="A78" s="32"/>
      <c r="B78" s="36"/>
      <c r="C78" s="33"/>
      <c r="D78" s="35"/>
      <c r="E78" s="33"/>
    </row>
    <row r="79" customFormat="false" ht="15" hidden="false" customHeight="false" outlineLevel="0" collapsed="false">
      <c r="A79" s="32"/>
      <c r="B79" s="36"/>
      <c r="C79" s="33"/>
      <c r="D79" s="35"/>
      <c r="E79" s="33"/>
    </row>
    <row r="80" customFormat="false" ht="15" hidden="false" customHeight="false" outlineLevel="0" collapsed="false">
      <c r="A80" s="32"/>
      <c r="B80" s="36"/>
      <c r="C80" s="33"/>
      <c r="D80" s="35"/>
      <c r="E80" s="33"/>
    </row>
    <row r="81" customFormat="false" ht="15" hidden="false" customHeight="false" outlineLevel="0" collapsed="false">
      <c r="A81" s="32"/>
      <c r="B81" s="36"/>
      <c r="C81" s="33"/>
      <c r="D81" s="35"/>
      <c r="E81" s="33"/>
    </row>
    <row r="82" customFormat="false" ht="15" hidden="false" customHeight="false" outlineLevel="0" collapsed="false">
      <c r="A82" s="32"/>
      <c r="B82" s="36"/>
      <c r="C82" s="33"/>
      <c r="D82" s="35"/>
      <c r="E82" s="33"/>
    </row>
    <row r="83" customFormat="false" ht="15" hidden="false" customHeight="false" outlineLevel="0" collapsed="false">
      <c r="A83" s="32"/>
      <c r="B83" s="36"/>
      <c r="C83" s="33"/>
      <c r="D83" s="35"/>
      <c r="E83" s="33"/>
    </row>
    <row r="84" customFormat="false" ht="15" hidden="false" customHeight="false" outlineLevel="0" collapsed="false">
      <c r="A84" s="32"/>
      <c r="B84" s="36"/>
      <c r="C84" s="33"/>
      <c r="D84" s="35"/>
      <c r="E84" s="33"/>
    </row>
    <row r="85" customFormat="false" ht="15" hidden="false" customHeight="false" outlineLevel="0" collapsed="false">
      <c r="A85" s="32"/>
      <c r="B85" s="36"/>
      <c r="C85" s="33"/>
      <c r="D85" s="35"/>
      <c r="E85" s="33"/>
    </row>
    <row r="86" customFormat="false" ht="15" hidden="false" customHeight="false" outlineLevel="0" collapsed="false">
      <c r="A86" s="32"/>
      <c r="B86" s="36"/>
      <c r="C86" s="33"/>
      <c r="D86" s="35"/>
      <c r="E86" s="33"/>
    </row>
    <row r="87" customFormat="false" ht="15" hidden="false" customHeight="false" outlineLevel="0" collapsed="false">
      <c r="A87" s="32"/>
      <c r="B87" s="36"/>
      <c r="C87" s="33"/>
      <c r="D87" s="35"/>
      <c r="E87" s="33"/>
    </row>
    <row r="88" customFormat="false" ht="15" hidden="false" customHeight="false" outlineLevel="0" collapsed="false">
      <c r="A88" s="32"/>
      <c r="B88" s="36"/>
      <c r="C88" s="33"/>
      <c r="D88" s="35"/>
      <c r="E88" s="33"/>
    </row>
    <row r="89" customFormat="false" ht="15" hidden="false" customHeight="false" outlineLevel="0" collapsed="false">
      <c r="A89" s="32"/>
      <c r="B89" s="36"/>
      <c r="C89" s="33"/>
      <c r="D89" s="35"/>
      <c r="E89" s="33"/>
    </row>
    <row r="90" customFormat="false" ht="15" hidden="false" customHeight="false" outlineLevel="0" collapsed="false">
      <c r="A90" s="32"/>
      <c r="B90" s="36"/>
      <c r="C90" s="33"/>
      <c r="D90" s="35"/>
      <c r="E90" s="33"/>
    </row>
    <row r="91" customFormat="false" ht="15" hidden="false" customHeight="false" outlineLevel="0" collapsed="false">
      <c r="A91" s="32"/>
      <c r="B91" s="36"/>
      <c r="C91" s="33"/>
      <c r="D91" s="35"/>
      <c r="E91" s="33"/>
    </row>
    <row r="92" customFormat="false" ht="15" hidden="false" customHeight="false" outlineLevel="0" collapsed="false">
      <c r="A92" s="32"/>
      <c r="B92" s="36"/>
      <c r="C92" s="33"/>
      <c r="D92" s="35"/>
      <c r="E92" s="33"/>
    </row>
    <row r="93" customFormat="false" ht="15" hidden="false" customHeight="false" outlineLevel="0" collapsed="false">
      <c r="A93" s="32"/>
      <c r="B93" s="36"/>
      <c r="C93" s="33"/>
      <c r="D93" s="35"/>
      <c r="E93" s="33"/>
    </row>
    <row r="94" customFormat="false" ht="15" hidden="false" customHeight="false" outlineLevel="0" collapsed="false">
      <c r="A94" s="32"/>
      <c r="B94" s="36"/>
      <c r="C94" s="33"/>
      <c r="D94" s="35"/>
      <c r="E94" s="33"/>
    </row>
    <row r="95" customFormat="false" ht="15" hidden="false" customHeight="false" outlineLevel="0" collapsed="false">
      <c r="A95" s="32"/>
      <c r="B95" s="36"/>
      <c r="C95" s="33"/>
      <c r="D95" s="35"/>
      <c r="E95" s="33"/>
    </row>
    <row r="96" customFormat="false" ht="15" hidden="false" customHeight="false" outlineLevel="0" collapsed="false">
      <c r="A96" s="32"/>
      <c r="B96" s="36"/>
      <c r="C96" s="33"/>
      <c r="D96" s="35"/>
      <c r="E96" s="33"/>
    </row>
    <row r="97" customFormat="false" ht="15" hidden="false" customHeight="false" outlineLevel="0" collapsed="false">
      <c r="A97" s="32"/>
      <c r="B97" s="36"/>
      <c r="C97" s="33"/>
      <c r="D97" s="35"/>
      <c r="E97" s="33"/>
    </row>
    <row r="98" customFormat="false" ht="15" hidden="false" customHeight="false" outlineLevel="0" collapsed="false">
      <c r="A98" s="32"/>
      <c r="B98" s="36"/>
      <c r="C98" s="33"/>
      <c r="D98" s="35"/>
      <c r="E98" s="33"/>
    </row>
    <row r="99" customFormat="false" ht="15" hidden="false" customHeight="false" outlineLevel="0" collapsed="false">
      <c r="A99" s="32"/>
      <c r="B99" s="36"/>
      <c r="C99" s="33"/>
      <c r="D99" s="35"/>
      <c r="E99" s="33"/>
    </row>
    <row r="100" customFormat="false" ht="15" hidden="false" customHeight="false" outlineLevel="0" collapsed="false">
      <c r="A100" s="32"/>
      <c r="B100" s="36"/>
      <c r="C100" s="33"/>
      <c r="D100" s="35"/>
      <c r="E100" s="33"/>
    </row>
    <row r="101" customFormat="false" ht="15" hidden="false" customHeight="false" outlineLevel="0" collapsed="false">
      <c r="A101" s="32"/>
      <c r="B101" s="36"/>
      <c r="C101" s="33"/>
      <c r="D101" s="35"/>
      <c r="E101" s="33"/>
    </row>
    <row r="102" customFormat="false" ht="15" hidden="false" customHeight="false" outlineLevel="0" collapsed="false">
      <c r="A102" s="32"/>
      <c r="B102" s="36"/>
      <c r="C102" s="33"/>
      <c r="D102" s="35"/>
      <c r="E102" s="33"/>
    </row>
    <row r="103" customFormat="false" ht="15" hidden="false" customHeight="false" outlineLevel="0" collapsed="false">
      <c r="A103" s="32"/>
      <c r="B103" s="36"/>
      <c r="C103" s="33"/>
      <c r="D103" s="35"/>
      <c r="E103" s="33"/>
    </row>
    <row r="104" customFormat="false" ht="15" hidden="false" customHeight="false" outlineLevel="0" collapsed="false">
      <c r="A104" s="32"/>
      <c r="B104" s="36"/>
      <c r="C104" s="33"/>
      <c r="D104" s="35"/>
      <c r="E104" s="33"/>
    </row>
    <row r="105" customFormat="false" ht="15" hidden="false" customHeight="false" outlineLevel="0" collapsed="false">
      <c r="A105" s="32"/>
      <c r="B105" s="36"/>
      <c r="C105" s="33"/>
      <c r="D105" s="35"/>
      <c r="E105" s="33"/>
    </row>
    <row r="106" customFormat="false" ht="15" hidden="false" customHeight="false" outlineLevel="0" collapsed="false">
      <c r="A106" s="32"/>
      <c r="B106" s="36"/>
      <c r="C106" s="33"/>
      <c r="D106" s="35"/>
      <c r="E106" s="33"/>
    </row>
    <row r="107" customFormat="false" ht="15" hidden="false" customHeight="false" outlineLevel="0" collapsed="false">
      <c r="A107" s="32"/>
      <c r="B107" s="36"/>
      <c r="C107" s="33"/>
      <c r="D107" s="35"/>
      <c r="E107" s="33"/>
    </row>
    <row r="108" customFormat="false" ht="15" hidden="false" customHeight="false" outlineLevel="0" collapsed="false">
      <c r="A108" s="32"/>
      <c r="B108" s="36"/>
      <c r="C108" s="33"/>
      <c r="D108" s="35"/>
      <c r="E108" s="33"/>
    </row>
    <row r="109" customFormat="false" ht="15" hidden="false" customHeight="false" outlineLevel="0" collapsed="false">
      <c r="A109" s="32"/>
      <c r="B109" s="36"/>
      <c r="C109" s="33"/>
      <c r="D109" s="35"/>
      <c r="E109" s="33"/>
    </row>
    <row r="110" customFormat="false" ht="15" hidden="false" customHeight="false" outlineLevel="0" collapsed="false">
      <c r="A110" s="32"/>
      <c r="B110" s="36"/>
      <c r="C110" s="33"/>
      <c r="D110" s="35"/>
      <c r="E110" s="33"/>
    </row>
    <row r="111" customFormat="false" ht="15" hidden="false" customHeight="false" outlineLevel="0" collapsed="false">
      <c r="A111" s="32"/>
      <c r="B111" s="36"/>
      <c r="C111" s="33"/>
      <c r="D111" s="35"/>
      <c r="E111" s="33"/>
    </row>
    <row r="112" customFormat="false" ht="15" hidden="false" customHeight="false" outlineLevel="0" collapsed="false">
      <c r="A112" s="32"/>
      <c r="B112" s="36"/>
      <c r="C112" s="33"/>
      <c r="D112" s="35"/>
      <c r="E112" s="33"/>
    </row>
    <row r="113" customFormat="false" ht="15" hidden="false" customHeight="false" outlineLevel="0" collapsed="false">
      <c r="A113" s="32"/>
      <c r="B113" s="36"/>
      <c r="C113" s="33"/>
      <c r="D113" s="35"/>
      <c r="E113" s="33"/>
    </row>
    <row r="114" customFormat="false" ht="15" hidden="false" customHeight="false" outlineLevel="0" collapsed="false">
      <c r="A114" s="32"/>
      <c r="B114" s="36"/>
      <c r="C114" s="33"/>
      <c r="D114" s="35"/>
      <c r="E114" s="33"/>
    </row>
    <row r="115" customFormat="false" ht="15" hidden="false" customHeight="false" outlineLevel="0" collapsed="false">
      <c r="A115" s="32"/>
      <c r="B115" s="36"/>
      <c r="C115" s="33"/>
      <c r="D115" s="35"/>
      <c r="E115" s="33"/>
    </row>
    <row r="116" customFormat="false" ht="15" hidden="false" customHeight="false" outlineLevel="0" collapsed="false">
      <c r="A116" s="32"/>
      <c r="B116" s="36"/>
      <c r="C116" s="33"/>
      <c r="D116" s="35"/>
      <c r="E116" s="33"/>
    </row>
    <row r="117" customFormat="false" ht="15" hidden="false" customHeight="false" outlineLevel="0" collapsed="false">
      <c r="A117" s="32"/>
      <c r="B117" s="36"/>
      <c r="C117" s="33"/>
      <c r="D117" s="35"/>
      <c r="E117" s="33"/>
    </row>
    <row r="118" customFormat="false" ht="15" hidden="false" customHeight="false" outlineLevel="0" collapsed="false">
      <c r="A118" s="32"/>
      <c r="B118" s="36"/>
      <c r="C118" s="33"/>
      <c r="D118" s="35"/>
      <c r="E118" s="33"/>
    </row>
    <row r="119" customFormat="false" ht="15" hidden="false" customHeight="false" outlineLevel="0" collapsed="false">
      <c r="A119" s="32"/>
      <c r="B119" s="36"/>
      <c r="C119" s="33"/>
      <c r="D119" s="35"/>
      <c r="E119" s="33"/>
    </row>
    <row r="120" customFormat="false" ht="15" hidden="false" customHeight="false" outlineLevel="0" collapsed="false">
      <c r="A120" s="32"/>
      <c r="B120" s="36"/>
      <c r="C120" s="33"/>
      <c r="D120" s="35"/>
      <c r="E120" s="33"/>
    </row>
    <row r="121" customFormat="false" ht="15" hidden="false" customHeight="false" outlineLevel="0" collapsed="false">
      <c r="A121" s="32"/>
      <c r="B121" s="36"/>
      <c r="C121" s="33"/>
      <c r="D121" s="35"/>
      <c r="E121" s="33"/>
    </row>
    <row r="122" customFormat="false" ht="15" hidden="false" customHeight="false" outlineLevel="0" collapsed="false">
      <c r="A122" s="32"/>
      <c r="B122" s="36"/>
      <c r="C122" s="33"/>
      <c r="D122" s="35"/>
      <c r="E122" s="33"/>
    </row>
    <row r="123" customFormat="false" ht="15" hidden="false" customHeight="false" outlineLevel="0" collapsed="false">
      <c r="A123" s="32"/>
      <c r="B123" s="36"/>
      <c r="C123" s="33"/>
      <c r="D123" s="35"/>
      <c r="E123" s="33"/>
    </row>
    <row r="124" customFormat="false" ht="15" hidden="false" customHeight="false" outlineLevel="0" collapsed="false">
      <c r="A124" s="32"/>
      <c r="B124" s="36"/>
      <c r="C124" s="33"/>
      <c r="D124" s="35"/>
      <c r="E124" s="33"/>
    </row>
    <row r="125" customFormat="false" ht="15" hidden="false" customHeight="false" outlineLevel="0" collapsed="false">
      <c r="A125" s="32"/>
      <c r="B125" s="36"/>
      <c r="C125" s="33"/>
      <c r="D125" s="35"/>
      <c r="E125" s="33"/>
    </row>
    <row r="126" customFormat="false" ht="15" hidden="false" customHeight="false" outlineLevel="0" collapsed="false">
      <c r="A126" s="32"/>
      <c r="B126" s="36"/>
      <c r="C126" s="33"/>
      <c r="D126" s="35"/>
      <c r="E126" s="33"/>
    </row>
    <row r="127" customFormat="false" ht="15" hidden="false" customHeight="false" outlineLevel="0" collapsed="false">
      <c r="A127" s="32"/>
      <c r="B127" s="36"/>
      <c r="C127" s="33"/>
      <c r="D127" s="35"/>
      <c r="E127" s="33"/>
    </row>
    <row r="128" customFormat="false" ht="15" hidden="false" customHeight="false" outlineLevel="0" collapsed="false">
      <c r="A128" s="32"/>
      <c r="B128" s="36"/>
      <c r="C128" s="33"/>
      <c r="D128" s="35"/>
      <c r="E128" s="33"/>
    </row>
    <row r="129" customFormat="false" ht="15" hidden="false" customHeight="false" outlineLevel="0" collapsed="false">
      <c r="A129" s="32"/>
      <c r="B129" s="36"/>
      <c r="C129" s="33"/>
      <c r="D129" s="35"/>
      <c r="E129" s="33"/>
    </row>
    <row r="130" customFormat="false" ht="15" hidden="false" customHeight="false" outlineLevel="0" collapsed="false">
      <c r="A130" s="32"/>
      <c r="B130" s="36"/>
      <c r="C130" s="33"/>
      <c r="D130" s="35"/>
      <c r="E130" s="33"/>
    </row>
    <row r="131" customFormat="false" ht="15" hidden="false" customHeight="false" outlineLevel="0" collapsed="false">
      <c r="A131" s="32"/>
      <c r="B131" s="36"/>
      <c r="C131" s="33"/>
      <c r="D131" s="35"/>
      <c r="E131" s="33"/>
    </row>
    <row r="132" customFormat="false" ht="15" hidden="false" customHeight="false" outlineLevel="0" collapsed="false">
      <c r="A132" s="32"/>
      <c r="B132" s="36"/>
      <c r="C132" s="33"/>
      <c r="D132" s="35"/>
      <c r="E132" s="33"/>
    </row>
    <row r="133" customFormat="false" ht="15" hidden="false" customHeight="false" outlineLevel="0" collapsed="false">
      <c r="A133" s="32"/>
      <c r="B133" s="36"/>
      <c r="C133" s="33"/>
      <c r="D133" s="35"/>
      <c r="E133" s="33"/>
    </row>
    <row r="134" customFormat="false" ht="15" hidden="false" customHeight="false" outlineLevel="0" collapsed="false">
      <c r="A134" s="32"/>
      <c r="B134" s="36"/>
      <c r="C134" s="33"/>
      <c r="D134" s="35"/>
      <c r="E134" s="33"/>
    </row>
    <row r="135" customFormat="false" ht="15" hidden="false" customHeight="false" outlineLevel="0" collapsed="false">
      <c r="A135" s="32"/>
      <c r="B135" s="36"/>
      <c r="C135" s="33"/>
      <c r="D135" s="35"/>
      <c r="E135" s="33"/>
    </row>
    <row r="136" customFormat="false" ht="15" hidden="false" customHeight="false" outlineLevel="0" collapsed="false">
      <c r="A136" s="32"/>
      <c r="B136" s="36"/>
      <c r="C136" s="33"/>
      <c r="D136" s="35"/>
      <c r="E136" s="33"/>
    </row>
    <row r="137" customFormat="false" ht="15" hidden="false" customHeight="false" outlineLevel="0" collapsed="false">
      <c r="A137" s="32"/>
      <c r="B137" s="36"/>
      <c r="C137" s="33"/>
      <c r="D137" s="35"/>
      <c r="E137" s="33"/>
    </row>
    <row r="138" customFormat="false" ht="15" hidden="false" customHeight="false" outlineLevel="0" collapsed="false">
      <c r="A138" s="32"/>
      <c r="B138" s="36"/>
      <c r="C138" s="33"/>
      <c r="D138" s="35"/>
      <c r="E138" s="33"/>
    </row>
    <row r="139" customFormat="false" ht="15" hidden="false" customHeight="false" outlineLevel="0" collapsed="false">
      <c r="A139" s="32"/>
      <c r="B139" s="36"/>
      <c r="C139" s="33"/>
      <c r="D139" s="35"/>
      <c r="E139" s="33"/>
    </row>
    <row r="140" customFormat="false" ht="15" hidden="false" customHeight="false" outlineLevel="0" collapsed="false">
      <c r="A140" s="32"/>
      <c r="B140" s="36"/>
      <c r="C140" s="33"/>
      <c r="D140" s="35"/>
      <c r="E140" s="33"/>
    </row>
    <row r="141" customFormat="false" ht="15" hidden="false" customHeight="false" outlineLevel="0" collapsed="false">
      <c r="A141" s="32"/>
      <c r="B141" s="36"/>
      <c r="C141" s="33"/>
      <c r="D141" s="35"/>
      <c r="E141" s="33"/>
    </row>
    <row r="142" customFormat="false" ht="15" hidden="false" customHeight="false" outlineLevel="0" collapsed="false">
      <c r="A142" s="32"/>
      <c r="B142" s="36"/>
      <c r="C142" s="33"/>
      <c r="D142" s="35"/>
      <c r="E142" s="33"/>
    </row>
    <row r="143" customFormat="false" ht="15" hidden="false" customHeight="false" outlineLevel="0" collapsed="false">
      <c r="A143" s="32"/>
      <c r="B143" s="36"/>
      <c r="C143" s="33"/>
      <c r="D143" s="35"/>
      <c r="E143" s="33"/>
    </row>
    <row r="144" customFormat="false" ht="15" hidden="false" customHeight="false" outlineLevel="0" collapsed="false">
      <c r="A144" s="32"/>
      <c r="B144" s="36"/>
      <c r="C144" s="33"/>
      <c r="D144" s="35"/>
      <c r="E144" s="33"/>
    </row>
    <row r="145" customFormat="false" ht="15" hidden="false" customHeight="false" outlineLevel="0" collapsed="false">
      <c r="A145" s="32"/>
      <c r="B145" s="36"/>
      <c r="C145" s="33"/>
      <c r="D145" s="35"/>
      <c r="E145" s="33"/>
    </row>
    <row r="146" customFormat="false" ht="15" hidden="false" customHeight="false" outlineLevel="0" collapsed="false">
      <c r="A146" s="32"/>
      <c r="B146" s="36"/>
      <c r="C146" s="33"/>
      <c r="D146" s="35"/>
      <c r="E146" s="33"/>
    </row>
    <row r="147" customFormat="false" ht="15" hidden="false" customHeight="false" outlineLevel="0" collapsed="false">
      <c r="A147" s="32"/>
      <c r="B147" s="36"/>
      <c r="C147" s="33"/>
      <c r="D147" s="35"/>
      <c r="E147" s="33"/>
    </row>
    <row r="148" customFormat="false" ht="15" hidden="false" customHeight="false" outlineLevel="0" collapsed="false">
      <c r="A148" s="32"/>
      <c r="B148" s="36"/>
      <c r="C148" s="33"/>
      <c r="D148" s="35"/>
      <c r="E148" s="33"/>
    </row>
    <row r="149" customFormat="false" ht="15" hidden="false" customHeight="false" outlineLevel="0" collapsed="false">
      <c r="A149" s="32"/>
      <c r="B149" s="36"/>
      <c r="C149" s="33"/>
      <c r="D149" s="35"/>
      <c r="E149" s="33"/>
    </row>
    <row r="150" customFormat="false" ht="15" hidden="false" customHeight="false" outlineLevel="0" collapsed="false">
      <c r="A150" s="32"/>
      <c r="B150" s="36"/>
      <c r="C150" s="33"/>
      <c r="D150" s="35"/>
      <c r="E150" s="33"/>
    </row>
    <row r="151" customFormat="false" ht="15" hidden="false" customHeight="false" outlineLevel="0" collapsed="false">
      <c r="A151" s="32"/>
      <c r="B151" s="36"/>
      <c r="C151" s="33"/>
      <c r="D151" s="35"/>
      <c r="E151" s="33"/>
    </row>
    <row r="152" customFormat="false" ht="15" hidden="false" customHeight="false" outlineLevel="0" collapsed="false">
      <c r="A152" s="32"/>
      <c r="B152" s="36"/>
      <c r="C152" s="33"/>
      <c r="D152" s="35"/>
      <c r="E152" s="33"/>
    </row>
    <row r="153" customFormat="false" ht="15" hidden="false" customHeight="false" outlineLevel="0" collapsed="false">
      <c r="A153" s="32"/>
      <c r="B153" s="36"/>
      <c r="C153" s="33"/>
      <c r="D153" s="35"/>
      <c r="E153" s="33"/>
    </row>
    <row r="154" customFormat="false" ht="15" hidden="false" customHeight="false" outlineLevel="0" collapsed="false">
      <c r="A154" s="32"/>
      <c r="B154" s="36"/>
      <c r="C154" s="33"/>
      <c r="D154" s="35"/>
      <c r="E154" s="33"/>
    </row>
    <row r="155" customFormat="false" ht="15" hidden="false" customHeight="false" outlineLevel="0" collapsed="false">
      <c r="A155" s="32"/>
      <c r="B155" s="36"/>
      <c r="C155" s="33"/>
      <c r="D155" s="35"/>
      <c r="E155" s="33"/>
    </row>
    <row r="156" customFormat="false" ht="15" hidden="false" customHeight="false" outlineLevel="0" collapsed="false">
      <c r="A156" s="32"/>
      <c r="B156" s="36"/>
      <c r="C156" s="33"/>
      <c r="D156" s="35"/>
      <c r="E156" s="33"/>
    </row>
    <row r="157" customFormat="false" ht="15" hidden="false" customHeight="false" outlineLevel="0" collapsed="false">
      <c r="A157" s="32"/>
      <c r="B157" s="36"/>
      <c r="C157" s="33"/>
      <c r="D157" s="35"/>
      <c r="E157" s="33"/>
    </row>
    <row r="158" customFormat="false" ht="15" hidden="false" customHeight="false" outlineLevel="0" collapsed="false">
      <c r="A158" s="32"/>
      <c r="B158" s="36"/>
      <c r="C158" s="33"/>
      <c r="D158" s="35"/>
      <c r="E158" s="33"/>
    </row>
    <row r="159" customFormat="false" ht="15" hidden="false" customHeight="false" outlineLevel="0" collapsed="false">
      <c r="A159" s="32"/>
      <c r="B159" s="36"/>
      <c r="C159" s="33"/>
      <c r="D159" s="35"/>
      <c r="E159" s="33"/>
    </row>
    <row r="160" customFormat="false" ht="15" hidden="false" customHeight="false" outlineLevel="0" collapsed="false">
      <c r="A160" s="32"/>
      <c r="B160" s="36"/>
      <c r="C160" s="33"/>
      <c r="D160" s="35"/>
      <c r="E160" s="33"/>
    </row>
    <row r="161" customFormat="false" ht="15" hidden="false" customHeight="false" outlineLevel="0" collapsed="false">
      <c r="A161" s="32"/>
      <c r="B161" s="36"/>
      <c r="C161" s="33"/>
      <c r="D161" s="35"/>
      <c r="E161" s="33"/>
    </row>
    <row r="162" customFormat="false" ht="15" hidden="false" customHeight="false" outlineLevel="0" collapsed="false">
      <c r="A162" s="32"/>
      <c r="B162" s="36"/>
      <c r="C162" s="33"/>
      <c r="D162" s="35"/>
      <c r="E162" s="33"/>
    </row>
    <row r="163" customFormat="false" ht="15" hidden="false" customHeight="false" outlineLevel="0" collapsed="false">
      <c r="A163" s="32"/>
      <c r="B163" s="36"/>
      <c r="C163" s="33"/>
      <c r="D163" s="35"/>
      <c r="E163" s="33"/>
    </row>
    <row r="164" customFormat="false" ht="15" hidden="false" customHeight="false" outlineLevel="0" collapsed="false">
      <c r="A164" s="32"/>
      <c r="B164" s="36"/>
      <c r="C164" s="33"/>
      <c r="D164" s="35"/>
      <c r="E164" s="33"/>
    </row>
    <row r="165" customFormat="false" ht="15" hidden="false" customHeight="false" outlineLevel="0" collapsed="false">
      <c r="A165" s="32"/>
      <c r="B165" s="36"/>
      <c r="C165" s="33"/>
      <c r="D165" s="35"/>
      <c r="E165" s="33"/>
    </row>
    <row r="166" customFormat="false" ht="15" hidden="false" customHeight="false" outlineLevel="0" collapsed="false">
      <c r="A166" s="32"/>
      <c r="B166" s="36"/>
      <c r="C166" s="33"/>
      <c r="D166" s="35"/>
      <c r="E166" s="33"/>
    </row>
    <row r="167" customFormat="false" ht="15" hidden="false" customHeight="false" outlineLevel="0" collapsed="false">
      <c r="A167" s="32"/>
      <c r="B167" s="36"/>
      <c r="C167" s="33"/>
      <c r="D167" s="35"/>
      <c r="E167" s="33"/>
    </row>
    <row r="168" customFormat="false" ht="15" hidden="false" customHeight="false" outlineLevel="0" collapsed="false">
      <c r="A168" s="32"/>
      <c r="B168" s="36"/>
      <c r="C168" s="33"/>
      <c r="D168" s="35"/>
      <c r="E168" s="33"/>
    </row>
    <row r="169" customFormat="false" ht="15" hidden="false" customHeight="false" outlineLevel="0" collapsed="false">
      <c r="A169" s="32"/>
      <c r="B169" s="36"/>
      <c r="C169" s="33"/>
      <c r="D169" s="35"/>
      <c r="E169" s="33"/>
    </row>
    <row r="170" customFormat="false" ht="15" hidden="false" customHeight="false" outlineLevel="0" collapsed="false">
      <c r="A170" s="32"/>
      <c r="B170" s="36"/>
      <c r="C170" s="33"/>
      <c r="D170" s="35"/>
      <c r="E170" s="33"/>
    </row>
    <row r="171" customFormat="false" ht="15" hidden="false" customHeight="false" outlineLevel="0" collapsed="false">
      <c r="A171" s="32"/>
      <c r="B171" s="36"/>
      <c r="C171" s="33"/>
      <c r="D171" s="35"/>
      <c r="E171" s="33"/>
    </row>
    <row r="172" customFormat="false" ht="15" hidden="false" customHeight="false" outlineLevel="0" collapsed="false">
      <c r="A172" s="32"/>
      <c r="B172" s="36"/>
      <c r="C172" s="33"/>
      <c r="D172" s="35"/>
      <c r="E172" s="33"/>
    </row>
    <row r="173" customFormat="false" ht="15" hidden="false" customHeight="false" outlineLevel="0" collapsed="false">
      <c r="A173" s="32"/>
      <c r="B173" s="36"/>
      <c r="C173" s="33"/>
      <c r="D173" s="35"/>
      <c r="E173" s="33"/>
    </row>
    <row r="174" customFormat="false" ht="15" hidden="false" customHeight="false" outlineLevel="0" collapsed="false">
      <c r="A174" s="32"/>
      <c r="B174" s="36"/>
      <c r="C174" s="33"/>
      <c r="D174" s="35"/>
      <c r="E174" s="33"/>
    </row>
    <row r="175" customFormat="false" ht="15" hidden="false" customHeight="false" outlineLevel="0" collapsed="false">
      <c r="A175" s="32"/>
      <c r="B175" s="36"/>
      <c r="C175" s="33"/>
      <c r="D175" s="35"/>
      <c r="E175" s="33"/>
    </row>
    <row r="176" customFormat="false" ht="15" hidden="false" customHeight="false" outlineLevel="0" collapsed="false">
      <c r="A176" s="32"/>
      <c r="B176" s="36"/>
      <c r="C176" s="33"/>
      <c r="D176" s="35"/>
      <c r="E176" s="33"/>
    </row>
    <row r="177" customFormat="false" ht="15" hidden="false" customHeight="false" outlineLevel="0" collapsed="false">
      <c r="A177" s="32"/>
      <c r="B177" s="36"/>
      <c r="C177" s="33"/>
      <c r="D177" s="35"/>
      <c r="E177" s="33"/>
    </row>
    <row r="178" customFormat="false" ht="15" hidden="false" customHeight="false" outlineLevel="0" collapsed="false">
      <c r="A178" s="32"/>
      <c r="B178" s="36"/>
      <c r="C178" s="33"/>
      <c r="D178" s="35"/>
      <c r="E178" s="33"/>
    </row>
    <row r="179" customFormat="false" ht="15" hidden="false" customHeight="false" outlineLevel="0" collapsed="false">
      <c r="A179" s="32"/>
      <c r="B179" s="36"/>
      <c r="C179" s="33"/>
      <c r="D179" s="35"/>
      <c r="E179" s="33"/>
    </row>
    <row r="180" customFormat="false" ht="15" hidden="false" customHeight="false" outlineLevel="0" collapsed="false">
      <c r="A180" s="32"/>
      <c r="B180" s="36"/>
      <c r="C180" s="33"/>
      <c r="D180" s="35"/>
      <c r="E180" s="33"/>
    </row>
    <row r="181" customFormat="false" ht="15" hidden="false" customHeight="false" outlineLevel="0" collapsed="false">
      <c r="A181" s="32"/>
      <c r="B181" s="36"/>
      <c r="C181" s="33"/>
      <c r="D181" s="35"/>
      <c r="E181" s="33"/>
    </row>
    <row r="182" customFormat="false" ht="15" hidden="false" customHeight="false" outlineLevel="0" collapsed="false">
      <c r="A182" s="32"/>
      <c r="B182" s="36"/>
      <c r="C182" s="33"/>
      <c r="D182" s="35"/>
      <c r="E182" s="33"/>
    </row>
    <row r="183" customFormat="false" ht="15" hidden="false" customHeight="false" outlineLevel="0" collapsed="false">
      <c r="A183" s="32"/>
      <c r="B183" s="36"/>
      <c r="C183" s="33"/>
      <c r="D183" s="35"/>
      <c r="E183" s="33"/>
    </row>
    <row r="184" customFormat="false" ht="15" hidden="false" customHeight="false" outlineLevel="0" collapsed="false">
      <c r="A184" s="32"/>
      <c r="B184" s="36"/>
      <c r="C184" s="33"/>
      <c r="D184" s="35"/>
      <c r="E184" s="33"/>
    </row>
    <row r="185" customFormat="false" ht="15" hidden="false" customHeight="false" outlineLevel="0" collapsed="false">
      <c r="A185" s="32"/>
      <c r="B185" s="36"/>
      <c r="C185" s="33"/>
      <c r="D185" s="35"/>
      <c r="E185" s="33"/>
    </row>
    <row r="186" customFormat="false" ht="15" hidden="false" customHeight="false" outlineLevel="0" collapsed="false">
      <c r="A186" s="32"/>
      <c r="B186" s="36"/>
      <c r="C186" s="33"/>
      <c r="D186" s="35"/>
      <c r="E186" s="33"/>
    </row>
    <row r="187" customFormat="false" ht="15" hidden="false" customHeight="false" outlineLevel="0" collapsed="false">
      <c r="A187" s="32"/>
      <c r="B187" s="36"/>
      <c r="C187" s="33"/>
      <c r="D187" s="35"/>
      <c r="E187" s="33"/>
    </row>
    <row r="188" customFormat="false" ht="15" hidden="false" customHeight="false" outlineLevel="0" collapsed="false">
      <c r="A188" s="32"/>
      <c r="B188" s="36"/>
      <c r="C188" s="33"/>
      <c r="D188" s="35"/>
      <c r="E188" s="33"/>
    </row>
    <row r="189" customFormat="false" ht="15" hidden="false" customHeight="false" outlineLevel="0" collapsed="false">
      <c r="A189" s="32"/>
      <c r="B189" s="36"/>
      <c r="C189" s="33"/>
      <c r="D189" s="35"/>
      <c r="E189" s="33"/>
    </row>
    <row r="190" customFormat="false" ht="15" hidden="false" customHeight="false" outlineLevel="0" collapsed="false">
      <c r="A190" s="32"/>
      <c r="B190" s="36"/>
      <c r="C190" s="33"/>
      <c r="D190" s="35"/>
      <c r="E190" s="33"/>
    </row>
    <row r="191" customFormat="false" ht="15" hidden="false" customHeight="false" outlineLevel="0" collapsed="false">
      <c r="A191" s="32"/>
      <c r="B191" s="36"/>
      <c r="C191" s="33"/>
      <c r="D191" s="35"/>
      <c r="E191" s="33"/>
    </row>
    <row r="192" customFormat="false" ht="15" hidden="false" customHeight="false" outlineLevel="0" collapsed="false">
      <c r="A192" s="32"/>
      <c r="B192" s="36"/>
      <c r="C192" s="33"/>
      <c r="D192" s="35"/>
      <c r="E192" s="33"/>
    </row>
    <row r="193" customFormat="false" ht="15" hidden="false" customHeight="false" outlineLevel="0" collapsed="false">
      <c r="A193" s="32"/>
      <c r="B193" s="36"/>
      <c r="C193" s="33"/>
      <c r="D193" s="35"/>
      <c r="E193" s="33"/>
    </row>
    <row r="194" customFormat="false" ht="15" hidden="false" customHeight="false" outlineLevel="0" collapsed="false">
      <c r="A194" s="32"/>
      <c r="B194" s="36"/>
      <c r="C194" s="33"/>
      <c r="D194" s="35"/>
      <c r="E194" s="33"/>
    </row>
    <row r="195" customFormat="false" ht="15" hidden="false" customHeight="false" outlineLevel="0" collapsed="false">
      <c r="A195" s="32"/>
      <c r="B195" s="36"/>
      <c r="C195" s="33"/>
      <c r="D195" s="35"/>
      <c r="E195" s="33"/>
    </row>
    <row r="196" customFormat="false" ht="15" hidden="false" customHeight="false" outlineLevel="0" collapsed="false">
      <c r="A196" s="32"/>
      <c r="B196" s="36"/>
      <c r="C196" s="33"/>
      <c r="D196" s="35"/>
      <c r="E196" s="33"/>
    </row>
    <row r="197" customFormat="false" ht="15" hidden="false" customHeight="false" outlineLevel="0" collapsed="false">
      <c r="A197" s="32"/>
      <c r="B197" s="36"/>
      <c r="C197" s="33"/>
      <c r="D197" s="35"/>
      <c r="E197" s="33"/>
    </row>
    <row r="198" customFormat="false" ht="15" hidden="false" customHeight="false" outlineLevel="0" collapsed="false">
      <c r="A198" s="32"/>
      <c r="B198" s="36"/>
      <c r="C198" s="33"/>
      <c r="D198" s="35"/>
      <c r="E198" s="33"/>
    </row>
    <row r="199" customFormat="false" ht="15" hidden="false" customHeight="false" outlineLevel="0" collapsed="false">
      <c r="A199" s="32"/>
      <c r="B199" s="36"/>
      <c r="C199" s="33"/>
      <c r="D199" s="35"/>
      <c r="E199" s="33"/>
    </row>
    <row r="200" customFormat="false" ht="15" hidden="false" customHeight="false" outlineLevel="0" collapsed="false">
      <c r="A200" s="32"/>
      <c r="B200" s="36"/>
      <c r="C200" s="33"/>
      <c r="D200" s="35"/>
      <c r="E200" s="33"/>
    </row>
    <row r="201" customFormat="false" ht="15" hidden="false" customHeight="false" outlineLevel="0" collapsed="false">
      <c r="A201" s="32"/>
      <c r="B201" s="36"/>
      <c r="C201" s="33"/>
      <c r="D201" s="35"/>
      <c r="E201" s="33"/>
    </row>
    <row r="202" customFormat="false" ht="15" hidden="false" customHeight="false" outlineLevel="0" collapsed="false">
      <c r="A202" s="32"/>
      <c r="B202" s="36"/>
      <c r="C202" s="33"/>
      <c r="D202" s="35"/>
      <c r="E202" s="33"/>
    </row>
    <row r="203" customFormat="false" ht="15" hidden="false" customHeight="false" outlineLevel="0" collapsed="false">
      <c r="A203" s="32"/>
      <c r="B203" s="36"/>
      <c r="C203" s="33"/>
      <c r="D203" s="35"/>
      <c r="E203" s="33"/>
    </row>
    <row r="204" customFormat="false" ht="15" hidden="false" customHeight="false" outlineLevel="0" collapsed="false">
      <c r="A204" s="32"/>
      <c r="B204" s="36"/>
      <c r="C204" s="33"/>
      <c r="D204" s="35"/>
      <c r="E204" s="33"/>
    </row>
    <row r="205" customFormat="false" ht="15" hidden="false" customHeight="false" outlineLevel="0" collapsed="false">
      <c r="A205" s="32"/>
      <c r="B205" s="36"/>
      <c r="C205" s="33"/>
      <c r="D205" s="35"/>
      <c r="E205" s="33"/>
    </row>
    <row r="206" customFormat="false" ht="15" hidden="false" customHeight="false" outlineLevel="0" collapsed="false">
      <c r="A206" s="32"/>
      <c r="B206" s="36"/>
      <c r="C206" s="33"/>
      <c r="D206" s="35"/>
      <c r="E206" s="33"/>
    </row>
    <row r="207" customFormat="false" ht="15" hidden="false" customHeight="false" outlineLevel="0" collapsed="false">
      <c r="A207" s="32"/>
      <c r="B207" s="36"/>
      <c r="C207" s="33"/>
      <c r="D207" s="35"/>
      <c r="E207" s="33"/>
    </row>
    <row r="208" customFormat="false" ht="15" hidden="false" customHeight="false" outlineLevel="0" collapsed="false">
      <c r="A208" s="32"/>
      <c r="B208" s="36"/>
      <c r="C208" s="33"/>
      <c r="D208" s="35"/>
      <c r="E208" s="33"/>
    </row>
    <row r="209" customFormat="false" ht="15" hidden="false" customHeight="false" outlineLevel="0" collapsed="false">
      <c r="A209" s="32"/>
      <c r="B209" s="36"/>
      <c r="C209" s="33"/>
      <c r="D209" s="35"/>
      <c r="E209" s="33"/>
    </row>
    <row r="210" customFormat="false" ht="15" hidden="false" customHeight="false" outlineLevel="0" collapsed="false">
      <c r="A210" s="32"/>
      <c r="B210" s="36"/>
      <c r="C210" s="33"/>
      <c r="D210" s="35"/>
      <c r="E210" s="33"/>
    </row>
    <row r="211" customFormat="false" ht="15" hidden="false" customHeight="false" outlineLevel="0" collapsed="false">
      <c r="A211" s="32"/>
      <c r="B211" s="36"/>
      <c r="C211" s="33"/>
      <c r="D211" s="35"/>
      <c r="E211" s="33"/>
    </row>
    <row r="212" customFormat="false" ht="15" hidden="false" customHeight="false" outlineLevel="0" collapsed="false">
      <c r="A212" s="32"/>
      <c r="B212" s="36"/>
      <c r="C212" s="33"/>
      <c r="D212" s="35"/>
      <c r="E212" s="33"/>
    </row>
    <row r="213" customFormat="false" ht="15" hidden="false" customHeight="false" outlineLevel="0" collapsed="false">
      <c r="A213" s="32"/>
      <c r="B213" s="36"/>
      <c r="C213" s="33"/>
      <c r="D213" s="35"/>
      <c r="E213" s="33"/>
    </row>
    <row r="214" customFormat="false" ht="15" hidden="false" customHeight="false" outlineLevel="0" collapsed="false">
      <c r="A214" s="32"/>
      <c r="B214" s="36"/>
      <c r="C214" s="33"/>
      <c r="D214" s="35"/>
      <c r="E214" s="33"/>
    </row>
    <row r="215" customFormat="false" ht="15" hidden="false" customHeight="false" outlineLevel="0" collapsed="false">
      <c r="A215" s="32"/>
      <c r="B215" s="36"/>
      <c r="C215" s="33"/>
      <c r="D215" s="35"/>
      <c r="E215" s="33"/>
    </row>
    <row r="216" customFormat="false" ht="15" hidden="false" customHeight="false" outlineLevel="0" collapsed="false">
      <c r="A216" s="32"/>
      <c r="B216" s="36"/>
      <c r="C216" s="33"/>
      <c r="D216" s="35"/>
      <c r="E216" s="33"/>
    </row>
    <row r="217" customFormat="false" ht="15" hidden="false" customHeight="false" outlineLevel="0" collapsed="false">
      <c r="A217" s="32"/>
      <c r="B217" s="36"/>
      <c r="C217" s="33"/>
      <c r="D217" s="35"/>
      <c r="E217" s="33"/>
    </row>
    <row r="218" customFormat="false" ht="15" hidden="false" customHeight="false" outlineLevel="0" collapsed="false">
      <c r="A218" s="32"/>
      <c r="B218" s="36"/>
      <c r="C218" s="33"/>
      <c r="D218" s="35"/>
      <c r="E218" s="33"/>
    </row>
    <row r="219" customFormat="false" ht="15" hidden="false" customHeight="false" outlineLevel="0" collapsed="false">
      <c r="A219" s="32"/>
      <c r="B219" s="36"/>
      <c r="C219" s="33"/>
      <c r="D219" s="35"/>
      <c r="E219" s="33"/>
    </row>
    <row r="220" customFormat="false" ht="15" hidden="false" customHeight="false" outlineLevel="0" collapsed="false">
      <c r="A220" s="32"/>
      <c r="B220" s="36"/>
      <c r="C220" s="33"/>
      <c r="D220" s="35"/>
      <c r="E220" s="33"/>
    </row>
    <row r="221" customFormat="false" ht="15" hidden="false" customHeight="false" outlineLevel="0" collapsed="false">
      <c r="A221" s="32"/>
      <c r="B221" s="36"/>
      <c r="C221" s="33"/>
      <c r="D221" s="35"/>
      <c r="E221" s="33"/>
    </row>
    <row r="222" customFormat="false" ht="15" hidden="false" customHeight="false" outlineLevel="0" collapsed="false">
      <c r="A222" s="32"/>
      <c r="B222" s="36"/>
      <c r="C222" s="33"/>
      <c r="D222" s="35"/>
      <c r="E222" s="33"/>
    </row>
    <row r="223" customFormat="false" ht="15" hidden="false" customHeight="false" outlineLevel="0" collapsed="false">
      <c r="A223" s="32"/>
      <c r="B223" s="36"/>
      <c r="C223" s="33"/>
      <c r="D223" s="35"/>
      <c r="E223" s="33"/>
    </row>
    <row r="224" customFormat="false" ht="15" hidden="false" customHeight="false" outlineLevel="0" collapsed="false">
      <c r="A224" s="32"/>
      <c r="B224" s="36"/>
      <c r="C224" s="33"/>
      <c r="D224" s="35"/>
      <c r="E224" s="33"/>
    </row>
    <row r="225" customFormat="false" ht="15" hidden="false" customHeight="false" outlineLevel="0" collapsed="false">
      <c r="A225" s="32"/>
      <c r="B225" s="36"/>
      <c r="C225" s="33"/>
      <c r="D225" s="35"/>
      <c r="E225" s="33"/>
    </row>
    <row r="226" customFormat="false" ht="15" hidden="false" customHeight="false" outlineLevel="0" collapsed="false">
      <c r="A226" s="32"/>
      <c r="B226" s="36"/>
      <c r="C226" s="33"/>
      <c r="D226" s="35"/>
      <c r="E226" s="33"/>
    </row>
    <row r="227" customFormat="false" ht="15" hidden="false" customHeight="false" outlineLevel="0" collapsed="false">
      <c r="A227" s="32"/>
      <c r="B227" s="36"/>
      <c r="C227" s="33"/>
      <c r="D227" s="35"/>
      <c r="E227" s="33"/>
    </row>
    <row r="228" customFormat="false" ht="15" hidden="false" customHeight="false" outlineLevel="0" collapsed="false">
      <c r="A228" s="32"/>
      <c r="B228" s="36"/>
      <c r="C228" s="33"/>
      <c r="D228" s="35"/>
      <c r="E228" s="33"/>
    </row>
    <row r="229" customFormat="false" ht="15" hidden="false" customHeight="false" outlineLevel="0" collapsed="false">
      <c r="A229" s="32"/>
      <c r="B229" s="36"/>
      <c r="C229" s="33"/>
      <c r="D229" s="35"/>
      <c r="E229" s="33"/>
    </row>
    <row r="230" customFormat="false" ht="15" hidden="false" customHeight="false" outlineLevel="0" collapsed="false">
      <c r="A230" s="32"/>
      <c r="B230" s="36"/>
      <c r="C230" s="33"/>
      <c r="D230" s="35"/>
      <c r="E230" s="33"/>
    </row>
    <row r="231" customFormat="false" ht="15" hidden="false" customHeight="false" outlineLevel="0" collapsed="false">
      <c r="A231" s="32"/>
      <c r="B231" s="36"/>
      <c r="C231" s="33"/>
      <c r="D231" s="35"/>
      <c r="E231" s="33"/>
    </row>
    <row r="232" customFormat="false" ht="15" hidden="false" customHeight="false" outlineLevel="0" collapsed="false">
      <c r="A232" s="32"/>
      <c r="B232" s="36"/>
      <c r="C232" s="33"/>
      <c r="D232" s="35"/>
      <c r="E232" s="33"/>
    </row>
    <row r="233" customFormat="false" ht="15" hidden="false" customHeight="false" outlineLevel="0" collapsed="false">
      <c r="A233" s="32"/>
      <c r="B233" s="36"/>
      <c r="C233" s="33"/>
      <c r="D233" s="35"/>
      <c r="E233" s="33"/>
    </row>
    <row r="234" customFormat="false" ht="15" hidden="false" customHeight="false" outlineLevel="0" collapsed="false">
      <c r="A234" s="32"/>
      <c r="B234" s="36"/>
      <c r="C234" s="33"/>
      <c r="D234" s="35"/>
      <c r="E234" s="33"/>
    </row>
    <row r="235" customFormat="false" ht="15" hidden="false" customHeight="false" outlineLevel="0" collapsed="false">
      <c r="A235" s="32"/>
      <c r="B235" s="36"/>
      <c r="C235" s="33"/>
      <c r="D235" s="35"/>
      <c r="E235" s="33"/>
    </row>
    <row r="236" customFormat="false" ht="15" hidden="false" customHeight="false" outlineLevel="0" collapsed="false">
      <c r="A236" s="32"/>
      <c r="B236" s="36"/>
      <c r="C236" s="33"/>
      <c r="D236" s="35"/>
      <c r="E236" s="33"/>
    </row>
    <row r="237" customFormat="false" ht="15" hidden="false" customHeight="false" outlineLevel="0" collapsed="false">
      <c r="A237" s="32"/>
      <c r="B237" s="36"/>
      <c r="C237" s="33"/>
      <c r="D237" s="35"/>
      <c r="E237" s="33"/>
    </row>
    <row r="238" customFormat="false" ht="15" hidden="false" customHeight="false" outlineLevel="0" collapsed="false">
      <c r="A238" s="32"/>
      <c r="B238" s="36"/>
      <c r="C238" s="33"/>
      <c r="D238" s="35"/>
      <c r="E238" s="33"/>
    </row>
    <row r="239" customFormat="false" ht="15" hidden="false" customHeight="false" outlineLevel="0" collapsed="false">
      <c r="A239" s="32"/>
      <c r="B239" s="36"/>
      <c r="C239" s="33"/>
      <c r="D239" s="35"/>
      <c r="E239" s="33"/>
    </row>
    <row r="240" customFormat="false" ht="15" hidden="false" customHeight="false" outlineLevel="0" collapsed="false">
      <c r="A240" s="32"/>
      <c r="B240" s="36"/>
      <c r="C240" s="33"/>
      <c r="D240" s="35"/>
      <c r="E240" s="33"/>
    </row>
    <row r="241" customFormat="false" ht="15" hidden="false" customHeight="false" outlineLevel="0" collapsed="false">
      <c r="A241" s="32"/>
      <c r="B241" s="36"/>
      <c r="C241" s="33"/>
      <c r="D241" s="35"/>
      <c r="E241" s="33"/>
    </row>
    <row r="242" customFormat="false" ht="15" hidden="false" customHeight="false" outlineLevel="0" collapsed="false">
      <c r="A242" s="32"/>
      <c r="B242" s="36"/>
      <c r="C242" s="33"/>
      <c r="D242" s="35"/>
      <c r="E242" s="33"/>
    </row>
    <row r="243" customFormat="false" ht="15" hidden="false" customHeight="false" outlineLevel="0" collapsed="false">
      <c r="A243" s="32"/>
      <c r="B243" s="36"/>
      <c r="C243" s="33"/>
      <c r="D243" s="35"/>
      <c r="E243" s="33"/>
    </row>
    <row r="244" customFormat="false" ht="15" hidden="false" customHeight="false" outlineLevel="0" collapsed="false">
      <c r="A244" s="32"/>
      <c r="B244" s="36"/>
      <c r="C244" s="33"/>
      <c r="D244" s="35"/>
      <c r="E244" s="33"/>
    </row>
    <row r="245" customFormat="false" ht="15" hidden="false" customHeight="false" outlineLevel="0" collapsed="false">
      <c r="A245" s="32"/>
      <c r="B245" s="36"/>
      <c r="C245" s="33"/>
      <c r="D245" s="35"/>
      <c r="E245" s="33"/>
    </row>
    <row r="246" customFormat="false" ht="15" hidden="false" customHeight="false" outlineLevel="0" collapsed="false">
      <c r="A246" s="32"/>
      <c r="B246" s="36"/>
      <c r="C246" s="33"/>
      <c r="D246" s="35"/>
      <c r="E246" s="33"/>
    </row>
    <row r="247" customFormat="false" ht="15" hidden="false" customHeight="false" outlineLevel="0" collapsed="false">
      <c r="A247" s="32"/>
      <c r="B247" s="36"/>
      <c r="C247" s="33"/>
      <c r="D247" s="35"/>
      <c r="E247" s="33"/>
    </row>
    <row r="248" customFormat="false" ht="15" hidden="false" customHeight="false" outlineLevel="0" collapsed="false">
      <c r="A248" s="32"/>
      <c r="B248" s="36"/>
      <c r="C248" s="33"/>
      <c r="D248" s="35"/>
      <c r="E248" s="33"/>
    </row>
    <row r="249" customFormat="false" ht="15" hidden="false" customHeight="false" outlineLevel="0" collapsed="false">
      <c r="A249" s="32"/>
      <c r="B249" s="36"/>
      <c r="C249" s="33"/>
      <c r="D249" s="35"/>
      <c r="E249" s="33"/>
    </row>
    <row r="250" customFormat="false" ht="15" hidden="false" customHeight="false" outlineLevel="0" collapsed="false">
      <c r="A250" s="32"/>
      <c r="B250" s="36"/>
      <c r="C250" s="33"/>
      <c r="D250" s="35"/>
      <c r="E250" s="33"/>
    </row>
    <row r="251" customFormat="false" ht="15" hidden="false" customHeight="false" outlineLevel="0" collapsed="false">
      <c r="A251" s="32"/>
      <c r="B251" s="36"/>
      <c r="C251" s="33"/>
      <c r="D251" s="35"/>
      <c r="E251" s="33"/>
    </row>
    <row r="252" customFormat="false" ht="15" hidden="false" customHeight="false" outlineLevel="0" collapsed="false">
      <c r="A252" s="32"/>
      <c r="B252" s="36"/>
      <c r="C252" s="33"/>
      <c r="D252" s="35"/>
      <c r="E252" s="33"/>
    </row>
    <row r="253" customFormat="false" ht="15" hidden="false" customHeight="false" outlineLevel="0" collapsed="false">
      <c r="A253" s="32"/>
      <c r="B253" s="36"/>
      <c r="C253" s="33"/>
      <c r="D253" s="35"/>
      <c r="E253" s="33"/>
    </row>
    <row r="254" customFormat="false" ht="15" hidden="false" customHeight="false" outlineLevel="0" collapsed="false">
      <c r="A254" s="32"/>
      <c r="B254" s="36"/>
      <c r="C254" s="33"/>
      <c r="D254" s="35"/>
      <c r="E254" s="33"/>
    </row>
    <row r="255" customFormat="false" ht="15" hidden="false" customHeight="false" outlineLevel="0" collapsed="false">
      <c r="A255" s="32"/>
      <c r="B255" s="36"/>
      <c r="C255" s="33"/>
      <c r="D255" s="35"/>
      <c r="E255" s="33"/>
    </row>
    <row r="256" customFormat="false" ht="15" hidden="false" customHeight="false" outlineLevel="0" collapsed="false">
      <c r="A256" s="32"/>
      <c r="B256" s="36"/>
      <c r="C256" s="33"/>
      <c r="D256" s="35"/>
      <c r="E256" s="33"/>
    </row>
    <row r="257" customFormat="false" ht="15" hidden="false" customHeight="false" outlineLevel="0" collapsed="false">
      <c r="A257" s="32"/>
      <c r="B257" s="36"/>
      <c r="C257" s="33"/>
      <c r="D257" s="35"/>
      <c r="E257" s="33"/>
    </row>
    <row r="258" customFormat="false" ht="15" hidden="false" customHeight="false" outlineLevel="0" collapsed="false">
      <c r="A258" s="32"/>
      <c r="B258" s="36"/>
      <c r="C258" s="33"/>
      <c r="D258" s="35"/>
      <c r="E258" s="33"/>
    </row>
    <row r="259" customFormat="false" ht="15" hidden="false" customHeight="false" outlineLevel="0" collapsed="false">
      <c r="A259" s="32"/>
      <c r="B259" s="36"/>
      <c r="C259" s="33"/>
      <c r="D259" s="35"/>
      <c r="E259" s="33"/>
    </row>
    <row r="260" customFormat="false" ht="15" hidden="false" customHeight="false" outlineLevel="0" collapsed="false">
      <c r="A260" s="32"/>
      <c r="B260" s="36"/>
      <c r="C260" s="33"/>
      <c r="D260" s="35"/>
      <c r="E260" s="33"/>
    </row>
    <row r="261" customFormat="false" ht="15" hidden="false" customHeight="false" outlineLevel="0" collapsed="false">
      <c r="A261" s="32"/>
      <c r="B261" s="36"/>
      <c r="C261" s="33"/>
      <c r="D261" s="35"/>
      <c r="E261" s="33"/>
    </row>
    <row r="262" customFormat="false" ht="15" hidden="false" customHeight="false" outlineLevel="0" collapsed="false">
      <c r="A262" s="32"/>
      <c r="B262" s="36"/>
      <c r="C262" s="33"/>
      <c r="D262" s="35"/>
      <c r="E262" s="33"/>
    </row>
    <row r="263" customFormat="false" ht="15" hidden="false" customHeight="false" outlineLevel="0" collapsed="false">
      <c r="A263" s="32"/>
      <c r="B263" s="36"/>
      <c r="C263" s="33"/>
      <c r="D263" s="35"/>
      <c r="E263" s="33"/>
    </row>
    <row r="264" customFormat="false" ht="15" hidden="false" customHeight="false" outlineLevel="0" collapsed="false">
      <c r="A264" s="32"/>
      <c r="B264" s="36"/>
      <c r="C264" s="33"/>
      <c r="D264" s="35"/>
      <c r="E264" s="33"/>
    </row>
    <row r="265" customFormat="false" ht="15" hidden="false" customHeight="false" outlineLevel="0" collapsed="false">
      <c r="A265" s="32"/>
      <c r="B265" s="36"/>
      <c r="C265" s="33"/>
      <c r="D265" s="35"/>
      <c r="E265" s="33"/>
    </row>
    <row r="266" customFormat="false" ht="15" hidden="false" customHeight="false" outlineLevel="0" collapsed="false">
      <c r="A266" s="32"/>
      <c r="B266" s="36"/>
      <c r="C266" s="33"/>
      <c r="D266" s="35"/>
      <c r="E266" s="33"/>
    </row>
    <row r="267" customFormat="false" ht="15" hidden="false" customHeight="false" outlineLevel="0" collapsed="false">
      <c r="A267" s="32"/>
      <c r="B267" s="36"/>
      <c r="C267" s="33"/>
      <c r="D267" s="35"/>
      <c r="E267" s="33"/>
    </row>
    <row r="268" customFormat="false" ht="15" hidden="false" customHeight="false" outlineLevel="0" collapsed="false">
      <c r="A268" s="32"/>
      <c r="B268" s="36"/>
      <c r="C268" s="33"/>
      <c r="D268" s="35"/>
      <c r="E268" s="33"/>
    </row>
    <row r="269" customFormat="false" ht="15" hidden="false" customHeight="false" outlineLevel="0" collapsed="false">
      <c r="A269" s="32"/>
      <c r="B269" s="36"/>
      <c r="C269" s="33"/>
      <c r="D269" s="35"/>
      <c r="E269" s="33"/>
    </row>
    <row r="270" customFormat="false" ht="15" hidden="false" customHeight="false" outlineLevel="0" collapsed="false">
      <c r="A270" s="32"/>
      <c r="B270" s="36"/>
      <c r="C270" s="33"/>
      <c r="D270" s="35"/>
      <c r="E270" s="33"/>
    </row>
    <row r="271" customFormat="false" ht="15" hidden="false" customHeight="false" outlineLevel="0" collapsed="false">
      <c r="A271" s="32"/>
      <c r="B271" s="36"/>
      <c r="C271" s="33"/>
      <c r="D271" s="35"/>
      <c r="E271" s="33"/>
    </row>
    <row r="272" customFormat="false" ht="15" hidden="false" customHeight="false" outlineLevel="0" collapsed="false">
      <c r="A272" s="32"/>
      <c r="B272" s="36"/>
      <c r="C272" s="33"/>
      <c r="D272" s="35"/>
      <c r="E272" s="33"/>
    </row>
    <row r="273" customFormat="false" ht="15" hidden="false" customHeight="false" outlineLevel="0" collapsed="false">
      <c r="A273" s="32"/>
      <c r="B273" s="36"/>
      <c r="C273" s="33"/>
      <c r="D273" s="35"/>
      <c r="E273" s="33"/>
    </row>
    <row r="274" customFormat="false" ht="15" hidden="false" customHeight="false" outlineLevel="0" collapsed="false">
      <c r="A274" s="32"/>
      <c r="B274" s="36"/>
      <c r="C274" s="33"/>
      <c r="D274" s="35"/>
      <c r="E274" s="33"/>
    </row>
    <row r="275" customFormat="false" ht="15" hidden="false" customHeight="false" outlineLevel="0" collapsed="false">
      <c r="A275" s="32"/>
      <c r="B275" s="36"/>
      <c r="C275" s="33"/>
      <c r="D275" s="35"/>
      <c r="E275" s="33"/>
    </row>
    <row r="276" customFormat="false" ht="15" hidden="false" customHeight="false" outlineLevel="0" collapsed="false">
      <c r="A276" s="32"/>
      <c r="B276" s="36"/>
      <c r="C276" s="33"/>
      <c r="D276" s="35"/>
      <c r="E276" s="33"/>
    </row>
    <row r="277" customFormat="false" ht="15" hidden="false" customHeight="false" outlineLevel="0" collapsed="false">
      <c r="A277" s="32"/>
      <c r="B277" s="36"/>
      <c r="C277" s="33"/>
      <c r="D277" s="35"/>
      <c r="E277" s="33"/>
    </row>
    <row r="278" customFormat="false" ht="15" hidden="false" customHeight="false" outlineLevel="0" collapsed="false">
      <c r="A278" s="32"/>
      <c r="B278" s="36"/>
      <c r="C278" s="33"/>
      <c r="D278" s="35"/>
      <c r="E278" s="33"/>
    </row>
    <row r="279" customFormat="false" ht="15" hidden="false" customHeight="false" outlineLevel="0" collapsed="false">
      <c r="A279" s="32"/>
      <c r="B279" s="36"/>
      <c r="C279" s="33"/>
      <c r="D279" s="35"/>
      <c r="E279" s="33"/>
    </row>
    <row r="280" customFormat="false" ht="15" hidden="false" customHeight="false" outlineLevel="0" collapsed="false">
      <c r="A280" s="32"/>
      <c r="B280" s="36"/>
      <c r="C280" s="33"/>
      <c r="D280" s="35"/>
      <c r="E280" s="33"/>
    </row>
    <row r="281" customFormat="false" ht="15" hidden="false" customHeight="false" outlineLevel="0" collapsed="false">
      <c r="A281" s="32"/>
      <c r="B281" s="36"/>
      <c r="C281" s="33"/>
      <c r="D281" s="35"/>
      <c r="E281" s="33"/>
    </row>
    <row r="282" customFormat="false" ht="15" hidden="false" customHeight="false" outlineLevel="0" collapsed="false">
      <c r="A282" s="32"/>
      <c r="B282" s="36"/>
      <c r="C282" s="33"/>
      <c r="D282" s="35"/>
      <c r="E282" s="33"/>
    </row>
    <row r="283" customFormat="false" ht="15" hidden="false" customHeight="false" outlineLevel="0" collapsed="false">
      <c r="A283" s="32"/>
      <c r="B283" s="36"/>
      <c r="C283" s="33"/>
      <c r="D283" s="35"/>
      <c r="E283" s="33"/>
    </row>
    <row r="284" customFormat="false" ht="15" hidden="false" customHeight="false" outlineLevel="0" collapsed="false">
      <c r="A284" s="32"/>
      <c r="B284" s="36"/>
      <c r="C284" s="33"/>
      <c r="D284" s="35"/>
      <c r="E284" s="33"/>
    </row>
    <row r="285" customFormat="false" ht="15" hidden="false" customHeight="false" outlineLevel="0" collapsed="false">
      <c r="A285" s="32"/>
      <c r="B285" s="36"/>
      <c r="C285" s="33"/>
      <c r="D285" s="35"/>
      <c r="E285" s="33"/>
    </row>
    <row r="286" customFormat="false" ht="15" hidden="false" customHeight="false" outlineLevel="0" collapsed="false">
      <c r="A286" s="32"/>
      <c r="B286" s="36"/>
      <c r="C286" s="33"/>
      <c r="D286" s="35"/>
      <c r="E286" s="33"/>
    </row>
    <row r="287" customFormat="false" ht="15" hidden="false" customHeight="false" outlineLevel="0" collapsed="false">
      <c r="A287" s="32"/>
      <c r="B287" s="36"/>
      <c r="C287" s="33"/>
      <c r="D287" s="35"/>
      <c r="E287" s="33"/>
    </row>
    <row r="288" customFormat="false" ht="15" hidden="false" customHeight="false" outlineLevel="0" collapsed="false">
      <c r="A288" s="32"/>
      <c r="B288" s="36"/>
      <c r="C288" s="33"/>
      <c r="D288" s="35"/>
      <c r="E288" s="33"/>
    </row>
    <row r="289" customFormat="false" ht="15" hidden="false" customHeight="false" outlineLevel="0" collapsed="false">
      <c r="A289" s="32"/>
      <c r="B289" s="36"/>
      <c r="C289" s="33"/>
      <c r="D289" s="35"/>
      <c r="E289" s="33"/>
    </row>
    <row r="290" customFormat="false" ht="15" hidden="false" customHeight="false" outlineLevel="0" collapsed="false">
      <c r="A290" s="32"/>
      <c r="B290" s="36"/>
      <c r="C290" s="33"/>
      <c r="D290" s="35"/>
      <c r="E290" s="33"/>
    </row>
    <row r="291" customFormat="false" ht="15" hidden="false" customHeight="false" outlineLevel="0" collapsed="false">
      <c r="A291" s="32"/>
      <c r="B291" s="36"/>
      <c r="C291" s="33"/>
      <c r="D291" s="35"/>
      <c r="E291" s="33"/>
    </row>
    <row r="292" customFormat="false" ht="15" hidden="false" customHeight="false" outlineLevel="0" collapsed="false">
      <c r="A292" s="32"/>
      <c r="B292" s="36"/>
      <c r="C292" s="33"/>
      <c r="D292" s="35"/>
      <c r="E292" s="33"/>
    </row>
    <row r="293" customFormat="false" ht="15" hidden="false" customHeight="false" outlineLevel="0" collapsed="false">
      <c r="A293" s="32"/>
      <c r="B293" s="36"/>
      <c r="C293" s="33"/>
      <c r="D293" s="35"/>
      <c r="E293" s="33"/>
    </row>
    <row r="294" customFormat="false" ht="15" hidden="false" customHeight="false" outlineLevel="0" collapsed="false">
      <c r="A294" s="32"/>
      <c r="B294" s="36"/>
      <c r="C294" s="33"/>
      <c r="D294" s="35"/>
      <c r="E294" s="33"/>
    </row>
    <row r="295" customFormat="false" ht="15" hidden="false" customHeight="false" outlineLevel="0" collapsed="false">
      <c r="A295" s="32"/>
      <c r="B295" s="36"/>
      <c r="C295" s="33"/>
      <c r="D295" s="35"/>
      <c r="E295" s="33"/>
    </row>
    <row r="296" customFormat="false" ht="15" hidden="false" customHeight="false" outlineLevel="0" collapsed="false">
      <c r="A296" s="32"/>
      <c r="B296" s="36"/>
      <c r="C296" s="33"/>
      <c r="D296" s="35"/>
      <c r="E296" s="33"/>
    </row>
    <row r="297" customFormat="false" ht="15" hidden="false" customHeight="false" outlineLevel="0" collapsed="false">
      <c r="A297" s="32"/>
      <c r="B297" s="36"/>
      <c r="C297" s="33"/>
      <c r="D297" s="35"/>
      <c r="E297" s="33"/>
    </row>
    <row r="298" customFormat="false" ht="15" hidden="false" customHeight="false" outlineLevel="0" collapsed="false">
      <c r="A298" s="32"/>
      <c r="B298" s="36"/>
      <c r="C298" s="33"/>
      <c r="D298" s="35"/>
      <c r="E298" s="33"/>
    </row>
    <row r="299" customFormat="false" ht="15" hidden="false" customHeight="false" outlineLevel="0" collapsed="false">
      <c r="A299" s="32"/>
      <c r="B299" s="36"/>
      <c r="C299" s="33"/>
      <c r="D299" s="35"/>
      <c r="E299" s="33"/>
    </row>
    <row r="300" customFormat="false" ht="15" hidden="false" customHeight="false" outlineLevel="0" collapsed="false">
      <c r="A300" s="32"/>
      <c r="B300" s="36"/>
      <c r="C300" s="33"/>
      <c r="D300" s="35"/>
      <c r="E300" s="33"/>
    </row>
    <row r="301" customFormat="false" ht="15" hidden="false" customHeight="false" outlineLevel="0" collapsed="false">
      <c r="A301" s="32"/>
      <c r="B301" s="36"/>
      <c r="C301" s="33"/>
      <c r="D301" s="35"/>
      <c r="E301" s="33"/>
    </row>
    <row r="302" customFormat="false" ht="15" hidden="false" customHeight="false" outlineLevel="0" collapsed="false">
      <c r="A302" s="32"/>
      <c r="B302" s="36"/>
      <c r="C302" s="33"/>
      <c r="D302" s="35"/>
      <c r="E302" s="33"/>
    </row>
    <row r="303" customFormat="false" ht="15" hidden="false" customHeight="false" outlineLevel="0" collapsed="false">
      <c r="A303" s="32"/>
      <c r="B303" s="36"/>
      <c r="C303" s="33"/>
      <c r="D303" s="35"/>
      <c r="E303" s="33"/>
    </row>
    <row r="304" customFormat="false" ht="15" hidden="false" customHeight="false" outlineLevel="0" collapsed="false">
      <c r="A304" s="32"/>
      <c r="B304" s="36"/>
      <c r="C304" s="33"/>
      <c r="D304" s="35"/>
      <c r="E304" s="33"/>
    </row>
    <row r="305" customFormat="false" ht="15" hidden="false" customHeight="false" outlineLevel="0" collapsed="false">
      <c r="A305" s="32"/>
      <c r="B305" s="36"/>
      <c r="C305" s="33"/>
      <c r="D305" s="35"/>
      <c r="E305" s="33"/>
    </row>
    <row r="306" customFormat="false" ht="15" hidden="false" customHeight="false" outlineLevel="0" collapsed="false">
      <c r="A306" s="32"/>
      <c r="B306" s="36"/>
      <c r="C306" s="33"/>
      <c r="D306" s="35"/>
      <c r="E306" s="33"/>
    </row>
    <row r="307" customFormat="false" ht="15" hidden="false" customHeight="false" outlineLevel="0" collapsed="false">
      <c r="A307" s="32"/>
      <c r="B307" s="36"/>
      <c r="C307" s="33"/>
      <c r="D307" s="35"/>
      <c r="E307" s="33"/>
    </row>
    <row r="308" customFormat="false" ht="15" hidden="false" customHeight="false" outlineLevel="0" collapsed="false">
      <c r="A308" s="32"/>
      <c r="B308" s="36"/>
      <c r="C308" s="33"/>
      <c r="D308" s="35"/>
      <c r="E308" s="33"/>
    </row>
    <row r="309" customFormat="false" ht="15" hidden="false" customHeight="false" outlineLevel="0" collapsed="false">
      <c r="A309" s="32"/>
      <c r="B309" s="36"/>
      <c r="C309" s="33"/>
      <c r="D309" s="35"/>
      <c r="E309" s="33"/>
    </row>
    <row r="310" customFormat="false" ht="15" hidden="false" customHeight="false" outlineLevel="0" collapsed="false">
      <c r="A310" s="32"/>
      <c r="B310" s="36"/>
      <c r="C310" s="33"/>
      <c r="D310" s="35"/>
      <c r="E310" s="33"/>
    </row>
    <row r="311" customFormat="false" ht="15" hidden="false" customHeight="false" outlineLevel="0" collapsed="false">
      <c r="A311" s="32"/>
      <c r="B311" s="36"/>
      <c r="C311" s="33"/>
      <c r="D311" s="35"/>
      <c r="E311" s="33"/>
    </row>
    <row r="312" customFormat="false" ht="15" hidden="false" customHeight="false" outlineLevel="0" collapsed="false">
      <c r="A312" s="32"/>
      <c r="B312" s="36"/>
      <c r="C312" s="33"/>
      <c r="D312" s="35"/>
      <c r="E312" s="33"/>
    </row>
    <row r="313" customFormat="false" ht="15" hidden="false" customHeight="false" outlineLevel="0" collapsed="false">
      <c r="A313" s="32"/>
      <c r="B313" s="36"/>
      <c r="C313" s="33"/>
      <c r="D313" s="35"/>
      <c r="E313" s="33"/>
    </row>
    <row r="314" customFormat="false" ht="15" hidden="false" customHeight="false" outlineLevel="0" collapsed="false">
      <c r="A314" s="32"/>
      <c r="B314" s="36"/>
      <c r="C314" s="33"/>
      <c r="D314" s="35"/>
      <c r="E314" s="33"/>
    </row>
    <row r="315" customFormat="false" ht="15" hidden="false" customHeight="false" outlineLevel="0" collapsed="false">
      <c r="A315" s="32"/>
      <c r="B315" s="36"/>
      <c r="C315" s="33"/>
      <c r="D315" s="35"/>
      <c r="E315" s="33"/>
    </row>
    <row r="316" customFormat="false" ht="15" hidden="false" customHeight="false" outlineLevel="0" collapsed="false">
      <c r="A316" s="32"/>
      <c r="B316" s="36"/>
      <c r="C316" s="33"/>
      <c r="D316" s="35"/>
      <c r="E316" s="33"/>
    </row>
    <row r="317" customFormat="false" ht="15" hidden="false" customHeight="false" outlineLevel="0" collapsed="false">
      <c r="A317" s="32"/>
      <c r="B317" s="36"/>
      <c r="C317" s="33"/>
      <c r="D317" s="35"/>
      <c r="E317" s="33"/>
    </row>
    <row r="318" customFormat="false" ht="15" hidden="false" customHeight="false" outlineLevel="0" collapsed="false">
      <c r="A318" s="32"/>
      <c r="B318" s="36"/>
      <c r="C318" s="33"/>
      <c r="D318" s="35"/>
      <c r="E318" s="33"/>
    </row>
    <row r="319" customFormat="false" ht="15" hidden="false" customHeight="false" outlineLevel="0" collapsed="false">
      <c r="A319" s="32"/>
      <c r="B319" s="36"/>
      <c r="C319" s="33"/>
      <c r="D319" s="35"/>
      <c r="E319" s="33"/>
    </row>
    <row r="320" customFormat="false" ht="15" hidden="false" customHeight="false" outlineLevel="0" collapsed="false">
      <c r="A320" s="32"/>
      <c r="B320" s="36"/>
      <c r="C320" s="33"/>
      <c r="D320" s="35"/>
      <c r="E320" s="33"/>
    </row>
    <row r="321" customFormat="false" ht="15" hidden="false" customHeight="false" outlineLevel="0" collapsed="false">
      <c r="A321" s="32"/>
      <c r="B321" s="36"/>
      <c r="C321" s="33"/>
      <c r="D321" s="35"/>
      <c r="E321" s="33"/>
    </row>
    <row r="322" customFormat="false" ht="15" hidden="false" customHeight="false" outlineLevel="0" collapsed="false">
      <c r="A322" s="32"/>
      <c r="B322" s="36"/>
      <c r="C322" s="33"/>
      <c r="D322" s="35"/>
      <c r="E322" s="33"/>
    </row>
    <row r="323" customFormat="false" ht="15" hidden="false" customHeight="false" outlineLevel="0" collapsed="false">
      <c r="A323" s="32"/>
      <c r="B323" s="36"/>
      <c r="C323" s="33"/>
      <c r="D323" s="35"/>
      <c r="E323" s="33"/>
    </row>
    <row r="324" customFormat="false" ht="15" hidden="false" customHeight="false" outlineLevel="0" collapsed="false">
      <c r="A324" s="32"/>
      <c r="B324" s="36"/>
      <c r="C324" s="33"/>
      <c r="D324" s="35"/>
      <c r="E324" s="33"/>
    </row>
    <row r="325" customFormat="false" ht="15" hidden="false" customHeight="false" outlineLevel="0" collapsed="false">
      <c r="A325" s="32"/>
      <c r="B325" s="36"/>
      <c r="C325" s="33"/>
      <c r="D325" s="35"/>
      <c r="E325" s="33"/>
    </row>
    <row r="326" customFormat="false" ht="15" hidden="false" customHeight="false" outlineLevel="0" collapsed="false">
      <c r="A326" s="32"/>
      <c r="B326" s="36"/>
      <c r="C326" s="33"/>
      <c r="D326" s="35"/>
      <c r="E326" s="33"/>
    </row>
    <row r="327" customFormat="false" ht="15" hidden="false" customHeight="false" outlineLevel="0" collapsed="false">
      <c r="A327" s="32"/>
      <c r="B327" s="36"/>
      <c r="C327" s="33"/>
      <c r="D327" s="35"/>
      <c r="E327" s="33"/>
    </row>
    <row r="328" customFormat="false" ht="15" hidden="false" customHeight="false" outlineLevel="0" collapsed="false">
      <c r="A328" s="32"/>
      <c r="B328" s="36"/>
      <c r="C328" s="33"/>
      <c r="D328" s="35"/>
      <c r="E328" s="33"/>
    </row>
    <row r="329" customFormat="false" ht="15" hidden="false" customHeight="false" outlineLevel="0" collapsed="false">
      <c r="A329" s="32"/>
      <c r="B329" s="36"/>
      <c r="C329" s="33"/>
      <c r="D329" s="35"/>
      <c r="E329" s="33"/>
    </row>
    <row r="330" customFormat="false" ht="15" hidden="false" customHeight="false" outlineLevel="0" collapsed="false">
      <c r="A330" s="32"/>
      <c r="B330" s="36"/>
      <c r="C330" s="33"/>
      <c r="D330" s="35"/>
      <c r="E330" s="33"/>
    </row>
    <row r="331" customFormat="false" ht="15" hidden="false" customHeight="false" outlineLevel="0" collapsed="false">
      <c r="A331" s="32"/>
      <c r="B331" s="36"/>
      <c r="C331" s="33"/>
      <c r="D331" s="35"/>
      <c r="E331" s="33"/>
    </row>
    <row r="332" customFormat="false" ht="15" hidden="false" customHeight="false" outlineLevel="0" collapsed="false">
      <c r="A332" s="32"/>
      <c r="B332" s="36"/>
      <c r="C332" s="33"/>
      <c r="D332" s="35"/>
      <c r="E332" s="33"/>
    </row>
    <row r="333" customFormat="false" ht="15" hidden="false" customHeight="false" outlineLevel="0" collapsed="false">
      <c r="A333" s="32"/>
      <c r="B333" s="36"/>
      <c r="C333" s="33"/>
      <c r="D333" s="35"/>
      <c r="E333" s="33"/>
    </row>
    <row r="334" customFormat="false" ht="15" hidden="false" customHeight="false" outlineLevel="0" collapsed="false">
      <c r="A334" s="32"/>
      <c r="B334" s="36"/>
      <c r="C334" s="33"/>
      <c r="D334" s="35"/>
      <c r="E334" s="33"/>
    </row>
    <row r="335" customFormat="false" ht="15" hidden="false" customHeight="false" outlineLevel="0" collapsed="false">
      <c r="A335" s="32"/>
      <c r="B335" s="36"/>
      <c r="C335" s="33"/>
      <c r="D335" s="35"/>
      <c r="E335" s="33"/>
    </row>
    <row r="336" customFormat="false" ht="15" hidden="false" customHeight="false" outlineLevel="0" collapsed="false">
      <c r="A336" s="32"/>
      <c r="B336" s="36"/>
      <c r="C336" s="33"/>
      <c r="D336" s="35"/>
      <c r="E336" s="33"/>
    </row>
    <row r="337" customFormat="false" ht="15" hidden="false" customHeight="false" outlineLevel="0" collapsed="false">
      <c r="A337" s="32"/>
      <c r="B337" s="36"/>
      <c r="C337" s="33"/>
      <c r="D337" s="35"/>
      <c r="E337" s="33"/>
    </row>
    <row r="338" customFormat="false" ht="15" hidden="false" customHeight="false" outlineLevel="0" collapsed="false">
      <c r="A338" s="32"/>
      <c r="B338" s="36"/>
      <c r="C338" s="33"/>
      <c r="D338" s="35"/>
      <c r="E338" s="33"/>
    </row>
    <row r="339" customFormat="false" ht="15" hidden="false" customHeight="false" outlineLevel="0" collapsed="false">
      <c r="A339" s="32"/>
      <c r="B339" s="36"/>
      <c r="C339" s="33"/>
      <c r="D339" s="35"/>
      <c r="E339" s="33"/>
    </row>
    <row r="340" customFormat="false" ht="15" hidden="false" customHeight="false" outlineLevel="0" collapsed="false">
      <c r="A340" s="32"/>
      <c r="B340" s="36"/>
      <c r="C340" s="33"/>
      <c r="D340" s="35"/>
      <c r="E340" s="33"/>
    </row>
    <row r="341" customFormat="false" ht="15" hidden="false" customHeight="false" outlineLevel="0" collapsed="false">
      <c r="A341" s="32"/>
      <c r="B341" s="36"/>
      <c r="C341" s="33"/>
      <c r="D341" s="35"/>
      <c r="E341" s="33"/>
    </row>
    <row r="342" customFormat="false" ht="15" hidden="false" customHeight="false" outlineLevel="0" collapsed="false">
      <c r="A342" s="32"/>
      <c r="B342" s="36"/>
      <c r="C342" s="33"/>
      <c r="D342" s="35"/>
      <c r="E342" s="33"/>
    </row>
    <row r="343" customFormat="false" ht="15" hidden="false" customHeight="false" outlineLevel="0" collapsed="false">
      <c r="A343" s="32"/>
      <c r="B343" s="36"/>
      <c r="C343" s="33"/>
      <c r="D343" s="35"/>
      <c r="E343" s="33"/>
    </row>
    <row r="344" customFormat="false" ht="15" hidden="false" customHeight="false" outlineLevel="0" collapsed="false">
      <c r="A344" s="32"/>
      <c r="B344" s="36"/>
      <c r="C344" s="33"/>
      <c r="D344" s="35"/>
      <c r="E344" s="33"/>
    </row>
    <row r="345" customFormat="false" ht="15" hidden="false" customHeight="false" outlineLevel="0" collapsed="false">
      <c r="A345" s="32"/>
      <c r="B345" s="36"/>
      <c r="C345" s="33"/>
      <c r="D345" s="35"/>
      <c r="E345" s="33"/>
    </row>
    <row r="346" customFormat="false" ht="15" hidden="false" customHeight="false" outlineLevel="0" collapsed="false">
      <c r="A346" s="32"/>
      <c r="B346" s="36"/>
      <c r="C346" s="33"/>
      <c r="D346" s="35"/>
      <c r="E346" s="33"/>
    </row>
    <row r="347" customFormat="false" ht="15" hidden="false" customHeight="false" outlineLevel="0" collapsed="false">
      <c r="A347" s="32"/>
      <c r="B347" s="36"/>
      <c r="C347" s="33"/>
      <c r="D347" s="35"/>
      <c r="E347" s="33"/>
    </row>
    <row r="348" customFormat="false" ht="15" hidden="false" customHeight="false" outlineLevel="0" collapsed="false">
      <c r="A348" s="32"/>
      <c r="B348" s="36"/>
      <c r="C348" s="33"/>
      <c r="D348" s="35"/>
      <c r="E348" s="33"/>
    </row>
    <row r="349" customFormat="false" ht="15" hidden="false" customHeight="false" outlineLevel="0" collapsed="false">
      <c r="A349" s="32"/>
      <c r="B349" s="36"/>
      <c r="C349" s="33"/>
      <c r="D349" s="35"/>
      <c r="E349" s="33"/>
    </row>
    <row r="350" customFormat="false" ht="15" hidden="false" customHeight="false" outlineLevel="0" collapsed="false">
      <c r="A350" s="32"/>
      <c r="B350" s="36"/>
      <c r="C350" s="33"/>
      <c r="D350" s="35"/>
      <c r="E350" s="33"/>
    </row>
    <row r="351" customFormat="false" ht="15" hidden="false" customHeight="false" outlineLevel="0" collapsed="false">
      <c r="A351" s="32"/>
      <c r="B351" s="36"/>
      <c r="C351" s="33"/>
      <c r="D351" s="35"/>
      <c r="E351" s="33"/>
    </row>
    <row r="352" customFormat="false" ht="15" hidden="false" customHeight="false" outlineLevel="0" collapsed="false">
      <c r="A352" s="32"/>
      <c r="B352" s="36"/>
      <c r="C352" s="33"/>
      <c r="D352" s="35"/>
      <c r="E352" s="33"/>
    </row>
    <row r="353" customFormat="false" ht="15" hidden="false" customHeight="false" outlineLevel="0" collapsed="false">
      <c r="A353" s="32"/>
      <c r="B353" s="36"/>
      <c r="C353" s="33"/>
      <c r="D353" s="35"/>
      <c r="E353" s="33"/>
    </row>
    <row r="354" customFormat="false" ht="15" hidden="false" customHeight="false" outlineLevel="0" collapsed="false">
      <c r="A354" s="32"/>
      <c r="B354" s="36"/>
      <c r="C354" s="33"/>
      <c r="D354" s="35"/>
      <c r="E354" s="33"/>
    </row>
    <row r="355" customFormat="false" ht="15" hidden="false" customHeight="false" outlineLevel="0" collapsed="false">
      <c r="A355" s="32"/>
      <c r="B355" s="36"/>
      <c r="C355" s="33"/>
      <c r="D355" s="35"/>
      <c r="E355" s="33"/>
    </row>
    <row r="356" customFormat="false" ht="15" hidden="false" customHeight="false" outlineLevel="0" collapsed="false">
      <c r="A356" s="32"/>
      <c r="B356" s="36"/>
      <c r="C356" s="33"/>
      <c r="D356" s="35"/>
      <c r="E356" s="33"/>
    </row>
    <row r="357" customFormat="false" ht="15" hidden="false" customHeight="false" outlineLevel="0" collapsed="false">
      <c r="A357" s="32"/>
      <c r="B357" s="36"/>
      <c r="C357" s="33"/>
      <c r="D357" s="35"/>
      <c r="E357" s="33"/>
    </row>
    <row r="358" customFormat="false" ht="15" hidden="false" customHeight="false" outlineLevel="0" collapsed="false">
      <c r="A358" s="32"/>
      <c r="B358" s="36"/>
      <c r="C358" s="33"/>
      <c r="D358" s="35"/>
      <c r="E358" s="33"/>
    </row>
    <row r="359" customFormat="false" ht="15" hidden="false" customHeight="false" outlineLevel="0" collapsed="false">
      <c r="A359" s="32"/>
      <c r="B359" s="36"/>
      <c r="C359" s="33"/>
      <c r="D359" s="35"/>
      <c r="E359" s="33"/>
    </row>
    <row r="360" customFormat="false" ht="15" hidden="false" customHeight="false" outlineLevel="0" collapsed="false">
      <c r="A360" s="32"/>
      <c r="B360" s="36"/>
      <c r="C360" s="33"/>
      <c r="D360" s="35"/>
      <c r="E360" s="33"/>
    </row>
    <row r="361" customFormat="false" ht="15" hidden="false" customHeight="false" outlineLevel="0" collapsed="false">
      <c r="A361" s="32"/>
      <c r="B361" s="36"/>
      <c r="C361" s="33"/>
      <c r="D361" s="35"/>
      <c r="E361" s="33"/>
    </row>
    <row r="362" customFormat="false" ht="15" hidden="false" customHeight="false" outlineLevel="0" collapsed="false">
      <c r="A362" s="32"/>
      <c r="B362" s="36"/>
      <c r="C362" s="33"/>
      <c r="D362" s="35"/>
      <c r="E362" s="33"/>
    </row>
    <row r="363" customFormat="false" ht="15" hidden="false" customHeight="false" outlineLevel="0" collapsed="false">
      <c r="A363" s="32"/>
      <c r="B363" s="36"/>
      <c r="C363" s="33"/>
      <c r="D363" s="35"/>
      <c r="E363" s="33"/>
    </row>
    <row r="364" customFormat="false" ht="15" hidden="false" customHeight="false" outlineLevel="0" collapsed="false">
      <c r="A364" s="32"/>
      <c r="B364" s="36"/>
      <c r="C364" s="33"/>
      <c r="D364" s="35"/>
      <c r="E364" s="33"/>
    </row>
    <row r="365" customFormat="false" ht="15" hidden="false" customHeight="false" outlineLevel="0" collapsed="false">
      <c r="A365" s="32"/>
      <c r="B365" s="36"/>
      <c r="C365" s="33"/>
      <c r="D365" s="35"/>
      <c r="E365" s="33"/>
    </row>
    <row r="366" customFormat="false" ht="15" hidden="false" customHeight="false" outlineLevel="0" collapsed="false">
      <c r="A366" s="32"/>
      <c r="B366" s="36"/>
      <c r="C366" s="33"/>
      <c r="D366" s="35"/>
      <c r="E366" s="33"/>
    </row>
    <row r="367" customFormat="false" ht="15" hidden="false" customHeight="false" outlineLevel="0" collapsed="false">
      <c r="A367" s="32"/>
      <c r="B367" s="36"/>
      <c r="C367" s="33"/>
      <c r="D367" s="35"/>
      <c r="E367" s="33"/>
    </row>
    <row r="368" customFormat="false" ht="15" hidden="false" customHeight="false" outlineLevel="0" collapsed="false">
      <c r="A368" s="32"/>
      <c r="B368" s="36"/>
      <c r="C368" s="33"/>
      <c r="D368" s="35"/>
      <c r="E368" s="33"/>
    </row>
    <row r="369" customFormat="false" ht="15" hidden="false" customHeight="false" outlineLevel="0" collapsed="false">
      <c r="A369" s="32"/>
      <c r="B369" s="36"/>
      <c r="C369" s="33"/>
      <c r="D369" s="35"/>
      <c r="E369" s="33"/>
    </row>
    <row r="370" customFormat="false" ht="15" hidden="false" customHeight="false" outlineLevel="0" collapsed="false">
      <c r="A370" s="32"/>
      <c r="B370" s="36"/>
      <c r="C370" s="33"/>
      <c r="D370" s="35"/>
      <c r="E370" s="33"/>
    </row>
    <row r="371" customFormat="false" ht="15" hidden="false" customHeight="false" outlineLevel="0" collapsed="false">
      <c r="A371" s="32"/>
      <c r="B371" s="36"/>
      <c r="C371" s="33"/>
      <c r="D371" s="35"/>
      <c r="E371" s="33"/>
    </row>
    <row r="372" customFormat="false" ht="15" hidden="false" customHeight="false" outlineLevel="0" collapsed="false">
      <c r="A372" s="32"/>
      <c r="B372" s="36"/>
      <c r="C372" s="33"/>
      <c r="D372" s="35"/>
      <c r="E372" s="33"/>
    </row>
    <row r="373" customFormat="false" ht="15" hidden="false" customHeight="false" outlineLevel="0" collapsed="false">
      <c r="A373" s="32"/>
      <c r="B373" s="36"/>
      <c r="C373" s="33"/>
      <c r="D373" s="35"/>
      <c r="E373" s="33"/>
    </row>
    <row r="374" customFormat="false" ht="15" hidden="false" customHeight="false" outlineLevel="0" collapsed="false">
      <c r="A374" s="32"/>
      <c r="B374" s="36"/>
      <c r="C374" s="33"/>
      <c r="D374" s="35"/>
      <c r="E374" s="33"/>
    </row>
    <row r="375" customFormat="false" ht="15" hidden="false" customHeight="false" outlineLevel="0" collapsed="false">
      <c r="A375" s="32"/>
      <c r="B375" s="36"/>
      <c r="C375" s="33"/>
      <c r="D375" s="35"/>
      <c r="E375" s="33"/>
    </row>
    <row r="376" customFormat="false" ht="15" hidden="false" customHeight="false" outlineLevel="0" collapsed="false">
      <c r="A376" s="32"/>
      <c r="B376" s="36"/>
      <c r="C376" s="33"/>
      <c r="D376" s="35"/>
      <c r="E376" s="33"/>
    </row>
    <row r="377" customFormat="false" ht="15" hidden="false" customHeight="false" outlineLevel="0" collapsed="false">
      <c r="A377" s="32"/>
      <c r="B377" s="36"/>
      <c r="C377" s="33"/>
      <c r="D377" s="35"/>
      <c r="E377" s="33"/>
    </row>
    <row r="378" customFormat="false" ht="15" hidden="false" customHeight="false" outlineLevel="0" collapsed="false">
      <c r="A378" s="32"/>
      <c r="B378" s="36"/>
      <c r="C378" s="33"/>
      <c r="D378" s="35"/>
      <c r="E378" s="33"/>
    </row>
    <row r="379" customFormat="false" ht="15" hidden="false" customHeight="false" outlineLevel="0" collapsed="false">
      <c r="A379" s="32"/>
      <c r="B379" s="36"/>
      <c r="C379" s="33"/>
      <c r="D379" s="35"/>
      <c r="E379" s="33"/>
    </row>
    <row r="380" customFormat="false" ht="15" hidden="false" customHeight="false" outlineLevel="0" collapsed="false">
      <c r="A380" s="32"/>
      <c r="B380" s="36"/>
      <c r="C380" s="33"/>
      <c r="D380" s="35"/>
      <c r="E380" s="33"/>
    </row>
    <row r="381" customFormat="false" ht="15" hidden="false" customHeight="false" outlineLevel="0" collapsed="false">
      <c r="A381" s="32"/>
      <c r="B381" s="36"/>
      <c r="C381" s="33"/>
      <c r="D381" s="35"/>
      <c r="E381" s="33"/>
    </row>
    <row r="382" customFormat="false" ht="15" hidden="false" customHeight="false" outlineLevel="0" collapsed="false">
      <c r="A382" s="32"/>
      <c r="B382" s="36"/>
      <c r="C382" s="33"/>
      <c r="D382" s="35"/>
      <c r="E382" s="33"/>
    </row>
    <row r="383" customFormat="false" ht="15" hidden="false" customHeight="false" outlineLevel="0" collapsed="false">
      <c r="A383" s="32"/>
      <c r="B383" s="36"/>
      <c r="C383" s="33"/>
      <c r="D383" s="35"/>
      <c r="E383" s="33"/>
    </row>
    <row r="384" customFormat="false" ht="15" hidden="false" customHeight="false" outlineLevel="0" collapsed="false">
      <c r="A384" s="32"/>
      <c r="B384" s="36"/>
      <c r="C384" s="33"/>
      <c r="D384" s="35"/>
      <c r="E384" s="33"/>
    </row>
    <row r="385" customFormat="false" ht="15" hidden="false" customHeight="false" outlineLevel="0" collapsed="false">
      <c r="A385" s="32"/>
      <c r="B385" s="36"/>
      <c r="C385" s="33"/>
      <c r="D385" s="35"/>
      <c r="E385" s="33"/>
    </row>
    <row r="386" customFormat="false" ht="15" hidden="false" customHeight="false" outlineLevel="0" collapsed="false">
      <c r="A386" s="32"/>
      <c r="B386" s="36"/>
      <c r="C386" s="33"/>
      <c r="D386" s="35"/>
      <c r="E386" s="33"/>
    </row>
    <row r="387" customFormat="false" ht="15" hidden="false" customHeight="false" outlineLevel="0" collapsed="false">
      <c r="A387" s="32"/>
      <c r="B387" s="36"/>
      <c r="C387" s="33"/>
      <c r="D387" s="35"/>
      <c r="E387" s="33"/>
    </row>
    <row r="388" customFormat="false" ht="15" hidden="false" customHeight="false" outlineLevel="0" collapsed="false">
      <c r="A388" s="32"/>
      <c r="B388" s="36"/>
      <c r="C388" s="33"/>
      <c r="D388" s="35"/>
      <c r="E388" s="33"/>
    </row>
    <row r="389" customFormat="false" ht="15" hidden="false" customHeight="false" outlineLevel="0" collapsed="false">
      <c r="A389" s="32"/>
      <c r="B389" s="36"/>
      <c r="C389" s="33"/>
      <c r="D389" s="35"/>
      <c r="E389" s="33"/>
    </row>
    <row r="390" customFormat="false" ht="15" hidden="false" customHeight="false" outlineLevel="0" collapsed="false">
      <c r="A390" s="32"/>
      <c r="B390" s="36"/>
      <c r="C390" s="33"/>
      <c r="D390" s="35"/>
      <c r="E390" s="33"/>
    </row>
    <row r="391" customFormat="false" ht="15" hidden="false" customHeight="false" outlineLevel="0" collapsed="false">
      <c r="A391" s="32"/>
      <c r="B391" s="36"/>
      <c r="C391" s="33"/>
      <c r="D391" s="35"/>
      <c r="E391" s="33"/>
    </row>
    <row r="392" customFormat="false" ht="15" hidden="false" customHeight="false" outlineLevel="0" collapsed="false">
      <c r="A392" s="32"/>
      <c r="B392" s="36"/>
      <c r="C392" s="33"/>
      <c r="D392" s="35"/>
      <c r="E392" s="33"/>
    </row>
    <row r="393" customFormat="false" ht="15" hidden="false" customHeight="false" outlineLevel="0" collapsed="false">
      <c r="A393" s="32"/>
      <c r="B393" s="36"/>
      <c r="C393" s="33"/>
      <c r="D393" s="35"/>
      <c r="E393" s="33"/>
    </row>
    <row r="394" customFormat="false" ht="15" hidden="false" customHeight="false" outlineLevel="0" collapsed="false">
      <c r="A394" s="32"/>
      <c r="B394" s="36"/>
      <c r="C394" s="33"/>
      <c r="D394" s="35"/>
      <c r="E394" s="33"/>
    </row>
    <row r="395" customFormat="false" ht="15" hidden="false" customHeight="false" outlineLevel="0" collapsed="false">
      <c r="A395" s="32"/>
      <c r="B395" s="36"/>
      <c r="C395" s="33"/>
      <c r="D395" s="35"/>
      <c r="E395" s="33"/>
    </row>
    <row r="396" customFormat="false" ht="15" hidden="false" customHeight="false" outlineLevel="0" collapsed="false">
      <c r="A396" s="32"/>
      <c r="B396" s="36"/>
      <c r="C396" s="33"/>
      <c r="D396" s="35"/>
      <c r="E396" s="33"/>
    </row>
    <row r="397" customFormat="false" ht="15" hidden="false" customHeight="false" outlineLevel="0" collapsed="false">
      <c r="A397" s="32"/>
      <c r="B397" s="36"/>
      <c r="C397" s="33"/>
      <c r="D397" s="35"/>
      <c r="E397" s="33"/>
    </row>
    <row r="398" customFormat="false" ht="15" hidden="false" customHeight="false" outlineLevel="0" collapsed="false">
      <c r="A398" s="32"/>
      <c r="B398" s="36"/>
      <c r="C398" s="33"/>
      <c r="D398" s="35"/>
      <c r="E398" s="33"/>
    </row>
    <row r="399" customFormat="false" ht="15" hidden="false" customHeight="false" outlineLevel="0" collapsed="false">
      <c r="A399" s="32"/>
      <c r="B399" s="36"/>
      <c r="C399" s="33"/>
      <c r="D399" s="35"/>
      <c r="E399" s="33"/>
    </row>
    <row r="400" customFormat="false" ht="15" hidden="false" customHeight="false" outlineLevel="0" collapsed="false">
      <c r="A400" s="32"/>
      <c r="B400" s="36"/>
      <c r="C400" s="33"/>
      <c r="D400" s="35"/>
      <c r="E400" s="33"/>
    </row>
    <row r="401" customFormat="false" ht="15" hidden="false" customHeight="false" outlineLevel="0" collapsed="false">
      <c r="A401" s="32"/>
      <c r="B401" s="36"/>
      <c r="C401" s="33"/>
      <c r="D401" s="35"/>
      <c r="E401" s="33"/>
    </row>
    <row r="402" customFormat="false" ht="15" hidden="false" customHeight="false" outlineLevel="0" collapsed="false">
      <c r="A402" s="32"/>
      <c r="B402" s="36"/>
      <c r="C402" s="33"/>
      <c r="D402" s="35"/>
      <c r="E402" s="33"/>
    </row>
    <row r="403" customFormat="false" ht="15" hidden="false" customHeight="false" outlineLevel="0" collapsed="false">
      <c r="A403" s="32"/>
      <c r="B403" s="36"/>
      <c r="C403" s="33"/>
      <c r="D403" s="35"/>
      <c r="E403" s="33"/>
    </row>
    <row r="404" customFormat="false" ht="15" hidden="false" customHeight="false" outlineLevel="0" collapsed="false">
      <c r="A404" s="32"/>
      <c r="B404" s="36"/>
      <c r="C404" s="33"/>
      <c r="D404" s="35"/>
      <c r="E404" s="33"/>
    </row>
    <row r="405" customFormat="false" ht="15" hidden="false" customHeight="false" outlineLevel="0" collapsed="false">
      <c r="A405" s="32"/>
      <c r="B405" s="36"/>
      <c r="C405" s="33"/>
      <c r="D405" s="35"/>
      <c r="E405" s="33"/>
    </row>
    <row r="406" customFormat="false" ht="15" hidden="false" customHeight="false" outlineLevel="0" collapsed="false">
      <c r="A406" s="32"/>
      <c r="B406" s="36"/>
      <c r="C406" s="33"/>
      <c r="D406" s="35"/>
      <c r="E406" s="33"/>
    </row>
    <row r="407" customFormat="false" ht="15" hidden="false" customHeight="false" outlineLevel="0" collapsed="false">
      <c r="A407" s="32"/>
      <c r="B407" s="36"/>
      <c r="C407" s="33"/>
      <c r="D407" s="35"/>
      <c r="E407" s="33"/>
    </row>
    <row r="408" customFormat="false" ht="15" hidden="false" customHeight="false" outlineLevel="0" collapsed="false">
      <c r="A408" s="32"/>
      <c r="B408" s="36"/>
      <c r="C408" s="33"/>
      <c r="D408" s="35"/>
      <c r="E408" s="33"/>
    </row>
    <row r="409" customFormat="false" ht="15" hidden="false" customHeight="false" outlineLevel="0" collapsed="false">
      <c r="A409" s="32"/>
      <c r="B409" s="36"/>
      <c r="C409" s="33"/>
      <c r="D409" s="35"/>
      <c r="E409" s="33"/>
    </row>
    <row r="410" customFormat="false" ht="15" hidden="false" customHeight="false" outlineLevel="0" collapsed="false">
      <c r="A410" s="32"/>
      <c r="B410" s="36"/>
      <c r="C410" s="33"/>
      <c r="D410" s="35"/>
      <c r="E410" s="33"/>
    </row>
    <row r="411" customFormat="false" ht="15" hidden="false" customHeight="false" outlineLevel="0" collapsed="false">
      <c r="A411" s="32"/>
      <c r="B411" s="36"/>
      <c r="C411" s="33"/>
      <c r="D411" s="35"/>
      <c r="E411" s="33"/>
    </row>
    <row r="412" customFormat="false" ht="15" hidden="false" customHeight="false" outlineLevel="0" collapsed="false">
      <c r="A412" s="32"/>
      <c r="B412" s="36"/>
      <c r="C412" s="33"/>
      <c r="D412" s="35"/>
      <c r="E412" s="33"/>
    </row>
    <row r="413" customFormat="false" ht="15" hidden="false" customHeight="false" outlineLevel="0" collapsed="false">
      <c r="A413" s="32"/>
      <c r="B413" s="36"/>
      <c r="C413" s="33"/>
      <c r="D413" s="35"/>
      <c r="E413" s="33"/>
    </row>
    <row r="414" customFormat="false" ht="15" hidden="false" customHeight="false" outlineLevel="0" collapsed="false">
      <c r="A414" s="32"/>
      <c r="B414" s="36"/>
      <c r="C414" s="33"/>
      <c r="D414" s="35"/>
      <c r="E414" s="33"/>
    </row>
    <row r="415" customFormat="false" ht="15" hidden="false" customHeight="false" outlineLevel="0" collapsed="false">
      <c r="A415" s="32"/>
      <c r="B415" s="36"/>
      <c r="C415" s="33"/>
      <c r="D415" s="35"/>
      <c r="E415" s="33"/>
    </row>
    <row r="416" customFormat="false" ht="15" hidden="false" customHeight="false" outlineLevel="0" collapsed="false">
      <c r="A416" s="32"/>
      <c r="B416" s="36"/>
      <c r="C416" s="33"/>
      <c r="D416" s="35"/>
      <c r="E416" s="33"/>
    </row>
    <row r="417" customFormat="false" ht="15" hidden="false" customHeight="false" outlineLevel="0" collapsed="false">
      <c r="A417" s="32"/>
      <c r="B417" s="36"/>
      <c r="C417" s="33"/>
      <c r="D417" s="35"/>
      <c r="E417" s="33"/>
    </row>
    <row r="418" customFormat="false" ht="15" hidden="false" customHeight="false" outlineLevel="0" collapsed="false">
      <c r="A418" s="32"/>
      <c r="B418" s="36"/>
      <c r="C418" s="33"/>
      <c r="D418" s="35"/>
      <c r="E418" s="33"/>
    </row>
    <row r="419" customFormat="false" ht="15" hidden="false" customHeight="false" outlineLevel="0" collapsed="false">
      <c r="A419" s="32"/>
      <c r="B419" s="36"/>
      <c r="C419" s="33"/>
      <c r="D419" s="35"/>
      <c r="E419" s="33"/>
    </row>
    <row r="420" customFormat="false" ht="15" hidden="false" customHeight="false" outlineLevel="0" collapsed="false">
      <c r="A420" s="32"/>
      <c r="B420" s="36"/>
      <c r="C420" s="33"/>
      <c r="D420" s="35"/>
      <c r="E420" s="33"/>
    </row>
    <row r="421" customFormat="false" ht="15" hidden="false" customHeight="false" outlineLevel="0" collapsed="false">
      <c r="A421" s="32"/>
      <c r="B421" s="36"/>
      <c r="C421" s="33"/>
      <c r="D421" s="35"/>
      <c r="E421" s="33"/>
    </row>
    <row r="422" customFormat="false" ht="15" hidden="false" customHeight="false" outlineLevel="0" collapsed="false">
      <c r="A422" s="32"/>
      <c r="B422" s="36"/>
      <c r="C422" s="33"/>
      <c r="D422" s="35"/>
      <c r="E422" s="33"/>
    </row>
    <row r="423" customFormat="false" ht="15" hidden="false" customHeight="false" outlineLevel="0" collapsed="false">
      <c r="A423" s="32"/>
      <c r="B423" s="36"/>
      <c r="C423" s="33"/>
      <c r="D423" s="35"/>
      <c r="E423" s="33"/>
    </row>
    <row r="424" customFormat="false" ht="15" hidden="false" customHeight="false" outlineLevel="0" collapsed="false">
      <c r="A424" s="32"/>
      <c r="B424" s="36"/>
      <c r="C424" s="33"/>
      <c r="D424" s="35"/>
      <c r="E424" s="33"/>
    </row>
    <row r="425" customFormat="false" ht="15" hidden="false" customHeight="false" outlineLevel="0" collapsed="false">
      <c r="A425" s="32"/>
      <c r="B425" s="36"/>
      <c r="C425" s="33"/>
      <c r="D425" s="35"/>
      <c r="E425" s="33"/>
    </row>
    <row r="426" customFormat="false" ht="15" hidden="false" customHeight="false" outlineLevel="0" collapsed="false">
      <c r="A426" s="32"/>
      <c r="B426" s="36"/>
      <c r="C426" s="33"/>
      <c r="D426" s="35"/>
      <c r="E426" s="33"/>
    </row>
    <row r="427" customFormat="false" ht="15" hidden="false" customHeight="false" outlineLevel="0" collapsed="false">
      <c r="A427" s="32"/>
      <c r="B427" s="36"/>
      <c r="C427" s="33"/>
      <c r="D427" s="35"/>
      <c r="E427" s="33"/>
    </row>
    <row r="428" customFormat="false" ht="15" hidden="false" customHeight="false" outlineLevel="0" collapsed="false">
      <c r="A428" s="32"/>
      <c r="B428" s="36"/>
      <c r="C428" s="33"/>
      <c r="D428" s="35"/>
      <c r="E428" s="33"/>
    </row>
    <row r="429" customFormat="false" ht="15" hidden="false" customHeight="false" outlineLevel="0" collapsed="false">
      <c r="A429" s="32"/>
      <c r="B429" s="36"/>
      <c r="C429" s="33"/>
      <c r="D429" s="35"/>
      <c r="E429" s="33"/>
    </row>
    <row r="430" customFormat="false" ht="15" hidden="false" customHeight="false" outlineLevel="0" collapsed="false">
      <c r="A430" s="32"/>
      <c r="B430" s="36"/>
      <c r="C430" s="33"/>
      <c r="D430" s="35"/>
      <c r="E430" s="33"/>
    </row>
    <row r="431" customFormat="false" ht="15" hidden="false" customHeight="false" outlineLevel="0" collapsed="false">
      <c r="A431" s="32"/>
      <c r="B431" s="36"/>
      <c r="C431" s="33"/>
      <c r="D431" s="35"/>
      <c r="E431" s="33"/>
    </row>
    <row r="432" customFormat="false" ht="15" hidden="false" customHeight="false" outlineLevel="0" collapsed="false">
      <c r="A432" s="32"/>
      <c r="B432" s="36"/>
      <c r="C432" s="33"/>
      <c r="D432" s="35"/>
      <c r="E432" s="33"/>
    </row>
    <row r="433" customFormat="false" ht="15" hidden="false" customHeight="false" outlineLevel="0" collapsed="false">
      <c r="A433" s="32"/>
      <c r="B433" s="36"/>
      <c r="C433" s="33"/>
      <c r="D433" s="35"/>
      <c r="E433" s="33"/>
    </row>
    <row r="434" customFormat="false" ht="15" hidden="false" customHeight="false" outlineLevel="0" collapsed="false">
      <c r="A434" s="32"/>
      <c r="B434" s="36"/>
      <c r="C434" s="33"/>
      <c r="D434" s="35"/>
      <c r="E434" s="33"/>
    </row>
    <row r="435" customFormat="false" ht="15" hidden="false" customHeight="false" outlineLevel="0" collapsed="false">
      <c r="A435" s="32"/>
      <c r="B435" s="36"/>
      <c r="C435" s="33"/>
      <c r="D435" s="35"/>
      <c r="E435" s="33"/>
    </row>
    <row r="436" customFormat="false" ht="15" hidden="false" customHeight="false" outlineLevel="0" collapsed="false">
      <c r="A436" s="32"/>
      <c r="B436" s="36"/>
      <c r="C436" s="33"/>
      <c r="D436" s="35"/>
      <c r="E436" s="33"/>
    </row>
    <row r="437" customFormat="false" ht="15" hidden="false" customHeight="false" outlineLevel="0" collapsed="false">
      <c r="A437" s="32"/>
      <c r="B437" s="36"/>
      <c r="C437" s="33"/>
      <c r="D437" s="35"/>
      <c r="E437" s="33"/>
    </row>
    <row r="438" customFormat="false" ht="15" hidden="false" customHeight="false" outlineLevel="0" collapsed="false">
      <c r="A438" s="32"/>
      <c r="B438" s="36"/>
      <c r="C438" s="33"/>
      <c r="D438" s="35"/>
      <c r="E438" s="33"/>
    </row>
    <row r="439" customFormat="false" ht="15" hidden="false" customHeight="false" outlineLevel="0" collapsed="false">
      <c r="A439" s="32"/>
      <c r="B439" s="36"/>
      <c r="C439" s="33"/>
      <c r="D439" s="35"/>
      <c r="E439" s="33"/>
    </row>
    <row r="440" customFormat="false" ht="15" hidden="false" customHeight="false" outlineLevel="0" collapsed="false">
      <c r="A440" s="32"/>
      <c r="B440" s="36"/>
      <c r="C440" s="33"/>
      <c r="D440" s="35"/>
      <c r="E440" s="33"/>
    </row>
    <row r="441" customFormat="false" ht="15" hidden="false" customHeight="false" outlineLevel="0" collapsed="false">
      <c r="A441" s="32"/>
      <c r="B441" s="36"/>
      <c r="C441" s="33"/>
      <c r="D441" s="35"/>
      <c r="E441" s="33"/>
    </row>
    <row r="442" customFormat="false" ht="15" hidden="false" customHeight="false" outlineLevel="0" collapsed="false">
      <c r="A442" s="32"/>
      <c r="B442" s="36"/>
      <c r="C442" s="33"/>
      <c r="D442" s="35"/>
      <c r="E442" s="33"/>
    </row>
    <row r="443" customFormat="false" ht="15" hidden="false" customHeight="false" outlineLevel="0" collapsed="false">
      <c r="A443" s="32"/>
      <c r="B443" s="36"/>
      <c r="C443" s="33"/>
      <c r="D443" s="35"/>
      <c r="E443" s="33"/>
    </row>
    <row r="444" customFormat="false" ht="15" hidden="false" customHeight="false" outlineLevel="0" collapsed="false">
      <c r="A444" s="32"/>
      <c r="B444" s="36"/>
      <c r="C444" s="33"/>
      <c r="D444" s="35"/>
      <c r="E444" s="33"/>
    </row>
    <row r="445" customFormat="false" ht="15" hidden="false" customHeight="false" outlineLevel="0" collapsed="false">
      <c r="A445" s="32"/>
      <c r="B445" s="36"/>
      <c r="C445" s="33"/>
      <c r="D445" s="35"/>
      <c r="E445" s="33"/>
    </row>
    <row r="446" customFormat="false" ht="15" hidden="false" customHeight="false" outlineLevel="0" collapsed="false">
      <c r="A446" s="32"/>
      <c r="B446" s="36"/>
      <c r="C446" s="33"/>
      <c r="D446" s="35"/>
      <c r="E446" s="33"/>
    </row>
    <row r="447" customFormat="false" ht="15" hidden="false" customHeight="false" outlineLevel="0" collapsed="false">
      <c r="A447" s="32"/>
      <c r="B447" s="36"/>
      <c r="C447" s="33"/>
      <c r="D447" s="35"/>
      <c r="E447" s="33"/>
    </row>
    <row r="448" customFormat="false" ht="15" hidden="false" customHeight="false" outlineLevel="0" collapsed="false">
      <c r="A448" s="32"/>
      <c r="B448" s="36"/>
      <c r="C448" s="33"/>
      <c r="D448" s="35"/>
      <c r="E448" s="33"/>
    </row>
    <row r="449" customFormat="false" ht="15" hidden="false" customHeight="false" outlineLevel="0" collapsed="false">
      <c r="A449" s="32"/>
      <c r="B449" s="36"/>
      <c r="C449" s="33"/>
      <c r="D449" s="35"/>
      <c r="E449" s="33"/>
    </row>
    <row r="450" customFormat="false" ht="15" hidden="false" customHeight="false" outlineLevel="0" collapsed="false">
      <c r="A450" s="32"/>
      <c r="B450" s="36"/>
      <c r="C450" s="33"/>
      <c r="D450" s="35"/>
      <c r="E450" s="33"/>
    </row>
    <row r="451" customFormat="false" ht="15" hidden="false" customHeight="false" outlineLevel="0" collapsed="false">
      <c r="A451" s="32"/>
      <c r="B451" s="36"/>
      <c r="C451" s="33"/>
      <c r="D451" s="35"/>
      <c r="E451" s="33"/>
    </row>
    <row r="452" customFormat="false" ht="15" hidden="false" customHeight="false" outlineLevel="0" collapsed="false">
      <c r="A452" s="32"/>
      <c r="B452" s="36"/>
      <c r="C452" s="33"/>
      <c r="D452" s="35"/>
      <c r="E452" s="33"/>
    </row>
    <row r="453" customFormat="false" ht="15" hidden="false" customHeight="false" outlineLevel="0" collapsed="false">
      <c r="A453" s="32"/>
      <c r="B453" s="36"/>
      <c r="C453" s="33"/>
      <c r="D453" s="35"/>
      <c r="E453" s="33"/>
    </row>
    <row r="454" customFormat="false" ht="15" hidden="false" customHeight="false" outlineLevel="0" collapsed="false">
      <c r="A454" s="32"/>
      <c r="B454" s="36"/>
      <c r="C454" s="33"/>
      <c r="D454" s="35"/>
      <c r="E454" s="33"/>
    </row>
    <row r="455" customFormat="false" ht="15" hidden="false" customHeight="false" outlineLevel="0" collapsed="false">
      <c r="A455" s="32"/>
      <c r="B455" s="36"/>
      <c r="C455" s="33"/>
      <c r="D455" s="35"/>
      <c r="E455" s="33"/>
    </row>
    <row r="456" customFormat="false" ht="15" hidden="false" customHeight="false" outlineLevel="0" collapsed="false">
      <c r="A456" s="32"/>
      <c r="B456" s="36"/>
      <c r="C456" s="33"/>
      <c r="D456" s="35"/>
      <c r="E456" s="33"/>
    </row>
    <row r="457" customFormat="false" ht="15" hidden="false" customHeight="false" outlineLevel="0" collapsed="false">
      <c r="A457" s="32"/>
      <c r="B457" s="36"/>
      <c r="C457" s="33"/>
      <c r="D457" s="35"/>
      <c r="E457" s="33"/>
    </row>
    <row r="458" customFormat="false" ht="15" hidden="false" customHeight="false" outlineLevel="0" collapsed="false">
      <c r="A458" s="32"/>
      <c r="B458" s="36"/>
      <c r="C458" s="33"/>
      <c r="D458" s="35"/>
      <c r="E458" s="33"/>
    </row>
    <row r="459" customFormat="false" ht="15" hidden="false" customHeight="false" outlineLevel="0" collapsed="false">
      <c r="A459" s="32"/>
      <c r="B459" s="36"/>
      <c r="C459" s="33"/>
      <c r="D459" s="35"/>
      <c r="E459" s="33"/>
    </row>
    <row r="460" customFormat="false" ht="15" hidden="false" customHeight="false" outlineLevel="0" collapsed="false">
      <c r="A460" s="32"/>
      <c r="B460" s="36"/>
      <c r="C460" s="33"/>
      <c r="D460" s="35"/>
      <c r="E460" s="33"/>
    </row>
    <row r="461" customFormat="false" ht="15" hidden="false" customHeight="false" outlineLevel="0" collapsed="false">
      <c r="A461" s="32"/>
      <c r="B461" s="36"/>
      <c r="C461" s="33"/>
      <c r="D461" s="35"/>
      <c r="E461" s="33"/>
    </row>
    <row r="462" customFormat="false" ht="15" hidden="false" customHeight="false" outlineLevel="0" collapsed="false">
      <c r="A462" s="32"/>
      <c r="B462" s="36"/>
      <c r="C462" s="33"/>
      <c r="D462" s="35"/>
      <c r="E462" s="33"/>
    </row>
    <row r="463" customFormat="false" ht="15" hidden="false" customHeight="false" outlineLevel="0" collapsed="false">
      <c r="A463" s="32"/>
      <c r="B463" s="36"/>
      <c r="C463" s="33"/>
      <c r="D463" s="35"/>
      <c r="E463" s="33"/>
    </row>
    <row r="464" customFormat="false" ht="15" hidden="false" customHeight="false" outlineLevel="0" collapsed="false">
      <c r="A464" s="32"/>
      <c r="B464" s="36"/>
      <c r="C464" s="33"/>
      <c r="D464" s="35"/>
      <c r="E464" s="33"/>
    </row>
    <row r="465" customFormat="false" ht="15" hidden="false" customHeight="false" outlineLevel="0" collapsed="false">
      <c r="A465" s="32"/>
      <c r="B465" s="36"/>
      <c r="C465" s="33"/>
      <c r="D465" s="35"/>
      <c r="E465" s="33"/>
    </row>
    <row r="466" customFormat="false" ht="15" hidden="false" customHeight="false" outlineLevel="0" collapsed="false">
      <c r="A466" s="32"/>
      <c r="B466" s="36"/>
      <c r="C466" s="33"/>
      <c r="D466" s="35"/>
      <c r="E466" s="33"/>
    </row>
    <row r="467" customFormat="false" ht="15" hidden="false" customHeight="false" outlineLevel="0" collapsed="false">
      <c r="A467" s="32"/>
      <c r="B467" s="36"/>
      <c r="C467" s="33"/>
      <c r="D467" s="35"/>
      <c r="E467" s="33"/>
    </row>
    <row r="468" customFormat="false" ht="15" hidden="false" customHeight="false" outlineLevel="0" collapsed="false">
      <c r="A468" s="32"/>
      <c r="B468" s="36"/>
      <c r="C468" s="33"/>
      <c r="D468" s="35"/>
      <c r="E468" s="33"/>
    </row>
    <row r="469" customFormat="false" ht="15" hidden="false" customHeight="false" outlineLevel="0" collapsed="false">
      <c r="A469" s="32"/>
      <c r="B469" s="36"/>
      <c r="C469" s="33"/>
      <c r="D469" s="35"/>
      <c r="E469" s="33"/>
    </row>
    <row r="470" customFormat="false" ht="15" hidden="false" customHeight="false" outlineLevel="0" collapsed="false">
      <c r="A470" s="32"/>
      <c r="B470" s="36"/>
      <c r="C470" s="33"/>
      <c r="D470" s="35"/>
      <c r="E470" s="33"/>
    </row>
    <row r="471" customFormat="false" ht="15" hidden="false" customHeight="false" outlineLevel="0" collapsed="false">
      <c r="A471" s="32"/>
      <c r="B471" s="36"/>
      <c r="C471" s="33"/>
      <c r="D471" s="35"/>
      <c r="E471" s="33"/>
    </row>
    <row r="472" customFormat="false" ht="15" hidden="false" customHeight="false" outlineLevel="0" collapsed="false">
      <c r="A472" s="32"/>
      <c r="B472" s="36"/>
      <c r="C472" s="33"/>
      <c r="D472" s="35"/>
      <c r="E472" s="33"/>
    </row>
    <row r="473" customFormat="false" ht="15" hidden="false" customHeight="false" outlineLevel="0" collapsed="false">
      <c r="A473" s="32"/>
      <c r="B473" s="36"/>
      <c r="C473" s="33"/>
      <c r="D473" s="35"/>
      <c r="E473" s="33"/>
    </row>
    <row r="474" customFormat="false" ht="15" hidden="false" customHeight="false" outlineLevel="0" collapsed="false">
      <c r="A474" s="32"/>
      <c r="B474" s="36"/>
      <c r="C474" s="33"/>
      <c r="D474" s="35"/>
      <c r="E474" s="33"/>
    </row>
    <row r="475" customFormat="false" ht="15" hidden="false" customHeight="false" outlineLevel="0" collapsed="false">
      <c r="A475" s="32"/>
      <c r="B475" s="36"/>
      <c r="C475" s="33"/>
      <c r="D475" s="35"/>
      <c r="E475" s="33"/>
    </row>
    <row r="476" customFormat="false" ht="15" hidden="false" customHeight="false" outlineLevel="0" collapsed="false">
      <c r="A476" s="32"/>
      <c r="B476" s="36"/>
      <c r="C476" s="33"/>
      <c r="D476" s="35"/>
      <c r="E476" s="33"/>
    </row>
    <row r="477" customFormat="false" ht="15" hidden="false" customHeight="false" outlineLevel="0" collapsed="false">
      <c r="A477" s="32"/>
      <c r="B477" s="36"/>
      <c r="C477" s="33"/>
      <c r="D477" s="35"/>
      <c r="E477" s="33"/>
    </row>
    <row r="478" customFormat="false" ht="15" hidden="false" customHeight="false" outlineLevel="0" collapsed="false">
      <c r="A478" s="32"/>
      <c r="B478" s="36"/>
      <c r="C478" s="33"/>
      <c r="D478" s="35"/>
      <c r="E478" s="33"/>
    </row>
    <row r="479" customFormat="false" ht="15" hidden="false" customHeight="false" outlineLevel="0" collapsed="false">
      <c r="A479" s="32"/>
      <c r="B479" s="36"/>
      <c r="C479" s="33"/>
      <c r="D479" s="35"/>
      <c r="E479" s="33"/>
    </row>
    <row r="480" customFormat="false" ht="15" hidden="false" customHeight="false" outlineLevel="0" collapsed="false">
      <c r="A480" s="32"/>
      <c r="B480" s="36"/>
      <c r="C480" s="33"/>
      <c r="D480" s="35"/>
      <c r="E480" s="33"/>
    </row>
    <row r="481" customFormat="false" ht="15" hidden="false" customHeight="false" outlineLevel="0" collapsed="false">
      <c r="A481" s="32"/>
      <c r="B481" s="36"/>
      <c r="C481" s="33"/>
      <c r="D481" s="35"/>
      <c r="E481" s="33"/>
    </row>
    <row r="482" customFormat="false" ht="15" hidden="false" customHeight="false" outlineLevel="0" collapsed="false">
      <c r="A482" s="32"/>
      <c r="B482" s="36"/>
      <c r="C482" s="33"/>
      <c r="D482" s="35"/>
      <c r="E482" s="33"/>
    </row>
    <row r="483" customFormat="false" ht="15" hidden="false" customHeight="false" outlineLevel="0" collapsed="false">
      <c r="A483" s="32"/>
      <c r="B483" s="36"/>
      <c r="C483" s="33"/>
      <c r="D483" s="35"/>
      <c r="E483" s="33"/>
    </row>
    <row r="484" customFormat="false" ht="15" hidden="false" customHeight="false" outlineLevel="0" collapsed="false">
      <c r="A484" s="32"/>
      <c r="B484" s="36"/>
      <c r="C484" s="33"/>
      <c r="D484" s="35"/>
      <c r="E484" s="33"/>
    </row>
    <row r="485" customFormat="false" ht="15" hidden="false" customHeight="false" outlineLevel="0" collapsed="false">
      <c r="A485" s="32"/>
      <c r="B485" s="36"/>
      <c r="C485" s="33"/>
      <c r="D485" s="35"/>
      <c r="E485" s="33"/>
    </row>
    <row r="486" customFormat="false" ht="15" hidden="false" customHeight="false" outlineLevel="0" collapsed="false">
      <c r="A486" s="32"/>
      <c r="B486" s="36"/>
      <c r="C486" s="33"/>
      <c r="D486" s="35"/>
      <c r="E486" s="33"/>
    </row>
    <row r="487" customFormat="false" ht="15" hidden="false" customHeight="false" outlineLevel="0" collapsed="false">
      <c r="A487" s="32"/>
      <c r="B487" s="36"/>
      <c r="C487" s="33"/>
      <c r="D487" s="35"/>
      <c r="E487" s="33"/>
    </row>
    <row r="488" customFormat="false" ht="15" hidden="false" customHeight="false" outlineLevel="0" collapsed="false">
      <c r="A488" s="32"/>
      <c r="B488" s="36"/>
      <c r="C488" s="33"/>
      <c r="D488" s="35"/>
      <c r="E488" s="33"/>
    </row>
    <row r="489" customFormat="false" ht="15" hidden="false" customHeight="false" outlineLevel="0" collapsed="false">
      <c r="A489" s="32"/>
      <c r="B489" s="36"/>
      <c r="C489" s="33"/>
      <c r="D489" s="35"/>
      <c r="E489" s="33"/>
    </row>
    <row r="490" customFormat="false" ht="15" hidden="false" customHeight="false" outlineLevel="0" collapsed="false">
      <c r="A490" s="32"/>
      <c r="B490" s="36"/>
      <c r="C490" s="33"/>
      <c r="D490" s="35"/>
      <c r="E490" s="33"/>
    </row>
    <row r="491" customFormat="false" ht="15" hidden="false" customHeight="false" outlineLevel="0" collapsed="false">
      <c r="A491" s="32"/>
      <c r="B491" s="36"/>
      <c r="C491" s="33"/>
      <c r="D491" s="35"/>
      <c r="E491" s="33"/>
    </row>
    <row r="492" customFormat="false" ht="15" hidden="false" customHeight="false" outlineLevel="0" collapsed="false">
      <c r="A492" s="32"/>
      <c r="B492" s="36"/>
      <c r="C492" s="33"/>
      <c r="D492" s="35"/>
      <c r="E492" s="33"/>
    </row>
    <row r="493" customFormat="false" ht="15" hidden="false" customHeight="false" outlineLevel="0" collapsed="false">
      <c r="A493" s="32"/>
      <c r="B493" s="36"/>
      <c r="C493" s="33"/>
      <c r="D493" s="35"/>
      <c r="E493" s="33"/>
    </row>
    <row r="494" customFormat="false" ht="15" hidden="false" customHeight="false" outlineLevel="0" collapsed="false">
      <c r="A494" s="32"/>
      <c r="B494" s="36"/>
      <c r="C494" s="33"/>
      <c r="D494" s="35"/>
      <c r="E494" s="33"/>
    </row>
    <row r="495" customFormat="false" ht="15" hidden="false" customHeight="false" outlineLevel="0" collapsed="false">
      <c r="A495" s="32"/>
      <c r="B495" s="36"/>
      <c r="C495" s="33"/>
      <c r="D495" s="35"/>
      <c r="E495" s="33"/>
    </row>
    <row r="496" customFormat="false" ht="15" hidden="false" customHeight="false" outlineLevel="0" collapsed="false">
      <c r="A496" s="32"/>
      <c r="B496" s="36"/>
      <c r="C496" s="33"/>
      <c r="D496" s="35"/>
      <c r="E496" s="33"/>
    </row>
    <row r="497" customFormat="false" ht="15" hidden="false" customHeight="false" outlineLevel="0" collapsed="false">
      <c r="A497" s="32"/>
      <c r="B497" s="36"/>
      <c r="C497" s="33"/>
      <c r="D497" s="35"/>
      <c r="E497" s="33"/>
    </row>
    <row r="498" customFormat="false" ht="15" hidden="false" customHeight="false" outlineLevel="0" collapsed="false">
      <c r="A498" s="32"/>
      <c r="B498" s="36"/>
      <c r="C498" s="33"/>
      <c r="D498" s="35"/>
      <c r="E498" s="33"/>
    </row>
    <row r="499" customFormat="false" ht="15" hidden="false" customHeight="false" outlineLevel="0" collapsed="false">
      <c r="A499" s="32"/>
      <c r="B499" s="36"/>
      <c r="C499" s="33"/>
      <c r="D499" s="35"/>
      <c r="E499" s="33"/>
    </row>
    <row r="500" customFormat="false" ht="15" hidden="false" customHeight="false" outlineLevel="0" collapsed="false">
      <c r="A500" s="32"/>
      <c r="B500" s="36"/>
      <c r="C500" s="33"/>
      <c r="D500" s="35"/>
      <c r="E500" s="33"/>
    </row>
    <row r="501" customFormat="false" ht="15" hidden="false" customHeight="false" outlineLevel="0" collapsed="false">
      <c r="A501" s="32"/>
      <c r="B501" s="36"/>
      <c r="C501" s="33"/>
      <c r="D501" s="35"/>
      <c r="E501" s="33"/>
    </row>
    <row r="502" customFormat="false" ht="15" hidden="false" customHeight="false" outlineLevel="0" collapsed="false">
      <c r="A502" s="32"/>
      <c r="B502" s="36"/>
      <c r="C502" s="33"/>
      <c r="D502" s="35"/>
      <c r="E502" s="33"/>
    </row>
    <row r="503" customFormat="false" ht="15" hidden="false" customHeight="false" outlineLevel="0" collapsed="false">
      <c r="A503" s="32"/>
      <c r="B503" s="36"/>
      <c r="C503" s="33"/>
      <c r="D503" s="35"/>
      <c r="E503" s="33"/>
    </row>
    <row r="504" customFormat="false" ht="15" hidden="false" customHeight="false" outlineLevel="0" collapsed="false">
      <c r="A504" s="32"/>
      <c r="B504" s="36"/>
      <c r="C504" s="33"/>
      <c r="D504" s="35"/>
      <c r="E504" s="33"/>
    </row>
  </sheetData>
  <conditionalFormatting sqref="B5:B504">
    <cfRule type="cellIs" priority="2" operator="equal" aboveAverage="0" equalAverage="0" bottom="0" percent="0" rank="0" text="" dxfId="4">
      <formula>"Tahsilat"</formula>
    </cfRule>
    <cfRule type="cellIs" priority="3" operator="equal" aboveAverage="0" equalAverage="0" bottom="0" percent="0" rank="0" text="" dxfId="0">
      <formula>"Ödeme"</formula>
    </cfRule>
  </conditionalFormatting>
  <conditionalFormatting sqref="A5:D504">
    <cfRule type="expression" priority="4" aboveAverage="0" equalAverage="0" bottom="0" percent="0" rank="0" text="" dxfId="3">
      <formula>AND($D5&lt;&gt;"",OR($A5="",$B5="",$C5=""))</formula>
    </cfRule>
  </conditionalFormatting>
  <dataValidations count="4">
    <dataValidation allowBlank="true" error="Geçerli bir tarih gir (örnek: 04.10.2026)." errorStyle="stop" errorTitle="Tarih" operator="greaterThan" showDropDown="false" showErrorMessage="true" showInputMessage="false" sqref="A5:A504" type="date">
      <formula1>36526</formula1>
      <formula2>0</formula2>
    </dataValidation>
    <dataValidation allowBlank="true" error="Tahsilat ya da Ödeme seç." errorStyle="stop" errorTitle="Tür" operator="between" showDropDown="false" showErrorMessage="true" showInputMessage="false" sqref="B5:B504" type="list">
      <formula1>"Tahsilat,Ödeme"</formula1>
      <formula2>0</formula2>
    </dataValidation>
    <dataValidation allowBlank="true" error="Listeden seç. Yeni kişi için önce Cariler sayfasına ekle." errorStyle="stop" errorTitle="Kişi" operator="between" showDropDown="false" showErrorMessage="true" showInputMessage="false" sqref="C5:C504" type="list">
      <formula1>Cariler!$A$5:$A$104</formula1>
      <formula2>0</formula2>
    </dataValidation>
    <dataValidation allowBlank="true" error="Sıfırdan büyük bir sayı gir." errorStyle="stop" errorTitle="Tutar" operator="greaterThan" showDropDown="false" showErrorMessage="true" showInputMessage="false" sqref="D5:D504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79009"/>
    <pageSetUpPr fitToPage="true"/>
  </sheetPr>
  <dimension ref="A1:N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9"/>
    <col collapsed="false" customWidth="true" hidden="false" outlineLevel="0" max="4" min="3" style="0" width="14"/>
    <col collapsed="false" customWidth="true" hidden="false" outlineLevel="0" max="6" min="5" style="0" width="12"/>
    <col collapsed="false" customWidth="true" hidden="false" outlineLevel="0" max="9" min="7" style="0" width="11"/>
    <col collapsed="false" customWidth="true" hidden="false" outlineLevel="0" max="10" min="10" style="0" width="15"/>
    <col collapsed="false" customWidth="true" hidden="false" outlineLevel="0" max="11" min="11" style="0" width="11"/>
    <col collapsed="false" customWidth="true" hidden="false" outlineLevel="0" max="12" min="12" style="0" width="16"/>
    <col collapsed="false" customWidth="true" hidden="true" outlineLevel="0" max="14" min="13" style="0" width="4"/>
  </cols>
  <sheetData>
    <row r="1" customFormat="false" ht="19.7" hidden="false" customHeight="false" outlineLevel="0" collapsed="false">
      <c r="A1" s="8" t="s">
        <v>128</v>
      </c>
    </row>
    <row r="2" customFormat="false" ht="15" hidden="false" customHeight="false" outlineLevel="0" collapsed="false">
      <c r="A2" s="11" t="s">
        <v>129</v>
      </c>
    </row>
    <row r="4" customFormat="false" ht="27.75" hidden="false" customHeight="true" outlineLevel="0" collapsed="false">
      <c r="A4" s="30" t="s">
        <v>65</v>
      </c>
      <c r="B4" s="30" t="s">
        <v>130</v>
      </c>
      <c r="C4" s="30" t="s">
        <v>131</v>
      </c>
      <c r="D4" s="30" t="s">
        <v>132</v>
      </c>
      <c r="E4" s="30" t="s">
        <v>133</v>
      </c>
      <c r="F4" s="30" t="s">
        <v>134</v>
      </c>
      <c r="G4" s="31" t="s">
        <v>135</v>
      </c>
      <c r="H4" s="31" t="s">
        <v>136</v>
      </c>
      <c r="I4" s="31" t="s">
        <v>76</v>
      </c>
      <c r="J4" s="31" t="s">
        <v>137</v>
      </c>
      <c r="K4" s="31" t="s">
        <v>77</v>
      </c>
      <c r="L4" s="31" t="s">
        <v>138</v>
      </c>
      <c r="M4" s="31" t="s">
        <v>139</v>
      </c>
      <c r="N4" s="31" t="s">
        <v>140</v>
      </c>
    </row>
    <row r="5" customFormat="false" ht="15" hidden="false" customHeight="false" outlineLevel="0" collapsed="false">
      <c r="A5" s="33" t="s">
        <v>96</v>
      </c>
      <c r="B5" s="36" t="s">
        <v>89</v>
      </c>
      <c r="C5" s="35" t="n">
        <v>35</v>
      </c>
      <c r="D5" s="35" t="n">
        <v>60</v>
      </c>
      <c r="E5" s="34" t="n">
        <v>300</v>
      </c>
      <c r="F5" s="34" t="n">
        <v>60</v>
      </c>
      <c r="G5" s="38" t="n">
        <f aca="false">IF(A5="","",SUMIFS(Alışlar!$D$5:$D$504,Alışlar!$C$5:$C$504,A5))</f>
        <v>100</v>
      </c>
      <c r="H5" s="38" t="n">
        <f aca="false">IF(A5="","",SUMIFS(Satışlar!$D$5:$D$1004,Satışlar!$C$5:$C$1004,A5))</f>
        <v>220</v>
      </c>
      <c r="I5" s="39" t="n">
        <f aca="false">IF(A5="","",E5+G5-H5)</f>
        <v>180</v>
      </c>
      <c r="J5" s="37" t="n">
        <f aca="false">IF(A5="","",I5*C5)</f>
        <v>6300</v>
      </c>
      <c r="K5" s="40" t="str">
        <f aca="false">IF(A5="","",IF(I5&lt;=0,"Tükendi",IF(I5&lt;=F5,"Kritik","Yeterli")))</f>
        <v>Yeterli</v>
      </c>
      <c r="L5" s="37" t="n">
        <f aca="false">IF(A5="","",SUMIFS(Satışlar!$G$5:$G$1004,Satışlar!$C$5:$C$1004,A5))</f>
        <v>13200</v>
      </c>
      <c r="M5" s="41" t="n">
        <f aca="false">IF(A5="","",L5+ROW()/1000000)</f>
        <v>13200.000005</v>
      </c>
      <c r="N5" s="41" t="str">
        <f aca="false">IF(OR(K5="Tükendi",K5="Kritik"),ROW(),"")</f>
        <v/>
      </c>
    </row>
    <row r="6" customFormat="false" ht="15" hidden="false" customHeight="false" outlineLevel="0" collapsed="false">
      <c r="A6" s="33" t="s">
        <v>100</v>
      </c>
      <c r="B6" s="36" t="s">
        <v>89</v>
      </c>
      <c r="C6" s="35" t="n">
        <v>8</v>
      </c>
      <c r="D6" s="35" t="n">
        <v>15</v>
      </c>
      <c r="E6" s="34" t="n">
        <v>800</v>
      </c>
      <c r="F6" s="34" t="n">
        <v>150</v>
      </c>
      <c r="G6" s="38" t="n">
        <f aca="false">IF(A6="","",SUMIFS(Alışlar!$D$5:$D$504,Alışlar!$C$5:$C$504,A6))</f>
        <v>200</v>
      </c>
      <c r="H6" s="38" t="n">
        <f aca="false">IF(A6="","",SUMIFS(Satışlar!$D$5:$D$1004,Satışlar!$C$5:$C$1004,A6))</f>
        <v>640</v>
      </c>
      <c r="I6" s="39" t="n">
        <f aca="false">IF(A6="","",E6+G6-H6)</f>
        <v>360</v>
      </c>
      <c r="J6" s="37" t="n">
        <f aca="false">IF(A6="","",I6*C6)</f>
        <v>2880</v>
      </c>
      <c r="K6" s="40" t="str">
        <f aca="false">IF(A6="","",IF(I6&lt;=0,"Tükendi",IF(I6&lt;=F6,"Kritik","Yeterli")))</f>
        <v>Yeterli</v>
      </c>
      <c r="L6" s="37" t="n">
        <f aca="false">IF(A6="","",SUMIFS(Satışlar!$G$5:$G$1004,Satışlar!$C$5:$C$1004,A6))</f>
        <v>8800</v>
      </c>
      <c r="M6" s="41" t="n">
        <f aca="false">IF(A6="","",L6+ROW()/1000000)</f>
        <v>8800.000006</v>
      </c>
      <c r="N6" s="41" t="str">
        <f aca="false">IF(OR(K6="Tükendi",K6="Kritik"),ROW(),"")</f>
        <v/>
      </c>
    </row>
    <row r="7" customFormat="false" ht="15" hidden="false" customHeight="false" outlineLevel="0" collapsed="false">
      <c r="A7" s="33" t="s">
        <v>102</v>
      </c>
      <c r="B7" s="36" t="s">
        <v>141</v>
      </c>
      <c r="C7" s="35" t="n">
        <v>140</v>
      </c>
      <c r="D7" s="35" t="n">
        <v>190</v>
      </c>
      <c r="E7" s="34" t="n">
        <v>90</v>
      </c>
      <c r="F7" s="34" t="n">
        <v>25</v>
      </c>
      <c r="G7" s="38" t="n">
        <f aca="false">IF(A7="","",SUMIFS(Alışlar!$D$5:$D$504,Alışlar!$C$5:$C$504,A7))</f>
        <v>30</v>
      </c>
      <c r="H7" s="38" t="n">
        <f aca="false">IF(A7="","",SUMIFS(Satışlar!$D$5:$D$1004,Satışlar!$C$5:$C$1004,A7))</f>
        <v>100</v>
      </c>
      <c r="I7" s="39" t="n">
        <f aca="false">IF(A7="","",E7+G7-H7)</f>
        <v>20</v>
      </c>
      <c r="J7" s="37" t="n">
        <f aca="false">IF(A7="","",I7*C7)</f>
        <v>2800</v>
      </c>
      <c r="K7" s="40" t="str">
        <f aca="false">IF(A7="","",IF(I7&lt;=0,"Tükendi",IF(I7&lt;=F7,"Kritik","Yeterli")))</f>
        <v>Kritik</v>
      </c>
      <c r="L7" s="37" t="n">
        <f aca="false">IF(A7="","",SUMIFS(Satışlar!$G$5:$G$1004,Satışlar!$C$5:$C$1004,A7))</f>
        <v>18200</v>
      </c>
      <c r="M7" s="41" t="n">
        <f aca="false">IF(A7="","",L7+ROW()/1000000)</f>
        <v>18200.000007</v>
      </c>
      <c r="N7" s="41" t="n">
        <f aca="false">IF(OR(K7="Tükendi",K7="Kritik"),ROW(),"")</f>
        <v>7</v>
      </c>
    </row>
    <row r="8" customFormat="false" ht="15" hidden="false" customHeight="false" outlineLevel="0" collapsed="false">
      <c r="A8" s="33" t="s">
        <v>104</v>
      </c>
      <c r="B8" s="36" t="s">
        <v>89</v>
      </c>
      <c r="C8" s="35" t="n">
        <v>45</v>
      </c>
      <c r="D8" s="35" t="n">
        <v>75</v>
      </c>
      <c r="E8" s="34" t="n">
        <v>200</v>
      </c>
      <c r="F8" s="34" t="n">
        <v>40</v>
      </c>
      <c r="G8" s="38" t="n">
        <f aca="false">IF(A8="","",SUMIFS(Alışlar!$D$5:$D$504,Alışlar!$C$5:$C$504,A8))</f>
        <v>0</v>
      </c>
      <c r="H8" s="38" t="n">
        <f aca="false">IF(A8="","",SUMIFS(Satışlar!$D$5:$D$1004,Satışlar!$C$5:$C$1004,A8))</f>
        <v>120</v>
      </c>
      <c r="I8" s="39" t="n">
        <f aca="false">IF(A8="","",E8+G8-H8)</f>
        <v>80</v>
      </c>
      <c r="J8" s="37" t="n">
        <f aca="false">IF(A8="","",I8*C8)</f>
        <v>3600</v>
      </c>
      <c r="K8" s="40" t="str">
        <f aca="false">IF(A8="","",IF(I8&lt;=0,"Tükendi",IF(I8&lt;=F8,"Kritik","Yeterli")))</f>
        <v>Yeterli</v>
      </c>
      <c r="L8" s="37" t="n">
        <f aca="false">IF(A8="","",SUMIFS(Satışlar!$G$5:$G$1004,Satışlar!$C$5:$C$1004,A8))</f>
        <v>9000</v>
      </c>
      <c r="M8" s="41" t="n">
        <f aca="false">IF(A8="","",L8+ROW()/1000000)</f>
        <v>9000.000008</v>
      </c>
      <c r="N8" s="41" t="str">
        <f aca="false">IF(OR(K8="Tükendi",K8="Kritik"),ROW(),"")</f>
        <v/>
      </c>
    </row>
    <row r="9" customFormat="false" ht="15" hidden="false" customHeight="false" outlineLevel="0" collapsed="false">
      <c r="A9" s="33" t="s">
        <v>105</v>
      </c>
      <c r="B9" s="36" t="s">
        <v>142</v>
      </c>
      <c r="C9" s="35" t="n">
        <v>90</v>
      </c>
      <c r="D9" s="35" t="n">
        <v>150</v>
      </c>
      <c r="E9" s="34" t="n">
        <v>70</v>
      </c>
      <c r="F9" s="34" t="n">
        <v>10</v>
      </c>
      <c r="G9" s="38" t="n">
        <f aca="false">IF(A9="","",SUMIFS(Alışlar!$D$5:$D$504,Alışlar!$C$5:$C$504,A9))</f>
        <v>0</v>
      </c>
      <c r="H9" s="38" t="n">
        <f aca="false">IF(A9="","",SUMIFS(Satışlar!$D$5:$D$1004,Satışlar!$C$5:$C$1004,A9))</f>
        <v>64</v>
      </c>
      <c r="I9" s="39" t="n">
        <f aca="false">IF(A9="","",E9+G9-H9)</f>
        <v>6</v>
      </c>
      <c r="J9" s="37" t="n">
        <f aca="false">IF(A9="","",I9*C9)</f>
        <v>540</v>
      </c>
      <c r="K9" s="40" t="str">
        <f aca="false">IF(A9="","",IF(I9&lt;=0,"Tükendi",IF(I9&lt;=F9,"Kritik","Yeterli")))</f>
        <v>Kritik</v>
      </c>
      <c r="L9" s="37" t="n">
        <f aca="false">IF(A9="","",SUMIFS(Satışlar!$G$5:$G$1004,Satışlar!$C$5:$C$1004,A9))</f>
        <v>9200</v>
      </c>
      <c r="M9" s="41" t="n">
        <f aca="false">IF(A9="","",L9+ROW()/1000000)</f>
        <v>9200.000009</v>
      </c>
      <c r="N9" s="41" t="n">
        <f aca="false">IF(OR(K9="Tükendi",K9="Kritik"),ROW(),"")</f>
        <v>9</v>
      </c>
    </row>
    <row r="10" customFormat="false" ht="15" hidden="false" customHeight="false" outlineLevel="0" collapsed="false">
      <c r="A10" s="33" t="s">
        <v>107</v>
      </c>
      <c r="B10" s="36" t="s">
        <v>89</v>
      </c>
      <c r="C10" s="35" t="n">
        <v>220</v>
      </c>
      <c r="D10" s="35" t="n">
        <v>350</v>
      </c>
      <c r="E10" s="34" t="n">
        <v>8</v>
      </c>
      <c r="F10" s="34" t="n">
        <v>3</v>
      </c>
      <c r="G10" s="38" t="n">
        <f aca="false">IF(A10="","",SUMIFS(Alışlar!$D$5:$D$504,Alışlar!$C$5:$C$504,A10))</f>
        <v>0</v>
      </c>
      <c r="H10" s="38" t="n">
        <f aca="false">IF(A10="","",SUMIFS(Satışlar!$D$5:$D$1004,Satışlar!$C$5:$C$1004,A10))</f>
        <v>6</v>
      </c>
      <c r="I10" s="39" t="n">
        <f aca="false">IF(A10="","",E10+G10-H10)</f>
        <v>2</v>
      </c>
      <c r="J10" s="37" t="n">
        <f aca="false">IF(A10="","",I10*C10)</f>
        <v>440</v>
      </c>
      <c r="K10" s="40" t="str">
        <f aca="false">IF(A10="","",IF(I10&lt;=0,"Tükendi",IF(I10&lt;=F10,"Kritik","Yeterli")))</f>
        <v>Kritik</v>
      </c>
      <c r="L10" s="37" t="n">
        <f aca="false">IF(A10="","",SUMIFS(Satışlar!$G$5:$G$1004,Satışlar!$C$5:$C$1004,A10))</f>
        <v>2100</v>
      </c>
      <c r="M10" s="41" t="n">
        <f aca="false">IF(A10="","",L10+ROW()/1000000)</f>
        <v>2100.00001</v>
      </c>
      <c r="N10" s="41" t="n">
        <f aca="false">IF(OR(K10="Tükendi",K10="Kritik"),ROW(),"")</f>
        <v>10</v>
      </c>
    </row>
    <row r="11" customFormat="false" ht="15" hidden="false" customHeight="false" outlineLevel="0" collapsed="false">
      <c r="A11" s="33"/>
      <c r="B11" s="36"/>
      <c r="C11" s="35"/>
      <c r="D11" s="35"/>
      <c r="E11" s="34"/>
      <c r="F11" s="34"/>
      <c r="G11" s="38" t="str">
        <f aca="false">IF(A11="","",SUMIFS(Alışlar!$D$5:$D$504,Alışlar!$C$5:$C$504,A11))</f>
        <v/>
      </c>
      <c r="H11" s="38" t="str">
        <f aca="false">IF(A11="","",SUMIFS(Satışlar!$D$5:$D$1004,Satışlar!$C$5:$C$1004,A11))</f>
        <v/>
      </c>
      <c r="I11" s="39" t="str">
        <f aca="false">IF(A11="","",E11+G11-H11)</f>
        <v/>
      </c>
      <c r="J11" s="37" t="str">
        <f aca="false">IF(A11="","",I11*C11)</f>
        <v/>
      </c>
      <c r="K11" s="40" t="str">
        <f aca="false">IF(A11="","",IF(I11&lt;=0,"Tükendi",IF(I11&lt;=F11,"Kritik","Yeterli")))</f>
        <v/>
      </c>
      <c r="L11" s="37" t="str">
        <f aca="false">IF(A11="","",SUMIFS(Satışlar!$G$5:$G$1004,Satışlar!$C$5:$C$1004,A11))</f>
        <v/>
      </c>
      <c r="M11" s="41" t="str">
        <f aca="false">IF(A11="","",L11+ROW()/1000000)</f>
        <v/>
      </c>
      <c r="N11" s="41" t="str">
        <f aca="false">IF(OR(K11="Tükendi",K11="Kritik"),ROW(),"")</f>
        <v/>
      </c>
    </row>
    <row r="12" customFormat="false" ht="15" hidden="false" customHeight="false" outlineLevel="0" collapsed="false">
      <c r="A12" s="33"/>
      <c r="B12" s="36"/>
      <c r="C12" s="35"/>
      <c r="D12" s="35"/>
      <c r="E12" s="34"/>
      <c r="F12" s="34"/>
      <c r="G12" s="38" t="str">
        <f aca="false">IF(A12="","",SUMIFS(Alışlar!$D$5:$D$504,Alışlar!$C$5:$C$504,A12))</f>
        <v/>
      </c>
      <c r="H12" s="38" t="str">
        <f aca="false">IF(A12="","",SUMIFS(Satışlar!$D$5:$D$1004,Satışlar!$C$5:$C$1004,A12))</f>
        <v/>
      </c>
      <c r="I12" s="39" t="str">
        <f aca="false">IF(A12="","",E12+G12-H12)</f>
        <v/>
      </c>
      <c r="J12" s="37" t="str">
        <f aca="false">IF(A12="","",I12*C12)</f>
        <v/>
      </c>
      <c r="K12" s="40" t="str">
        <f aca="false">IF(A12="","",IF(I12&lt;=0,"Tükendi",IF(I12&lt;=F12,"Kritik","Yeterli")))</f>
        <v/>
      </c>
      <c r="L12" s="37" t="str">
        <f aca="false">IF(A12="","",SUMIFS(Satışlar!$G$5:$G$1004,Satışlar!$C$5:$C$1004,A12))</f>
        <v/>
      </c>
      <c r="M12" s="41" t="str">
        <f aca="false">IF(A12="","",L12+ROW()/1000000)</f>
        <v/>
      </c>
      <c r="N12" s="41" t="str">
        <f aca="false">IF(OR(K12="Tükendi",K12="Kritik"),ROW(),"")</f>
        <v/>
      </c>
    </row>
    <row r="13" customFormat="false" ht="15" hidden="false" customHeight="false" outlineLevel="0" collapsed="false">
      <c r="A13" s="33"/>
      <c r="B13" s="36"/>
      <c r="C13" s="35"/>
      <c r="D13" s="35"/>
      <c r="E13" s="34"/>
      <c r="F13" s="34"/>
      <c r="G13" s="38" t="str">
        <f aca="false">IF(A13="","",SUMIFS(Alışlar!$D$5:$D$504,Alışlar!$C$5:$C$504,A13))</f>
        <v/>
      </c>
      <c r="H13" s="38" t="str">
        <f aca="false">IF(A13="","",SUMIFS(Satışlar!$D$5:$D$1004,Satışlar!$C$5:$C$1004,A13))</f>
        <v/>
      </c>
      <c r="I13" s="39" t="str">
        <f aca="false">IF(A13="","",E13+G13-H13)</f>
        <v/>
      </c>
      <c r="J13" s="37" t="str">
        <f aca="false">IF(A13="","",I13*C13)</f>
        <v/>
      </c>
      <c r="K13" s="40" t="str">
        <f aca="false">IF(A13="","",IF(I13&lt;=0,"Tükendi",IF(I13&lt;=F13,"Kritik","Yeterli")))</f>
        <v/>
      </c>
      <c r="L13" s="37" t="str">
        <f aca="false">IF(A13="","",SUMIFS(Satışlar!$G$5:$G$1004,Satışlar!$C$5:$C$1004,A13))</f>
        <v/>
      </c>
      <c r="M13" s="41" t="str">
        <f aca="false">IF(A13="","",L13+ROW()/1000000)</f>
        <v/>
      </c>
      <c r="N13" s="41" t="str">
        <f aca="false">IF(OR(K13="Tükendi",K13="Kritik"),ROW(),"")</f>
        <v/>
      </c>
    </row>
    <row r="14" customFormat="false" ht="15" hidden="false" customHeight="false" outlineLevel="0" collapsed="false">
      <c r="A14" s="33"/>
      <c r="B14" s="36"/>
      <c r="C14" s="35"/>
      <c r="D14" s="35"/>
      <c r="E14" s="34"/>
      <c r="F14" s="34"/>
      <c r="G14" s="38" t="str">
        <f aca="false">IF(A14="","",SUMIFS(Alışlar!$D$5:$D$504,Alışlar!$C$5:$C$504,A14))</f>
        <v/>
      </c>
      <c r="H14" s="38" t="str">
        <f aca="false">IF(A14="","",SUMIFS(Satışlar!$D$5:$D$1004,Satışlar!$C$5:$C$1004,A14))</f>
        <v/>
      </c>
      <c r="I14" s="39" t="str">
        <f aca="false">IF(A14="","",E14+G14-H14)</f>
        <v/>
      </c>
      <c r="J14" s="37" t="str">
        <f aca="false">IF(A14="","",I14*C14)</f>
        <v/>
      </c>
      <c r="K14" s="40" t="str">
        <f aca="false">IF(A14="","",IF(I14&lt;=0,"Tükendi",IF(I14&lt;=F14,"Kritik","Yeterli")))</f>
        <v/>
      </c>
      <c r="L14" s="37" t="str">
        <f aca="false">IF(A14="","",SUMIFS(Satışlar!$G$5:$G$1004,Satışlar!$C$5:$C$1004,A14))</f>
        <v/>
      </c>
      <c r="M14" s="41" t="str">
        <f aca="false">IF(A14="","",L14+ROW()/1000000)</f>
        <v/>
      </c>
      <c r="N14" s="41" t="str">
        <f aca="false">IF(OR(K14="Tükendi",K14="Kritik"),ROW(),"")</f>
        <v/>
      </c>
    </row>
    <row r="15" customFormat="false" ht="15" hidden="false" customHeight="false" outlineLevel="0" collapsed="false">
      <c r="A15" s="33"/>
      <c r="B15" s="36"/>
      <c r="C15" s="35"/>
      <c r="D15" s="35"/>
      <c r="E15" s="34"/>
      <c r="F15" s="34"/>
      <c r="G15" s="38" t="str">
        <f aca="false">IF(A15="","",SUMIFS(Alışlar!$D$5:$D$504,Alışlar!$C$5:$C$504,A15))</f>
        <v/>
      </c>
      <c r="H15" s="38" t="str">
        <f aca="false">IF(A15="","",SUMIFS(Satışlar!$D$5:$D$1004,Satışlar!$C$5:$C$1004,A15))</f>
        <v/>
      </c>
      <c r="I15" s="39" t="str">
        <f aca="false">IF(A15="","",E15+G15-H15)</f>
        <v/>
      </c>
      <c r="J15" s="37" t="str">
        <f aca="false">IF(A15="","",I15*C15)</f>
        <v/>
      </c>
      <c r="K15" s="40" t="str">
        <f aca="false">IF(A15="","",IF(I15&lt;=0,"Tükendi",IF(I15&lt;=F15,"Kritik","Yeterli")))</f>
        <v/>
      </c>
      <c r="L15" s="37" t="str">
        <f aca="false">IF(A15="","",SUMIFS(Satışlar!$G$5:$G$1004,Satışlar!$C$5:$C$1004,A15))</f>
        <v/>
      </c>
      <c r="M15" s="41" t="str">
        <f aca="false">IF(A15="","",L15+ROW()/1000000)</f>
        <v/>
      </c>
      <c r="N15" s="41" t="str">
        <f aca="false">IF(OR(K15="Tükendi",K15="Kritik"),ROW(),"")</f>
        <v/>
      </c>
    </row>
    <row r="16" customFormat="false" ht="15" hidden="false" customHeight="false" outlineLevel="0" collapsed="false">
      <c r="A16" s="33"/>
      <c r="B16" s="36"/>
      <c r="C16" s="35"/>
      <c r="D16" s="35"/>
      <c r="E16" s="34"/>
      <c r="F16" s="34"/>
      <c r="G16" s="38" t="str">
        <f aca="false">IF(A16="","",SUMIFS(Alışlar!$D$5:$D$504,Alışlar!$C$5:$C$504,A16))</f>
        <v/>
      </c>
      <c r="H16" s="38" t="str">
        <f aca="false">IF(A16="","",SUMIFS(Satışlar!$D$5:$D$1004,Satışlar!$C$5:$C$1004,A16))</f>
        <v/>
      </c>
      <c r="I16" s="39" t="str">
        <f aca="false">IF(A16="","",E16+G16-H16)</f>
        <v/>
      </c>
      <c r="J16" s="37" t="str">
        <f aca="false">IF(A16="","",I16*C16)</f>
        <v/>
      </c>
      <c r="K16" s="40" t="str">
        <f aca="false">IF(A16="","",IF(I16&lt;=0,"Tükendi",IF(I16&lt;=F16,"Kritik","Yeterli")))</f>
        <v/>
      </c>
      <c r="L16" s="37" t="str">
        <f aca="false">IF(A16="","",SUMIFS(Satışlar!$G$5:$G$1004,Satışlar!$C$5:$C$1004,A16))</f>
        <v/>
      </c>
      <c r="M16" s="41" t="str">
        <f aca="false">IF(A16="","",L16+ROW()/1000000)</f>
        <v/>
      </c>
      <c r="N16" s="41" t="str">
        <f aca="false">IF(OR(K16="Tükendi",K16="Kritik"),ROW(),"")</f>
        <v/>
      </c>
    </row>
    <row r="17" customFormat="false" ht="15" hidden="false" customHeight="false" outlineLevel="0" collapsed="false">
      <c r="A17" s="33"/>
      <c r="B17" s="36"/>
      <c r="C17" s="35"/>
      <c r="D17" s="35"/>
      <c r="E17" s="34"/>
      <c r="F17" s="34"/>
      <c r="G17" s="38" t="str">
        <f aca="false">IF(A17="","",SUMIFS(Alışlar!$D$5:$D$504,Alışlar!$C$5:$C$504,A17))</f>
        <v/>
      </c>
      <c r="H17" s="38" t="str">
        <f aca="false">IF(A17="","",SUMIFS(Satışlar!$D$5:$D$1004,Satışlar!$C$5:$C$1004,A17))</f>
        <v/>
      </c>
      <c r="I17" s="39" t="str">
        <f aca="false">IF(A17="","",E17+G17-H17)</f>
        <v/>
      </c>
      <c r="J17" s="37" t="str">
        <f aca="false">IF(A17="","",I17*C17)</f>
        <v/>
      </c>
      <c r="K17" s="40" t="str">
        <f aca="false">IF(A17="","",IF(I17&lt;=0,"Tükendi",IF(I17&lt;=F17,"Kritik","Yeterli")))</f>
        <v/>
      </c>
      <c r="L17" s="37" t="str">
        <f aca="false">IF(A17="","",SUMIFS(Satışlar!$G$5:$G$1004,Satışlar!$C$5:$C$1004,A17))</f>
        <v/>
      </c>
      <c r="M17" s="41" t="str">
        <f aca="false">IF(A17="","",L17+ROW()/1000000)</f>
        <v/>
      </c>
      <c r="N17" s="41" t="str">
        <f aca="false">IF(OR(K17="Tükendi",K17="Kritik"),ROW(),"")</f>
        <v/>
      </c>
    </row>
    <row r="18" customFormat="false" ht="15" hidden="false" customHeight="false" outlineLevel="0" collapsed="false">
      <c r="A18" s="33"/>
      <c r="B18" s="36"/>
      <c r="C18" s="35"/>
      <c r="D18" s="35"/>
      <c r="E18" s="34"/>
      <c r="F18" s="34"/>
      <c r="G18" s="38" t="str">
        <f aca="false">IF(A18="","",SUMIFS(Alışlar!$D$5:$D$504,Alışlar!$C$5:$C$504,A18))</f>
        <v/>
      </c>
      <c r="H18" s="38" t="str">
        <f aca="false">IF(A18="","",SUMIFS(Satışlar!$D$5:$D$1004,Satışlar!$C$5:$C$1004,A18))</f>
        <v/>
      </c>
      <c r="I18" s="39" t="str">
        <f aca="false">IF(A18="","",E18+G18-H18)</f>
        <v/>
      </c>
      <c r="J18" s="37" t="str">
        <f aca="false">IF(A18="","",I18*C18)</f>
        <v/>
      </c>
      <c r="K18" s="40" t="str">
        <f aca="false">IF(A18="","",IF(I18&lt;=0,"Tükendi",IF(I18&lt;=F18,"Kritik","Yeterli")))</f>
        <v/>
      </c>
      <c r="L18" s="37" t="str">
        <f aca="false">IF(A18="","",SUMIFS(Satışlar!$G$5:$G$1004,Satışlar!$C$5:$C$1004,A18))</f>
        <v/>
      </c>
      <c r="M18" s="41" t="str">
        <f aca="false">IF(A18="","",L18+ROW()/1000000)</f>
        <v/>
      </c>
      <c r="N18" s="41" t="str">
        <f aca="false">IF(OR(K18="Tükendi",K18="Kritik"),ROW(),"")</f>
        <v/>
      </c>
    </row>
    <row r="19" customFormat="false" ht="15" hidden="false" customHeight="false" outlineLevel="0" collapsed="false">
      <c r="A19" s="33"/>
      <c r="B19" s="36"/>
      <c r="C19" s="35"/>
      <c r="D19" s="35"/>
      <c r="E19" s="34"/>
      <c r="F19" s="34"/>
      <c r="G19" s="38" t="str">
        <f aca="false">IF(A19="","",SUMIFS(Alışlar!$D$5:$D$504,Alışlar!$C$5:$C$504,A19))</f>
        <v/>
      </c>
      <c r="H19" s="38" t="str">
        <f aca="false">IF(A19="","",SUMIFS(Satışlar!$D$5:$D$1004,Satışlar!$C$5:$C$1004,A19))</f>
        <v/>
      </c>
      <c r="I19" s="39" t="str">
        <f aca="false">IF(A19="","",E19+G19-H19)</f>
        <v/>
      </c>
      <c r="J19" s="37" t="str">
        <f aca="false">IF(A19="","",I19*C19)</f>
        <v/>
      </c>
      <c r="K19" s="40" t="str">
        <f aca="false">IF(A19="","",IF(I19&lt;=0,"Tükendi",IF(I19&lt;=F19,"Kritik","Yeterli")))</f>
        <v/>
      </c>
      <c r="L19" s="37" t="str">
        <f aca="false">IF(A19="","",SUMIFS(Satışlar!$G$5:$G$1004,Satışlar!$C$5:$C$1004,A19))</f>
        <v/>
      </c>
      <c r="M19" s="41" t="str">
        <f aca="false">IF(A19="","",L19+ROW()/1000000)</f>
        <v/>
      </c>
      <c r="N19" s="41" t="str">
        <f aca="false">IF(OR(K19="Tükendi",K19="Kritik"),ROW(),"")</f>
        <v/>
      </c>
    </row>
    <row r="20" customFormat="false" ht="15" hidden="false" customHeight="false" outlineLevel="0" collapsed="false">
      <c r="A20" s="33"/>
      <c r="B20" s="36"/>
      <c r="C20" s="35"/>
      <c r="D20" s="35"/>
      <c r="E20" s="34"/>
      <c r="F20" s="34"/>
      <c r="G20" s="38" t="str">
        <f aca="false">IF(A20="","",SUMIFS(Alışlar!$D$5:$D$504,Alışlar!$C$5:$C$504,A20))</f>
        <v/>
      </c>
      <c r="H20" s="38" t="str">
        <f aca="false">IF(A20="","",SUMIFS(Satışlar!$D$5:$D$1004,Satışlar!$C$5:$C$1004,A20))</f>
        <v/>
      </c>
      <c r="I20" s="39" t="str">
        <f aca="false">IF(A20="","",E20+G20-H20)</f>
        <v/>
      </c>
      <c r="J20" s="37" t="str">
        <f aca="false">IF(A20="","",I20*C20)</f>
        <v/>
      </c>
      <c r="K20" s="40" t="str">
        <f aca="false">IF(A20="","",IF(I20&lt;=0,"Tükendi",IF(I20&lt;=F20,"Kritik","Yeterli")))</f>
        <v/>
      </c>
      <c r="L20" s="37" t="str">
        <f aca="false">IF(A20="","",SUMIFS(Satışlar!$G$5:$G$1004,Satışlar!$C$5:$C$1004,A20))</f>
        <v/>
      </c>
      <c r="M20" s="41" t="str">
        <f aca="false">IF(A20="","",L20+ROW()/1000000)</f>
        <v/>
      </c>
      <c r="N20" s="41" t="str">
        <f aca="false">IF(OR(K20="Tükendi",K20="Kritik"),ROW(),"")</f>
        <v/>
      </c>
    </row>
    <row r="21" customFormat="false" ht="15" hidden="false" customHeight="false" outlineLevel="0" collapsed="false">
      <c r="A21" s="33"/>
      <c r="B21" s="36"/>
      <c r="C21" s="35"/>
      <c r="D21" s="35"/>
      <c r="E21" s="34"/>
      <c r="F21" s="34"/>
      <c r="G21" s="38" t="str">
        <f aca="false">IF(A21="","",SUMIFS(Alışlar!$D$5:$D$504,Alışlar!$C$5:$C$504,A21))</f>
        <v/>
      </c>
      <c r="H21" s="38" t="str">
        <f aca="false">IF(A21="","",SUMIFS(Satışlar!$D$5:$D$1004,Satışlar!$C$5:$C$1004,A21))</f>
        <v/>
      </c>
      <c r="I21" s="39" t="str">
        <f aca="false">IF(A21="","",E21+G21-H21)</f>
        <v/>
      </c>
      <c r="J21" s="37" t="str">
        <f aca="false">IF(A21="","",I21*C21)</f>
        <v/>
      </c>
      <c r="K21" s="40" t="str">
        <f aca="false">IF(A21="","",IF(I21&lt;=0,"Tükendi",IF(I21&lt;=F21,"Kritik","Yeterli")))</f>
        <v/>
      </c>
      <c r="L21" s="37" t="str">
        <f aca="false">IF(A21="","",SUMIFS(Satışlar!$G$5:$G$1004,Satışlar!$C$5:$C$1004,A21))</f>
        <v/>
      </c>
      <c r="M21" s="41" t="str">
        <f aca="false">IF(A21="","",L21+ROW()/1000000)</f>
        <v/>
      </c>
      <c r="N21" s="41" t="str">
        <f aca="false">IF(OR(K21="Tükendi",K21="Kritik"),ROW(),"")</f>
        <v/>
      </c>
    </row>
    <row r="22" customFormat="false" ht="15" hidden="false" customHeight="false" outlineLevel="0" collapsed="false">
      <c r="A22" s="33"/>
      <c r="B22" s="36"/>
      <c r="C22" s="35"/>
      <c r="D22" s="35"/>
      <c r="E22" s="34"/>
      <c r="F22" s="34"/>
      <c r="G22" s="38" t="str">
        <f aca="false">IF(A22="","",SUMIFS(Alışlar!$D$5:$D$504,Alışlar!$C$5:$C$504,A22))</f>
        <v/>
      </c>
      <c r="H22" s="38" t="str">
        <f aca="false">IF(A22="","",SUMIFS(Satışlar!$D$5:$D$1004,Satışlar!$C$5:$C$1004,A22))</f>
        <v/>
      </c>
      <c r="I22" s="39" t="str">
        <f aca="false">IF(A22="","",E22+G22-H22)</f>
        <v/>
      </c>
      <c r="J22" s="37" t="str">
        <f aca="false">IF(A22="","",I22*C22)</f>
        <v/>
      </c>
      <c r="K22" s="40" t="str">
        <f aca="false">IF(A22="","",IF(I22&lt;=0,"Tükendi",IF(I22&lt;=F22,"Kritik","Yeterli")))</f>
        <v/>
      </c>
      <c r="L22" s="37" t="str">
        <f aca="false">IF(A22="","",SUMIFS(Satışlar!$G$5:$G$1004,Satışlar!$C$5:$C$1004,A22))</f>
        <v/>
      </c>
      <c r="M22" s="41" t="str">
        <f aca="false">IF(A22="","",L22+ROW()/1000000)</f>
        <v/>
      </c>
      <c r="N22" s="41" t="str">
        <f aca="false">IF(OR(K22="Tükendi",K22="Kritik"),ROW(),"")</f>
        <v/>
      </c>
    </row>
    <row r="23" customFormat="false" ht="15" hidden="false" customHeight="false" outlineLevel="0" collapsed="false">
      <c r="A23" s="33"/>
      <c r="B23" s="36"/>
      <c r="C23" s="35"/>
      <c r="D23" s="35"/>
      <c r="E23" s="34"/>
      <c r="F23" s="34"/>
      <c r="G23" s="38" t="str">
        <f aca="false">IF(A23="","",SUMIFS(Alışlar!$D$5:$D$504,Alışlar!$C$5:$C$504,A23))</f>
        <v/>
      </c>
      <c r="H23" s="38" t="str">
        <f aca="false">IF(A23="","",SUMIFS(Satışlar!$D$5:$D$1004,Satışlar!$C$5:$C$1004,A23))</f>
        <v/>
      </c>
      <c r="I23" s="39" t="str">
        <f aca="false">IF(A23="","",E23+G23-H23)</f>
        <v/>
      </c>
      <c r="J23" s="37" t="str">
        <f aca="false">IF(A23="","",I23*C23)</f>
        <v/>
      </c>
      <c r="K23" s="40" t="str">
        <f aca="false">IF(A23="","",IF(I23&lt;=0,"Tükendi",IF(I23&lt;=F23,"Kritik","Yeterli")))</f>
        <v/>
      </c>
      <c r="L23" s="37" t="str">
        <f aca="false">IF(A23="","",SUMIFS(Satışlar!$G$5:$G$1004,Satışlar!$C$5:$C$1004,A23))</f>
        <v/>
      </c>
      <c r="M23" s="41" t="str">
        <f aca="false">IF(A23="","",L23+ROW()/1000000)</f>
        <v/>
      </c>
      <c r="N23" s="41" t="str">
        <f aca="false">IF(OR(K23="Tükendi",K23="Kritik"),ROW(),"")</f>
        <v/>
      </c>
    </row>
    <row r="24" customFormat="false" ht="15" hidden="false" customHeight="false" outlineLevel="0" collapsed="false">
      <c r="A24" s="33"/>
      <c r="B24" s="36"/>
      <c r="C24" s="35"/>
      <c r="D24" s="35"/>
      <c r="E24" s="34"/>
      <c r="F24" s="34"/>
      <c r="G24" s="38" t="str">
        <f aca="false">IF(A24="","",SUMIFS(Alışlar!$D$5:$D$504,Alışlar!$C$5:$C$504,A24))</f>
        <v/>
      </c>
      <c r="H24" s="38" t="str">
        <f aca="false">IF(A24="","",SUMIFS(Satışlar!$D$5:$D$1004,Satışlar!$C$5:$C$1004,A24))</f>
        <v/>
      </c>
      <c r="I24" s="39" t="str">
        <f aca="false">IF(A24="","",E24+G24-H24)</f>
        <v/>
      </c>
      <c r="J24" s="37" t="str">
        <f aca="false">IF(A24="","",I24*C24)</f>
        <v/>
      </c>
      <c r="K24" s="40" t="str">
        <f aca="false">IF(A24="","",IF(I24&lt;=0,"Tükendi",IF(I24&lt;=F24,"Kritik","Yeterli")))</f>
        <v/>
      </c>
      <c r="L24" s="37" t="str">
        <f aca="false">IF(A24="","",SUMIFS(Satışlar!$G$5:$G$1004,Satışlar!$C$5:$C$1004,A24))</f>
        <v/>
      </c>
      <c r="M24" s="41" t="str">
        <f aca="false">IF(A24="","",L24+ROW()/1000000)</f>
        <v/>
      </c>
      <c r="N24" s="41" t="str">
        <f aca="false">IF(OR(K24="Tükendi",K24="Kritik"),ROW(),"")</f>
        <v/>
      </c>
    </row>
    <row r="25" customFormat="false" ht="15" hidden="false" customHeight="false" outlineLevel="0" collapsed="false">
      <c r="A25" s="33"/>
      <c r="B25" s="36"/>
      <c r="C25" s="35"/>
      <c r="D25" s="35"/>
      <c r="E25" s="34"/>
      <c r="F25" s="34"/>
      <c r="G25" s="38" t="str">
        <f aca="false">IF(A25="","",SUMIFS(Alışlar!$D$5:$D$504,Alışlar!$C$5:$C$504,A25))</f>
        <v/>
      </c>
      <c r="H25" s="38" t="str">
        <f aca="false">IF(A25="","",SUMIFS(Satışlar!$D$5:$D$1004,Satışlar!$C$5:$C$1004,A25))</f>
        <v/>
      </c>
      <c r="I25" s="39" t="str">
        <f aca="false">IF(A25="","",E25+G25-H25)</f>
        <v/>
      </c>
      <c r="J25" s="37" t="str">
        <f aca="false">IF(A25="","",I25*C25)</f>
        <v/>
      </c>
      <c r="K25" s="40" t="str">
        <f aca="false">IF(A25="","",IF(I25&lt;=0,"Tükendi",IF(I25&lt;=F25,"Kritik","Yeterli")))</f>
        <v/>
      </c>
      <c r="L25" s="37" t="str">
        <f aca="false">IF(A25="","",SUMIFS(Satışlar!$G$5:$G$1004,Satışlar!$C$5:$C$1004,A25))</f>
        <v/>
      </c>
      <c r="M25" s="41" t="str">
        <f aca="false">IF(A25="","",L25+ROW()/1000000)</f>
        <v/>
      </c>
      <c r="N25" s="41" t="str">
        <f aca="false">IF(OR(K25="Tükendi",K25="Kritik"),ROW(),"")</f>
        <v/>
      </c>
    </row>
    <row r="26" customFormat="false" ht="15" hidden="false" customHeight="false" outlineLevel="0" collapsed="false">
      <c r="A26" s="33"/>
      <c r="B26" s="36"/>
      <c r="C26" s="35"/>
      <c r="D26" s="35"/>
      <c r="E26" s="34"/>
      <c r="F26" s="34"/>
      <c r="G26" s="38" t="str">
        <f aca="false">IF(A26="","",SUMIFS(Alışlar!$D$5:$D$504,Alışlar!$C$5:$C$504,A26))</f>
        <v/>
      </c>
      <c r="H26" s="38" t="str">
        <f aca="false">IF(A26="","",SUMIFS(Satışlar!$D$5:$D$1004,Satışlar!$C$5:$C$1004,A26))</f>
        <v/>
      </c>
      <c r="I26" s="39" t="str">
        <f aca="false">IF(A26="","",E26+G26-H26)</f>
        <v/>
      </c>
      <c r="J26" s="37" t="str">
        <f aca="false">IF(A26="","",I26*C26)</f>
        <v/>
      </c>
      <c r="K26" s="40" t="str">
        <f aca="false">IF(A26="","",IF(I26&lt;=0,"Tükendi",IF(I26&lt;=F26,"Kritik","Yeterli")))</f>
        <v/>
      </c>
      <c r="L26" s="37" t="str">
        <f aca="false">IF(A26="","",SUMIFS(Satışlar!$G$5:$G$1004,Satışlar!$C$5:$C$1004,A26))</f>
        <v/>
      </c>
      <c r="M26" s="41" t="str">
        <f aca="false">IF(A26="","",L26+ROW()/1000000)</f>
        <v/>
      </c>
      <c r="N26" s="41" t="str">
        <f aca="false">IF(OR(K26="Tükendi",K26="Kritik"),ROW(),"")</f>
        <v/>
      </c>
    </row>
    <row r="27" customFormat="false" ht="15" hidden="false" customHeight="false" outlineLevel="0" collapsed="false">
      <c r="A27" s="33"/>
      <c r="B27" s="36"/>
      <c r="C27" s="35"/>
      <c r="D27" s="35"/>
      <c r="E27" s="34"/>
      <c r="F27" s="34"/>
      <c r="G27" s="38" t="str">
        <f aca="false">IF(A27="","",SUMIFS(Alışlar!$D$5:$D$504,Alışlar!$C$5:$C$504,A27))</f>
        <v/>
      </c>
      <c r="H27" s="38" t="str">
        <f aca="false">IF(A27="","",SUMIFS(Satışlar!$D$5:$D$1004,Satışlar!$C$5:$C$1004,A27))</f>
        <v/>
      </c>
      <c r="I27" s="39" t="str">
        <f aca="false">IF(A27="","",E27+G27-H27)</f>
        <v/>
      </c>
      <c r="J27" s="37" t="str">
        <f aca="false">IF(A27="","",I27*C27)</f>
        <v/>
      </c>
      <c r="K27" s="40" t="str">
        <f aca="false">IF(A27="","",IF(I27&lt;=0,"Tükendi",IF(I27&lt;=F27,"Kritik","Yeterli")))</f>
        <v/>
      </c>
      <c r="L27" s="37" t="str">
        <f aca="false">IF(A27="","",SUMIFS(Satışlar!$G$5:$G$1004,Satışlar!$C$5:$C$1004,A27))</f>
        <v/>
      </c>
      <c r="M27" s="41" t="str">
        <f aca="false">IF(A27="","",L27+ROW()/1000000)</f>
        <v/>
      </c>
      <c r="N27" s="41" t="str">
        <f aca="false">IF(OR(K27="Tükendi",K27="Kritik"),ROW(),"")</f>
        <v/>
      </c>
    </row>
    <row r="28" customFormat="false" ht="15" hidden="false" customHeight="false" outlineLevel="0" collapsed="false">
      <c r="A28" s="33"/>
      <c r="B28" s="36"/>
      <c r="C28" s="35"/>
      <c r="D28" s="35"/>
      <c r="E28" s="34"/>
      <c r="F28" s="34"/>
      <c r="G28" s="38" t="str">
        <f aca="false">IF(A28="","",SUMIFS(Alışlar!$D$5:$D$504,Alışlar!$C$5:$C$504,A28))</f>
        <v/>
      </c>
      <c r="H28" s="38" t="str">
        <f aca="false">IF(A28="","",SUMIFS(Satışlar!$D$5:$D$1004,Satışlar!$C$5:$C$1004,A28))</f>
        <v/>
      </c>
      <c r="I28" s="39" t="str">
        <f aca="false">IF(A28="","",E28+G28-H28)</f>
        <v/>
      </c>
      <c r="J28" s="37" t="str">
        <f aca="false">IF(A28="","",I28*C28)</f>
        <v/>
      </c>
      <c r="K28" s="40" t="str">
        <f aca="false">IF(A28="","",IF(I28&lt;=0,"Tükendi",IF(I28&lt;=F28,"Kritik","Yeterli")))</f>
        <v/>
      </c>
      <c r="L28" s="37" t="str">
        <f aca="false">IF(A28="","",SUMIFS(Satışlar!$G$5:$G$1004,Satışlar!$C$5:$C$1004,A28))</f>
        <v/>
      </c>
      <c r="M28" s="41" t="str">
        <f aca="false">IF(A28="","",L28+ROW()/1000000)</f>
        <v/>
      </c>
      <c r="N28" s="41" t="str">
        <f aca="false">IF(OR(K28="Tükendi",K28="Kritik"),ROW(),"")</f>
        <v/>
      </c>
    </row>
    <row r="29" customFormat="false" ht="15" hidden="false" customHeight="false" outlineLevel="0" collapsed="false">
      <c r="A29" s="33"/>
      <c r="B29" s="36"/>
      <c r="C29" s="35"/>
      <c r="D29" s="35"/>
      <c r="E29" s="34"/>
      <c r="F29" s="34"/>
      <c r="G29" s="38" t="str">
        <f aca="false">IF(A29="","",SUMIFS(Alışlar!$D$5:$D$504,Alışlar!$C$5:$C$504,A29))</f>
        <v/>
      </c>
      <c r="H29" s="38" t="str">
        <f aca="false">IF(A29="","",SUMIFS(Satışlar!$D$5:$D$1004,Satışlar!$C$5:$C$1004,A29))</f>
        <v/>
      </c>
      <c r="I29" s="39" t="str">
        <f aca="false">IF(A29="","",E29+G29-H29)</f>
        <v/>
      </c>
      <c r="J29" s="37" t="str">
        <f aca="false">IF(A29="","",I29*C29)</f>
        <v/>
      </c>
      <c r="K29" s="40" t="str">
        <f aca="false">IF(A29="","",IF(I29&lt;=0,"Tükendi",IF(I29&lt;=F29,"Kritik","Yeterli")))</f>
        <v/>
      </c>
      <c r="L29" s="37" t="str">
        <f aca="false">IF(A29="","",SUMIFS(Satışlar!$G$5:$G$1004,Satışlar!$C$5:$C$1004,A29))</f>
        <v/>
      </c>
      <c r="M29" s="41" t="str">
        <f aca="false">IF(A29="","",L29+ROW()/1000000)</f>
        <v/>
      </c>
      <c r="N29" s="41" t="str">
        <f aca="false">IF(OR(K29="Tükendi",K29="Kritik"),ROW(),"")</f>
        <v/>
      </c>
    </row>
    <row r="30" customFormat="false" ht="15" hidden="false" customHeight="false" outlineLevel="0" collapsed="false">
      <c r="A30" s="33"/>
      <c r="B30" s="36"/>
      <c r="C30" s="35"/>
      <c r="D30" s="35"/>
      <c r="E30" s="34"/>
      <c r="F30" s="34"/>
      <c r="G30" s="38" t="str">
        <f aca="false">IF(A30="","",SUMIFS(Alışlar!$D$5:$D$504,Alışlar!$C$5:$C$504,A30))</f>
        <v/>
      </c>
      <c r="H30" s="38" t="str">
        <f aca="false">IF(A30="","",SUMIFS(Satışlar!$D$5:$D$1004,Satışlar!$C$5:$C$1004,A30))</f>
        <v/>
      </c>
      <c r="I30" s="39" t="str">
        <f aca="false">IF(A30="","",E30+G30-H30)</f>
        <v/>
      </c>
      <c r="J30" s="37" t="str">
        <f aca="false">IF(A30="","",I30*C30)</f>
        <v/>
      </c>
      <c r="K30" s="40" t="str">
        <f aca="false">IF(A30="","",IF(I30&lt;=0,"Tükendi",IF(I30&lt;=F30,"Kritik","Yeterli")))</f>
        <v/>
      </c>
      <c r="L30" s="37" t="str">
        <f aca="false">IF(A30="","",SUMIFS(Satışlar!$G$5:$G$1004,Satışlar!$C$5:$C$1004,A30))</f>
        <v/>
      </c>
      <c r="M30" s="41" t="str">
        <f aca="false">IF(A30="","",L30+ROW()/1000000)</f>
        <v/>
      </c>
      <c r="N30" s="41" t="str">
        <f aca="false">IF(OR(K30="Tükendi",K30="Kritik"),ROW(),"")</f>
        <v/>
      </c>
    </row>
    <row r="31" customFormat="false" ht="15" hidden="false" customHeight="false" outlineLevel="0" collapsed="false">
      <c r="A31" s="33"/>
      <c r="B31" s="36"/>
      <c r="C31" s="35"/>
      <c r="D31" s="35"/>
      <c r="E31" s="34"/>
      <c r="F31" s="34"/>
      <c r="G31" s="38" t="str">
        <f aca="false">IF(A31="","",SUMIFS(Alışlar!$D$5:$D$504,Alışlar!$C$5:$C$504,A31))</f>
        <v/>
      </c>
      <c r="H31" s="38" t="str">
        <f aca="false">IF(A31="","",SUMIFS(Satışlar!$D$5:$D$1004,Satışlar!$C$5:$C$1004,A31))</f>
        <v/>
      </c>
      <c r="I31" s="39" t="str">
        <f aca="false">IF(A31="","",E31+G31-H31)</f>
        <v/>
      </c>
      <c r="J31" s="37" t="str">
        <f aca="false">IF(A31="","",I31*C31)</f>
        <v/>
      </c>
      <c r="K31" s="40" t="str">
        <f aca="false">IF(A31="","",IF(I31&lt;=0,"Tükendi",IF(I31&lt;=F31,"Kritik","Yeterli")))</f>
        <v/>
      </c>
      <c r="L31" s="37" t="str">
        <f aca="false">IF(A31="","",SUMIFS(Satışlar!$G$5:$G$1004,Satışlar!$C$5:$C$1004,A31))</f>
        <v/>
      </c>
      <c r="M31" s="41" t="str">
        <f aca="false">IF(A31="","",L31+ROW()/1000000)</f>
        <v/>
      </c>
      <c r="N31" s="41" t="str">
        <f aca="false">IF(OR(K31="Tükendi",K31="Kritik"),ROW(),"")</f>
        <v/>
      </c>
    </row>
    <row r="32" customFormat="false" ht="15" hidden="false" customHeight="false" outlineLevel="0" collapsed="false">
      <c r="A32" s="33"/>
      <c r="B32" s="36"/>
      <c r="C32" s="35"/>
      <c r="D32" s="35"/>
      <c r="E32" s="34"/>
      <c r="F32" s="34"/>
      <c r="G32" s="38" t="str">
        <f aca="false">IF(A32="","",SUMIFS(Alışlar!$D$5:$D$504,Alışlar!$C$5:$C$504,A32))</f>
        <v/>
      </c>
      <c r="H32" s="38" t="str">
        <f aca="false">IF(A32="","",SUMIFS(Satışlar!$D$5:$D$1004,Satışlar!$C$5:$C$1004,A32))</f>
        <v/>
      </c>
      <c r="I32" s="39" t="str">
        <f aca="false">IF(A32="","",E32+G32-H32)</f>
        <v/>
      </c>
      <c r="J32" s="37" t="str">
        <f aca="false">IF(A32="","",I32*C32)</f>
        <v/>
      </c>
      <c r="K32" s="40" t="str">
        <f aca="false">IF(A32="","",IF(I32&lt;=0,"Tükendi",IF(I32&lt;=F32,"Kritik","Yeterli")))</f>
        <v/>
      </c>
      <c r="L32" s="37" t="str">
        <f aca="false">IF(A32="","",SUMIFS(Satışlar!$G$5:$G$1004,Satışlar!$C$5:$C$1004,A32))</f>
        <v/>
      </c>
      <c r="M32" s="41" t="str">
        <f aca="false">IF(A32="","",L32+ROW()/1000000)</f>
        <v/>
      </c>
      <c r="N32" s="41" t="str">
        <f aca="false">IF(OR(K32="Tükendi",K32="Kritik"),ROW(),"")</f>
        <v/>
      </c>
    </row>
    <row r="33" customFormat="false" ht="15" hidden="false" customHeight="false" outlineLevel="0" collapsed="false">
      <c r="A33" s="33"/>
      <c r="B33" s="36"/>
      <c r="C33" s="35"/>
      <c r="D33" s="35"/>
      <c r="E33" s="34"/>
      <c r="F33" s="34"/>
      <c r="G33" s="38" t="str">
        <f aca="false">IF(A33="","",SUMIFS(Alışlar!$D$5:$D$504,Alışlar!$C$5:$C$504,A33))</f>
        <v/>
      </c>
      <c r="H33" s="38" t="str">
        <f aca="false">IF(A33="","",SUMIFS(Satışlar!$D$5:$D$1004,Satışlar!$C$5:$C$1004,A33))</f>
        <v/>
      </c>
      <c r="I33" s="39" t="str">
        <f aca="false">IF(A33="","",E33+G33-H33)</f>
        <v/>
      </c>
      <c r="J33" s="37" t="str">
        <f aca="false">IF(A33="","",I33*C33)</f>
        <v/>
      </c>
      <c r="K33" s="40" t="str">
        <f aca="false">IF(A33="","",IF(I33&lt;=0,"Tükendi",IF(I33&lt;=F33,"Kritik","Yeterli")))</f>
        <v/>
      </c>
      <c r="L33" s="37" t="str">
        <f aca="false">IF(A33="","",SUMIFS(Satışlar!$G$5:$G$1004,Satışlar!$C$5:$C$1004,A33))</f>
        <v/>
      </c>
      <c r="M33" s="41" t="str">
        <f aca="false">IF(A33="","",L33+ROW()/1000000)</f>
        <v/>
      </c>
      <c r="N33" s="41" t="str">
        <f aca="false">IF(OR(K33="Tükendi",K33="Kritik"),ROW(),"")</f>
        <v/>
      </c>
    </row>
    <row r="34" customFormat="false" ht="15" hidden="false" customHeight="false" outlineLevel="0" collapsed="false">
      <c r="A34" s="33"/>
      <c r="B34" s="36"/>
      <c r="C34" s="35"/>
      <c r="D34" s="35"/>
      <c r="E34" s="34"/>
      <c r="F34" s="34"/>
      <c r="G34" s="38" t="str">
        <f aca="false">IF(A34="","",SUMIFS(Alışlar!$D$5:$D$504,Alışlar!$C$5:$C$504,A34))</f>
        <v/>
      </c>
      <c r="H34" s="38" t="str">
        <f aca="false">IF(A34="","",SUMIFS(Satışlar!$D$5:$D$1004,Satışlar!$C$5:$C$1004,A34))</f>
        <v/>
      </c>
      <c r="I34" s="39" t="str">
        <f aca="false">IF(A34="","",E34+G34-H34)</f>
        <v/>
      </c>
      <c r="J34" s="37" t="str">
        <f aca="false">IF(A34="","",I34*C34)</f>
        <v/>
      </c>
      <c r="K34" s="40" t="str">
        <f aca="false">IF(A34="","",IF(I34&lt;=0,"Tükendi",IF(I34&lt;=F34,"Kritik","Yeterli")))</f>
        <v/>
      </c>
      <c r="L34" s="37" t="str">
        <f aca="false">IF(A34="","",SUMIFS(Satışlar!$G$5:$G$1004,Satışlar!$C$5:$C$1004,A34))</f>
        <v/>
      </c>
      <c r="M34" s="41" t="str">
        <f aca="false">IF(A34="","",L34+ROW()/1000000)</f>
        <v/>
      </c>
      <c r="N34" s="41" t="str">
        <f aca="false">IF(OR(K34="Tükendi",K34="Kritik"),ROW(),"")</f>
        <v/>
      </c>
    </row>
    <row r="35" customFormat="false" ht="15" hidden="false" customHeight="false" outlineLevel="0" collapsed="false">
      <c r="A35" s="33"/>
      <c r="B35" s="36"/>
      <c r="C35" s="35"/>
      <c r="D35" s="35"/>
      <c r="E35" s="34"/>
      <c r="F35" s="34"/>
      <c r="G35" s="38" t="str">
        <f aca="false">IF(A35="","",SUMIFS(Alışlar!$D$5:$D$504,Alışlar!$C$5:$C$504,A35))</f>
        <v/>
      </c>
      <c r="H35" s="38" t="str">
        <f aca="false">IF(A35="","",SUMIFS(Satışlar!$D$5:$D$1004,Satışlar!$C$5:$C$1004,A35))</f>
        <v/>
      </c>
      <c r="I35" s="39" t="str">
        <f aca="false">IF(A35="","",E35+G35-H35)</f>
        <v/>
      </c>
      <c r="J35" s="37" t="str">
        <f aca="false">IF(A35="","",I35*C35)</f>
        <v/>
      </c>
      <c r="K35" s="40" t="str">
        <f aca="false">IF(A35="","",IF(I35&lt;=0,"Tükendi",IF(I35&lt;=F35,"Kritik","Yeterli")))</f>
        <v/>
      </c>
      <c r="L35" s="37" t="str">
        <f aca="false">IF(A35="","",SUMIFS(Satışlar!$G$5:$G$1004,Satışlar!$C$5:$C$1004,A35))</f>
        <v/>
      </c>
      <c r="M35" s="41" t="str">
        <f aca="false">IF(A35="","",L35+ROW()/1000000)</f>
        <v/>
      </c>
      <c r="N35" s="41" t="str">
        <f aca="false">IF(OR(K35="Tükendi",K35="Kritik"),ROW(),"")</f>
        <v/>
      </c>
    </row>
    <row r="36" customFormat="false" ht="15" hidden="false" customHeight="false" outlineLevel="0" collapsed="false">
      <c r="A36" s="33"/>
      <c r="B36" s="36"/>
      <c r="C36" s="35"/>
      <c r="D36" s="35"/>
      <c r="E36" s="34"/>
      <c r="F36" s="34"/>
      <c r="G36" s="38" t="str">
        <f aca="false">IF(A36="","",SUMIFS(Alışlar!$D$5:$D$504,Alışlar!$C$5:$C$504,A36))</f>
        <v/>
      </c>
      <c r="H36" s="38" t="str">
        <f aca="false">IF(A36="","",SUMIFS(Satışlar!$D$5:$D$1004,Satışlar!$C$5:$C$1004,A36))</f>
        <v/>
      </c>
      <c r="I36" s="39" t="str">
        <f aca="false">IF(A36="","",E36+G36-H36)</f>
        <v/>
      </c>
      <c r="J36" s="37" t="str">
        <f aca="false">IF(A36="","",I36*C36)</f>
        <v/>
      </c>
      <c r="K36" s="40" t="str">
        <f aca="false">IF(A36="","",IF(I36&lt;=0,"Tükendi",IF(I36&lt;=F36,"Kritik","Yeterli")))</f>
        <v/>
      </c>
      <c r="L36" s="37" t="str">
        <f aca="false">IF(A36="","",SUMIFS(Satışlar!$G$5:$G$1004,Satışlar!$C$5:$C$1004,A36))</f>
        <v/>
      </c>
      <c r="M36" s="41" t="str">
        <f aca="false">IF(A36="","",L36+ROW()/1000000)</f>
        <v/>
      </c>
      <c r="N36" s="41" t="str">
        <f aca="false">IF(OR(K36="Tükendi",K36="Kritik"),ROW(),"")</f>
        <v/>
      </c>
    </row>
    <row r="37" customFormat="false" ht="15" hidden="false" customHeight="false" outlineLevel="0" collapsed="false">
      <c r="A37" s="33"/>
      <c r="B37" s="36"/>
      <c r="C37" s="35"/>
      <c r="D37" s="35"/>
      <c r="E37" s="34"/>
      <c r="F37" s="34"/>
      <c r="G37" s="38" t="str">
        <f aca="false">IF(A37="","",SUMIFS(Alışlar!$D$5:$D$504,Alışlar!$C$5:$C$504,A37))</f>
        <v/>
      </c>
      <c r="H37" s="38" t="str">
        <f aca="false">IF(A37="","",SUMIFS(Satışlar!$D$5:$D$1004,Satışlar!$C$5:$C$1004,A37))</f>
        <v/>
      </c>
      <c r="I37" s="39" t="str">
        <f aca="false">IF(A37="","",E37+G37-H37)</f>
        <v/>
      </c>
      <c r="J37" s="37" t="str">
        <f aca="false">IF(A37="","",I37*C37)</f>
        <v/>
      </c>
      <c r="K37" s="40" t="str">
        <f aca="false">IF(A37="","",IF(I37&lt;=0,"Tükendi",IF(I37&lt;=F37,"Kritik","Yeterli")))</f>
        <v/>
      </c>
      <c r="L37" s="37" t="str">
        <f aca="false">IF(A37="","",SUMIFS(Satışlar!$G$5:$G$1004,Satışlar!$C$5:$C$1004,A37))</f>
        <v/>
      </c>
      <c r="M37" s="41" t="str">
        <f aca="false">IF(A37="","",L37+ROW()/1000000)</f>
        <v/>
      </c>
      <c r="N37" s="41" t="str">
        <f aca="false">IF(OR(K37="Tükendi",K37="Kritik"),ROW(),"")</f>
        <v/>
      </c>
    </row>
    <row r="38" customFormat="false" ht="15" hidden="false" customHeight="false" outlineLevel="0" collapsed="false">
      <c r="A38" s="33"/>
      <c r="B38" s="36"/>
      <c r="C38" s="35"/>
      <c r="D38" s="35"/>
      <c r="E38" s="34"/>
      <c r="F38" s="34"/>
      <c r="G38" s="38" t="str">
        <f aca="false">IF(A38="","",SUMIFS(Alışlar!$D$5:$D$504,Alışlar!$C$5:$C$504,A38))</f>
        <v/>
      </c>
      <c r="H38" s="38" t="str">
        <f aca="false">IF(A38="","",SUMIFS(Satışlar!$D$5:$D$1004,Satışlar!$C$5:$C$1004,A38))</f>
        <v/>
      </c>
      <c r="I38" s="39" t="str">
        <f aca="false">IF(A38="","",E38+G38-H38)</f>
        <v/>
      </c>
      <c r="J38" s="37" t="str">
        <f aca="false">IF(A38="","",I38*C38)</f>
        <v/>
      </c>
      <c r="K38" s="40" t="str">
        <f aca="false">IF(A38="","",IF(I38&lt;=0,"Tükendi",IF(I38&lt;=F38,"Kritik","Yeterli")))</f>
        <v/>
      </c>
      <c r="L38" s="37" t="str">
        <f aca="false">IF(A38="","",SUMIFS(Satışlar!$G$5:$G$1004,Satışlar!$C$5:$C$1004,A38))</f>
        <v/>
      </c>
      <c r="M38" s="41" t="str">
        <f aca="false">IF(A38="","",L38+ROW()/1000000)</f>
        <v/>
      </c>
      <c r="N38" s="41" t="str">
        <f aca="false">IF(OR(K38="Tükendi",K38="Kritik"),ROW(),"")</f>
        <v/>
      </c>
    </row>
    <row r="39" customFormat="false" ht="15" hidden="false" customHeight="false" outlineLevel="0" collapsed="false">
      <c r="A39" s="33"/>
      <c r="B39" s="36"/>
      <c r="C39" s="35"/>
      <c r="D39" s="35"/>
      <c r="E39" s="34"/>
      <c r="F39" s="34"/>
      <c r="G39" s="38" t="str">
        <f aca="false">IF(A39="","",SUMIFS(Alışlar!$D$5:$D$504,Alışlar!$C$5:$C$504,A39))</f>
        <v/>
      </c>
      <c r="H39" s="38" t="str">
        <f aca="false">IF(A39="","",SUMIFS(Satışlar!$D$5:$D$1004,Satışlar!$C$5:$C$1004,A39))</f>
        <v/>
      </c>
      <c r="I39" s="39" t="str">
        <f aca="false">IF(A39="","",E39+G39-H39)</f>
        <v/>
      </c>
      <c r="J39" s="37" t="str">
        <f aca="false">IF(A39="","",I39*C39)</f>
        <v/>
      </c>
      <c r="K39" s="40" t="str">
        <f aca="false">IF(A39="","",IF(I39&lt;=0,"Tükendi",IF(I39&lt;=F39,"Kritik","Yeterli")))</f>
        <v/>
      </c>
      <c r="L39" s="37" t="str">
        <f aca="false">IF(A39="","",SUMIFS(Satışlar!$G$5:$G$1004,Satışlar!$C$5:$C$1004,A39))</f>
        <v/>
      </c>
      <c r="M39" s="41" t="str">
        <f aca="false">IF(A39="","",L39+ROW()/1000000)</f>
        <v/>
      </c>
      <c r="N39" s="41" t="str">
        <f aca="false">IF(OR(K39="Tükendi",K39="Kritik"),ROW(),"")</f>
        <v/>
      </c>
    </row>
    <row r="40" customFormat="false" ht="15" hidden="false" customHeight="false" outlineLevel="0" collapsed="false">
      <c r="A40" s="33"/>
      <c r="B40" s="36"/>
      <c r="C40" s="35"/>
      <c r="D40" s="35"/>
      <c r="E40" s="34"/>
      <c r="F40" s="34"/>
      <c r="G40" s="38" t="str">
        <f aca="false">IF(A40="","",SUMIFS(Alışlar!$D$5:$D$504,Alışlar!$C$5:$C$504,A40))</f>
        <v/>
      </c>
      <c r="H40" s="38" t="str">
        <f aca="false">IF(A40="","",SUMIFS(Satışlar!$D$5:$D$1004,Satışlar!$C$5:$C$1004,A40))</f>
        <v/>
      </c>
      <c r="I40" s="39" t="str">
        <f aca="false">IF(A40="","",E40+G40-H40)</f>
        <v/>
      </c>
      <c r="J40" s="37" t="str">
        <f aca="false">IF(A40="","",I40*C40)</f>
        <v/>
      </c>
      <c r="K40" s="40" t="str">
        <f aca="false">IF(A40="","",IF(I40&lt;=0,"Tükendi",IF(I40&lt;=F40,"Kritik","Yeterli")))</f>
        <v/>
      </c>
      <c r="L40" s="37" t="str">
        <f aca="false">IF(A40="","",SUMIFS(Satışlar!$G$5:$G$1004,Satışlar!$C$5:$C$1004,A40))</f>
        <v/>
      </c>
      <c r="M40" s="41" t="str">
        <f aca="false">IF(A40="","",L40+ROW()/1000000)</f>
        <v/>
      </c>
      <c r="N40" s="41" t="str">
        <f aca="false">IF(OR(K40="Tükendi",K40="Kritik"),ROW(),"")</f>
        <v/>
      </c>
    </row>
    <row r="41" customFormat="false" ht="15" hidden="false" customHeight="false" outlineLevel="0" collapsed="false">
      <c r="A41" s="33"/>
      <c r="B41" s="36"/>
      <c r="C41" s="35"/>
      <c r="D41" s="35"/>
      <c r="E41" s="34"/>
      <c r="F41" s="34"/>
      <c r="G41" s="38" t="str">
        <f aca="false">IF(A41="","",SUMIFS(Alışlar!$D$5:$D$504,Alışlar!$C$5:$C$504,A41))</f>
        <v/>
      </c>
      <c r="H41" s="38" t="str">
        <f aca="false">IF(A41="","",SUMIFS(Satışlar!$D$5:$D$1004,Satışlar!$C$5:$C$1004,A41))</f>
        <v/>
      </c>
      <c r="I41" s="39" t="str">
        <f aca="false">IF(A41="","",E41+G41-H41)</f>
        <v/>
      </c>
      <c r="J41" s="37" t="str">
        <f aca="false">IF(A41="","",I41*C41)</f>
        <v/>
      </c>
      <c r="K41" s="40" t="str">
        <f aca="false">IF(A41="","",IF(I41&lt;=0,"Tükendi",IF(I41&lt;=F41,"Kritik","Yeterli")))</f>
        <v/>
      </c>
      <c r="L41" s="37" t="str">
        <f aca="false">IF(A41="","",SUMIFS(Satışlar!$G$5:$G$1004,Satışlar!$C$5:$C$1004,A41))</f>
        <v/>
      </c>
      <c r="M41" s="41" t="str">
        <f aca="false">IF(A41="","",L41+ROW()/1000000)</f>
        <v/>
      </c>
      <c r="N41" s="41" t="str">
        <f aca="false">IF(OR(K41="Tükendi",K41="Kritik"),ROW(),"")</f>
        <v/>
      </c>
    </row>
    <row r="42" customFormat="false" ht="15" hidden="false" customHeight="false" outlineLevel="0" collapsed="false">
      <c r="A42" s="33"/>
      <c r="B42" s="36"/>
      <c r="C42" s="35"/>
      <c r="D42" s="35"/>
      <c r="E42" s="34"/>
      <c r="F42" s="34"/>
      <c r="G42" s="38" t="str">
        <f aca="false">IF(A42="","",SUMIFS(Alışlar!$D$5:$D$504,Alışlar!$C$5:$C$504,A42))</f>
        <v/>
      </c>
      <c r="H42" s="38" t="str">
        <f aca="false">IF(A42="","",SUMIFS(Satışlar!$D$5:$D$1004,Satışlar!$C$5:$C$1004,A42))</f>
        <v/>
      </c>
      <c r="I42" s="39" t="str">
        <f aca="false">IF(A42="","",E42+G42-H42)</f>
        <v/>
      </c>
      <c r="J42" s="37" t="str">
        <f aca="false">IF(A42="","",I42*C42)</f>
        <v/>
      </c>
      <c r="K42" s="40" t="str">
        <f aca="false">IF(A42="","",IF(I42&lt;=0,"Tükendi",IF(I42&lt;=F42,"Kritik","Yeterli")))</f>
        <v/>
      </c>
      <c r="L42" s="37" t="str">
        <f aca="false">IF(A42="","",SUMIFS(Satışlar!$G$5:$G$1004,Satışlar!$C$5:$C$1004,A42))</f>
        <v/>
      </c>
      <c r="M42" s="41" t="str">
        <f aca="false">IF(A42="","",L42+ROW()/1000000)</f>
        <v/>
      </c>
      <c r="N42" s="41" t="str">
        <f aca="false">IF(OR(K42="Tükendi",K42="Kritik"),ROW(),"")</f>
        <v/>
      </c>
    </row>
    <row r="43" customFormat="false" ht="15" hidden="false" customHeight="false" outlineLevel="0" collapsed="false">
      <c r="A43" s="33"/>
      <c r="B43" s="36"/>
      <c r="C43" s="35"/>
      <c r="D43" s="35"/>
      <c r="E43" s="34"/>
      <c r="F43" s="34"/>
      <c r="G43" s="38" t="str">
        <f aca="false">IF(A43="","",SUMIFS(Alışlar!$D$5:$D$504,Alışlar!$C$5:$C$504,A43))</f>
        <v/>
      </c>
      <c r="H43" s="38" t="str">
        <f aca="false">IF(A43="","",SUMIFS(Satışlar!$D$5:$D$1004,Satışlar!$C$5:$C$1004,A43))</f>
        <v/>
      </c>
      <c r="I43" s="39" t="str">
        <f aca="false">IF(A43="","",E43+G43-H43)</f>
        <v/>
      </c>
      <c r="J43" s="37" t="str">
        <f aca="false">IF(A43="","",I43*C43)</f>
        <v/>
      </c>
      <c r="K43" s="40" t="str">
        <f aca="false">IF(A43="","",IF(I43&lt;=0,"Tükendi",IF(I43&lt;=F43,"Kritik","Yeterli")))</f>
        <v/>
      </c>
      <c r="L43" s="37" t="str">
        <f aca="false">IF(A43="","",SUMIFS(Satışlar!$G$5:$G$1004,Satışlar!$C$5:$C$1004,A43))</f>
        <v/>
      </c>
      <c r="M43" s="41" t="str">
        <f aca="false">IF(A43="","",L43+ROW()/1000000)</f>
        <v/>
      </c>
      <c r="N43" s="41" t="str">
        <f aca="false">IF(OR(K43="Tükendi",K43="Kritik"),ROW(),"")</f>
        <v/>
      </c>
    </row>
    <row r="44" customFormat="false" ht="15" hidden="false" customHeight="false" outlineLevel="0" collapsed="false">
      <c r="A44" s="33"/>
      <c r="B44" s="36"/>
      <c r="C44" s="35"/>
      <c r="D44" s="35"/>
      <c r="E44" s="34"/>
      <c r="F44" s="34"/>
      <c r="G44" s="38" t="str">
        <f aca="false">IF(A44="","",SUMIFS(Alışlar!$D$5:$D$504,Alışlar!$C$5:$C$504,A44))</f>
        <v/>
      </c>
      <c r="H44" s="38" t="str">
        <f aca="false">IF(A44="","",SUMIFS(Satışlar!$D$5:$D$1004,Satışlar!$C$5:$C$1004,A44))</f>
        <v/>
      </c>
      <c r="I44" s="39" t="str">
        <f aca="false">IF(A44="","",E44+G44-H44)</f>
        <v/>
      </c>
      <c r="J44" s="37" t="str">
        <f aca="false">IF(A44="","",I44*C44)</f>
        <v/>
      </c>
      <c r="K44" s="40" t="str">
        <f aca="false">IF(A44="","",IF(I44&lt;=0,"Tükendi",IF(I44&lt;=F44,"Kritik","Yeterli")))</f>
        <v/>
      </c>
      <c r="L44" s="37" t="str">
        <f aca="false">IF(A44="","",SUMIFS(Satışlar!$G$5:$G$1004,Satışlar!$C$5:$C$1004,A44))</f>
        <v/>
      </c>
      <c r="M44" s="41" t="str">
        <f aca="false">IF(A44="","",L44+ROW()/1000000)</f>
        <v/>
      </c>
      <c r="N44" s="41" t="str">
        <f aca="false">IF(OR(K44="Tükendi",K44="Kritik"),ROW(),"")</f>
        <v/>
      </c>
    </row>
    <row r="45" customFormat="false" ht="15" hidden="false" customHeight="false" outlineLevel="0" collapsed="false">
      <c r="A45" s="33"/>
      <c r="B45" s="36"/>
      <c r="C45" s="35"/>
      <c r="D45" s="35"/>
      <c r="E45" s="34"/>
      <c r="F45" s="34"/>
      <c r="G45" s="38" t="str">
        <f aca="false">IF(A45="","",SUMIFS(Alışlar!$D$5:$D$504,Alışlar!$C$5:$C$504,A45))</f>
        <v/>
      </c>
      <c r="H45" s="38" t="str">
        <f aca="false">IF(A45="","",SUMIFS(Satışlar!$D$5:$D$1004,Satışlar!$C$5:$C$1004,A45))</f>
        <v/>
      </c>
      <c r="I45" s="39" t="str">
        <f aca="false">IF(A45="","",E45+G45-H45)</f>
        <v/>
      </c>
      <c r="J45" s="37" t="str">
        <f aca="false">IF(A45="","",I45*C45)</f>
        <v/>
      </c>
      <c r="K45" s="40" t="str">
        <f aca="false">IF(A45="","",IF(I45&lt;=0,"Tükendi",IF(I45&lt;=F45,"Kritik","Yeterli")))</f>
        <v/>
      </c>
      <c r="L45" s="37" t="str">
        <f aca="false">IF(A45="","",SUMIFS(Satışlar!$G$5:$G$1004,Satışlar!$C$5:$C$1004,A45))</f>
        <v/>
      </c>
      <c r="M45" s="41" t="str">
        <f aca="false">IF(A45="","",L45+ROW()/1000000)</f>
        <v/>
      </c>
      <c r="N45" s="41" t="str">
        <f aca="false">IF(OR(K45="Tükendi",K45="Kritik"),ROW(),"")</f>
        <v/>
      </c>
    </row>
    <row r="46" customFormat="false" ht="15" hidden="false" customHeight="false" outlineLevel="0" collapsed="false">
      <c r="A46" s="33"/>
      <c r="B46" s="36"/>
      <c r="C46" s="35"/>
      <c r="D46" s="35"/>
      <c r="E46" s="34"/>
      <c r="F46" s="34"/>
      <c r="G46" s="38" t="str">
        <f aca="false">IF(A46="","",SUMIFS(Alışlar!$D$5:$D$504,Alışlar!$C$5:$C$504,A46))</f>
        <v/>
      </c>
      <c r="H46" s="38" t="str">
        <f aca="false">IF(A46="","",SUMIFS(Satışlar!$D$5:$D$1004,Satışlar!$C$5:$C$1004,A46))</f>
        <v/>
      </c>
      <c r="I46" s="39" t="str">
        <f aca="false">IF(A46="","",E46+G46-H46)</f>
        <v/>
      </c>
      <c r="J46" s="37" t="str">
        <f aca="false">IF(A46="","",I46*C46)</f>
        <v/>
      </c>
      <c r="K46" s="40" t="str">
        <f aca="false">IF(A46="","",IF(I46&lt;=0,"Tükendi",IF(I46&lt;=F46,"Kritik","Yeterli")))</f>
        <v/>
      </c>
      <c r="L46" s="37" t="str">
        <f aca="false">IF(A46="","",SUMIFS(Satışlar!$G$5:$G$1004,Satışlar!$C$5:$C$1004,A46))</f>
        <v/>
      </c>
      <c r="M46" s="41" t="str">
        <f aca="false">IF(A46="","",L46+ROW()/1000000)</f>
        <v/>
      </c>
      <c r="N46" s="41" t="str">
        <f aca="false">IF(OR(K46="Tükendi",K46="Kritik"),ROW(),"")</f>
        <v/>
      </c>
    </row>
    <row r="47" customFormat="false" ht="15" hidden="false" customHeight="false" outlineLevel="0" collapsed="false">
      <c r="A47" s="33"/>
      <c r="B47" s="36"/>
      <c r="C47" s="35"/>
      <c r="D47" s="35"/>
      <c r="E47" s="34"/>
      <c r="F47" s="34"/>
      <c r="G47" s="38" t="str">
        <f aca="false">IF(A47="","",SUMIFS(Alışlar!$D$5:$D$504,Alışlar!$C$5:$C$504,A47))</f>
        <v/>
      </c>
      <c r="H47" s="38" t="str">
        <f aca="false">IF(A47="","",SUMIFS(Satışlar!$D$5:$D$1004,Satışlar!$C$5:$C$1004,A47))</f>
        <v/>
      </c>
      <c r="I47" s="39" t="str">
        <f aca="false">IF(A47="","",E47+G47-H47)</f>
        <v/>
      </c>
      <c r="J47" s="37" t="str">
        <f aca="false">IF(A47="","",I47*C47)</f>
        <v/>
      </c>
      <c r="K47" s="40" t="str">
        <f aca="false">IF(A47="","",IF(I47&lt;=0,"Tükendi",IF(I47&lt;=F47,"Kritik","Yeterli")))</f>
        <v/>
      </c>
      <c r="L47" s="37" t="str">
        <f aca="false">IF(A47="","",SUMIFS(Satışlar!$G$5:$G$1004,Satışlar!$C$5:$C$1004,A47))</f>
        <v/>
      </c>
      <c r="M47" s="41" t="str">
        <f aca="false">IF(A47="","",L47+ROW()/1000000)</f>
        <v/>
      </c>
      <c r="N47" s="41" t="str">
        <f aca="false">IF(OR(K47="Tükendi",K47="Kritik"),ROW(),"")</f>
        <v/>
      </c>
    </row>
    <row r="48" customFormat="false" ht="15" hidden="false" customHeight="false" outlineLevel="0" collapsed="false">
      <c r="A48" s="33"/>
      <c r="B48" s="36"/>
      <c r="C48" s="35"/>
      <c r="D48" s="35"/>
      <c r="E48" s="34"/>
      <c r="F48" s="34"/>
      <c r="G48" s="38" t="str">
        <f aca="false">IF(A48="","",SUMIFS(Alışlar!$D$5:$D$504,Alışlar!$C$5:$C$504,A48))</f>
        <v/>
      </c>
      <c r="H48" s="38" t="str">
        <f aca="false">IF(A48="","",SUMIFS(Satışlar!$D$5:$D$1004,Satışlar!$C$5:$C$1004,A48))</f>
        <v/>
      </c>
      <c r="I48" s="39" t="str">
        <f aca="false">IF(A48="","",E48+G48-H48)</f>
        <v/>
      </c>
      <c r="J48" s="37" t="str">
        <f aca="false">IF(A48="","",I48*C48)</f>
        <v/>
      </c>
      <c r="K48" s="40" t="str">
        <f aca="false">IF(A48="","",IF(I48&lt;=0,"Tükendi",IF(I48&lt;=F48,"Kritik","Yeterli")))</f>
        <v/>
      </c>
      <c r="L48" s="37" t="str">
        <f aca="false">IF(A48="","",SUMIFS(Satışlar!$G$5:$G$1004,Satışlar!$C$5:$C$1004,A48))</f>
        <v/>
      </c>
      <c r="M48" s="41" t="str">
        <f aca="false">IF(A48="","",L48+ROW()/1000000)</f>
        <v/>
      </c>
      <c r="N48" s="41" t="str">
        <f aca="false">IF(OR(K48="Tükendi",K48="Kritik"),ROW(),"")</f>
        <v/>
      </c>
    </row>
    <row r="49" customFormat="false" ht="15" hidden="false" customHeight="false" outlineLevel="0" collapsed="false">
      <c r="A49" s="33"/>
      <c r="B49" s="36"/>
      <c r="C49" s="35"/>
      <c r="D49" s="35"/>
      <c r="E49" s="34"/>
      <c r="F49" s="34"/>
      <c r="G49" s="38" t="str">
        <f aca="false">IF(A49="","",SUMIFS(Alışlar!$D$5:$D$504,Alışlar!$C$5:$C$504,A49))</f>
        <v/>
      </c>
      <c r="H49" s="38" t="str">
        <f aca="false">IF(A49="","",SUMIFS(Satışlar!$D$5:$D$1004,Satışlar!$C$5:$C$1004,A49))</f>
        <v/>
      </c>
      <c r="I49" s="39" t="str">
        <f aca="false">IF(A49="","",E49+G49-H49)</f>
        <v/>
      </c>
      <c r="J49" s="37" t="str">
        <f aca="false">IF(A49="","",I49*C49)</f>
        <v/>
      </c>
      <c r="K49" s="40" t="str">
        <f aca="false">IF(A49="","",IF(I49&lt;=0,"Tükendi",IF(I49&lt;=F49,"Kritik","Yeterli")))</f>
        <v/>
      </c>
      <c r="L49" s="37" t="str">
        <f aca="false">IF(A49="","",SUMIFS(Satışlar!$G$5:$G$1004,Satışlar!$C$5:$C$1004,A49))</f>
        <v/>
      </c>
      <c r="M49" s="41" t="str">
        <f aca="false">IF(A49="","",L49+ROW()/1000000)</f>
        <v/>
      </c>
      <c r="N49" s="41" t="str">
        <f aca="false">IF(OR(K49="Tükendi",K49="Kritik"),ROW(),"")</f>
        <v/>
      </c>
    </row>
    <row r="50" customFormat="false" ht="15" hidden="false" customHeight="false" outlineLevel="0" collapsed="false">
      <c r="A50" s="33"/>
      <c r="B50" s="36"/>
      <c r="C50" s="35"/>
      <c r="D50" s="35"/>
      <c r="E50" s="34"/>
      <c r="F50" s="34"/>
      <c r="G50" s="38" t="str">
        <f aca="false">IF(A50="","",SUMIFS(Alışlar!$D$5:$D$504,Alışlar!$C$5:$C$504,A50))</f>
        <v/>
      </c>
      <c r="H50" s="38" t="str">
        <f aca="false">IF(A50="","",SUMIFS(Satışlar!$D$5:$D$1004,Satışlar!$C$5:$C$1004,A50))</f>
        <v/>
      </c>
      <c r="I50" s="39" t="str">
        <f aca="false">IF(A50="","",E50+G50-H50)</f>
        <v/>
      </c>
      <c r="J50" s="37" t="str">
        <f aca="false">IF(A50="","",I50*C50)</f>
        <v/>
      </c>
      <c r="K50" s="40" t="str">
        <f aca="false">IF(A50="","",IF(I50&lt;=0,"Tükendi",IF(I50&lt;=F50,"Kritik","Yeterli")))</f>
        <v/>
      </c>
      <c r="L50" s="37" t="str">
        <f aca="false">IF(A50="","",SUMIFS(Satışlar!$G$5:$G$1004,Satışlar!$C$5:$C$1004,A50))</f>
        <v/>
      </c>
      <c r="M50" s="41" t="str">
        <f aca="false">IF(A50="","",L50+ROW()/1000000)</f>
        <v/>
      </c>
      <c r="N50" s="41" t="str">
        <f aca="false">IF(OR(K50="Tükendi",K50="Kritik"),ROW(),"")</f>
        <v/>
      </c>
    </row>
    <row r="51" customFormat="false" ht="15" hidden="false" customHeight="false" outlineLevel="0" collapsed="false">
      <c r="A51" s="33"/>
      <c r="B51" s="36"/>
      <c r="C51" s="35"/>
      <c r="D51" s="35"/>
      <c r="E51" s="34"/>
      <c r="F51" s="34"/>
      <c r="G51" s="38" t="str">
        <f aca="false">IF(A51="","",SUMIFS(Alışlar!$D$5:$D$504,Alışlar!$C$5:$C$504,A51))</f>
        <v/>
      </c>
      <c r="H51" s="38" t="str">
        <f aca="false">IF(A51="","",SUMIFS(Satışlar!$D$5:$D$1004,Satışlar!$C$5:$C$1004,A51))</f>
        <v/>
      </c>
      <c r="I51" s="39" t="str">
        <f aca="false">IF(A51="","",E51+G51-H51)</f>
        <v/>
      </c>
      <c r="J51" s="37" t="str">
        <f aca="false">IF(A51="","",I51*C51)</f>
        <v/>
      </c>
      <c r="K51" s="40" t="str">
        <f aca="false">IF(A51="","",IF(I51&lt;=0,"Tükendi",IF(I51&lt;=F51,"Kritik","Yeterli")))</f>
        <v/>
      </c>
      <c r="L51" s="37" t="str">
        <f aca="false">IF(A51="","",SUMIFS(Satışlar!$G$5:$G$1004,Satışlar!$C$5:$C$1004,A51))</f>
        <v/>
      </c>
      <c r="M51" s="41" t="str">
        <f aca="false">IF(A51="","",L51+ROW()/1000000)</f>
        <v/>
      </c>
      <c r="N51" s="41" t="str">
        <f aca="false">IF(OR(K51="Tükendi",K51="Kritik"),ROW(),"")</f>
        <v/>
      </c>
    </row>
    <row r="52" customFormat="false" ht="15" hidden="false" customHeight="false" outlineLevel="0" collapsed="false">
      <c r="A52" s="33"/>
      <c r="B52" s="36"/>
      <c r="C52" s="35"/>
      <c r="D52" s="35"/>
      <c r="E52" s="34"/>
      <c r="F52" s="34"/>
      <c r="G52" s="38" t="str">
        <f aca="false">IF(A52="","",SUMIFS(Alışlar!$D$5:$D$504,Alışlar!$C$5:$C$504,A52))</f>
        <v/>
      </c>
      <c r="H52" s="38" t="str">
        <f aca="false">IF(A52="","",SUMIFS(Satışlar!$D$5:$D$1004,Satışlar!$C$5:$C$1004,A52))</f>
        <v/>
      </c>
      <c r="I52" s="39" t="str">
        <f aca="false">IF(A52="","",E52+G52-H52)</f>
        <v/>
      </c>
      <c r="J52" s="37" t="str">
        <f aca="false">IF(A52="","",I52*C52)</f>
        <v/>
      </c>
      <c r="K52" s="40" t="str">
        <f aca="false">IF(A52="","",IF(I52&lt;=0,"Tükendi",IF(I52&lt;=F52,"Kritik","Yeterli")))</f>
        <v/>
      </c>
      <c r="L52" s="37" t="str">
        <f aca="false">IF(A52="","",SUMIFS(Satışlar!$G$5:$G$1004,Satışlar!$C$5:$C$1004,A52))</f>
        <v/>
      </c>
      <c r="M52" s="41" t="str">
        <f aca="false">IF(A52="","",L52+ROW()/1000000)</f>
        <v/>
      </c>
      <c r="N52" s="41" t="str">
        <f aca="false">IF(OR(K52="Tükendi",K52="Kritik"),ROW(),"")</f>
        <v/>
      </c>
    </row>
    <row r="53" customFormat="false" ht="15" hidden="false" customHeight="false" outlineLevel="0" collapsed="false">
      <c r="A53" s="33"/>
      <c r="B53" s="36"/>
      <c r="C53" s="35"/>
      <c r="D53" s="35"/>
      <c r="E53" s="34"/>
      <c r="F53" s="34"/>
      <c r="G53" s="38" t="str">
        <f aca="false">IF(A53="","",SUMIFS(Alışlar!$D$5:$D$504,Alışlar!$C$5:$C$504,A53))</f>
        <v/>
      </c>
      <c r="H53" s="38" t="str">
        <f aca="false">IF(A53="","",SUMIFS(Satışlar!$D$5:$D$1004,Satışlar!$C$5:$C$1004,A53))</f>
        <v/>
      </c>
      <c r="I53" s="39" t="str">
        <f aca="false">IF(A53="","",E53+G53-H53)</f>
        <v/>
      </c>
      <c r="J53" s="37" t="str">
        <f aca="false">IF(A53="","",I53*C53)</f>
        <v/>
      </c>
      <c r="K53" s="40" t="str">
        <f aca="false">IF(A53="","",IF(I53&lt;=0,"Tükendi",IF(I53&lt;=F53,"Kritik","Yeterli")))</f>
        <v/>
      </c>
      <c r="L53" s="37" t="str">
        <f aca="false">IF(A53="","",SUMIFS(Satışlar!$G$5:$G$1004,Satışlar!$C$5:$C$1004,A53))</f>
        <v/>
      </c>
      <c r="M53" s="41" t="str">
        <f aca="false">IF(A53="","",L53+ROW()/1000000)</f>
        <v/>
      </c>
      <c r="N53" s="41" t="str">
        <f aca="false">IF(OR(K53="Tükendi",K53="Kritik"),ROW(),"")</f>
        <v/>
      </c>
    </row>
    <row r="54" customFormat="false" ht="15" hidden="false" customHeight="false" outlineLevel="0" collapsed="false">
      <c r="A54" s="33"/>
      <c r="B54" s="36"/>
      <c r="C54" s="35"/>
      <c r="D54" s="35"/>
      <c r="E54" s="34"/>
      <c r="F54" s="34"/>
      <c r="G54" s="38" t="str">
        <f aca="false">IF(A54="","",SUMIFS(Alışlar!$D$5:$D$504,Alışlar!$C$5:$C$504,A54))</f>
        <v/>
      </c>
      <c r="H54" s="38" t="str">
        <f aca="false">IF(A54="","",SUMIFS(Satışlar!$D$5:$D$1004,Satışlar!$C$5:$C$1004,A54))</f>
        <v/>
      </c>
      <c r="I54" s="39" t="str">
        <f aca="false">IF(A54="","",E54+G54-H54)</f>
        <v/>
      </c>
      <c r="J54" s="37" t="str">
        <f aca="false">IF(A54="","",I54*C54)</f>
        <v/>
      </c>
      <c r="K54" s="40" t="str">
        <f aca="false">IF(A54="","",IF(I54&lt;=0,"Tükendi",IF(I54&lt;=F54,"Kritik","Yeterli")))</f>
        <v/>
      </c>
      <c r="L54" s="37" t="str">
        <f aca="false">IF(A54="","",SUMIFS(Satışlar!$G$5:$G$1004,Satışlar!$C$5:$C$1004,A54))</f>
        <v/>
      </c>
      <c r="M54" s="41" t="str">
        <f aca="false">IF(A54="","",L54+ROW()/1000000)</f>
        <v/>
      </c>
      <c r="N54" s="41" t="str">
        <f aca="false">IF(OR(K54="Tükendi",K54="Kritik"),ROW(),"")</f>
        <v/>
      </c>
    </row>
    <row r="55" customFormat="false" ht="15" hidden="false" customHeight="false" outlineLevel="0" collapsed="false">
      <c r="A55" s="33"/>
      <c r="B55" s="36"/>
      <c r="C55" s="35"/>
      <c r="D55" s="35"/>
      <c r="E55" s="34"/>
      <c r="F55" s="34"/>
      <c r="G55" s="38" t="str">
        <f aca="false">IF(A55="","",SUMIFS(Alışlar!$D$5:$D$504,Alışlar!$C$5:$C$504,A55))</f>
        <v/>
      </c>
      <c r="H55" s="38" t="str">
        <f aca="false">IF(A55="","",SUMIFS(Satışlar!$D$5:$D$1004,Satışlar!$C$5:$C$1004,A55))</f>
        <v/>
      </c>
      <c r="I55" s="39" t="str">
        <f aca="false">IF(A55="","",E55+G55-H55)</f>
        <v/>
      </c>
      <c r="J55" s="37" t="str">
        <f aca="false">IF(A55="","",I55*C55)</f>
        <v/>
      </c>
      <c r="K55" s="40" t="str">
        <f aca="false">IF(A55="","",IF(I55&lt;=0,"Tükendi",IF(I55&lt;=F55,"Kritik","Yeterli")))</f>
        <v/>
      </c>
      <c r="L55" s="37" t="str">
        <f aca="false">IF(A55="","",SUMIFS(Satışlar!$G$5:$G$1004,Satışlar!$C$5:$C$1004,A55))</f>
        <v/>
      </c>
      <c r="M55" s="41" t="str">
        <f aca="false">IF(A55="","",L55+ROW()/1000000)</f>
        <v/>
      </c>
      <c r="N55" s="41" t="str">
        <f aca="false">IF(OR(K55="Tükendi",K55="Kritik"),ROW(),"")</f>
        <v/>
      </c>
    </row>
    <row r="56" customFormat="false" ht="15" hidden="false" customHeight="false" outlineLevel="0" collapsed="false">
      <c r="A56" s="33"/>
      <c r="B56" s="36"/>
      <c r="C56" s="35"/>
      <c r="D56" s="35"/>
      <c r="E56" s="34"/>
      <c r="F56" s="34"/>
      <c r="G56" s="38" t="str">
        <f aca="false">IF(A56="","",SUMIFS(Alışlar!$D$5:$D$504,Alışlar!$C$5:$C$504,A56))</f>
        <v/>
      </c>
      <c r="H56" s="38" t="str">
        <f aca="false">IF(A56="","",SUMIFS(Satışlar!$D$5:$D$1004,Satışlar!$C$5:$C$1004,A56))</f>
        <v/>
      </c>
      <c r="I56" s="39" t="str">
        <f aca="false">IF(A56="","",E56+G56-H56)</f>
        <v/>
      </c>
      <c r="J56" s="37" t="str">
        <f aca="false">IF(A56="","",I56*C56)</f>
        <v/>
      </c>
      <c r="K56" s="40" t="str">
        <f aca="false">IF(A56="","",IF(I56&lt;=0,"Tükendi",IF(I56&lt;=F56,"Kritik","Yeterli")))</f>
        <v/>
      </c>
      <c r="L56" s="37" t="str">
        <f aca="false">IF(A56="","",SUMIFS(Satışlar!$G$5:$G$1004,Satışlar!$C$5:$C$1004,A56))</f>
        <v/>
      </c>
      <c r="M56" s="41" t="str">
        <f aca="false">IF(A56="","",L56+ROW()/1000000)</f>
        <v/>
      </c>
      <c r="N56" s="41" t="str">
        <f aca="false">IF(OR(K56="Tükendi",K56="Kritik"),ROW(),"")</f>
        <v/>
      </c>
    </row>
    <row r="57" customFormat="false" ht="15" hidden="false" customHeight="false" outlineLevel="0" collapsed="false">
      <c r="A57" s="33"/>
      <c r="B57" s="36"/>
      <c r="C57" s="35"/>
      <c r="D57" s="35"/>
      <c r="E57" s="34"/>
      <c r="F57" s="34"/>
      <c r="G57" s="38" t="str">
        <f aca="false">IF(A57="","",SUMIFS(Alışlar!$D$5:$D$504,Alışlar!$C$5:$C$504,A57))</f>
        <v/>
      </c>
      <c r="H57" s="38" t="str">
        <f aca="false">IF(A57="","",SUMIFS(Satışlar!$D$5:$D$1004,Satışlar!$C$5:$C$1004,A57))</f>
        <v/>
      </c>
      <c r="I57" s="39" t="str">
        <f aca="false">IF(A57="","",E57+G57-H57)</f>
        <v/>
      </c>
      <c r="J57" s="37" t="str">
        <f aca="false">IF(A57="","",I57*C57)</f>
        <v/>
      </c>
      <c r="K57" s="40" t="str">
        <f aca="false">IF(A57="","",IF(I57&lt;=0,"Tükendi",IF(I57&lt;=F57,"Kritik","Yeterli")))</f>
        <v/>
      </c>
      <c r="L57" s="37" t="str">
        <f aca="false">IF(A57="","",SUMIFS(Satışlar!$G$5:$G$1004,Satışlar!$C$5:$C$1004,A57))</f>
        <v/>
      </c>
      <c r="M57" s="41" t="str">
        <f aca="false">IF(A57="","",L57+ROW()/1000000)</f>
        <v/>
      </c>
      <c r="N57" s="41" t="str">
        <f aca="false">IF(OR(K57="Tükendi",K57="Kritik"),ROW(),"")</f>
        <v/>
      </c>
    </row>
    <row r="58" customFormat="false" ht="15" hidden="false" customHeight="false" outlineLevel="0" collapsed="false">
      <c r="A58" s="33"/>
      <c r="B58" s="36"/>
      <c r="C58" s="35"/>
      <c r="D58" s="35"/>
      <c r="E58" s="34"/>
      <c r="F58" s="34"/>
      <c r="G58" s="38" t="str">
        <f aca="false">IF(A58="","",SUMIFS(Alışlar!$D$5:$D$504,Alışlar!$C$5:$C$504,A58))</f>
        <v/>
      </c>
      <c r="H58" s="38" t="str">
        <f aca="false">IF(A58="","",SUMIFS(Satışlar!$D$5:$D$1004,Satışlar!$C$5:$C$1004,A58))</f>
        <v/>
      </c>
      <c r="I58" s="39" t="str">
        <f aca="false">IF(A58="","",E58+G58-H58)</f>
        <v/>
      </c>
      <c r="J58" s="37" t="str">
        <f aca="false">IF(A58="","",I58*C58)</f>
        <v/>
      </c>
      <c r="K58" s="40" t="str">
        <f aca="false">IF(A58="","",IF(I58&lt;=0,"Tükendi",IF(I58&lt;=F58,"Kritik","Yeterli")))</f>
        <v/>
      </c>
      <c r="L58" s="37" t="str">
        <f aca="false">IF(A58="","",SUMIFS(Satışlar!$G$5:$G$1004,Satışlar!$C$5:$C$1004,A58))</f>
        <v/>
      </c>
      <c r="M58" s="41" t="str">
        <f aca="false">IF(A58="","",L58+ROW()/1000000)</f>
        <v/>
      </c>
      <c r="N58" s="41" t="str">
        <f aca="false">IF(OR(K58="Tükendi",K58="Kritik"),ROW(),"")</f>
        <v/>
      </c>
    </row>
    <row r="59" customFormat="false" ht="15" hidden="false" customHeight="false" outlineLevel="0" collapsed="false">
      <c r="A59" s="33"/>
      <c r="B59" s="36"/>
      <c r="C59" s="35"/>
      <c r="D59" s="35"/>
      <c r="E59" s="34"/>
      <c r="F59" s="34"/>
      <c r="G59" s="38" t="str">
        <f aca="false">IF(A59="","",SUMIFS(Alışlar!$D$5:$D$504,Alışlar!$C$5:$C$504,A59))</f>
        <v/>
      </c>
      <c r="H59" s="38" t="str">
        <f aca="false">IF(A59="","",SUMIFS(Satışlar!$D$5:$D$1004,Satışlar!$C$5:$C$1004,A59))</f>
        <v/>
      </c>
      <c r="I59" s="39" t="str">
        <f aca="false">IF(A59="","",E59+G59-H59)</f>
        <v/>
      </c>
      <c r="J59" s="37" t="str">
        <f aca="false">IF(A59="","",I59*C59)</f>
        <v/>
      </c>
      <c r="K59" s="40" t="str">
        <f aca="false">IF(A59="","",IF(I59&lt;=0,"Tükendi",IF(I59&lt;=F59,"Kritik","Yeterli")))</f>
        <v/>
      </c>
      <c r="L59" s="37" t="str">
        <f aca="false">IF(A59="","",SUMIFS(Satışlar!$G$5:$G$1004,Satışlar!$C$5:$C$1004,A59))</f>
        <v/>
      </c>
      <c r="M59" s="41" t="str">
        <f aca="false">IF(A59="","",L59+ROW()/1000000)</f>
        <v/>
      </c>
      <c r="N59" s="41" t="str">
        <f aca="false">IF(OR(K59="Tükendi",K59="Kritik"),ROW(),"")</f>
        <v/>
      </c>
    </row>
    <row r="60" customFormat="false" ht="15" hidden="false" customHeight="false" outlineLevel="0" collapsed="false">
      <c r="A60" s="33"/>
      <c r="B60" s="36"/>
      <c r="C60" s="35"/>
      <c r="D60" s="35"/>
      <c r="E60" s="34"/>
      <c r="F60" s="34"/>
      <c r="G60" s="38" t="str">
        <f aca="false">IF(A60="","",SUMIFS(Alışlar!$D$5:$D$504,Alışlar!$C$5:$C$504,A60))</f>
        <v/>
      </c>
      <c r="H60" s="38" t="str">
        <f aca="false">IF(A60="","",SUMIFS(Satışlar!$D$5:$D$1004,Satışlar!$C$5:$C$1004,A60))</f>
        <v/>
      </c>
      <c r="I60" s="39" t="str">
        <f aca="false">IF(A60="","",E60+G60-H60)</f>
        <v/>
      </c>
      <c r="J60" s="37" t="str">
        <f aca="false">IF(A60="","",I60*C60)</f>
        <v/>
      </c>
      <c r="K60" s="40" t="str">
        <f aca="false">IF(A60="","",IF(I60&lt;=0,"Tükendi",IF(I60&lt;=F60,"Kritik","Yeterli")))</f>
        <v/>
      </c>
      <c r="L60" s="37" t="str">
        <f aca="false">IF(A60="","",SUMIFS(Satışlar!$G$5:$G$1004,Satışlar!$C$5:$C$1004,A60))</f>
        <v/>
      </c>
      <c r="M60" s="41" t="str">
        <f aca="false">IF(A60="","",L60+ROW()/1000000)</f>
        <v/>
      </c>
      <c r="N60" s="41" t="str">
        <f aca="false">IF(OR(K60="Tükendi",K60="Kritik"),ROW(),"")</f>
        <v/>
      </c>
    </row>
    <row r="61" customFormat="false" ht="15" hidden="false" customHeight="false" outlineLevel="0" collapsed="false">
      <c r="A61" s="33"/>
      <c r="B61" s="36"/>
      <c r="C61" s="35"/>
      <c r="D61" s="35"/>
      <c r="E61" s="34"/>
      <c r="F61" s="34"/>
      <c r="G61" s="38" t="str">
        <f aca="false">IF(A61="","",SUMIFS(Alışlar!$D$5:$D$504,Alışlar!$C$5:$C$504,A61))</f>
        <v/>
      </c>
      <c r="H61" s="38" t="str">
        <f aca="false">IF(A61="","",SUMIFS(Satışlar!$D$5:$D$1004,Satışlar!$C$5:$C$1004,A61))</f>
        <v/>
      </c>
      <c r="I61" s="39" t="str">
        <f aca="false">IF(A61="","",E61+G61-H61)</f>
        <v/>
      </c>
      <c r="J61" s="37" t="str">
        <f aca="false">IF(A61="","",I61*C61)</f>
        <v/>
      </c>
      <c r="K61" s="40" t="str">
        <f aca="false">IF(A61="","",IF(I61&lt;=0,"Tükendi",IF(I61&lt;=F61,"Kritik","Yeterli")))</f>
        <v/>
      </c>
      <c r="L61" s="37" t="str">
        <f aca="false">IF(A61="","",SUMIFS(Satışlar!$G$5:$G$1004,Satışlar!$C$5:$C$1004,A61))</f>
        <v/>
      </c>
      <c r="M61" s="41" t="str">
        <f aca="false">IF(A61="","",L61+ROW()/1000000)</f>
        <v/>
      </c>
      <c r="N61" s="41" t="str">
        <f aca="false">IF(OR(K61="Tükendi",K61="Kritik"),ROW(),"")</f>
        <v/>
      </c>
    </row>
    <row r="62" customFormat="false" ht="15" hidden="false" customHeight="false" outlineLevel="0" collapsed="false">
      <c r="A62" s="33"/>
      <c r="B62" s="36"/>
      <c r="C62" s="35"/>
      <c r="D62" s="35"/>
      <c r="E62" s="34"/>
      <c r="F62" s="34"/>
      <c r="G62" s="38" t="str">
        <f aca="false">IF(A62="","",SUMIFS(Alışlar!$D$5:$D$504,Alışlar!$C$5:$C$504,A62))</f>
        <v/>
      </c>
      <c r="H62" s="38" t="str">
        <f aca="false">IF(A62="","",SUMIFS(Satışlar!$D$5:$D$1004,Satışlar!$C$5:$C$1004,A62))</f>
        <v/>
      </c>
      <c r="I62" s="39" t="str">
        <f aca="false">IF(A62="","",E62+G62-H62)</f>
        <v/>
      </c>
      <c r="J62" s="37" t="str">
        <f aca="false">IF(A62="","",I62*C62)</f>
        <v/>
      </c>
      <c r="K62" s="40" t="str">
        <f aca="false">IF(A62="","",IF(I62&lt;=0,"Tükendi",IF(I62&lt;=F62,"Kritik","Yeterli")))</f>
        <v/>
      </c>
      <c r="L62" s="37" t="str">
        <f aca="false">IF(A62="","",SUMIFS(Satışlar!$G$5:$G$1004,Satışlar!$C$5:$C$1004,A62))</f>
        <v/>
      </c>
      <c r="M62" s="41" t="str">
        <f aca="false">IF(A62="","",L62+ROW()/1000000)</f>
        <v/>
      </c>
      <c r="N62" s="41" t="str">
        <f aca="false">IF(OR(K62="Tükendi",K62="Kritik"),ROW(),"")</f>
        <v/>
      </c>
    </row>
    <row r="63" customFormat="false" ht="15" hidden="false" customHeight="false" outlineLevel="0" collapsed="false">
      <c r="A63" s="33"/>
      <c r="B63" s="36"/>
      <c r="C63" s="35"/>
      <c r="D63" s="35"/>
      <c r="E63" s="34"/>
      <c r="F63" s="34"/>
      <c r="G63" s="38" t="str">
        <f aca="false">IF(A63="","",SUMIFS(Alışlar!$D$5:$D$504,Alışlar!$C$5:$C$504,A63))</f>
        <v/>
      </c>
      <c r="H63" s="38" t="str">
        <f aca="false">IF(A63="","",SUMIFS(Satışlar!$D$5:$D$1004,Satışlar!$C$5:$C$1004,A63))</f>
        <v/>
      </c>
      <c r="I63" s="39" t="str">
        <f aca="false">IF(A63="","",E63+G63-H63)</f>
        <v/>
      </c>
      <c r="J63" s="37" t="str">
        <f aca="false">IF(A63="","",I63*C63)</f>
        <v/>
      </c>
      <c r="K63" s="40" t="str">
        <f aca="false">IF(A63="","",IF(I63&lt;=0,"Tükendi",IF(I63&lt;=F63,"Kritik","Yeterli")))</f>
        <v/>
      </c>
      <c r="L63" s="37" t="str">
        <f aca="false">IF(A63="","",SUMIFS(Satışlar!$G$5:$G$1004,Satışlar!$C$5:$C$1004,A63))</f>
        <v/>
      </c>
      <c r="M63" s="41" t="str">
        <f aca="false">IF(A63="","",L63+ROW()/1000000)</f>
        <v/>
      </c>
      <c r="N63" s="41" t="str">
        <f aca="false">IF(OR(K63="Tükendi",K63="Kritik"),ROW(),"")</f>
        <v/>
      </c>
    </row>
    <row r="64" customFormat="false" ht="15" hidden="false" customHeight="false" outlineLevel="0" collapsed="false">
      <c r="A64" s="33"/>
      <c r="B64" s="36"/>
      <c r="C64" s="35"/>
      <c r="D64" s="35"/>
      <c r="E64" s="34"/>
      <c r="F64" s="34"/>
      <c r="G64" s="38" t="str">
        <f aca="false">IF(A64="","",SUMIFS(Alışlar!$D$5:$D$504,Alışlar!$C$5:$C$504,A64))</f>
        <v/>
      </c>
      <c r="H64" s="38" t="str">
        <f aca="false">IF(A64="","",SUMIFS(Satışlar!$D$5:$D$1004,Satışlar!$C$5:$C$1004,A64))</f>
        <v/>
      </c>
      <c r="I64" s="39" t="str">
        <f aca="false">IF(A64="","",E64+G64-H64)</f>
        <v/>
      </c>
      <c r="J64" s="37" t="str">
        <f aca="false">IF(A64="","",I64*C64)</f>
        <v/>
      </c>
      <c r="K64" s="40" t="str">
        <f aca="false">IF(A64="","",IF(I64&lt;=0,"Tükendi",IF(I64&lt;=F64,"Kritik","Yeterli")))</f>
        <v/>
      </c>
      <c r="L64" s="37" t="str">
        <f aca="false">IF(A64="","",SUMIFS(Satışlar!$G$5:$G$1004,Satışlar!$C$5:$C$1004,A64))</f>
        <v/>
      </c>
      <c r="M64" s="41" t="str">
        <f aca="false">IF(A64="","",L64+ROW()/1000000)</f>
        <v/>
      </c>
      <c r="N64" s="41" t="str">
        <f aca="false">IF(OR(K64="Tükendi",K64="Kritik"),ROW(),"")</f>
        <v/>
      </c>
    </row>
    <row r="65" customFormat="false" ht="15" hidden="false" customHeight="false" outlineLevel="0" collapsed="false">
      <c r="A65" s="33"/>
      <c r="B65" s="36"/>
      <c r="C65" s="35"/>
      <c r="D65" s="35"/>
      <c r="E65" s="34"/>
      <c r="F65" s="34"/>
      <c r="G65" s="38" t="str">
        <f aca="false">IF(A65="","",SUMIFS(Alışlar!$D$5:$D$504,Alışlar!$C$5:$C$504,A65))</f>
        <v/>
      </c>
      <c r="H65" s="38" t="str">
        <f aca="false">IF(A65="","",SUMIFS(Satışlar!$D$5:$D$1004,Satışlar!$C$5:$C$1004,A65))</f>
        <v/>
      </c>
      <c r="I65" s="39" t="str">
        <f aca="false">IF(A65="","",E65+G65-H65)</f>
        <v/>
      </c>
      <c r="J65" s="37" t="str">
        <f aca="false">IF(A65="","",I65*C65)</f>
        <v/>
      </c>
      <c r="K65" s="40" t="str">
        <f aca="false">IF(A65="","",IF(I65&lt;=0,"Tükendi",IF(I65&lt;=F65,"Kritik","Yeterli")))</f>
        <v/>
      </c>
      <c r="L65" s="37" t="str">
        <f aca="false">IF(A65="","",SUMIFS(Satışlar!$G$5:$G$1004,Satışlar!$C$5:$C$1004,A65))</f>
        <v/>
      </c>
      <c r="M65" s="41" t="str">
        <f aca="false">IF(A65="","",L65+ROW()/1000000)</f>
        <v/>
      </c>
      <c r="N65" s="41" t="str">
        <f aca="false">IF(OR(K65="Tükendi",K65="Kritik"),ROW(),"")</f>
        <v/>
      </c>
    </row>
    <row r="66" customFormat="false" ht="15" hidden="false" customHeight="false" outlineLevel="0" collapsed="false">
      <c r="A66" s="33"/>
      <c r="B66" s="36"/>
      <c r="C66" s="35"/>
      <c r="D66" s="35"/>
      <c r="E66" s="34"/>
      <c r="F66" s="34"/>
      <c r="G66" s="38" t="str">
        <f aca="false">IF(A66="","",SUMIFS(Alışlar!$D$5:$D$504,Alışlar!$C$5:$C$504,A66))</f>
        <v/>
      </c>
      <c r="H66" s="38" t="str">
        <f aca="false">IF(A66="","",SUMIFS(Satışlar!$D$5:$D$1004,Satışlar!$C$5:$C$1004,A66))</f>
        <v/>
      </c>
      <c r="I66" s="39" t="str">
        <f aca="false">IF(A66="","",E66+G66-H66)</f>
        <v/>
      </c>
      <c r="J66" s="37" t="str">
        <f aca="false">IF(A66="","",I66*C66)</f>
        <v/>
      </c>
      <c r="K66" s="40" t="str">
        <f aca="false">IF(A66="","",IF(I66&lt;=0,"Tükendi",IF(I66&lt;=F66,"Kritik","Yeterli")))</f>
        <v/>
      </c>
      <c r="L66" s="37" t="str">
        <f aca="false">IF(A66="","",SUMIFS(Satışlar!$G$5:$G$1004,Satışlar!$C$5:$C$1004,A66))</f>
        <v/>
      </c>
      <c r="M66" s="41" t="str">
        <f aca="false">IF(A66="","",L66+ROW()/1000000)</f>
        <v/>
      </c>
      <c r="N66" s="41" t="str">
        <f aca="false">IF(OR(K66="Tükendi",K66="Kritik"),ROW(),"")</f>
        <v/>
      </c>
    </row>
    <row r="67" customFormat="false" ht="15" hidden="false" customHeight="false" outlineLevel="0" collapsed="false">
      <c r="A67" s="33"/>
      <c r="B67" s="36"/>
      <c r="C67" s="35"/>
      <c r="D67" s="35"/>
      <c r="E67" s="34"/>
      <c r="F67" s="34"/>
      <c r="G67" s="38" t="str">
        <f aca="false">IF(A67="","",SUMIFS(Alışlar!$D$5:$D$504,Alışlar!$C$5:$C$504,A67))</f>
        <v/>
      </c>
      <c r="H67" s="38" t="str">
        <f aca="false">IF(A67="","",SUMIFS(Satışlar!$D$5:$D$1004,Satışlar!$C$5:$C$1004,A67))</f>
        <v/>
      </c>
      <c r="I67" s="39" t="str">
        <f aca="false">IF(A67="","",E67+G67-H67)</f>
        <v/>
      </c>
      <c r="J67" s="37" t="str">
        <f aca="false">IF(A67="","",I67*C67)</f>
        <v/>
      </c>
      <c r="K67" s="40" t="str">
        <f aca="false">IF(A67="","",IF(I67&lt;=0,"Tükendi",IF(I67&lt;=F67,"Kritik","Yeterli")))</f>
        <v/>
      </c>
      <c r="L67" s="37" t="str">
        <f aca="false">IF(A67="","",SUMIFS(Satışlar!$G$5:$G$1004,Satışlar!$C$5:$C$1004,A67))</f>
        <v/>
      </c>
      <c r="M67" s="41" t="str">
        <f aca="false">IF(A67="","",L67+ROW()/1000000)</f>
        <v/>
      </c>
      <c r="N67" s="41" t="str">
        <f aca="false">IF(OR(K67="Tükendi",K67="Kritik"),ROW(),"")</f>
        <v/>
      </c>
    </row>
    <row r="68" customFormat="false" ht="15" hidden="false" customHeight="false" outlineLevel="0" collapsed="false">
      <c r="A68" s="33"/>
      <c r="B68" s="36"/>
      <c r="C68" s="35"/>
      <c r="D68" s="35"/>
      <c r="E68" s="34"/>
      <c r="F68" s="34"/>
      <c r="G68" s="38" t="str">
        <f aca="false">IF(A68="","",SUMIFS(Alışlar!$D$5:$D$504,Alışlar!$C$5:$C$504,A68))</f>
        <v/>
      </c>
      <c r="H68" s="38" t="str">
        <f aca="false">IF(A68="","",SUMIFS(Satışlar!$D$5:$D$1004,Satışlar!$C$5:$C$1004,A68))</f>
        <v/>
      </c>
      <c r="I68" s="39" t="str">
        <f aca="false">IF(A68="","",E68+G68-H68)</f>
        <v/>
      </c>
      <c r="J68" s="37" t="str">
        <f aca="false">IF(A68="","",I68*C68)</f>
        <v/>
      </c>
      <c r="K68" s="40" t="str">
        <f aca="false">IF(A68="","",IF(I68&lt;=0,"Tükendi",IF(I68&lt;=F68,"Kritik","Yeterli")))</f>
        <v/>
      </c>
      <c r="L68" s="37" t="str">
        <f aca="false">IF(A68="","",SUMIFS(Satışlar!$G$5:$G$1004,Satışlar!$C$5:$C$1004,A68))</f>
        <v/>
      </c>
      <c r="M68" s="41" t="str">
        <f aca="false">IF(A68="","",L68+ROW()/1000000)</f>
        <v/>
      </c>
      <c r="N68" s="41" t="str">
        <f aca="false">IF(OR(K68="Tükendi",K68="Kritik"),ROW(),"")</f>
        <v/>
      </c>
    </row>
    <row r="69" customFormat="false" ht="15" hidden="false" customHeight="false" outlineLevel="0" collapsed="false">
      <c r="A69" s="33"/>
      <c r="B69" s="36"/>
      <c r="C69" s="35"/>
      <c r="D69" s="35"/>
      <c r="E69" s="34"/>
      <c r="F69" s="34"/>
      <c r="G69" s="38" t="str">
        <f aca="false">IF(A69="","",SUMIFS(Alışlar!$D$5:$D$504,Alışlar!$C$5:$C$504,A69))</f>
        <v/>
      </c>
      <c r="H69" s="38" t="str">
        <f aca="false">IF(A69="","",SUMIFS(Satışlar!$D$5:$D$1004,Satışlar!$C$5:$C$1004,A69))</f>
        <v/>
      </c>
      <c r="I69" s="39" t="str">
        <f aca="false">IF(A69="","",E69+G69-H69)</f>
        <v/>
      </c>
      <c r="J69" s="37" t="str">
        <f aca="false">IF(A69="","",I69*C69)</f>
        <v/>
      </c>
      <c r="K69" s="40" t="str">
        <f aca="false">IF(A69="","",IF(I69&lt;=0,"Tükendi",IF(I69&lt;=F69,"Kritik","Yeterli")))</f>
        <v/>
      </c>
      <c r="L69" s="37" t="str">
        <f aca="false">IF(A69="","",SUMIFS(Satışlar!$G$5:$G$1004,Satışlar!$C$5:$C$1004,A69))</f>
        <v/>
      </c>
      <c r="M69" s="41" t="str">
        <f aca="false">IF(A69="","",L69+ROW()/1000000)</f>
        <v/>
      </c>
      <c r="N69" s="41" t="str">
        <f aca="false">IF(OR(K69="Tükendi",K69="Kritik"),ROW(),"")</f>
        <v/>
      </c>
    </row>
    <row r="70" customFormat="false" ht="15" hidden="false" customHeight="false" outlineLevel="0" collapsed="false">
      <c r="A70" s="33"/>
      <c r="B70" s="36"/>
      <c r="C70" s="35"/>
      <c r="D70" s="35"/>
      <c r="E70" s="34"/>
      <c r="F70" s="34"/>
      <c r="G70" s="38" t="str">
        <f aca="false">IF(A70="","",SUMIFS(Alışlar!$D$5:$D$504,Alışlar!$C$5:$C$504,A70))</f>
        <v/>
      </c>
      <c r="H70" s="38" t="str">
        <f aca="false">IF(A70="","",SUMIFS(Satışlar!$D$5:$D$1004,Satışlar!$C$5:$C$1004,A70))</f>
        <v/>
      </c>
      <c r="I70" s="39" t="str">
        <f aca="false">IF(A70="","",E70+G70-H70)</f>
        <v/>
      </c>
      <c r="J70" s="37" t="str">
        <f aca="false">IF(A70="","",I70*C70)</f>
        <v/>
      </c>
      <c r="K70" s="40" t="str">
        <f aca="false">IF(A70="","",IF(I70&lt;=0,"Tükendi",IF(I70&lt;=F70,"Kritik","Yeterli")))</f>
        <v/>
      </c>
      <c r="L70" s="37" t="str">
        <f aca="false">IF(A70="","",SUMIFS(Satışlar!$G$5:$G$1004,Satışlar!$C$5:$C$1004,A70))</f>
        <v/>
      </c>
      <c r="M70" s="41" t="str">
        <f aca="false">IF(A70="","",L70+ROW()/1000000)</f>
        <v/>
      </c>
      <c r="N70" s="41" t="str">
        <f aca="false">IF(OR(K70="Tükendi",K70="Kritik"),ROW(),"")</f>
        <v/>
      </c>
    </row>
    <row r="71" customFormat="false" ht="15" hidden="false" customHeight="false" outlineLevel="0" collapsed="false">
      <c r="A71" s="33"/>
      <c r="B71" s="36"/>
      <c r="C71" s="35"/>
      <c r="D71" s="35"/>
      <c r="E71" s="34"/>
      <c r="F71" s="34"/>
      <c r="G71" s="38" t="str">
        <f aca="false">IF(A71="","",SUMIFS(Alışlar!$D$5:$D$504,Alışlar!$C$5:$C$504,A71))</f>
        <v/>
      </c>
      <c r="H71" s="38" t="str">
        <f aca="false">IF(A71="","",SUMIFS(Satışlar!$D$5:$D$1004,Satışlar!$C$5:$C$1004,A71))</f>
        <v/>
      </c>
      <c r="I71" s="39" t="str">
        <f aca="false">IF(A71="","",E71+G71-H71)</f>
        <v/>
      </c>
      <c r="J71" s="37" t="str">
        <f aca="false">IF(A71="","",I71*C71)</f>
        <v/>
      </c>
      <c r="K71" s="40" t="str">
        <f aca="false">IF(A71="","",IF(I71&lt;=0,"Tükendi",IF(I71&lt;=F71,"Kritik","Yeterli")))</f>
        <v/>
      </c>
      <c r="L71" s="37" t="str">
        <f aca="false">IF(A71="","",SUMIFS(Satışlar!$G$5:$G$1004,Satışlar!$C$5:$C$1004,A71))</f>
        <v/>
      </c>
      <c r="M71" s="41" t="str">
        <f aca="false">IF(A71="","",L71+ROW()/1000000)</f>
        <v/>
      </c>
      <c r="N71" s="41" t="str">
        <f aca="false">IF(OR(K71="Tükendi",K71="Kritik"),ROW(),"")</f>
        <v/>
      </c>
    </row>
    <row r="72" customFormat="false" ht="15" hidden="false" customHeight="false" outlineLevel="0" collapsed="false">
      <c r="A72" s="33"/>
      <c r="B72" s="36"/>
      <c r="C72" s="35"/>
      <c r="D72" s="35"/>
      <c r="E72" s="34"/>
      <c r="F72" s="34"/>
      <c r="G72" s="38" t="str">
        <f aca="false">IF(A72="","",SUMIFS(Alışlar!$D$5:$D$504,Alışlar!$C$5:$C$504,A72))</f>
        <v/>
      </c>
      <c r="H72" s="38" t="str">
        <f aca="false">IF(A72="","",SUMIFS(Satışlar!$D$5:$D$1004,Satışlar!$C$5:$C$1004,A72))</f>
        <v/>
      </c>
      <c r="I72" s="39" t="str">
        <f aca="false">IF(A72="","",E72+G72-H72)</f>
        <v/>
      </c>
      <c r="J72" s="37" t="str">
        <f aca="false">IF(A72="","",I72*C72)</f>
        <v/>
      </c>
      <c r="K72" s="40" t="str">
        <f aca="false">IF(A72="","",IF(I72&lt;=0,"Tükendi",IF(I72&lt;=F72,"Kritik","Yeterli")))</f>
        <v/>
      </c>
      <c r="L72" s="37" t="str">
        <f aca="false">IF(A72="","",SUMIFS(Satışlar!$G$5:$G$1004,Satışlar!$C$5:$C$1004,A72))</f>
        <v/>
      </c>
      <c r="M72" s="41" t="str">
        <f aca="false">IF(A72="","",L72+ROW()/1000000)</f>
        <v/>
      </c>
      <c r="N72" s="41" t="str">
        <f aca="false">IF(OR(K72="Tükendi",K72="Kritik"),ROW(),"")</f>
        <v/>
      </c>
    </row>
    <row r="73" customFormat="false" ht="15" hidden="false" customHeight="false" outlineLevel="0" collapsed="false">
      <c r="A73" s="33"/>
      <c r="B73" s="36"/>
      <c r="C73" s="35"/>
      <c r="D73" s="35"/>
      <c r="E73" s="34"/>
      <c r="F73" s="34"/>
      <c r="G73" s="38" t="str">
        <f aca="false">IF(A73="","",SUMIFS(Alışlar!$D$5:$D$504,Alışlar!$C$5:$C$504,A73))</f>
        <v/>
      </c>
      <c r="H73" s="38" t="str">
        <f aca="false">IF(A73="","",SUMIFS(Satışlar!$D$5:$D$1004,Satışlar!$C$5:$C$1004,A73))</f>
        <v/>
      </c>
      <c r="I73" s="39" t="str">
        <f aca="false">IF(A73="","",E73+G73-H73)</f>
        <v/>
      </c>
      <c r="J73" s="37" t="str">
        <f aca="false">IF(A73="","",I73*C73)</f>
        <v/>
      </c>
      <c r="K73" s="40" t="str">
        <f aca="false">IF(A73="","",IF(I73&lt;=0,"Tükendi",IF(I73&lt;=F73,"Kritik","Yeterli")))</f>
        <v/>
      </c>
      <c r="L73" s="37" t="str">
        <f aca="false">IF(A73="","",SUMIFS(Satışlar!$G$5:$G$1004,Satışlar!$C$5:$C$1004,A73))</f>
        <v/>
      </c>
      <c r="M73" s="41" t="str">
        <f aca="false">IF(A73="","",L73+ROW()/1000000)</f>
        <v/>
      </c>
      <c r="N73" s="41" t="str">
        <f aca="false">IF(OR(K73="Tükendi",K73="Kritik"),ROW(),"")</f>
        <v/>
      </c>
    </row>
    <row r="74" customFormat="false" ht="15" hidden="false" customHeight="false" outlineLevel="0" collapsed="false">
      <c r="A74" s="33"/>
      <c r="B74" s="36"/>
      <c r="C74" s="35"/>
      <c r="D74" s="35"/>
      <c r="E74" s="34"/>
      <c r="F74" s="34"/>
      <c r="G74" s="38" t="str">
        <f aca="false">IF(A74="","",SUMIFS(Alışlar!$D$5:$D$504,Alışlar!$C$5:$C$504,A74))</f>
        <v/>
      </c>
      <c r="H74" s="38" t="str">
        <f aca="false">IF(A74="","",SUMIFS(Satışlar!$D$5:$D$1004,Satışlar!$C$5:$C$1004,A74))</f>
        <v/>
      </c>
      <c r="I74" s="39" t="str">
        <f aca="false">IF(A74="","",E74+G74-H74)</f>
        <v/>
      </c>
      <c r="J74" s="37" t="str">
        <f aca="false">IF(A74="","",I74*C74)</f>
        <v/>
      </c>
      <c r="K74" s="40" t="str">
        <f aca="false">IF(A74="","",IF(I74&lt;=0,"Tükendi",IF(I74&lt;=F74,"Kritik","Yeterli")))</f>
        <v/>
      </c>
      <c r="L74" s="37" t="str">
        <f aca="false">IF(A74="","",SUMIFS(Satışlar!$G$5:$G$1004,Satışlar!$C$5:$C$1004,A74))</f>
        <v/>
      </c>
      <c r="M74" s="41" t="str">
        <f aca="false">IF(A74="","",L74+ROW()/1000000)</f>
        <v/>
      </c>
      <c r="N74" s="41" t="str">
        <f aca="false">IF(OR(K74="Tükendi",K74="Kritik"),ROW(),"")</f>
        <v/>
      </c>
    </row>
    <row r="75" customFormat="false" ht="15" hidden="false" customHeight="false" outlineLevel="0" collapsed="false">
      <c r="A75" s="33"/>
      <c r="B75" s="36"/>
      <c r="C75" s="35"/>
      <c r="D75" s="35"/>
      <c r="E75" s="34"/>
      <c r="F75" s="34"/>
      <c r="G75" s="38" t="str">
        <f aca="false">IF(A75="","",SUMIFS(Alışlar!$D$5:$D$504,Alışlar!$C$5:$C$504,A75))</f>
        <v/>
      </c>
      <c r="H75" s="38" t="str">
        <f aca="false">IF(A75="","",SUMIFS(Satışlar!$D$5:$D$1004,Satışlar!$C$5:$C$1004,A75))</f>
        <v/>
      </c>
      <c r="I75" s="39" t="str">
        <f aca="false">IF(A75="","",E75+G75-H75)</f>
        <v/>
      </c>
      <c r="J75" s="37" t="str">
        <f aca="false">IF(A75="","",I75*C75)</f>
        <v/>
      </c>
      <c r="K75" s="40" t="str">
        <f aca="false">IF(A75="","",IF(I75&lt;=0,"Tükendi",IF(I75&lt;=F75,"Kritik","Yeterli")))</f>
        <v/>
      </c>
      <c r="L75" s="37" t="str">
        <f aca="false">IF(A75="","",SUMIFS(Satışlar!$G$5:$G$1004,Satışlar!$C$5:$C$1004,A75))</f>
        <v/>
      </c>
      <c r="M75" s="41" t="str">
        <f aca="false">IF(A75="","",L75+ROW()/1000000)</f>
        <v/>
      </c>
      <c r="N75" s="41" t="str">
        <f aca="false">IF(OR(K75="Tükendi",K75="Kritik"),ROW(),"")</f>
        <v/>
      </c>
    </row>
    <row r="76" customFormat="false" ht="15" hidden="false" customHeight="false" outlineLevel="0" collapsed="false">
      <c r="A76" s="33"/>
      <c r="B76" s="36"/>
      <c r="C76" s="35"/>
      <c r="D76" s="35"/>
      <c r="E76" s="34"/>
      <c r="F76" s="34"/>
      <c r="G76" s="38" t="str">
        <f aca="false">IF(A76="","",SUMIFS(Alışlar!$D$5:$D$504,Alışlar!$C$5:$C$504,A76))</f>
        <v/>
      </c>
      <c r="H76" s="38" t="str">
        <f aca="false">IF(A76="","",SUMIFS(Satışlar!$D$5:$D$1004,Satışlar!$C$5:$C$1004,A76))</f>
        <v/>
      </c>
      <c r="I76" s="39" t="str">
        <f aca="false">IF(A76="","",E76+G76-H76)</f>
        <v/>
      </c>
      <c r="J76" s="37" t="str">
        <f aca="false">IF(A76="","",I76*C76)</f>
        <v/>
      </c>
      <c r="K76" s="40" t="str">
        <f aca="false">IF(A76="","",IF(I76&lt;=0,"Tükendi",IF(I76&lt;=F76,"Kritik","Yeterli")))</f>
        <v/>
      </c>
      <c r="L76" s="37" t="str">
        <f aca="false">IF(A76="","",SUMIFS(Satışlar!$G$5:$G$1004,Satışlar!$C$5:$C$1004,A76))</f>
        <v/>
      </c>
      <c r="M76" s="41" t="str">
        <f aca="false">IF(A76="","",L76+ROW()/1000000)</f>
        <v/>
      </c>
      <c r="N76" s="41" t="str">
        <f aca="false">IF(OR(K76="Tükendi",K76="Kritik"),ROW(),"")</f>
        <v/>
      </c>
    </row>
    <row r="77" customFormat="false" ht="15" hidden="false" customHeight="false" outlineLevel="0" collapsed="false">
      <c r="A77" s="33"/>
      <c r="B77" s="36"/>
      <c r="C77" s="35"/>
      <c r="D77" s="35"/>
      <c r="E77" s="34"/>
      <c r="F77" s="34"/>
      <c r="G77" s="38" t="str">
        <f aca="false">IF(A77="","",SUMIFS(Alışlar!$D$5:$D$504,Alışlar!$C$5:$C$504,A77))</f>
        <v/>
      </c>
      <c r="H77" s="38" t="str">
        <f aca="false">IF(A77="","",SUMIFS(Satışlar!$D$5:$D$1004,Satışlar!$C$5:$C$1004,A77))</f>
        <v/>
      </c>
      <c r="I77" s="39" t="str">
        <f aca="false">IF(A77="","",E77+G77-H77)</f>
        <v/>
      </c>
      <c r="J77" s="37" t="str">
        <f aca="false">IF(A77="","",I77*C77)</f>
        <v/>
      </c>
      <c r="K77" s="40" t="str">
        <f aca="false">IF(A77="","",IF(I77&lt;=0,"Tükendi",IF(I77&lt;=F77,"Kritik","Yeterli")))</f>
        <v/>
      </c>
      <c r="L77" s="37" t="str">
        <f aca="false">IF(A77="","",SUMIFS(Satışlar!$G$5:$G$1004,Satışlar!$C$5:$C$1004,A77))</f>
        <v/>
      </c>
      <c r="M77" s="41" t="str">
        <f aca="false">IF(A77="","",L77+ROW()/1000000)</f>
        <v/>
      </c>
      <c r="N77" s="41" t="str">
        <f aca="false">IF(OR(K77="Tükendi",K77="Kritik"),ROW(),"")</f>
        <v/>
      </c>
    </row>
    <row r="78" customFormat="false" ht="15" hidden="false" customHeight="false" outlineLevel="0" collapsed="false">
      <c r="A78" s="33"/>
      <c r="B78" s="36"/>
      <c r="C78" s="35"/>
      <c r="D78" s="35"/>
      <c r="E78" s="34"/>
      <c r="F78" s="34"/>
      <c r="G78" s="38" t="str">
        <f aca="false">IF(A78="","",SUMIFS(Alışlar!$D$5:$D$504,Alışlar!$C$5:$C$504,A78))</f>
        <v/>
      </c>
      <c r="H78" s="38" t="str">
        <f aca="false">IF(A78="","",SUMIFS(Satışlar!$D$5:$D$1004,Satışlar!$C$5:$C$1004,A78))</f>
        <v/>
      </c>
      <c r="I78" s="39" t="str">
        <f aca="false">IF(A78="","",E78+G78-H78)</f>
        <v/>
      </c>
      <c r="J78" s="37" t="str">
        <f aca="false">IF(A78="","",I78*C78)</f>
        <v/>
      </c>
      <c r="K78" s="40" t="str">
        <f aca="false">IF(A78="","",IF(I78&lt;=0,"Tükendi",IF(I78&lt;=F78,"Kritik","Yeterli")))</f>
        <v/>
      </c>
      <c r="L78" s="37" t="str">
        <f aca="false">IF(A78="","",SUMIFS(Satışlar!$G$5:$G$1004,Satışlar!$C$5:$C$1004,A78))</f>
        <v/>
      </c>
      <c r="M78" s="41" t="str">
        <f aca="false">IF(A78="","",L78+ROW()/1000000)</f>
        <v/>
      </c>
      <c r="N78" s="41" t="str">
        <f aca="false">IF(OR(K78="Tükendi",K78="Kritik"),ROW(),"")</f>
        <v/>
      </c>
    </row>
    <row r="79" customFormat="false" ht="15" hidden="false" customHeight="false" outlineLevel="0" collapsed="false">
      <c r="A79" s="33"/>
      <c r="B79" s="36"/>
      <c r="C79" s="35"/>
      <c r="D79" s="35"/>
      <c r="E79" s="34"/>
      <c r="F79" s="34"/>
      <c r="G79" s="38" t="str">
        <f aca="false">IF(A79="","",SUMIFS(Alışlar!$D$5:$D$504,Alışlar!$C$5:$C$504,A79))</f>
        <v/>
      </c>
      <c r="H79" s="38" t="str">
        <f aca="false">IF(A79="","",SUMIFS(Satışlar!$D$5:$D$1004,Satışlar!$C$5:$C$1004,A79))</f>
        <v/>
      </c>
      <c r="I79" s="39" t="str">
        <f aca="false">IF(A79="","",E79+G79-H79)</f>
        <v/>
      </c>
      <c r="J79" s="37" t="str">
        <f aca="false">IF(A79="","",I79*C79)</f>
        <v/>
      </c>
      <c r="K79" s="40" t="str">
        <f aca="false">IF(A79="","",IF(I79&lt;=0,"Tükendi",IF(I79&lt;=F79,"Kritik","Yeterli")))</f>
        <v/>
      </c>
      <c r="L79" s="37" t="str">
        <f aca="false">IF(A79="","",SUMIFS(Satışlar!$G$5:$G$1004,Satışlar!$C$5:$C$1004,A79))</f>
        <v/>
      </c>
      <c r="M79" s="41" t="str">
        <f aca="false">IF(A79="","",L79+ROW()/1000000)</f>
        <v/>
      </c>
      <c r="N79" s="41" t="str">
        <f aca="false">IF(OR(K79="Tükendi",K79="Kritik"),ROW(),"")</f>
        <v/>
      </c>
    </row>
    <row r="80" customFormat="false" ht="15" hidden="false" customHeight="false" outlineLevel="0" collapsed="false">
      <c r="A80" s="33"/>
      <c r="B80" s="36"/>
      <c r="C80" s="35"/>
      <c r="D80" s="35"/>
      <c r="E80" s="34"/>
      <c r="F80" s="34"/>
      <c r="G80" s="38" t="str">
        <f aca="false">IF(A80="","",SUMIFS(Alışlar!$D$5:$D$504,Alışlar!$C$5:$C$504,A80))</f>
        <v/>
      </c>
      <c r="H80" s="38" t="str">
        <f aca="false">IF(A80="","",SUMIFS(Satışlar!$D$5:$D$1004,Satışlar!$C$5:$C$1004,A80))</f>
        <v/>
      </c>
      <c r="I80" s="39" t="str">
        <f aca="false">IF(A80="","",E80+G80-H80)</f>
        <v/>
      </c>
      <c r="J80" s="37" t="str">
        <f aca="false">IF(A80="","",I80*C80)</f>
        <v/>
      </c>
      <c r="K80" s="40" t="str">
        <f aca="false">IF(A80="","",IF(I80&lt;=0,"Tükendi",IF(I80&lt;=F80,"Kritik","Yeterli")))</f>
        <v/>
      </c>
      <c r="L80" s="37" t="str">
        <f aca="false">IF(A80="","",SUMIFS(Satışlar!$G$5:$G$1004,Satışlar!$C$5:$C$1004,A80))</f>
        <v/>
      </c>
      <c r="M80" s="41" t="str">
        <f aca="false">IF(A80="","",L80+ROW()/1000000)</f>
        <v/>
      </c>
      <c r="N80" s="41" t="str">
        <f aca="false">IF(OR(K80="Tükendi",K80="Kritik"),ROW(),"")</f>
        <v/>
      </c>
    </row>
    <row r="81" customFormat="false" ht="15" hidden="false" customHeight="false" outlineLevel="0" collapsed="false">
      <c r="A81" s="33"/>
      <c r="B81" s="36"/>
      <c r="C81" s="35"/>
      <c r="D81" s="35"/>
      <c r="E81" s="34"/>
      <c r="F81" s="34"/>
      <c r="G81" s="38" t="str">
        <f aca="false">IF(A81="","",SUMIFS(Alışlar!$D$5:$D$504,Alışlar!$C$5:$C$504,A81))</f>
        <v/>
      </c>
      <c r="H81" s="38" t="str">
        <f aca="false">IF(A81="","",SUMIFS(Satışlar!$D$5:$D$1004,Satışlar!$C$5:$C$1004,A81))</f>
        <v/>
      </c>
      <c r="I81" s="39" t="str">
        <f aca="false">IF(A81="","",E81+G81-H81)</f>
        <v/>
      </c>
      <c r="J81" s="37" t="str">
        <f aca="false">IF(A81="","",I81*C81)</f>
        <v/>
      </c>
      <c r="K81" s="40" t="str">
        <f aca="false">IF(A81="","",IF(I81&lt;=0,"Tükendi",IF(I81&lt;=F81,"Kritik","Yeterli")))</f>
        <v/>
      </c>
      <c r="L81" s="37" t="str">
        <f aca="false">IF(A81="","",SUMIFS(Satışlar!$G$5:$G$1004,Satışlar!$C$5:$C$1004,A81))</f>
        <v/>
      </c>
      <c r="M81" s="41" t="str">
        <f aca="false">IF(A81="","",L81+ROW()/1000000)</f>
        <v/>
      </c>
      <c r="N81" s="41" t="str">
        <f aca="false">IF(OR(K81="Tükendi",K81="Kritik"),ROW(),"")</f>
        <v/>
      </c>
    </row>
    <row r="82" customFormat="false" ht="15" hidden="false" customHeight="false" outlineLevel="0" collapsed="false">
      <c r="A82" s="33"/>
      <c r="B82" s="36"/>
      <c r="C82" s="35"/>
      <c r="D82" s="35"/>
      <c r="E82" s="34"/>
      <c r="F82" s="34"/>
      <c r="G82" s="38" t="str">
        <f aca="false">IF(A82="","",SUMIFS(Alışlar!$D$5:$D$504,Alışlar!$C$5:$C$504,A82))</f>
        <v/>
      </c>
      <c r="H82" s="38" t="str">
        <f aca="false">IF(A82="","",SUMIFS(Satışlar!$D$5:$D$1004,Satışlar!$C$5:$C$1004,A82))</f>
        <v/>
      </c>
      <c r="I82" s="39" t="str">
        <f aca="false">IF(A82="","",E82+G82-H82)</f>
        <v/>
      </c>
      <c r="J82" s="37" t="str">
        <f aca="false">IF(A82="","",I82*C82)</f>
        <v/>
      </c>
      <c r="K82" s="40" t="str">
        <f aca="false">IF(A82="","",IF(I82&lt;=0,"Tükendi",IF(I82&lt;=F82,"Kritik","Yeterli")))</f>
        <v/>
      </c>
      <c r="L82" s="37" t="str">
        <f aca="false">IF(A82="","",SUMIFS(Satışlar!$G$5:$G$1004,Satışlar!$C$5:$C$1004,A82))</f>
        <v/>
      </c>
      <c r="M82" s="41" t="str">
        <f aca="false">IF(A82="","",L82+ROW()/1000000)</f>
        <v/>
      </c>
      <c r="N82" s="41" t="str">
        <f aca="false">IF(OR(K82="Tükendi",K82="Kritik"),ROW(),"")</f>
        <v/>
      </c>
    </row>
    <row r="83" customFormat="false" ht="15" hidden="false" customHeight="false" outlineLevel="0" collapsed="false">
      <c r="A83" s="33"/>
      <c r="B83" s="36"/>
      <c r="C83" s="35"/>
      <c r="D83" s="35"/>
      <c r="E83" s="34"/>
      <c r="F83" s="34"/>
      <c r="G83" s="38" t="str">
        <f aca="false">IF(A83="","",SUMIFS(Alışlar!$D$5:$D$504,Alışlar!$C$5:$C$504,A83))</f>
        <v/>
      </c>
      <c r="H83" s="38" t="str">
        <f aca="false">IF(A83="","",SUMIFS(Satışlar!$D$5:$D$1004,Satışlar!$C$5:$C$1004,A83))</f>
        <v/>
      </c>
      <c r="I83" s="39" t="str">
        <f aca="false">IF(A83="","",E83+G83-H83)</f>
        <v/>
      </c>
      <c r="J83" s="37" t="str">
        <f aca="false">IF(A83="","",I83*C83)</f>
        <v/>
      </c>
      <c r="K83" s="40" t="str">
        <f aca="false">IF(A83="","",IF(I83&lt;=0,"Tükendi",IF(I83&lt;=F83,"Kritik","Yeterli")))</f>
        <v/>
      </c>
      <c r="L83" s="37" t="str">
        <f aca="false">IF(A83="","",SUMIFS(Satışlar!$G$5:$G$1004,Satışlar!$C$5:$C$1004,A83))</f>
        <v/>
      </c>
      <c r="M83" s="41" t="str">
        <f aca="false">IF(A83="","",L83+ROW()/1000000)</f>
        <v/>
      </c>
      <c r="N83" s="41" t="str">
        <f aca="false">IF(OR(K83="Tükendi",K83="Kritik"),ROW(),"")</f>
        <v/>
      </c>
    </row>
    <row r="84" customFormat="false" ht="15" hidden="false" customHeight="false" outlineLevel="0" collapsed="false">
      <c r="A84" s="33"/>
      <c r="B84" s="36"/>
      <c r="C84" s="35"/>
      <c r="D84" s="35"/>
      <c r="E84" s="34"/>
      <c r="F84" s="34"/>
      <c r="G84" s="38" t="str">
        <f aca="false">IF(A84="","",SUMIFS(Alışlar!$D$5:$D$504,Alışlar!$C$5:$C$504,A84))</f>
        <v/>
      </c>
      <c r="H84" s="38" t="str">
        <f aca="false">IF(A84="","",SUMIFS(Satışlar!$D$5:$D$1004,Satışlar!$C$5:$C$1004,A84))</f>
        <v/>
      </c>
      <c r="I84" s="39" t="str">
        <f aca="false">IF(A84="","",E84+G84-H84)</f>
        <v/>
      </c>
      <c r="J84" s="37" t="str">
        <f aca="false">IF(A84="","",I84*C84)</f>
        <v/>
      </c>
      <c r="K84" s="40" t="str">
        <f aca="false">IF(A84="","",IF(I84&lt;=0,"Tükendi",IF(I84&lt;=F84,"Kritik","Yeterli")))</f>
        <v/>
      </c>
      <c r="L84" s="37" t="str">
        <f aca="false">IF(A84="","",SUMIFS(Satışlar!$G$5:$G$1004,Satışlar!$C$5:$C$1004,A84))</f>
        <v/>
      </c>
      <c r="M84" s="41" t="str">
        <f aca="false">IF(A84="","",L84+ROW()/1000000)</f>
        <v/>
      </c>
      <c r="N84" s="41" t="str">
        <f aca="false">IF(OR(K84="Tükendi",K84="Kritik"),ROW(),"")</f>
        <v/>
      </c>
    </row>
    <row r="85" customFormat="false" ht="15" hidden="false" customHeight="false" outlineLevel="0" collapsed="false">
      <c r="A85" s="33"/>
      <c r="B85" s="36"/>
      <c r="C85" s="35"/>
      <c r="D85" s="35"/>
      <c r="E85" s="34"/>
      <c r="F85" s="34"/>
      <c r="G85" s="38" t="str">
        <f aca="false">IF(A85="","",SUMIFS(Alışlar!$D$5:$D$504,Alışlar!$C$5:$C$504,A85))</f>
        <v/>
      </c>
      <c r="H85" s="38" t="str">
        <f aca="false">IF(A85="","",SUMIFS(Satışlar!$D$5:$D$1004,Satışlar!$C$5:$C$1004,A85))</f>
        <v/>
      </c>
      <c r="I85" s="39" t="str">
        <f aca="false">IF(A85="","",E85+G85-H85)</f>
        <v/>
      </c>
      <c r="J85" s="37" t="str">
        <f aca="false">IF(A85="","",I85*C85)</f>
        <v/>
      </c>
      <c r="K85" s="40" t="str">
        <f aca="false">IF(A85="","",IF(I85&lt;=0,"Tükendi",IF(I85&lt;=F85,"Kritik","Yeterli")))</f>
        <v/>
      </c>
      <c r="L85" s="37" t="str">
        <f aca="false">IF(A85="","",SUMIFS(Satışlar!$G$5:$G$1004,Satışlar!$C$5:$C$1004,A85))</f>
        <v/>
      </c>
      <c r="M85" s="41" t="str">
        <f aca="false">IF(A85="","",L85+ROW()/1000000)</f>
        <v/>
      </c>
      <c r="N85" s="41" t="str">
        <f aca="false">IF(OR(K85="Tükendi",K85="Kritik"),ROW(),"")</f>
        <v/>
      </c>
    </row>
    <row r="86" customFormat="false" ht="15" hidden="false" customHeight="false" outlineLevel="0" collapsed="false">
      <c r="A86" s="33"/>
      <c r="B86" s="36"/>
      <c r="C86" s="35"/>
      <c r="D86" s="35"/>
      <c r="E86" s="34"/>
      <c r="F86" s="34"/>
      <c r="G86" s="38" t="str">
        <f aca="false">IF(A86="","",SUMIFS(Alışlar!$D$5:$D$504,Alışlar!$C$5:$C$504,A86))</f>
        <v/>
      </c>
      <c r="H86" s="38" t="str">
        <f aca="false">IF(A86="","",SUMIFS(Satışlar!$D$5:$D$1004,Satışlar!$C$5:$C$1004,A86))</f>
        <v/>
      </c>
      <c r="I86" s="39" t="str">
        <f aca="false">IF(A86="","",E86+G86-H86)</f>
        <v/>
      </c>
      <c r="J86" s="37" t="str">
        <f aca="false">IF(A86="","",I86*C86)</f>
        <v/>
      </c>
      <c r="K86" s="40" t="str">
        <f aca="false">IF(A86="","",IF(I86&lt;=0,"Tükendi",IF(I86&lt;=F86,"Kritik","Yeterli")))</f>
        <v/>
      </c>
      <c r="L86" s="37" t="str">
        <f aca="false">IF(A86="","",SUMIFS(Satışlar!$G$5:$G$1004,Satışlar!$C$5:$C$1004,A86))</f>
        <v/>
      </c>
      <c r="M86" s="41" t="str">
        <f aca="false">IF(A86="","",L86+ROW()/1000000)</f>
        <v/>
      </c>
      <c r="N86" s="41" t="str">
        <f aca="false">IF(OR(K86="Tükendi",K86="Kritik"),ROW(),"")</f>
        <v/>
      </c>
    </row>
    <row r="87" customFormat="false" ht="15" hidden="false" customHeight="false" outlineLevel="0" collapsed="false">
      <c r="A87" s="33"/>
      <c r="B87" s="36"/>
      <c r="C87" s="35"/>
      <c r="D87" s="35"/>
      <c r="E87" s="34"/>
      <c r="F87" s="34"/>
      <c r="G87" s="38" t="str">
        <f aca="false">IF(A87="","",SUMIFS(Alışlar!$D$5:$D$504,Alışlar!$C$5:$C$504,A87))</f>
        <v/>
      </c>
      <c r="H87" s="38" t="str">
        <f aca="false">IF(A87="","",SUMIFS(Satışlar!$D$5:$D$1004,Satışlar!$C$5:$C$1004,A87))</f>
        <v/>
      </c>
      <c r="I87" s="39" t="str">
        <f aca="false">IF(A87="","",E87+G87-H87)</f>
        <v/>
      </c>
      <c r="J87" s="37" t="str">
        <f aca="false">IF(A87="","",I87*C87)</f>
        <v/>
      </c>
      <c r="K87" s="40" t="str">
        <f aca="false">IF(A87="","",IF(I87&lt;=0,"Tükendi",IF(I87&lt;=F87,"Kritik","Yeterli")))</f>
        <v/>
      </c>
      <c r="L87" s="37" t="str">
        <f aca="false">IF(A87="","",SUMIFS(Satışlar!$G$5:$G$1004,Satışlar!$C$5:$C$1004,A87))</f>
        <v/>
      </c>
      <c r="M87" s="41" t="str">
        <f aca="false">IF(A87="","",L87+ROW()/1000000)</f>
        <v/>
      </c>
      <c r="N87" s="41" t="str">
        <f aca="false">IF(OR(K87="Tükendi",K87="Kritik"),ROW(),"")</f>
        <v/>
      </c>
    </row>
    <row r="88" customFormat="false" ht="15" hidden="false" customHeight="false" outlineLevel="0" collapsed="false">
      <c r="A88" s="33"/>
      <c r="B88" s="36"/>
      <c r="C88" s="35"/>
      <c r="D88" s="35"/>
      <c r="E88" s="34"/>
      <c r="F88" s="34"/>
      <c r="G88" s="38" t="str">
        <f aca="false">IF(A88="","",SUMIFS(Alışlar!$D$5:$D$504,Alışlar!$C$5:$C$504,A88))</f>
        <v/>
      </c>
      <c r="H88" s="38" t="str">
        <f aca="false">IF(A88="","",SUMIFS(Satışlar!$D$5:$D$1004,Satışlar!$C$5:$C$1004,A88))</f>
        <v/>
      </c>
      <c r="I88" s="39" t="str">
        <f aca="false">IF(A88="","",E88+G88-H88)</f>
        <v/>
      </c>
      <c r="J88" s="37" t="str">
        <f aca="false">IF(A88="","",I88*C88)</f>
        <v/>
      </c>
      <c r="K88" s="40" t="str">
        <f aca="false">IF(A88="","",IF(I88&lt;=0,"Tükendi",IF(I88&lt;=F88,"Kritik","Yeterli")))</f>
        <v/>
      </c>
      <c r="L88" s="37" t="str">
        <f aca="false">IF(A88="","",SUMIFS(Satışlar!$G$5:$G$1004,Satışlar!$C$5:$C$1004,A88))</f>
        <v/>
      </c>
      <c r="M88" s="41" t="str">
        <f aca="false">IF(A88="","",L88+ROW()/1000000)</f>
        <v/>
      </c>
      <c r="N88" s="41" t="str">
        <f aca="false">IF(OR(K88="Tükendi",K88="Kritik"),ROW(),"")</f>
        <v/>
      </c>
    </row>
    <row r="89" customFormat="false" ht="15" hidden="false" customHeight="false" outlineLevel="0" collapsed="false">
      <c r="A89" s="33"/>
      <c r="B89" s="36"/>
      <c r="C89" s="35"/>
      <c r="D89" s="35"/>
      <c r="E89" s="34"/>
      <c r="F89" s="34"/>
      <c r="G89" s="38" t="str">
        <f aca="false">IF(A89="","",SUMIFS(Alışlar!$D$5:$D$504,Alışlar!$C$5:$C$504,A89))</f>
        <v/>
      </c>
      <c r="H89" s="38" t="str">
        <f aca="false">IF(A89="","",SUMIFS(Satışlar!$D$5:$D$1004,Satışlar!$C$5:$C$1004,A89))</f>
        <v/>
      </c>
      <c r="I89" s="39" t="str">
        <f aca="false">IF(A89="","",E89+G89-H89)</f>
        <v/>
      </c>
      <c r="J89" s="37" t="str">
        <f aca="false">IF(A89="","",I89*C89)</f>
        <v/>
      </c>
      <c r="K89" s="40" t="str">
        <f aca="false">IF(A89="","",IF(I89&lt;=0,"Tükendi",IF(I89&lt;=F89,"Kritik","Yeterli")))</f>
        <v/>
      </c>
      <c r="L89" s="37" t="str">
        <f aca="false">IF(A89="","",SUMIFS(Satışlar!$G$5:$G$1004,Satışlar!$C$5:$C$1004,A89))</f>
        <v/>
      </c>
      <c r="M89" s="41" t="str">
        <f aca="false">IF(A89="","",L89+ROW()/1000000)</f>
        <v/>
      </c>
      <c r="N89" s="41" t="str">
        <f aca="false">IF(OR(K89="Tükendi",K89="Kritik"),ROW(),"")</f>
        <v/>
      </c>
    </row>
    <row r="90" customFormat="false" ht="15" hidden="false" customHeight="false" outlineLevel="0" collapsed="false">
      <c r="A90" s="33"/>
      <c r="B90" s="36"/>
      <c r="C90" s="35"/>
      <c r="D90" s="35"/>
      <c r="E90" s="34"/>
      <c r="F90" s="34"/>
      <c r="G90" s="38" t="str">
        <f aca="false">IF(A90="","",SUMIFS(Alışlar!$D$5:$D$504,Alışlar!$C$5:$C$504,A90))</f>
        <v/>
      </c>
      <c r="H90" s="38" t="str">
        <f aca="false">IF(A90="","",SUMIFS(Satışlar!$D$5:$D$1004,Satışlar!$C$5:$C$1004,A90))</f>
        <v/>
      </c>
      <c r="I90" s="39" t="str">
        <f aca="false">IF(A90="","",E90+G90-H90)</f>
        <v/>
      </c>
      <c r="J90" s="37" t="str">
        <f aca="false">IF(A90="","",I90*C90)</f>
        <v/>
      </c>
      <c r="K90" s="40" t="str">
        <f aca="false">IF(A90="","",IF(I90&lt;=0,"Tükendi",IF(I90&lt;=F90,"Kritik","Yeterli")))</f>
        <v/>
      </c>
      <c r="L90" s="37" t="str">
        <f aca="false">IF(A90="","",SUMIFS(Satışlar!$G$5:$G$1004,Satışlar!$C$5:$C$1004,A90))</f>
        <v/>
      </c>
      <c r="M90" s="41" t="str">
        <f aca="false">IF(A90="","",L90+ROW()/1000000)</f>
        <v/>
      </c>
      <c r="N90" s="41" t="str">
        <f aca="false">IF(OR(K90="Tükendi",K90="Kritik"),ROW(),"")</f>
        <v/>
      </c>
    </row>
    <row r="91" customFormat="false" ht="15" hidden="false" customHeight="false" outlineLevel="0" collapsed="false">
      <c r="A91" s="33"/>
      <c r="B91" s="36"/>
      <c r="C91" s="35"/>
      <c r="D91" s="35"/>
      <c r="E91" s="34"/>
      <c r="F91" s="34"/>
      <c r="G91" s="38" t="str">
        <f aca="false">IF(A91="","",SUMIFS(Alışlar!$D$5:$D$504,Alışlar!$C$5:$C$504,A91))</f>
        <v/>
      </c>
      <c r="H91" s="38" t="str">
        <f aca="false">IF(A91="","",SUMIFS(Satışlar!$D$5:$D$1004,Satışlar!$C$5:$C$1004,A91))</f>
        <v/>
      </c>
      <c r="I91" s="39" t="str">
        <f aca="false">IF(A91="","",E91+G91-H91)</f>
        <v/>
      </c>
      <c r="J91" s="37" t="str">
        <f aca="false">IF(A91="","",I91*C91)</f>
        <v/>
      </c>
      <c r="K91" s="40" t="str">
        <f aca="false">IF(A91="","",IF(I91&lt;=0,"Tükendi",IF(I91&lt;=F91,"Kritik","Yeterli")))</f>
        <v/>
      </c>
      <c r="L91" s="37" t="str">
        <f aca="false">IF(A91="","",SUMIFS(Satışlar!$G$5:$G$1004,Satışlar!$C$5:$C$1004,A91))</f>
        <v/>
      </c>
      <c r="M91" s="41" t="str">
        <f aca="false">IF(A91="","",L91+ROW()/1000000)</f>
        <v/>
      </c>
      <c r="N91" s="41" t="str">
        <f aca="false">IF(OR(K91="Tükendi",K91="Kritik"),ROW(),"")</f>
        <v/>
      </c>
    </row>
    <row r="92" customFormat="false" ht="15" hidden="false" customHeight="false" outlineLevel="0" collapsed="false">
      <c r="A92" s="33"/>
      <c r="B92" s="36"/>
      <c r="C92" s="35"/>
      <c r="D92" s="35"/>
      <c r="E92" s="34"/>
      <c r="F92" s="34"/>
      <c r="G92" s="38" t="str">
        <f aca="false">IF(A92="","",SUMIFS(Alışlar!$D$5:$D$504,Alışlar!$C$5:$C$504,A92))</f>
        <v/>
      </c>
      <c r="H92" s="38" t="str">
        <f aca="false">IF(A92="","",SUMIFS(Satışlar!$D$5:$D$1004,Satışlar!$C$5:$C$1004,A92))</f>
        <v/>
      </c>
      <c r="I92" s="39" t="str">
        <f aca="false">IF(A92="","",E92+G92-H92)</f>
        <v/>
      </c>
      <c r="J92" s="37" t="str">
        <f aca="false">IF(A92="","",I92*C92)</f>
        <v/>
      </c>
      <c r="K92" s="40" t="str">
        <f aca="false">IF(A92="","",IF(I92&lt;=0,"Tükendi",IF(I92&lt;=F92,"Kritik","Yeterli")))</f>
        <v/>
      </c>
      <c r="L92" s="37" t="str">
        <f aca="false">IF(A92="","",SUMIFS(Satışlar!$G$5:$G$1004,Satışlar!$C$5:$C$1004,A92))</f>
        <v/>
      </c>
      <c r="M92" s="41" t="str">
        <f aca="false">IF(A92="","",L92+ROW()/1000000)</f>
        <v/>
      </c>
      <c r="N92" s="41" t="str">
        <f aca="false">IF(OR(K92="Tükendi",K92="Kritik"),ROW(),"")</f>
        <v/>
      </c>
    </row>
    <row r="93" customFormat="false" ht="15" hidden="false" customHeight="false" outlineLevel="0" collapsed="false">
      <c r="A93" s="33"/>
      <c r="B93" s="36"/>
      <c r="C93" s="35"/>
      <c r="D93" s="35"/>
      <c r="E93" s="34"/>
      <c r="F93" s="34"/>
      <c r="G93" s="38" t="str">
        <f aca="false">IF(A93="","",SUMIFS(Alışlar!$D$5:$D$504,Alışlar!$C$5:$C$504,A93))</f>
        <v/>
      </c>
      <c r="H93" s="38" t="str">
        <f aca="false">IF(A93="","",SUMIFS(Satışlar!$D$5:$D$1004,Satışlar!$C$5:$C$1004,A93))</f>
        <v/>
      </c>
      <c r="I93" s="39" t="str">
        <f aca="false">IF(A93="","",E93+G93-H93)</f>
        <v/>
      </c>
      <c r="J93" s="37" t="str">
        <f aca="false">IF(A93="","",I93*C93)</f>
        <v/>
      </c>
      <c r="K93" s="40" t="str">
        <f aca="false">IF(A93="","",IF(I93&lt;=0,"Tükendi",IF(I93&lt;=F93,"Kritik","Yeterli")))</f>
        <v/>
      </c>
      <c r="L93" s="37" t="str">
        <f aca="false">IF(A93="","",SUMIFS(Satışlar!$G$5:$G$1004,Satışlar!$C$5:$C$1004,A93))</f>
        <v/>
      </c>
      <c r="M93" s="41" t="str">
        <f aca="false">IF(A93="","",L93+ROW()/1000000)</f>
        <v/>
      </c>
      <c r="N93" s="41" t="str">
        <f aca="false">IF(OR(K93="Tükendi",K93="Kritik"),ROW(),"")</f>
        <v/>
      </c>
    </row>
    <row r="94" customFormat="false" ht="15" hidden="false" customHeight="false" outlineLevel="0" collapsed="false">
      <c r="A94" s="33"/>
      <c r="B94" s="36"/>
      <c r="C94" s="35"/>
      <c r="D94" s="35"/>
      <c r="E94" s="34"/>
      <c r="F94" s="34"/>
      <c r="G94" s="38" t="str">
        <f aca="false">IF(A94="","",SUMIFS(Alışlar!$D$5:$D$504,Alışlar!$C$5:$C$504,A94))</f>
        <v/>
      </c>
      <c r="H94" s="38" t="str">
        <f aca="false">IF(A94="","",SUMIFS(Satışlar!$D$5:$D$1004,Satışlar!$C$5:$C$1004,A94))</f>
        <v/>
      </c>
      <c r="I94" s="39" t="str">
        <f aca="false">IF(A94="","",E94+G94-H94)</f>
        <v/>
      </c>
      <c r="J94" s="37" t="str">
        <f aca="false">IF(A94="","",I94*C94)</f>
        <v/>
      </c>
      <c r="K94" s="40" t="str">
        <f aca="false">IF(A94="","",IF(I94&lt;=0,"Tükendi",IF(I94&lt;=F94,"Kritik","Yeterli")))</f>
        <v/>
      </c>
      <c r="L94" s="37" t="str">
        <f aca="false">IF(A94="","",SUMIFS(Satışlar!$G$5:$G$1004,Satışlar!$C$5:$C$1004,A94))</f>
        <v/>
      </c>
      <c r="M94" s="41" t="str">
        <f aca="false">IF(A94="","",L94+ROW()/1000000)</f>
        <v/>
      </c>
      <c r="N94" s="41" t="str">
        <f aca="false">IF(OR(K94="Tükendi",K94="Kritik"),ROW(),"")</f>
        <v/>
      </c>
    </row>
    <row r="95" customFormat="false" ht="15" hidden="false" customHeight="false" outlineLevel="0" collapsed="false">
      <c r="A95" s="33"/>
      <c r="B95" s="36"/>
      <c r="C95" s="35"/>
      <c r="D95" s="35"/>
      <c r="E95" s="34"/>
      <c r="F95" s="34"/>
      <c r="G95" s="38" t="str">
        <f aca="false">IF(A95="","",SUMIFS(Alışlar!$D$5:$D$504,Alışlar!$C$5:$C$504,A95))</f>
        <v/>
      </c>
      <c r="H95" s="38" t="str">
        <f aca="false">IF(A95="","",SUMIFS(Satışlar!$D$5:$D$1004,Satışlar!$C$5:$C$1004,A95))</f>
        <v/>
      </c>
      <c r="I95" s="39" t="str">
        <f aca="false">IF(A95="","",E95+G95-H95)</f>
        <v/>
      </c>
      <c r="J95" s="37" t="str">
        <f aca="false">IF(A95="","",I95*C95)</f>
        <v/>
      </c>
      <c r="K95" s="40" t="str">
        <f aca="false">IF(A95="","",IF(I95&lt;=0,"Tükendi",IF(I95&lt;=F95,"Kritik","Yeterli")))</f>
        <v/>
      </c>
      <c r="L95" s="37" t="str">
        <f aca="false">IF(A95="","",SUMIFS(Satışlar!$G$5:$G$1004,Satışlar!$C$5:$C$1004,A95))</f>
        <v/>
      </c>
      <c r="M95" s="41" t="str">
        <f aca="false">IF(A95="","",L95+ROW()/1000000)</f>
        <v/>
      </c>
      <c r="N95" s="41" t="str">
        <f aca="false">IF(OR(K95="Tükendi",K95="Kritik"),ROW(),"")</f>
        <v/>
      </c>
    </row>
    <row r="96" customFormat="false" ht="15" hidden="false" customHeight="false" outlineLevel="0" collapsed="false">
      <c r="A96" s="33"/>
      <c r="B96" s="36"/>
      <c r="C96" s="35"/>
      <c r="D96" s="35"/>
      <c r="E96" s="34"/>
      <c r="F96" s="34"/>
      <c r="G96" s="38" t="str">
        <f aca="false">IF(A96="","",SUMIFS(Alışlar!$D$5:$D$504,Alışlar!$C$5:$C$504,A96))</f>
        <v/>
      </c>
      <c r="H96" s="38" t="str">
        <f aca="false">IF(A96="","",SUMIFS(Satışlar!$D$5:$D$1004,Satışlar!$C$5:$C$1004,A96))</f>
        <v/>
      </c>
      <c r="I96" s="39" t="str">
        <f aca="false">IF(A96="","",E96+G96-H96)</f>
        <v/>
      </c>
      <c r="J96" s="37" t="str">
        <f aca="false">IF(A96="","",I96*C96)</f>
        <v/>
      </c>
      <c r="K96" s="40" t="str">
        <f aca="false">IF(A96="","",IF(I96&lt;=0,"Tükendi",IF(I96&lt;=F96,"Kritik","Yeterli")))</f>
        <v/>
      </c>
      <c r="L96" s="37" t="str">
        <f aca="false">IF(A96="","",SUMIFS(Satışlar!$G$5:$G$1004,Satışlar!$C$5:$C$1004,A96))</f>
        <v/>
      </c>
      <c r="M96" s="41" t="str">
        <f aca="false">IF(A96="","",L96+ROW()/1000000)</f>
        <v/>
      </c>
      <c r="N96" s="41" t="str">
        <f aca="false">IF(OR(K96="Tükendi",K96="Kritik"),ROW(),"")</f>
        <v/>
      </c>
    </row>
    <row r="97" customFormat="false" ht="15" hidden="false" customHeight="false" outlineLevel="0" collapsed="false">
      <c r="A97" s="33"/>
      <c r="B97" s="36"/>
      <c r="C97" s="35"/>
      <c r="D97" s="35"/>
      <c r="E97" s="34"/>
      <c r="F97" s="34"/>
      <c r="G97" s="38" t="str">
        <f aca="false">IF(A97="","",SUMIFS(Alışlar!$D$5:$D$504,Alışlar!$C$5:$C$504,A97))</f>
        <v/>
      </c>
      <c r="H97" s="38" t="str">
        <f aca="false">IF(A97="","",SUMIFS(Satışlar!$D$5:$D$1004,Satışlar!$C$5:$C$1004,A97))</f>
        <v/>
      </c>
      <c r="I97" s="39" t="str">
        <f aca="false">IF(A97="","",E97+G97-H97)</f>
        <v/>
      </c>
      <c r="J97" s="37" t="str">
        <f aca="false">IF(A97="","",I97*C97)</f>
        <v/>
      </c>
      <c r="K97" s="40" t="str">
        <f aca="false">IF(A97="","",IF(I97&lt;=0,"Tükendi",IF(I97&lt;=F97,"Kritik","Yeterli")))</f>
        <v/>
      </c>
      <c r="L97" s="37" t="str">
        <f aca="false">IF(A97="","",SUMIFS(Satışlar!$G$5:$G$1004,Satışlar!$C$5:$C$1004,A97))</f>
        <v/>
      </c>
      <c r="M97" s="41" t="str">
        <f aca="false">IF(A97="","",L97+ROW()/1000000)</f>
        <v/>
      </c>
      <c r="N97" s="41" t="str">
        <f aca="false">IF(OR(K97="Tükendi",K97="Kritik"),ROW(),"")</f>
        <v/>
      </c>
    </row>
    <row r="98" customFormat="false" ht="15" hidden="false" customHeight="false" outlineLevel="0" collapsed="false">
      <c r="A98" s="33"/>
      <c r="B98" s="36"/>
      <c r="C98" s="35"/>
      <c r="D98" s="35"/>
      <c r="E98" s="34"/>
      <c r="F98" s="34"/>
      <c r="G98" s="38" t="str">
        <f aca="false">IF(A98="","",SUMIFS(Alışlar!$D$5:$D$504,Alışlar!$C$5:$C$504,A98))</f>
        <v/>
      </c>
      <c r="H98" s="38" t="str">
        <f aca="false">IF(A98="","",SUMIFS(Satışlar!$D$5:$D$1004,Satışlar!$C$5:$C$1004,A98))</f>
        <v/>
      </c>
      <c r="I98" s="39" t="str">
        <f aca="false">IF(A98="","",E98+G98-H98)</f>
        <v/>
      </c>
      <c r="J98" s="37" t="str">
        <f aca="false">IF(A98="","",I98*C98)</f>
        <v/>
      </c>
      <c r="K98" s="40" t="str">
        <f aca="false">IF(A98="","",IF(I98&lt;=0,"Tükendi",IF(I98&lt;=F98,"Kritik","Yeterli")))</f>
        <v/>
      </c>
      <c r="L98" s="37" t="str">
        <f aca="false">IF(A98="","",SUMIFS(Satışlar!$G$5:$G$1004,Satışlar!$C$5:$C$1004,A98))</f>
        <v/>
      </c>
      <c r="M98" s="41" t="str">
        <f aca="false">IF(A98="","",L98+ROW()/1000000)</f>
        <v/>
      </c>
      <c r="N98" s="41" t="str">
        <f aca="false">IF(OR(K98="Tükendi",K98="Kritik"),ROW(),"")</f>
        <v/>
      </c>
    </row>
    <row r="99" customFormat="false" ht="15" hidden="false" customHeight="false" outlineLevel="0" collapsed="false">
      <c r="A99" s="33"/>
      <c r="B99" s="36"/>
      <c r="C99" s="35"/>
      <c r="D99" s="35"/>
      <c r="E99" s="34"/>
      <c r="F99" s="34"/>
      <c r="G99" s="38" t="str">
        <f aca="false">IF(A99="","",SUMIFS(Alışlar!$D$5:$D$504,Alışlar!$C$5:$C$504,A99))</f>
        <v/>
      </c>
      <c r="H99" s="38" t="str">
        <f aca="false">IF(A99="","",SUMIFS(Satışlar!$D$5:$D$1004,Satışlar!$C$5:$C$1004,A99))</f>
        <v/>
      </c>
      <c r="I99" s="39" t="str">
        <f aca="false">IF(A99="","",E99+G99-H99)</f>
        <v/>
      </c>
      <c r="J99" s="37" t="str">
        <f aca="false">IF(A99="","",I99*C99)</f>
        <v/>
      </c>
      <c r="K99" s="40" t="str">
        <f aca="false">IF(A99="","",IF(I99&lt;=0,"Tükendi",IF(I99&lt;=F99,"Kritik","Yeterli")))</f>
        <v/>
      </c>
      <c r="L99" s="37" t="str">
        <f aca="false">IF(A99="","",SUMIFS(Satışlar!$G$5:$G$1004,Satışlar!$C$5:$C$1004,A99))</f>
        <v/>
      </c>
      <c r="M99" s="41" t="str">
        <f aca="false">IF(A99="","",L99+ROW()/1000000)</f>
        <v/>
      </c>
      <c r="N99" s="41" t="str">
        <f aca="false">IF(OR(K99="Tükendi",K99="Kritik"),ROW(),"")</f>
        <v/>
      </c>
    </row>
    <row r="100" customFormat="false" ht="15" hidden="false" customHeight="false" outlineLevel="0" collapsed="false">
      <c r="A100" s="33"/>
      <c r="B100" s="36"/>
      <c r="C100" s="35"/>
      <c r="D100" s="35"/>
      <c r="E100" s="34"/>
      <c r="F100" s="34"/>
      <c r="G100" s="38" t="str">
        <f aca="false">IF(A100="","",SUMIFS(Alışlar!$D$5:$D$504,Alışlar!$C$5:$C$504,A100))</f>
        <v/>
      </c>
      <c r="H100" s="38" t="str">
        <f aca="false">IF(A100="","",SUMIFS(Satışlar!$D$5:$D$1004,Satışlar!$C$5:$C$1004,A100))</f>
        <v/>
      </c>
      <c r="I100" s="39" t="str">
        <f aca="false">IF(A100="","",E100+G100-H100)</f>
        <v/>
      </c>
      <c r="J100" s="37" t="str">
        <f aca="false">IF(A100="","",I100*C100)</f>
        <v/>
      </c>
      <c r="K100" s="40" t="str">
        <f aca="false">IF(A100="","",IF(I100&lt;=0,"Tükendi",IF(I100&lt;=F100,"Kritik","Yeterli")))</f>
        <v/>
      </c>
      <c r="L100" s="37" t="str">
        <f aca="false">IF(A100="","",SUMIFS(Satışlar!$G$5:$G$1004,Satışlar!$C$5:$C$1004,A100))</f>
        <v/>
      </c>
      <c r="M100" s="41" t="str">
        <f aca="false">IF(A100="","",L100+ROW()/1000000)</f>
        <v/>
      </c>
      <c r="N100" s="41" t="str">
        <f aca="false">IF(OR(K100="Tükendi",K100="Kritik"),ROW(),"")</f>
        <v/>
      </c>
    </row>
    <row r="101" customFormat="false" ht="15" hidden="false" customHeight="false" outlineLevel="0" collapsed="false">
      <c r="A101" s="33"/>
      <c r="B101" s="36"/>
      <c r="C101" s="35"/>
      <c r="D101" s="35"/>
      <c r="E101" s="34"/>
      <c r="F101" s="34"/>
      <c r="G101" s="38" t="str">
        <f aca="false">IF(A101="","",SUMIFS(Alışlar!$D$5:$D$504,Alışlar!$C$5:$C$504,A101))</f>
        <v/>
      </c>
      <c r="H101" s="38" t="str">
        <f aca="false">IF(A101="","",SUMIFS(Satışlar!$D$5:$D$1004,Satışlar!$C$5:$C$1004,A101))</f>
        <v/>
      </c>
      <c r="I101" s="39" t="str">
        <f aca="false">IF(A101="","",E101+G101-H101)</f>
        <v/>
      </c>
      <c r="J101" s="37" t="str">
        <f aca="false">IF(A101="","",I101*C101)</f>
        <v/>
      </c>
      <c r="K101" s="40" t="str">
        <f aca="false">IF(A101="","",IF(I101&lt;=0,"Tükendi",IF(I101&lt;=F101,"Kritik","Yeterli")))</f>
        <v/>
      </c>
      <c r="L101" s="37" t="str">
        <f aca="false">IF(A101="","",SUMIFS(Satışlar!$G$5:$G$1004,Satışlar!$C$5:$C$1004,A101))</f>
        <v/>
      </c>
      <c r="M101" s="41" t="str">
        <f aca="false">IF(A101="","",L101+ROW()/1000000)</f>
        <v/>
      </c>
      <c r="N101" s="41" t="str">
        <f aca="false">IF(OR(K101="Tükendi",K101="Kritik"),ROW(),"")</f>
        <v/>
      </c>
    </row>
    <row r="102" customFormat="false" ht="15" hidden="false" customHeight="false" outlineLevel="0" collapsed="false">
      <c r="A102" s="33"/>
      <c r="B102" s="36"/>
      <c r="C102" s="35"/>
      <c r="D102" s="35"/>
      <c r="E102" s="34"/>
      <c r="F102" s="34"/>
      <c r="G102" s="38" t="str">
        <f aca="false">IF(A102="","",SUMIFS(Alışlar!$D$5:$D$504,Alışlar!$C$5:$C$504,A102))</f>
        <v/>
      </c>
      <c r="H102" s="38" t="str">
        <f aca="false">IF(A102="","",SUMIFS(Satışlar!$D$5:$D$1004,Satışlar!$C$5:$C$1004,A102))</f>
        <v/>
      </c>
      <c r="I102" s="39" t="str">
        <f aca="false">IF(A102="","",E102+G102-H102)</f>
        <v/>
      </c>
      <c r="J102" s="37" t="str">
        <f aca="false">IF(A102="","",I102*C102)</f>
        <v/>
      </c>
      <c r="K102" s="40" t="str">
        <f aca="false">IF(A102="","",IF(I102&lt;=0,"Tükendi",IF(I102&lt;=F102,"Kritik","Yeterli")))</f>
        <v/>
      </c>
      <c r="L102" s="37" t="str">
        <f aca="false">IF(A102="","",SUMIFS(Satışlar!$G$5:$G$1004,Satışlar!$C$5:$C$1004,A102))</f>
        <v/>
      </c>
      <c r="M102" s="41" t="str">
        <f aca="false">IF(A102="","",L102+ROW()/1000000)</f>
        <v/>
      </c>
      <c r="N102" s="41" t="str">
        <f aca="false">IF(OR(K102="Tükendi",K102="Kritik"),ROW(),"")</f>
        <v/>
      </c>
    </row>
    <row r="103" customFormat="false" ht="15" hidden="false" customHeight="false" outlineLevel="0" collapsed="false">
      <c r="A103" s="33"/>
      <c r="B103" s="36"/>
      <c r="C103" s="35"/>
      <c r="D103" s="35"/>
      <c r="E103" s="34"/>
      <c r="F103" s="34"/>
      <c r="G103" s="38" t="str">
        <f aca="false">IF(A103="","",SUMIFS(Alışlar!$D$5:$D$504,Alışlar!$C$5:$C$504,A103))</f>
        <v/>
      </c>
      <c r="H103" s="38" t="str">
        <f aca="false">IF(A103="","",SUMIFS(Satışlar!$D$5:$D$1004,Satışlar!$C$5:$C$1004,A103))</f>
        <v/>
      </c>
      <c r="I103" s="39" t="str">
        <f aca="false">IF(A103="","",E103+G103-H103)</f>
        <v/>
      </c>
      <c r="J103" s="37" t="str">
        <f aca="false">IF(A103="","",I103*C103)</f>
        <v/>
      </c>
      <c r="K103" s="40" t="str">
        <f aca="false">IF(A103="","",IF(I103&lt;=0,"Tükendi",IF(I103&lt;=F103,"Kritik","Yeterli")))</f>
        <v/>
      </c>
      <c r="L103" s="37" t="str">
        <f aca="false">IF(A103="","",SUMIFS(Satışlar!$G$5:$G$1004,Satışlar!$C$5:$C$1004,A103))</f>
        <v/>
      </c>
      <c r="M103" s="41" t="str">
        <f aca="false">IF(A103="","",L103+ROW()/1000000)</f>
        <v/>
      </c>
      <c r="N103" s="41" t="str">
        <f aca="false">IF(OR(K103="Tükendi",K103="Kritik"),ROW(),"")</f>
        <v/>
      </c>
    </row>
    <row r="104" customFormat="false" ht="15" hidden="false" customHeight="false" outlineLevel="0" collapsed="false">
      <c r="A104" s="33"/>
      <c r="B104" s="36"/>
      <c r="C104" s="35"/>
      <c r="D104" s="35"/>
      <c r="E104" s="34"/>
      <c r="F104" s="34"/>
      <c r="G104" s="38" t="str">
        <f aca="false">IF(A104="","",SUMIFS(Alışlar!$D$5:$D$504,Alışlar!$C$5:$C$504,A104))</f>
        <v/>
      </c>
      <c r="H104" s="38" t="str">
        <f aca="false">IF(A104="","",SUMIFS(Satışlar!$D$5:$D$1004,Satışlar!$C$5:$C$1004,A104))</f>
        <v/>
      </c>
      <c r="I104" s="39" t="str">
        <f aca="false">IF(A104="","",E104+G104-H104)</f>
        <v/>
      </c>
      <c r="J104" s="37" t="str">
        <f aca="false">IF(A104="","",I104*C104)</f>
        <v/>
      </c>
      <c r="K104" s="40" t="str">
        <f aca="false">IF(A104="","",IF(I104&lt;=0,"Tükendi",IF(I104&lt;=F104,"Kritik","Yeterli")))</f>
        <v/>
      </c>
      <c r="L104" s="37" t="str">
        <f aca="false">IF(A104="","",SUMIFS(Satışlar!$G$5:$G$1004,Satışlar!$C$5:$C$1004,A104))</f>
        <v/>
      </c>
      <c r="M104" s="41" t="str">
        <f aca="false">IF(A104="","",L104+ROW()/1000000)</f>
        <v/>
      </c>
      <c r="N104" s="41" t="str">
        <f aca="false">IF(OR(K104="Tükendi",K104="Kritik"),ROW(),"")</f>
        <v/>
      </c>
    </row>
    <row r="105" customFormat="false" ht="15" hidden="false" customHeight="false" outlineLevel="0" collapsed="false">
      <c r="A105" s="33"/>
      <c r="B105" s="36"/>
      <c r="C105" s="35"/>
      <c r="D105" s="35"/>
      <c r="E105" s="34"/>
      <c r="F105" s="34"/>
      <c r="G105" s="38" t="str">
        <f aca="false">IF(A105="","",SUMIFS(Alışlar!$D$5:$D$504,Alışlar!$C$5:$C$504,A105))</f>
        <v/>
      </c>
      <c r="H105" s="38" t="str">
        <f aca="false">IF(A105="","",SUMIFS(Satışlar!$D$5:$D$1004,Satışlar!$C$5:$C$1004,A105))</f>
        <v/>
      </c>
      <c r="I105" s="39" t="str">
        <f aca="false">IF(A105="","",E105+G105-H105)</f>
        <v/>
      </c>
      <c r="J105" s="37" t="str">
        <f aca="false">IF(A105="","",I105*C105)</f>
        <v/>
      </c>
      <c r="K105" s="40" t="str">
        <f aca="false">IF(A105="","",IF(I105&lt;=0,"Tükendi",IF(I105&lt;=F105,"Kritik","Yeterli")))</f>
        <v/>
      </c>
      <c r="L105" s="37" t="str">
        <f aca="false">IF(A105="","",SUMIFS(Satışlar!$G$5:$G$1004,Satışlar!$C$5:$C$1004,A105))</f>
        <v/>
      </c>
      <c r="M105" s="41" t="str">
        <f aca="false">IF(A105="","",L105+ROW()/1000000)</f>
        <v/>
      </c>
      <c r="N105" s="41" t="str">
        <f aca="false">IF(OR(K105="Tükendi",K105="Kritik"),ROW(),"")</f>
        <v/>
      </c>
    </row>
    <row r="106" customFormat="false" ht="15" hidden="false" customHeight="false" outlineLevel="0" collapsed="false">
      <c r="A106" s="33"/>
      <c r="B106" s="36"/>
      <c r="C106" s="35"/>
      <c r="D106" s="35"/>
      <c r="E106" s="34"/>
      <c r="F106" s="34"/>
      <c r="G106" s="38" t="str">
        <f aca="false">IF(A106="","",SUMIFS(Alışlar!$D$5:$D$504,Alışlar!$C$5:$C$504,A106))</f>
        <v/>
      </c>
      <c r="H106" s="38" t="str">
        <f aca="false">IF(A106="","",SUMIFS(Satışlar!$D$5:$D$1004,Satışlar!$C$5:$C$1004,A106))</f>
        <v/>
      </c>
      <c r="I106" s="39" t="str">
        <f aca="false">IF(A106="","",E106+G106-H106)</f>
        <v/>
      </c>
      <c r="J106" s="37" t="str">
        <f aca="false">IF(A106="","",I106*C106)</f>
        <v/>
      </c>
      <c r="K106" s="40" t="str">
        <f aca="false">IF(A106="","",IF(I106&lt;=0,"Tükendi",IF(I106&lt;=F106,"Kritik","Yeterli")))</f>
        <v/>
      </c>
      <c r="L106" s="37" t="str">
        <f aca="false">IF(A106="","",SUMIFS(Satışlar!$G$5:$G$1004,Satışlar!$C$5:$C$1004,A106))</f>
        <v/>
      </c>
      <c r="M106" s="41" t="str">
        <f aca="false">IF(A106="","",L106+ROW()/1000000)</f>
        <v/>
      </c>
      <c r="N106" s="41" t="str">
        <f aca="false">IF(OR(K106="Tükendi",K106="Kritik"),ROW(),"")</f>
        <v/>
      </c>
    </row>
    <row r="107" customFormat="false" ht="15" hidden="false" customHeight="false" outlineLevel="0" collapsed="false">
      <c r="A107" s="33"/>
      <c r="B107" s="36"/>
      <c r="C107" s="35"/>
      <c r="D107" s="35"/>
      <c r="E107" s="34"/>
      <c r="F107" s="34"/>
      <c r="G107" s="38" t="str">
        <f aca="false">IF(A107="","",SUMIFS(Alışlar!$D$5:$D$504,Alışlar!$C$5:$C$504,A107))</f>
        <v/>
      </c>
      <c r="H107" s="38" t="str">
        <f aca="false">IF(A107="","",SUMIFS(Satışlar!$D$5:$D$1004,Satışlar!$C$5:$C$1004,A107))</f>
        <v/>
      </c>
      <c r="I107" s="39" t="str">
        <f aca="false">IF(A107="","",E107+G107-H107)</f>
        <v/>
      </c>
      <c r="J107" s="37" t="str">
        <f aca="false">IF(A107="","",I107*C107)</f>
        <v/>
      </c>
      <c r="K107" s="40" t="str">
        <f aca="false">IF(A107="","",IF(I107&lt;=0,"Tükendi",IF(I107&lt;=F107,"Kritik","Yeterli")))</f>
        <v/>
      </c>
      <c r="L107" s="37" t="str">
        <f aca="false">IF(A107="","",SUMIFS(Satışlar!$G$5:$G$1004,Satışlar!$C$5:$C$1004,A107))</f>
        <v/>
      </c>
      <c r="M107" s="41" t="str">
        <f aca="false">IF(A107="","",L107+ROW()/1000000)</f>
        <v/>
      </c>
      <c r="N107" s="41" t="str">
        <f aca="false">IF(OR(K107="Tükendi",K107="Kritik"),ROW(),"")</f>
        <v/>
      </c>
    </row>
    <row r="108" customFormat="false" ht="15" hidden="false" customHeight="false" outlineLevel="0" collapsed="false">
      <c r="A108" s="33"/>
      <c r="B108" s="36"/>
      <c r="C108" s="35"/>
      <c r="D108" s="35"/>
      <c r="E108" s="34"/>
      <c r="F108" s="34"/>
      <c r="G108" s="38" t="str">
        <f aca="false">IF(A108="","",SUMIFS(Alışlar!$D$5:$D$504,Alışlar!$C$5:$C$504,A108))</f>
        <v/>
      </c>
      <c r="H108" s="38" t="str">
        <f aca="false">IF(A108="","",SUMIFS(Satışlar!$D$5:$D$1004,Satışlar!$C$5:$C$1004,A108))</f>
        <v/>
      </c>
      <c r="I108" s="39" t="str">
        <f aca="false">IF(A108="","",E108+G108-H108)</f>
        <v/>
      </c>
      <c r="J108" s="37" t="str">
        <f aca="false">IF(A108="","",I108*C108)</f>
        <v/>
      </c>
      <c r="K108" s="40" t="str">
        <f aca="false">IF(A108="","",IF(I108&lt;=0,"Tükendi",IF(I108&lt;=F108,"Kritik","Yeterli")))</f>
        <v/>
      </c>
      <c r="L108" s="37" t="str">
        <f aca="false">IF(A108="","",SUMIFS(Satışlar!$G$5:$G$1004,Satışlar!$C$5:$C$1004,A108))</f>
        <v/>
      </c>
      <c r="M108" s="41" t="str">
        <f aca="false">IF(A108="","",L108+ROW()/1000000)</f>
        <v/>
      </c>
      <c r="N108" s="41" t="str">
        <f aca="false">IF(OR(K108="Tükendi",K108="Kritik"),ROW(),"")</f>
        <v/>
      </c>
    </row>
    <row r="109" customFormat="false" ht="15" hidden="false" customHeight="false" outlineLevel="0" collapsed="false">
      <c r="A109" s="33"/>
      <c r="B109" s="36"/>
      <c r="C109" s="35"/>
      <c r="D109" s="35"/>
      <c r="E109" s="34"/>
      <c r="F109" s="34"/>
      <c r="G109" s="38" t="str">
        <f aca="false">IF(A109="","",SUMIFS(Alışlar!$D$5:$D$504,Alışlar!$C$5:$C$504,A109))</f>
        <v/>
      </c>
      <c r="H109" s="38" t="str">
        <f aca="false">IF(A109="","",SUMIFS(Satışlar!$D$5:$D$1004,Satışlar!$C$5:$C$1004,A109))</f>
        <v/>
      </c>
      <c r="I109" s="39" t="str">
        <f aca="false">IF(A109="","",E109+G109-H109)</f>
        <v/>
      </c>
      <c r="J109" s="37" t="str">
        <f aca="false">IF(A109="","",I109*C109)</f>
        <v/>
      </c>
      <c r="K109" s="40" t="str">
        <f aca="false">IF(A109="","",IF(I109&lt;=0,"Tükendi",IF(I109&lt;=F109,"Kritik","Yeterli")))</f>
        <v/>
      </c>
      <c r="L109" s="37" t="str">
        <f aca="false">IF(A109="","",SUMIFS(Satışlar!$G$5:$G$1004,Satışlar!$C$5:$C$1004,A109))</f>
        <v/>
      </c>
      <c r="M109" s="41" t="str">
        <f aca="false">IF(A109="","",L109+ROW()/1000000)</f>
        <v/>
      </c>
      <c r="N109" s="41" t="str">
        <f aca="false">IF(OR(K109="Tükendi",K109="Kritik"),ROW(),"")</f>
        <v/>
      </c>
    </row>
    <row r="110" customFormat="false" ht="15" hidden="false" customHeight="false" outlineLevel="0" collapsed="false">
      <c r="A110" s="33"/>
      <c r="B110" s="36"/>
      <c r="C110" s="35"/>
      <c r="D110" s="35"/>
      <c r="E110" s="34"/>
      <c r="F110" s="34"/>
      <c r="G110" s="38" t="str">
        <f aca="false">IF(A110="","",SUMIFS(Alışlar!$D$5:$D$504,Alışlar!$C$5:$C$504,A110))</f>
        <v/>
      </c>
      <c r="H110" s="38" t="str">
        <f aca="false">IF(A110="","",SUMIFS(Satışlar!$D$5:$D$1004,Satışlar!$C$5:$C$1004,A110))</f>
        <v/>
      </c>
      <c r="I110" s="39" t="str">
        <f aca="false">IF(A110="","",E110+G110-H110)</f>
        <v/>
      </c>
      <c r="J110" s="37" t="str">
        <f aca="false">IF(A110="","",I110*C110)</f>
        <v/>
      </c>
      <c r="K110" s="40" t="str">
        <f aca="false">IF(A110="","",IF(I110&lt;=0,"Tükendi",IF(I110&lt;=F110,"Kritik","Yeterli")))</f>
        <v/>
      </c>
      <c r="L110" s="37" t="str">
        <f aca="false">IF(A110="","",SUMIFS(Satışlar!$G$5:$G$1004,Satışlar!$C$5:$C$1004,A110))</f>
        <v/>
      </c>
      <c r="M110" s="41" t="str">
        <f aca="false">IF(A110="","",L110+ROW()/1000000)</f>
        <v/>
      </c>
      <c r="N110" s="41" t="str">
        <f aca="false">IF(OR(K110="Tükendi",K110="Kritik"),ROW(),"")</f>
        <v/>
      </c>
    </row>
    <row r="111" customFormat="false" ht="15" hidden="false" customHeight="false" outlineLevel="0" collapsed="false">
      <c r="A111" s="33"/>
      <c r="B111" s="36"/>
      <c r="C111" s="35"/>
      <c r="D111" s="35"/>
      <c r="E111" s="34"/>
      <c r="F111" s="34"/>
      <c r="G111" s="38" t="str">
        <f aca="false">IF(A111="","",SUMIFS(Alışlar!$D$5:$D$504,Alışlar!$C$5:$C$504,A111))</f>
        <v/>
      </c>
      <c r="H111" s="38" t="str">
        <f aca="false">IF(A111="","",SUMIFS(Satışlar!$D$5:$D$1004,Satışlar!$C$5:$C$1004,A111))</f>
        <v/>
      </c>
      <c r="I111" s="39" t="str">
        <f aca="false">IF(A111="","",E111+G111-H111)</f>
        <v/>
      </c>
      <c r="J111" s="37" t="str">
        <f aca="false">IF(A111="","",I111*C111)</f>
        <v/>
      </c>
      <c r="K111" s="40" t="str">
        <f aca="false">IF(A111="","",IF(I111&lt;=0,"Tükendi",IF(I111&lt;=F111,"Kritik","Yeterli")))</f>
        <v/>
      </c>
      <c r="L111" s="37" t="str">
        <f aca="false">IF(A111="","",SUMIFS(Satışlar!$G$5:$G$1004,Satışlar!$C$5:$C$1004,A111))</f>
        <v/>
      </c>
      <c r="M111" s="41" t="str">
        <f aca="false">IF(A111="","",L111+ROW()/1000000)</f>
        <v/>
      </c>
      <c r="N111" s="41" t="str">
        <f aca="false">IF(OR(K111="Tükendi",K111="Kritik"),ROW(),"")</f>
        <v/>
      </c>
    </row>
    <row r="112" customFormat="false" ht="15" hidden="false" customHeight="false" outlineLevel="0" collapsed="false">
      <c r="A112" s="33"/>
      <c r="B112" s="36"/>
      <c r="C112" s="35"/>
      <c r="D112" s="35"/>
      <c r="E112" s="34"/>
      <c r="F112" s="34"/>
      <c r="G112" s="38" t="str">
        <f aca="false">IF(A112="","",SUMIFS(Alışlar!$D$5:$D$504,Alışlar!$C$5:$C$504,A112))</f>
        <v/>
      </c>
      <c r="H112" s="38" t="str">
        <f aca="false">IF(A112="","",SUMIFS(Satışlar!$D$5:$D$1004,Satışlar!$C$5:$C$1004,A112))</f>
        <v/>
      </c>
      <c r="I112" s="39" t="str">
        <f aca="false">IF(A112="","",E112+G112-H112)</f>
        <v/>
      </c>
      <c r="J112" s="37" t="str">
        <f aca="false">IF(A112="","",I112*C112)</f>
        <v/>
      </c>
      <c r="K112" s="40" t="str">
        <f aca="false">IF(A112="","",IF(I112&lt;=0,"Tükendi",IF(I112&lt;=F112,"Kritik","Yeterli")))</f>
        <v/>
      </c>
      <c r="L112" s="37" t="str">
        <f aca="false">IF(A112="","",SUMIFS(Satışlar!$G$5:$G$1004,Satışlar!$C$5:$C$1004,A112))</f>
        <v/>
      </c>
      <c r="M112" s="41" t="str">
        <f aca="false">IF(A112="","",L112+ROW()/1000000)</f>
        <v/>
      </c>
      <c r="N112" s="41" t="str">
        <f aca="false">IF(OR(K112="Tükendi",K112="Kritik"),ROW(),"")</f>
        <v/>
      </c>
    </row>
    <row r="113" customFormat="false" ht="15" hidden="false" customHeight="false" outlineLevel="0" collapsed="false">
      <c r="A113" s="33"/>
      <c r="B113" s="36"/>
      <c r="C113" s="35"/>
      <c r="D113" s="35"/>
      <c r="E113" s="34"/>
      <c r="F113" s="34"/>
      <c r="G113" s="38" t="str">
        <f aca="false">IF(A113="","",SUMIFS(Alışlar!$D$5:$D$504,Alışlar!$C$5:$C$504,A113))</f>
        <v/>
      </c>
      <c r="H113" s="38" t="str">
        <f aca="false">IF(A113="","",SUMIFS(Satışlar!$D$5:$D$1004,Satışlar!$C$5:$C$1004,A113))</f>
        <v/>
      </c>
      <c r="I113" s="39" t="str">
        <f aca="false">IF(A113="","",E113+G113-H113)</f>
        <v/>
      </c>
      <c r="J113" s="37" t="str">
        <f aca="false">IF(A113="","",I113*C113)</f>
        <v/>
      </c>
      <c r="K113" s="40" t="str">
        <f aca="false">IF(A113="","",IF(I113&lt;=0,"Tükendi",IF(I113&lt;=F113,"Kritik","Yeterli")))</f>
        <v/>
      </c>
      <c r="L113" s="37" t="str">
        <f aca="false">IF(A113="","",SUMIFS(Satışlar!$G$5:$G$1004,Satışlar!$C$5:$C$1004,A113))</f>
        <v/>
      </c>
      <c r="M113" s="41" t="str">
        <f aca="false">IF(A113="","",L113+ROW()/1000000)</f>
        <v/>
      </c>
      <c r="N113" s="41" t="str">
        <f aca="false">IF(OR(K113="Tükendi",K113="Kritik"),ROW(),"")</f>
        <v/>
      </c>
    </row>
    <row r="114" customFormat="false" ht="15" hidden="false" customHeight="false" outlineLevel="0" collapsed="false">
      <c r="A114" s="33"/>
      <c r="B114" s="36"/>
      <c r="C114" s="35"/>
      <c r="D114" s="35"/>
      <c r="E114" s="34"/>
      <c r="F114" s="34"/>
      <c r="G114" s="38" t="str">
        <f aca="false">IF(A114="","",SUMIFS(Alışlar!$D$5:$D$504,Alışlar!$C$5:$C$504,A114))</f>
        <v/>
      </c>
      <c r="H114" s="38" t="str">
        <f aca="false">IF(A114="","",SUMIFS(Satışlar!$D$5:$D$1004,Satışlar!$C$5:$C$1004,A114))</f>
        <v/>
      </c>
      <c r="I114" s="39" t="str">
        <f aca="false">IF(A114="","",E114+G114-H114)</f>
        <v/>
      </c>
      <c r="J114" s="37" t="str">
        <f aca="false">IF(A114="","",I114*C114)</f>
        <v/>
      </c>
      <c r="K114" s="40" t="str">
        <f aca="false">IF(A114="","",IF(I114&lt;=0,"Tükendi",IF(I114&lt;=F114,"Kritik","Yeterli")))</f>
        <v/>
      </c>
      <c r="L114" s="37" t="str">
        <f aca="false">IF(A114="","",SUMIFS(Satışlar!$G$5:$G$1004,Satışlar!$C$5:$C$1004,A114))</f>
        <v/>
      </c>
      <c r="M114" s="41" t="str">
        <f aca="false">IF(A114="","",L114+ROW()/1000000)</f>
        <v/>
      </c>
      <c r="N114" s="41" t="str">
        <f aca="false">IF(OR(K114="Tükendi",K114="Kritik"),ROW(),"")</f>
        <v/>
      </c>
    </row>
    <row r="115" customFormat="false" ht="15" hidden="false" customHeight="false" outlineLevel="0" collapsed="false">
      <c r="A115" s="33"/>
      <c r="B115" s="36"/>
      <c r="C115" s="35"/>
      <c r="D115" s="35"/>
      <c r="E115" s="34"/>
      <c r="F115" s="34"/>
      <c r="G115" s="38" t="str">
        <f aca="false">IF(A115="","",SUMIFS(Alışlar!$D$5:$D$504,Alışlar!$C$5:$C$504,A115))</f>
        <v/>
      </c>
      <c r="H115" s="38" t="str">
        <f aca="false">IF(A115="","",SUMIFS(Satışlar!$D$5:$D$1004,Satışlar!$C$5:$C$1004,A115))</f>
        <v/>
      </c>
      <c r="I115" s="39" t="str">
        <f aca="false">IF(A115="","",E115+G115-H115)</f>
        <v/>
      </c>
      <c r="J115" s="37" t="str">
        <f aca="false">IF(A115="","",I115*C115)</f>
        <v/>
      </c>
      <c r="K115" s="40" t="str">
        <f aca="false">IF(A115="","",IF(I115&lt;=0,"Tükendi",IF(I115&lt;=F115,"Kritik","Yeterli")))</f>
        <v/>
      </c>
      <c r="L115" s="37" t="str">
        <f aca="false">IF(A115="","",SUMIFS(Satışlar!$G$5:$G$1004,Satışlar!$C$5:$C$1004,A115))</f>
        <v/>
      </c>
      <c r="M115" s="41" t="str">
        <f aca="false">IF(A115="","",L115+ROW()/1000000)</f>
        <v/>
      </c>
      <c r="N115" s="41" t="str">
        <f aca="false">IF(OR(K115="Tükendi",K115="Kritik"),ROW(),"")</f>
        <v/>
      </c>
    </row>
    <row r="116" customFormat="false" ht="15" hidden="false" customHeight="false" outlineLevel="0" collapsed="false">
      <c r="A116" s="33"/>
      <c r="B116" s="36"/>
      <c r="C116" s="35"/>
      <c r="D116" s="35"/>
      <c r="E116" s="34"/>
      <c r="F116" s="34"/>
      <c r="G116" s="38" t="str">
        <f aca="false">IF(A116="","",SUMIFS(Alışlar!$D$5:$D$504,Alışlar!$C$5:$C$504,A116))</f>
        <v/>
      </c>
      <c r="H116" s="38" t="str">
        <f aca="false">IF(A116="","",SUMIFS(Satışlar!$D$5:$D$1004,Satışlar!$C$5:$C$1004,A116))</f>
        <v/>
      </c>
      <c r="I116" s="39" t="str">
        <f aca="false">IF(A116="","",E116+G116-H116)</f>
        <v/>
      </c>
      <c r="J116" s="37" t="str">
        <f aca="false">IF(A116="","",I116*C116)</f>
        <v/>
      </c>
      <c r="K116" s="40" t="str">
        <f aca="false">IF(A116="","",IF(I116&lt;=0,"Tükendi",IF(I116&lt;=F116,"Kritik","Yeterli")))</f>
        <v/>
      </c>
      <c r="L116" s="37" t="str">
        <f aca="false">IF(A116="","",SUMIFS(Satışlar!$G$5:$G$1004,Satışlar!$C$5:$C$1004,A116))</f>
        <v/>
      </c>
      <c r="M116" s="41" t="str">
        <f aca="false">IF(A116="","",L116+ROW()/1000000)</f>
        <v/>
      </c>
      <c r="N116" s="41" t="str">
        <f aca="false">IF(OR(K116="Tükendi",K116="Kritik"),ROW(),"")</f>
        <v/>
      </c>
    </row>
    <row r="117" customFormat="false" ht="15" hidden="false" customHeight="false" outlineLevel="0" collapsed="false">
      <c r="A117" s="33"/>
      <c r="B117" s="36"/>
      <c r="C117" s="35"/>
      <c r="D117" s="35"/>
      <c r="E117" s="34"/>
      <c r="F117" s="34"/>
      <c r="G117" s="38" t="str">
        <f aca="false">IF(A117="","",SUMIFS(Alışlar!$D$5:$D$504,Alışlar!$C$5:$C$504,A117))</f>
        <v/>
      </c>
      <c r="H117" s="38" t="str">
        <f aca="false">IF(A117="","",SUMIFS(Satışlar!$D$5:$D$1004,Satışlar!$C$5:$C$1004,A117))</f>
        <v/>
      </c>
      <c r="I117" s="39" t="str">
        <f aca="false">IF(A117="","",E117+G117-H117)</f>
        <v/>
      </c>
      <c r="J117" s="37" t="str">
        <f aca="false">IF(A117="","",I117*C117)</f>
        <v/>
      </c>
      <c r="K117" s="40" t="str">
        <f aca="false">IF(A117="","",IF(I117&lt;=0,"Tükendi",IF(I117&lt;=F117,"Kritik","Yeterli")))</f>
        <v/>
      </c>
      <c r="L117" s="37" t="str">
        <f aca="false">IF(A117="","",SUMIFS(Satışlar!$G$5:$G$1004,Satışlar!$C$5:$C$1004,A117))</f>
        <v/>
      </c>
      <c r="M117" s="41" t="str">
        <f aca="false">IF(A117="","",L117+ROW()/1000000)</f>
        <v/>
      </c>
      <c r="N117" s="41" t="str">
        <f aca="false">IF(OR(K117="Tükendi",K117="Kritik"),ROW(),"")</f>
        <v/>
      </c>
    </row>
    <row r="118" customFormat="false" ht="15" hidden="false" customHeight="false" outlineLevel="0" collapsed="false">
      <c r="A118" s="33"/>
      <c r="B118" s="36"/>
      <c r="C118" s="35"/>
      <c r="D118" s="35"/>
      <c r="E118" s="34"/>
      <c r="F118" s="34"/>
      <c r="G118" s="38" t="str">
        <f aca="false">IF(A118="","",SUMIFS(Alışlar!$D$5:$D$504,Alışlar!$C$5:$C$504,A118))</f>
        <v/>
      </c>
      <c r="H118" s="38" t="str">
        <f aca="false">IF(A118="","",SUMIFS(Satışlar!$D$5:$D$1004,Satışlar!$C$5:$C$1004,A118))</f>
        <v/>
      </c>
      <c r="I118" s="39" t="str">
        <f aca="false">IF(A118="","",E118+G118-H118)</f>
        <v/>
      </c>
      <c r="J118" s="37" t="str">
        <f aca="false">IF(A118="","",I118*C118)</f>
        <v/>
      </c>
      <c r="K118" s="40" t="str">
        <f aca="false">IF(A118="","",IF(I118&lt;=0,"Tükendi",IF(I118&lt;=F118,"Kritik","Yeterli")))</f>
        <v/>
      </c>
      <c r="L118" s="37" t="str">
        <f aca="false">IF(A118="","",SUMIFS(Satışlar!$G$5:$G$1004,Satışlar!$C$5:$C$1004,A118))</f>
        <v/>
      </c>
      <c r="M118" s="41" t="str">
        <f aca="false">IF(A118="","",L118+ROW()/1000000)</f>
        <v/>
      </c>
      <c r="N118" s="41" t="str">
        <f aca="false">IF(OR(K118="Tükendi",K118="Kritik"),ROW(),"")</f>
        <v/>
      </c>
    </row>
    <row r="119" customFormat="false" ht="15" hidden="false" customHeight="false" outlineLevel="0" collapsed="false">
      <c r="A119" s="33"/>
      <c r="B119" s="36"/>
      <c r="C119" s="35"/>
      <c r="D119" s="35"/>
      <c r="E119" s="34"/>
      <c r="F119" s="34"/>
      <c r="G119" s="38" t="str">
        <f aca="false">IF(A119="","",SUMIFS(Alışlar!$D$5:$D$504,Alışlar!$C$5:$C$504,A119))</f>
        <v/>
      </c>
      <c r="H119" s="38" t="str">
        <f aca="false">IF(A119="","",SUMIFS(Satışlar!$D$5:$D$1004,Satışlar!$C$5:$C$1004,A119))</f>
        <v/>
      </c>
      <c r="I119" s="39" t="str">
        <f aca="false">IF(A119="","",E119+G119-H119)</f>
        <v/>
      </c>
      <c r="J119" s="37" t="str">
        <f aca="false">IF(A119="","",I119*C119)</f>
        <v/>
      </c>
      <c r="K119" s="40" t="str">
        <f aca="false">IF(A119="","",IF(I119&lt;=0,"Tükendi",IF(I119&lt;=F119,"Kritik","Yeterli")))</f>
        <v/>
      </c>
      <c r="L119" s="37" t="str">
        <f aca="false">IF(A119="","",SUMIFS(Satışlar!$G$5:$G$1004,Satışlar!$C$5:$C$1004,A119))</f>
        <v/>
      </c>
      <c r="M119" s="41" t="str">
        <f aca="false">IF(A119="","",L119+ROW()/1000000)</f>
        <v/>
      </c>
      <c r="N119" s="41" t="str">
        <f aca="false">IF(OR(K119="Tükendi",K119="Kritik"),ROW(),"")</f>
        <v/>
      </c>
    </row>
    <row r="120" customFormat="false" ht="15" hidden="false" customHeight="false" outlineLevel="0" collapsed="false">
      <c r="A120" s="33"/>
      <c r="B120" s="36"/>
      <c r="C120" s="35"/>
      <c r="D120" s="35"/>
      <c r="E120" s="34"/>
      <c r="F120" s="34"/>
      <c r="G120" s="38" t="str">
        <f aca="false">IF(A120="","",SUMIFS(Alışlar!$D$5:$D$504,Alışlar!$C$5:$C$504,A120))</f>
        <v/>
      </c>
      <c r="H120" s="38" t="str">
        <f aca="false">IF(A120="","",SUMIFS(Satışlar!$D$5:$D$1004,Satışlar!$C$5:$C$1004,A120))</f>
        <v/>
      </c>
      <c r="I120" s="39" t="str">
        <f aca="false">IF(A120="","",E120+G120-H120)</f>
        <v/>
      </c>
      <c r="J120" s="37" t="str">
        <f aca="false">IF(A120="","",I120*C120)</f>
        <v/>
      </c>
      <c r="K120" s="40" t="str">
        <f aca="false">IF(A120="","",IF(I120&lt;=0,"Tükendi",IF(I120&lt;=F120,"Kritik","Yeterli")))</f>
        <v/>
      </c>
      <c r="L120" s="37" t="str">
        <f aca="false">IF(A120="","",SUMIFS(Satışlar!$G$5:$G$1004,Satışlar!$C$5:$C$1004,A120))</f>
        <v/>
      </c>
      <c r="M120" s="41" t="str">
        <f aca="false">IF(A120="","",L120+ROW()/1000000)</f>
        <v/>
      </c>
      <c r="N120" s="41" t="str">
        <f aca="false">IF(OR(K120="Tükendi",K120="Kritik"),ROW(),"")</f>
        <v/>
      </c>
    </row>
    <row r="121" customFormat="false" ht="15" hidden="false" customHeight="false" outlineLevel="0" collapsed="false">
      <c r="A121" s="33"/>
      <c r="B121" s="36"/>
      <c r="C121" s="35"/>
      <c r="D121" s="35"/>
      <c r="E121" s="34"/>
      <c r="F121" s="34"/>
      <c r="G121" s="38" t="str">
        <f aca="false">IF(A121="","",SUMIFS(Alışlar!$D$5:$D$504,Alışlar!$C$5:$C$504,A121))</f>
        <v/>
      </c>
      <c r="H121" s="38" t="str">
        <f aca="false">IF(A121="","",SUMIFS(Satışlar!$D$5:$D$1004,Satışlar!$C$5:$C$1004,A121))</f>
        <v/>
      </c>
      <c r="I121" s="39" t="str">
        <f aca="false">IF(A121="","",E121+G121-H121)</f>
        <v/>
      </c>
      <c r="J121" s="37" t="str">
        <f aca="false">IF(A121="","",I121*C121)</f>
        <v/>
      </c>
      <c r="K121" s="40" t="str">
        <f aca="false">IF(A121="","",IF(I121&lt;=0,"Tükendi",IF(I121&lt;=F121,"Kritik","Yeterli")))</f>
        <v/>
      </c>
      <c r="L121" s="37" t="str">
        <f aca="false">IF(A121="","",SUMIFS(Satışlar!$G$5:$G$1004,Satışlar!$C$5:$C$1004,A121))</f>
        <v/>
      </c>
      <c r="M121" s="41" t="str">
        <f aca="false">IF(A121="","",L121+ROW()/1000000)</f>
        <v/>
      </c>
      <c r="N121" s="41" t="str">
        <f aca="false">IF(OR(K121="Tükendi",K121="Kritik"),ROW(),"")</f>
        <v/>
      </c>
    </row>
    <row r="122" customFormat="false" ht="15" hidden="false" customHeight="false" outlineLevel="0" collapsed="false">
      <c r="A122" s="33"/>
      <c r="B122" s="36"/>
      <c r="C122" s="35"/>
      <c r="D122" s="35"/>
      <c r="E122" s="34"/>
      <c r="F122" s="34"/>
      <c r="G122" s="38" t="str">
        <f aca="false">IF(A122="","",SUMIFS(Alışlar!$D$5:$D$504,Alışlar!$C$5:$C$504,A122))</f>
        <v/>
      </c>
      <c r="H122" s="38" t="str">
        <f aca="false">IF(A122="","",SUMIFS(Satışlar!$D$5:$D$1004,Satışlar!$C$5:$C$1004,A122))</f>
        <v/>
      </c>
      <c r="I122" s="39" t="str">
        <f aca="false">IF(A122="","",E122+G122-H122)</f>
        <v/>
      </c>
      <c r="J122" s="37" t="str">
        <f aca="false">IF(A122="","",I122*C122)</f>
        <v/>
      </c>
      <c r="K122" s="40" t="str">
        <f aca="false">IF(A122="","",IF(I122&lt;=0,"Tükendi",IF(I122&lt;=F122,"Kritik","Yeterli")))</f>
        <v/>
      </c>
      <c r="L122" s="37" t="str">
        <f aca="false">IF(A122="","",SUMIFS(Satışlar!$G$5:$G$1004,Satışlar!$C$5:$C$1004,A122))</f>
        <v/>
      </c>
      <c r="M122" s="41" t="str">
        <f aca="false">IF(A122="","",L122+ROW()/1000000)</f>
        <v/>
      </c>
      <c r="N122" s="41" t="str">
        <f aca="false">IF(OR(K122="Tükendi",K122="Kritik"),ROW(),"")</f>
        <v/>
      </c>
    </row>
    <row r="123" customFormat="false" ht="15" hidden="false" customHeight="false" outlineLevel="0" collapsed="false">
      <c r="A123" s="33"/>
      <c r="B123" s="36"/>
      <c r="C123" s="35"/>
      <c r="D123" s="35"/>
      <c r="E123" s="34"/>
      <c r="F123" s="34"/>
      <c r="G123" s="38" t="str">
        <f aca="false">IF(A123="","",SUMIFS(Alışlar!$D$5:$D$504,Alışlar!$C$5:$C$504,A123))</f>
        <v/>
      </c>
      <c r="H123" s="38" t="str">
        <f aca="false">IF(A123="","",SUMIFS(Satışlar!$D$5:$D$1004,Satışlar!$C$5:$C$1004,A123))</f>
        <v/>
      </c>
      <c r="I123" s="39" t="str">
        <f aca="false">IF(A123="","",E123+G123-H123)</f>
        <v/>
      </c>
      <c r="J123" s="37" t="str">
        <f aca="false">IF(A123="","",I123*C123)</f>
        <v/>
      </c>
      <c r="K123" s="40" t="str">
        <f aca="false">IF(A123="","",IF(I123&lt;=0,"Tükendi",IF(I123&lt;=F123,"Kritik","Yeterli")))</f>
        <v/>
      </c>
      <c r="L123" s="37" t="str">
        <f aca="false">IF(A123="","",SUMIFS(Satışlar!$G$5:$G$1004,Satışlar!$C$5:$C$1004,A123))</f>
        <v/>
      </c>
      <c r="M123" s="41" t="str">
        <f aca="false">IF(A123="","",L123+ROW()/1000000)</f>
        <v/>
      </c>
      <c r="N123" s="41" t="str">
        <f aca="false">IF(OR(K123="Tükendi",K123="Kritik"),ROW(),"")</f>
        <v/>
      </c>
    </row>
    <row r="124" customFormat="false" ht="15" hidden="false" customHeight="false" outlineLevel="0" collapsed="false">
      <c r="A124" s="33"/>
      <c r="B124" s="36"/>
      <c r="C124" s="35"/>
      <c r="D124" s="35"/>
      <c r="E124" s="34"/>
      <c r="F124" s="34"/>
      <c r="G124" s="38" t="str">
        <f aca="false">IF(A124="","",SUMIFS(Alışlar!$D$5:$D$504,Alışlar!$C$5:$C$504,A124))</f>
        <v/>
      </c>
      <c r="H124" s="38" t="str">
        <f aca="false">IF(A124="","",SUMIFS(Satışlar!$D$5:$D$1004,Satışlar!$C$5:$C$1004,A124))</f>
        <v/>
      </c>
      <c r="I124" s="39" t="str">
        <f aca="false">IF(A124="","",E124+G124-H124)</f>
        <v/>
      </c>
      <c r="J124" s="37" t="str">
        <f aca="false">IF(A124="","",I124*C124)</f>
        <v/>
      </c>
      <c r="K124" s="40" t="str">
        <f aca="false">IF(A124="","",IF(I124&lt;=0,"Tükendi",IF(I124&lt;=F124,"Kritik","Yeterli")))</f>
        <v/>
      </c>
      <c r="L124" s="37" t="str">
        <f aca="false">IF(A124="","",SUMIFS(Satışlar!$G$5:$G$1004,Satışlar!$C$5:$C$1004,A124))</f>
        <v/>
      </c>
      <c r="M124" s="41" t="str">
        <f aca="false">IF(A124="","",L124+ROW()/1000000)</f>
        <v/>
      </c>
      <c r="N124" s="41" t="str">
        <f aca="false">IF(OR(K124="Tükendi",K124="Kritik"),ROW(),"")</f>
        <v/>
      </c>
    </row>
    <row r="125" customFormat="false" ht="15" hidden="false" customHeight="false" outlineLevel="0" collapsed="false">
      <c r="A125" s="33"/>
      <c r="B125" s="36"/>
      <c r="C125" s="35"/>
      <c r="D125" s="35"/>
      <c r="E125" s="34"/>
      <c r="F125" s="34"/>
      <c r="G125" s="38" t="str">
        <f aca="false">IF(A125="","",SUMIFS(Alışlar!$D$5:$D$504,Alışlar!$C$5:$C$504,A125))</f>
        <v/>
      </c>
      <c r="H125" s="38" t="str">
        <f aca="false">IF(A125="","",SUMIFS(Satışlar!$D$5:$D$1004,Satışlar!$C$5:$C$1004,A125))</f>
        <v/>
      </c>
      <c r="I125" s="39" t="str">
        <f aca="false">IF(A125="","",E125+G125-H125)</f>
        <v/>
      </c>
      <c r="J125" s="37" t="str">
        <f aca="false">IF(A125="","",I125*C125)</f>
        <v/>
      </c>
      <c r="K125" s="40" t="str">
        <f aca="false">IF(A125="","",IF(I125&lt;=0,"Tükendi",IF(I125&lt;=F125,"Kritik","Yeterli")))</f>
        <v/>
      </c>
      <c r="L125" s="37" t="str">
        <f aca="false">IF(A125="","",SUMIFS(Satışlar!$G$5:$G$1004,Satışlar!$C$5:$C$1004,A125))</f>
        <v/>
      </c>
      <c r="M125" s="41" t="str">
        <f aca="false">IF(A125="","",L125+ROW()/1000000)</f>
        <v/>
      </c>
      <c r="N125" s="41" t="str">
        <f aca="false">IF(OR(K125="Tükendi",K125="Kritik"),ROW(),"")</f>
        <v/>
      </c>
    </row>
    <row r="126" customFormat="false" ht="15" hidden="false" customHeight="false" outlineLevel="0" collapsed="false">
      <c r="A126" s="33"/>
      <c r="B126" s="36"/>
      <c r="C126" s="35"/>
      <c r="D126" s="35"/>
      <c r="E126" s="34"/>
      <c r="F126" s="34"/>
      <c r="G126" s="38" t="str">
        <f aca="false">IF(A126="","",SUMIFS(Alışlar!$D$5:$D$504,Alışlar!$C$5:$C$504,A126))</f>
        <v/>
      </c>
      <c r="H126" s="38" t="str">
        <f aca="false">IF(A126="","",SUMIFS(Satışlar!$D$5:$D$1004,Satışlar!$C$5:$C$1004,A126))</f>
        <v/>
      </c>
      <c r="I126" s="39" t="str">
        <f aca="false">IF(A126="","",E126+G126-H126)</f>
        <v/>
      </c>
      <c r="J126" s="37" t="str">
        <f aca="false">IF(A126="","",I126*C126)</f>
        <v/>
      </c>
      <c r="K126" s="40" t="str">
        <f aca="false">IF(A126="","",IF(I126&lt;=0,"Tükendi",IF(I126&lt;=F126,"Kritik","Yeterli")))</f>
        <v/>
      </c>
      <c r="L126" s="37" t="str">
        <f aca="false">IF(A126="","",SUMIFS(Satışlar!$G$5:$G$1004,Satışlar!$C$5:$C$1004,A126))</f>
        <v/>
      </c>
      <c r="M126" s="41" t="str">
        <f aca="false">IF(A126="","",L126+ROW()/1000000)</f>
        <v/>
      </c>
      <c r="N126" s="41" t="str">
        <f aca="false">IF(OR(K126="Tükendi",K126="Kritik"),ROW(),"")</f>
        <v/>
      </c>
    </row>
    <row r="127" customFormat="false" ht="15" hidden="false" customHeight="false" outlineLevel="0" collapsed="false">
      <c r="A127" s="33"/>
      <c r="B127" s="36"/>
      <c r="C127" s="35"/>
      <c r="D127" s="35"/>
      <c r="E127" s="34"/>
      <c r="F127" s="34"/>
      <c r="G127" s="38" t="str">
        <f aca="false">IF(A127="","",SUMIFS(Alışlar!$D$5:$D$504,Alışlar!$C$5:$C$504,A127))</f>
        <v/>
      </c>
      <c r="H127" s="38" t="str">
        <f aca="false">IF(A127="","",SUMIFS(Satışlar!$D$5:$D$1004,Satışlar!$C$5:$C$1004,A127))</f>
        <v/>
      </c>
      <c r="I127" s="39" t="str">
        <f aca="false">IF(A127="","",E127+G127-H127)</f>
        <v/>
      </c>
      <c r="J127" s="37" t="str">
        <f aca="false">IF(A127="","",I127*C127)</f>
        <v/>
      </c>
      <c r="K127" s="40" t="str">
        <f aca="false">IF(A127="","",IF(I127&lt;=0,"Tükendi",IF(I127&lt;=F127,"Kritik","Yeterli")))</f>
        <v/>
      </c>
      <c r="L127" s="37" t="str">
        <f aca="false">IF(A127="","",SUMIFS(Satışlar!$G$5:$G$1004,Satışlar!$C$5:$C$1004,A127))</f>
        <v/>
      </c>
      <c r="M127" s="41" t="str">
        <f aca="false">IF(A127="","",L127+ROW()/1000000)</f>
        <v/>
      </c>
      <c r="N127" s="41" t="str">
        <f aca="false">IF(OR(K127="Tükendi",K127="Kritik"),ROW(),"")</f>
        <v/>
      </c>
    </row>
    <row r="128" customFormat="false" ht="15" hidden="false" customHeight="false" outlineLevel="0" collapsed="false">
      <c r="A128" s="33"/>
      <c r="B128" s="36"/>
      <c r="C128" s="35"/>
      <c r="D128" s="35"/>
      <c r="E128" s="34"/>
      <c r="F128" s="34"/>
      <c r="G128" s="38" t="str">
        <f aca="false">IF(A128="","",SUMIFS(Alışlar!$D$5:$D$504,Alışlar!$C$5:$C$504,A128))</f>
        <v/>
      </c>
      <c r="H128" s="38" t="str">
        <f aca="false">IF(A128="","",SUMIFS(Satışlar!$D$5:$D$1004,Satışlar!$C$5:$C$1004,A128))</f>
        <v/>
      </c>
      <c r="I128" s="39" t="str">
        <f aca="false">IF(A128="","",E128+G128-H128)</f>
        <v/>
      </c>
      <c r="J128" s="37" t="str">
        <f aca="false">IF(A128="","",I128*C128)</f>
        <v/>
      </c>
      <c r="K128" s="40" t="str">
        <f aca="false">IF(A128="","",IF(I128&lt;=0,"Tükendi",IF(I128&lt;=F128,"Kritik","Yeterli")))</f>
        <v/>
      </c>
      <c r="L128" s="37" t="str">
        <f aca="false">IF(A128="","",SUMIFS(Satışlar!$G$5:$G$1004,Satışlar!$C$5:$C$1004,A128))</f>
        <v/>
      </c>
      <c r="M128" s="41" t="str">
        <f aca="false">IF(A128="","",L128+ROW()/1000000)</f>
        <v/>
      </c>
      <c r="N128" s="41" t="str">
        <f aca="false">IF(OR(K128="Tükendi",K128="Kritik"),ROW(),"")</f>
        <v/>
      </c>
    </row>
    <row r="129" customFormat="false" ht="15" hidden="false" customHeight="false" outlineLevel="0" collapsed="false">
      <c r="A129" s="33"/>
      <c r="B129" s="36"/>
      <c r="C129" s="35"/>
      <c r="D129" s="35"/>
      <c r="E129" s="34"/>
      <c r="F129" s="34"/>
      <c r="G129" s="38" t="str">
        <f aca="false">IF(A129="","",SUMIFS(Alışlar!$D$5:$D$504,Alışlar!$C$5:$C$504,A129))</f>
        <v/>
      </c>
      <c r="H129" s="38" t="str">
        <f aca="false">IF(A129="","",SUMIFS(Satışlar!$D$5:$D$1004,Satışlar!$C$5:$C$1004,A129))</f>
        <v/>
      </c>
      <c r="I129" s="39" t="str">
        <f aca="false">IF(A129="","",E129+G129-H129)</f>
        <v/>
      </c>
      <c r="J129" s="37" t="str">
        <f aca="false">IF(A129="","",I129*C129)</f>
        <v/>
      </c>
      <c r="K129" s="40" t="str">
        <f aca="false">IF(A129="","",IF(I129&lt;=0,"Tükendi",IF(I129&lt;=F129,"Kritik","Yeterli")))</f>
        <v/>
      </c>
      <c r="L129" s="37" t="str">
        <f aca="false">IF(A129="","",SUMIFS(Satışlar!$G$5:$G$1004,Satışlar!$C$5:$C$1004,A129))</f>
        <v/>
      </c>
      <c r="M129" s="41" t="str">
        <f aca="false">IF(A129="","",L129+ROW()/1000000)</f>
        <v/>
      </c>
      <c r="N129" s="41" t="str">
        <f aca="false">IF(OR(K129="Tükendi",K129="Kritik"),ROW(),"")</f>
        <v/>
      </c>
    </row>
    <row r="130" customFormat="false" ht="15" hidden="false" customHeight="false" outlineLevel="0" collapsed="false">
      <c r="A130" s="33"/>
      <c r="B130" s="36"/>
      <c r="C130" s="35"/>
      <c r="D130" s="35"/>
      <c r="E130" s="34"/>
      <c r="F130" s="34"/>
      <c r="G130" s="38" t="str">
        <f aca="false">IF(A130="","",SUMIFS(Alışlar!$D$5:$D$504,Alışlar!$C$5:$C$504,A130))</f>
        <v/>
      </c>
      <c r="H130" s="38" t="str">
        <f aca="false">IF(A130="","",SUMIFS(Satışlar!$D$5:$D$1004,Satışlar!$C$5:$C$1004,A130))</f>
        <v/>
      </c>
      <c r="I130" s="39" t="str">
        <f aca="false">IF(A130="","",E130+G130-H130)</f>
        <v/>
      </c>
      <c r="J130" s="37" t="str">
        <f aca="false">IF(A130="","",I130*C130)</f>
        <v/>
      </c>
      <c r="K130" s="40" t="str">
        <f aca="false">IF(A130="","",IF(I130&lt;=0,"Tükendi",IF(I130&lt;=F130,"Kritik","Yeterli")))</f>
        <v/>
      </c>
      <c r="L130" s="37" t="str">
        <f aca="false">IF(A130="","",SUMIFS(Satışlar!$G$5:$G$1004,Satışlar!$C$5:$C$1004,A130))</f>
        <v/>
      </c>
      <c r="M130" s="41" t="str">
        <f aca="false">IF(A130="","",L130+ROW()/1000000)</f>
        <v/>
      </c>
      <c r="N130" s="41" t="str">
        <f aca="false">IF(OR(K130="Tükendi",K130="Kritik"),ROW(),"")</f>
        <v/>
      </c>
    </row>
    <row r="131" customFormat="false" ht="15" hidden="false" customHeight="false" outlineLevel="0" collapsed="false">
      <c r="A131" s="33"/>
      <c r="B131" s="36"/>
      <c r="C131" s="35"/>
      <c r="D131" s="35"/>
      <c r="E131" s="34"/>
      <c r="F131" s="34"/>
      <c r="G131" s="38" t="str">
        <f aca="false">IF(A131="","",SUMIFS(Alışlar!$D$5:$D$504,Alışlar!$C$5:$C$504,A131))</f>
        <v/>
      </c>
      <c r="H131" s="38" t="str">
        <f aca="false">IF(A131="","",SUMIFS(Satışlar!$D$5:$D$1004,Satışlar!$C$5:$C$1004,A131))</f>
        <v/>
      </c>
      <c r="I131" s="39" t="str">
        <f aca="false">IF(A131="","",E131+G131-H131)</f>
        <v/>
      </c>
      <c r="J131" s="37" t="str">
        <f aca="false">IF(A131="","",I131*C131)</f>
        <v/>
      </c>
      <c r="K131" s="40" t="str">
        <f aca="false">IF(A131="","",IF(I131&lt;=0,"Tükendi",IF(I131&lt;=F131,"Kritik","Yeterli")))</f>
        <v/>
      </c>
      <c r="L131" s="37" t="str">
        <f aca="false">IF(A131="","",SUMIFS(Satışlar!$G$5:$G$1004,Satışlar!$C$5:$C$1004,A131))</f>
        <v/>
      </c>
      <c r="M131" s="41" t="str">
        <f aca="false">IF(A131="","",L131+ROW()/1000000)</f>
        <v/>
      </c>
      <c r="N131" s="41" t="str">
        <f aca="false">IF(OR(K131="Tükendi",K131="Kritik"),ROW(),"")</f>
        <v/>
      </c>
    </row>
    <row r="132" customFormat="false" ht="15" hidden="false" customHeight="false" outlineLevel="0" collapsed="false">
      <c r="A132" s="33"/>
      <c r="B132" s="36"/>
      <c r="C132" s="35"/>
      <c r="D132" s="35"/>
      <c r="E132" s="34"/>
      <c r="F132" s="34"/>
      <c r="G132" s="38" t="str">
        <f aca="false">IF(A132="","",SUMIFS(Alışlar!$D$5:$D$504,Alışlar!$C$5:$C$504,A132))</f>
        <v/>
      </c>
      <c r="H132" s="38" t="str">
        <f aca="false">IF(A132="","",SUMIFS(Satışlar!$D$5:$D$1004,Satışlar!$C$5:$C$1004,A132))</f>
        <v/>
      </c>
      <c r="I132" s="39" t="str">
        <f aca="false">IF(A132="","",E132+G132-H132)</f>
        <v/>
      </c>
      <c r="J132" s="37" t="str">
        <f aca="false">IF(A132="","",I132*C132)</f>
        <v/>
      </c>
      <c r="K132" s="40" t="str">
        <f aca="false">IF(A132="","",IF(I132&lt;=0,"Tükendi",IF(I132&lt;=F132,"Kritik","Yeterli")))</f>
        <v/>
      </c>
      <c r="L132" s="37" t="str">
        <f aca="false">IF(A132="","",SUMIFS(Satışlar!$G$5:$G$1004,Satışlar!$C$5:$C$1004,A132))</f>
        <v/>
      </c>
      <c r="M132" s="41" t="str">
        <f aca="false">IF(A132="","",L132+ROW()/1000000)</f>
        <v/>
      </c>
      <c r="N132" s="41" t="str">
        <f aca="false">IF(OR(K132="Tükendi",K132="Kritik"),ROW(),"")</f>
        <v/>
      </c>
    </row>
    <row r="133" customFormat="false" ht="15" hidden="false" customHeight="false" outlineLevel="0" collapsed="false">
      <c r="A133" s="33"/>
      <c r="B133" s="36"/>
      <c r="C133" s="35"/>
      <c r="D133" s="35"/>
      <c r="E133" s="34"/>
      <c r="F133" s="34"/>
      <c r="G133" s="38" t="str">
        <f aca="false">IF(A133="","",SUMIFS(Alışlar!$D$5:$D$504,Alışlar!$C$5:$C$504,A133))</f>
        <v/>
      </c>
      <c r="H133" s="38" t="str">
        <f aca="false">IF(A133="","",SUMIFS(Satışlar!$D$5:$D$1004,Satışlar!$C$5:$C$1004,A133))</f>
        <v/>
      </c>
      <c r="I133" s="39" t="str">
        <f aca="false">IF(A133="","",E133+G133-H133)</f>
        <v/>
      </c>
      <c r="J133" s="37" t="str">
        <f aca="false">IF(A133="","",I133*C133)</f>
        <v/>
      </c>
      <c r="K133" s="40" t="str">
        <f aca="false">IF(A133="","",IF(I133&lt;=0,"Tükendi",IF(I133&lt;=F133,"Kritik","Yeterli")))</f>
        <v/>
      </c>
      <c r="L133" s="37" t="str">
        <f aca="false">IF(A133="","",SUMIFS(Satışlar!$G$5:$G$1004,Satışlar!$C$5:$C$1004,A133))</f>
        <v/>
      </c>
      <c r="M133" s="41" t="str">
        <f aca="false">IF(A133="","",L133+ROW()/1000000)</f>
        <v/>
      </c>
      <c r="N133" s="41" t="str">
        <f aca="false">IF(OR(K133="Tükendi",K133="Kritik"),ROW(),"")</f>
        <v/>
      </c>
    </row>
    <row r="134" customFormat="false" ht="15" hidden="false" customHeight="false" outlineLevel="0" collapsed="false">
      <c r="A134" s="33"/>
      <c r="B134" s="36"/>
      <c r="C134" s="35"/>
      <c r="D134" s="35"/>
      <c r="E134" s="34"/>
      <c r="F134" s="34"/>
      <c r="G134" s="38" t="str">
        <f aca="false">IF(A134="","",SUMIFS(Alışlar!$D$5:$D$504,Alışlar!$C$5:$C$504,A134))</f>
        <v/>
      </c>
      <c r="H134" s="38" t="str">
        <f aca="false">IF(A134="","",SUMIFS(Satışlar!$D$5:$D$1004,Satışlar!$C$5:$C$1004,A134))</f>
        <v/>
      </c>
      <c r="I134" s="39" t="str">
        <f aca="false">IF(A134="","",E134+G134-H134)</f>
        <v/>
      </c>
      <c r="J134" s="37" t="str">
        <f aca="false">IF(A134="","",I134*C134)</f>
        <v/>
      </c>
      <c r="K134" s="40" t="str">
        <f aca="false">IF(A134="","",IF(I134&lt;=0,"Tükendi",IF(I134&lt;=F134,"Kritik","Yeterli")))</f>
        <v/>
      </c>
      <c r="L134" s="37" t="str">
        <f aca="false">IF(A134="","",SUMIFS(Satışlar!$G$5:$G$1004,Satışlar!$C$5:$C$1004,A134))</f>
        <v/>
      </c>
      <c r="M134" s="41" t="str">
        <f aca="false">IF(A134="","",L134+ROW()/1000000)</f>
        <v/>
      </c>
      <c r="N134" s="41" t="str">
        <f aca="false">IF(OR(K134="Tükendi",K134="Kritik"),ROW(),"")</f>
        <v/>
      </c>
    </row>
    <row r="135" customFormat="false" ht="15" hidden="false" customHeight="false" outlineLevel="0" collapsed="false">
      <c r="A135" s="33"/>
      <c r="B135" s="36"/>
      <c r="C135" s="35"/>
      <c r="D135" s="35"/>
      <c r="E135" s="34"/>
      <c r="F135" s="34"/>
      <c r="G135" s="38" t="str">
        <f aca="false">IF(A135="","",SUMIFS(Alışlar!$D$5:$D$504,Alışlar!$C$5:$C$504,A135))</f>
        <v/>
      </c>
      <c r="H135" s="38" t="str">
        <f aca="false">IF(A135="","",SUMIFS(Satışlar!$D$5:$D$1004,Satışlar!$C$5:$C$1004,A135))</f>
        <v/>
      </c>
      <c r="I135" s="39" t="str">
        <f aca="false">IF(A135="","",E135+G135-H135)</f>
        <v/>
      </c>
      <c r="J135" s="37" t="str">
        <f aca="false">IF(A135="","",I135*C135)</f>
        <v/>
      </c>
      <c r="K135" s="40" t="str">
        <f aca="false">IF(A135="","",IF(I135&lt;=0,"Tükendi",IF(I135&lt;=F135,"Kritik","Yeterli")))</f>
        <v/>
      </c>
      <c r="L135" s="37" t="str">
        <f aca="false">IF(A135="","",SUMIFS(Satışlar!$G$5:$G$1004,Satışlar!$C$5:$C$1004,A135))</f>
        <v/>
      </c>
      <c r="M135" s="41" t="str">
        <f aca="false">IF(A135="","",L135+ROW()/1000000)</f>
        <v/>
      </c>
      <c r="N135" s="41" t="str">
        <f aca="false">IF(OR(K135="Tükendi",K135="Kritik"),ROW(),"")</f>
        <v/>
      </c>
    </row>
    <row r="136" customFormat="false" ht="15" hidden="false" customHeight="false" outlineLevel="0" collapsed="false">
      <c r="A136" s="33"/>
      <c r="B136" s="36"/>
      <c r="C136" s="35"/>
      <c r="D136" s="35"/>
      <c r="E136" s="34"/>
      <c r="F136" s="34"/>
      <c r="G136" s="38" t="str">
        <f aca="false">IF(A136="","",SUMIFS(Alışlar!$D$5:$D$504,Alışlar!$C$5:$C$504,A136))</f>
        <v/>
      </c>
      <c r="H136" s="38" t="str">
        <f aca="false">IF(A136="","",SUMIFS(Satışlar!$D$5:$D$1004,Satışlar!$C$5:$C$1004,A136))</f>
        <v/>
      </c>
      <c r="I136" s="39" t="str">
        <f aca="false">IF(A136="","",E136+G136-H136)</f>
        <v/>
      </c>
      <c r="J136" s="37" t="str">
        <f aca="false">IF(A136="","",I136*C136)</f>
        <v/>
      </c>
      <c r="K136" s="40" t="str">
        <f aca="false">IF(A136="","",IF(I136&lt;=0,"Tükendi",IF(I136&lt;=F136,"Kritik","Yeterli")))</f>
        <v/>
      </c>
      <c r="L136" s="37" t="str">
        <f aca="false">IF(A136="","",SUMIFS(Satışlar!$G$5:$G$1004,Satışlar!$C$5:$C$1004,A136))</f>
        <v/>
      </c>
      <c r="M136" s="41" t="str">
        <f aca="false">IF(A136="","",L136+ROW()/1000000)</f>
        <v/>
      </c>
      <c r="N136" s="41" t="str">
        <f aca="false">IF(OR(K136="Tükendi",K136="Kritik"),ROW(),"")</f>
        <v/>
      </c>
    </row>
    <row r="137" customFormat="false" ht="15" hidden="false" customHeight="false" outlineLevel="0" collapsed="false">
      <c r="A137" s="33"/>
      <c r="B137" s="36"/>
      <c r="C137" s="35"/>
      <c r="D137" s="35"/>
      <c r="E137" s="34"/>
      <c r="F137" s="34"/>
      <c r="G137" s="38" t="str">
        <f aca="false">IF(A137="","",SUMIFS(Alışlar!$D$5:$D$504,Alışlar!$C$5:$C$504,A137))</f>
        <v/>
      </c>
      <c r="H137" s="38" t="str">
        <f aca="false">IF(A137="","",SUMIFS(Satışlar!$D$5:$D$1004,Satışlar!$C$5:$C$1004,A137))</f>
        <v/>
      </c>
      <c r="I137" s="39" t="str">
        <f aca="false">IF(A137="","",E137+G137-H137)</f>
        <v/>
      </c>
      <c r="J137" s="37" t="str">
        <f aca="false">IF(A137="","",I137*C137)</f>
        <v/>
      </c>
      <c r="K137" s="40" t="str">
        <f aca="false">IF(A137="","",IF(I137&lt;=0,"Tükendi",IF(I137&lt;=F137,"Kritik","Yeterli")))</f>
        <v/>
      </c>
      <c r="L137" s="37" t="str">
        <f aca="false">IF(A137="","",SUMIFS(Satışlar!$G$5:$G$1004,Satışlar!$C$5:$C$1004,A137))</f>
        <v/>
      </c>
      <c r="M137" s="41" t="str">
        <f aca="false">IF(A137="","",L137+ROW()/1000000)</f>
        <v/>
      </c>
      <c r="N137" s="41" t="str">
        <f aca="false">IF(OR(K137="Tükendi",K137="Kritik"),ROW(),"")</f>
        <v/>
      </c>
    </row>
    <row r="138" customFormat="false" ht="15" hidden="false" customHeight="false" outlineLevel="0" collapsed="false">
      <c r="A138" s="33"/>
      <c r="B138" s="36"/>
      <c r="C138" s="35"/>
      <c r="D138" s="35"/>
      <c r="E138" s="34"/>
      <c r="F138" s="34"/>
      <c r="G138" s="38" t="str">
        <f aca="false">IF(A138="","",SUMIFS(Alışlar!$D$5:$D$504,Alışlar!$C$5:$C$504,A138))</f>
        <v/>
      </c>
      <c r="H138" s="38" t="str">
        <f aca="false">IF(A138="","",SUMIFS(Satışlar!$D$5:$D$1004,Satışlar!$C$5:$C$1004,A138))</f>
        <v/>
      </c>
      <c r="I138" s="39" t="str">
        <f aca="false">IF(A138="","",E138+G138-H138)</f>
        <v/>
      </c>
      <c r="J138" s="37" t="str">
        <f aca="false">IF(A138="","",I138*C138)</f>
        <v/>
      </c>
      <c r="K138" s="40" t="str">
        <f aca="false">IF(A138="","",IF(I138&lt;=0,"Tükendi",IF(I138&lt;=F138,"Kritik","Yeterli")))</f>
        <v/>
      </c>
      <c r="L138" s="37" t="str">
        <f aca="false">IF(A138="","",SUMIFS(Satışlar!$G$5:$G$1004,Satışlar!$C$5:$C$1004,A138))</f>
        <v/>
      </c>
      <c r="M138" s="41" t="str">
        <f aca="false">IF(A138="","",L138+ROW()/1000000)</f>
        <v/>
      </c>
      <c r="N138" s="41" t="str">
        <f aca="false">IF(OR(K138="Tükendi",K138="Kritik"),ROW(),"")</f>
        <v/>
      </c>
    </row>
    <row r="139" customFormat="false" ht="15" hidden="false" customHeight="false" outlineLevel="0" collapsed="false">
      <c r="A139" s="33"/>
      <c r="B139" s="36"/>
      <c r="C139" s="35"/>
      <c r="D139" s="35"/>
      <c r="E139" s="34"/>
      <c r="F139" s="34"/>
      <c r="G139" s="38" t="str">
        <f aca="false">IF(A139="","",SUMIFS(Alışlar!$D$5:$D$504,Alışlar!$C$5:$C$504,A139))</f>
        <v/>
      </c>
      <c r="H139" s="38" t="str">
        <f aca="false">IF(A139="","",SUMIFS(Satışlar!$D$5:$D$1004,Satışlar!$C$5:$C$1004,A139))</f>
        <v/>
      </c>
      <c r="I139" s="39" t="str">
        <f aca="false">IF(A139="","",E139+G139-H139)</f>
        <v/>
      </c>
      <c r="J139" s="37" t="str">
        <f aca="false">IF(A139="","",I139*C139)</f>
        <v/>
      </c>
      <c r="K139" s="40" t="str">
        <f aca="false">IF(A139="","",IF(I139&lt;=0,"Tükendi",IF(I139&lt;=F139,"Kritik","Yeterli")))</f>
        <v/>
      </c>
      <c r="L139" s="37" t="str">
        <f aca="false">IF(A139="","",SUMIFS(Satışlar!$G$5:$G$1004,Satışlar!$C$5:$C$1004,A139))</f>
        <v/>
      </c>
      <c r="M139" s="41" t="str">
        <f aca="false">IF(A139="","",L139+ROW()/1000000)</f>
        <v/>
      </c>
      <c r="N139" s="41" t="str">
        <f aca="false">IF(OR(K139="Tükendi",K139="Kritik"),ROW(),"")</f>
        <v/>
      </c>
    </row>
    <row r="140" customFormat="false" ht="15" hidden="false" customHeight="false" outlineLevel="0" collapsed="false">
      <c r="A140" s="33"/>
      <c r="B140" s="36"/>
      <c r="C140" s="35"/>
      <c r="D140" s="35"/>
      <c r="E140" s="34"/>
      <c r="F140" s="34"/>
      <c r="G140" s="38" t="str">
        <f aca="false">IF(A140="","",SUMIFS(Alışlar!$D$5:$D$504,Alışlar!$C$5:$C$504,A140))</f>
        <v/>
      </c>
      <c r="H140" s="38" t="str">
        <f aca="false">IF(A140="","",SUMIFS(Satışlar!$D$5:$D$1004,Satışlar!$C$5:$C$1004,A140))</f>
        <v/>
      </c>
      <c r="I140" s="39" t="str">
        <f aca="false">IF(A140="","",E140+G140-H140)</f>
        <v/>
      </c>
      <c r="J140" s="37" t="str">
        <f aca="false">IF(A140="","",I140*C140)</f>
        <v/>
      </c>
      <c r="K140" s="40" t="str">
        <f aca="false">IF(A140="","",IF(I140&lt;=0,"Tükendi",IF(I140&lt;=F140,"Kritik","Yeterli")))</f>
        <v/>
      </c>
      <c r="L140" s="37" t="str">
        <f aca="false">IF(A140="","",SUMIFS(Satışlar!$G$5:$G$1004,Satışlar!$C$5:$C$1004,A140))</f>
        <v/>
      </c>
      <c r="M140" s="41" t="str">
        <f aca="false">IF(A140="","",L140+ROW()/1000000)</f>
        <v/>
      </c>
      <c r="N140" s="41" t="str">
        <f aca="false">IF(OR(K140="Tükendi",K140="Kritik"),ROW(),"")</f>
        <v/>
      </c>
    </row>
    <row r="141" customFormat="false" ht="15" hidden="false" customHeight="false" outlineLevel="0" collapsed="false">
      <c r="A141" s="33"/>
      <c r="B141" s="36"/>
      <c r="C141" s="35"/>
      <c r="D141" s="35"/>
      <c r="E141" s="34"/>
      <c r="F141" s="34"/>
      <c r="G141" s="38" t="str">
        <f aca="false">IF(A141="","",SUMIFS(Alışlar!$D$5:$D$504,Alışlar!$C$5:$C$504,A141))</f>
        <v/>
      </c>
      <c r="H141" s="38" t="str">
        <f aca="false">IF(A141="","",SUMIFS(Satışlar!$D$5:$D$1004,Satışlar!$C$5:$C$1004,A141))</f>
        <v/>
      </c>
      <c r="I141" s="39" t="str">
        <f aca="false">IF(A141="","",E141+G141-H141)</f>
        <v/>
      </c>
      <c r="J141" s="37" t="str">
        <f aca="false">IF(A141="","",I141*C141)</f>
        <v/>
      </c>
      <c r="K141" s="40" t="str">
        <f aca="false">IF(A141="","",IF(I141&lt;=0,"Tükendi",IF(I141&lt;=F141,"Kritik","Yeterli")))</f>
        <v/>
      </c>
      <c r="L141" s="37" t="str">
        <f aca="false">IF(A141="","",SUMIFS(Satışlar!$G$5:$G$1004,Satışlar!$C$5:$C$1004,A141))</f>
        <v/>
      </c>
      <c r="M141" s="41" t="str">
        <f aca="false">IF(A141="","",L141+ROW()/1000000)</f>
        <v/>
      </c>
      <c r="N141" s="41" t="str">
        <f aca="false">IF(OR(K141="Tükendi",K141="Kritik"),ROW(),"")</f>
        <v/>
      </c>
    </row>
    <row r="142" customFormat="false" ht="15" hidden="false" customHeight="false" outlineLevel="0" collapsed="false">
      <c r="A142" s="33"/>
      <c r="B142" s="36"/>
      <c r="C142" s="35"/>
      <c r="D142" s="35"/>
      <c r="E142" s="34"/>
      <c r="F142" s="34"/>
      <c r="G142" s="38" t="str">
        <f aca="false">IF(A142="","",SUMIFS(Alışlar!$D$5:$D$504,Alışlar!$C$5:$C$504,A142))</f>
        <v/>
      </c>
      <c r="H142" s="38" t="str">
        <f aca="false">IF(A142="","",SUMIFS(Satışlar!$D$5:$D$1004,Satışlar!$C$5:$C$1004,A142))</f>
        <v/>
      </c>
      <c r="I142" s="39" t="str">
        <f aca="false">IF(A142="","",E142+G142-H142)</f>
        <v/>
      </c>
      <c r="J142" s="37" t="str">
        <f aca="false">IF(A142="","",I142*C142)</f>
        <v/>
      </c>
      <c r="K142" s="40" t="str">
        <f aca="false">IF(A142="","",IF(I142&lt;=0,"Tükendi",IF(I142&lt;=F142,"Kritik","Yeterli")))</f>
        <v/>
      </c>
      <c r="L142" s="37" t="str">
        <f aca="false">IF(A142="","",SUMIFS(Satışlar!$G$5:$G$1004,Satışlar!$C$5:$C$1004,A142))</f>
        <v/>
      </c>
      <c r="M142" s="41" t="str">
        <f aca="false">IF(A142="","",L142+ROW()/1000000)</f>
        <v/>
      </c>
      <c r="N142" s="41" t="str">
        <f aca="false">IF(OR(K142="Tükendi",K142="Kritik"),ROW(),"")</f>
        <v/>
      </c>
    </row>
    <row r="143" customFormat="false" ht="15" hidden="false" customHeight="false" outlineLevel="0" collapsed="false">
      <c r="A143" s="33"/>
      <c r="B143" s="36"/>
      <c r="C143" s="35"/>
      <c r="D143" s="35"/>
      <c r="E143" s="34"/>
      <c r="F143" s="34"/>
      <c r="G143" s="38" t="str">
        <f aca="false">IF(A143="","",SUMIFS(Alışlar!$D$5:$D$504,Alışlar!$C$5:$C$504,A143))</f>
        <v/>
      </c>
      <c r="H143" s="38" t="str">
        <f aca="false">IF(A143="","",SUMIFS(Satışlar!$D$5:$D$1004,Satışlar!$C$5:$C$1004,A143))</f>
        <v/>
      </c>
      <c r="I143" s="39" t="str">
        <f aca="false">IF(A143="","",E143+G143-H143)</f>
        <v/>
      </c>
      <c r="J143" s="37" t="str">
        <f aca="false">IF(A143="","",I143*C143)</f>
        <v/>
      </c>
      <c r="K143" s="40" t="str">
        <f aca="false">IF(A143="","",IF(I143&lt;=0,"Tükendi",IF(I143&lt;=F143,"Kritik","Yeterli")))</f>
        <v/>
      </c>
      <c r="L143" s="37" t="str">
        <f aca="false">IF(A143="","",SUMIFS(Satışlar!$G$5:$G$1004,Satışlar!$C$5:$C$1004,A143))</f>
        <v/>
      </c>
      <c r="M143" s="41" t="str">
        <f aca="false">IF(A143="","",L143+ROW()/1000000)</f>
        <v/>
      </c>
      <c r="N143" s="41" t="str">
        <f aca="false">IF(OR(K143="Tükendi",K143="Kritik"),ROW(),"")</f>
        <v/>
      </c>
    </row>
    <row r="144" customFormat="false" ht="15" hidden="false" customHeight="false" outlineLevel="0" collapsed="false">
      <c r="A144" s="33"/>
      <c r="B144" s="36"/>
      <c r="C144" s="35"/>
      <c r="D144" s="35"/>
      <c r="E144" s="34"/>
      <c r="F144" s="34"/>
      <c r="G144" s="38" t="str">
        <f aca="false">IF(A144="","",SUMIFS(Alışlar!$D$5:$D$504,Alışlar!$C$5:$C$504,A144))</f>
        <v/>
      </c>
      <c r="H144" s="38" t="str">
        <f aca="false">IF(A144="","",SUMIFS(Satışlar!$D$5:$D$1004,Satışlar!$C$5:$C$1004,A144))</f>
        <v/>
      </c>
      <c r="I144" s="39" t="str">
        <f aca="false">IF(A144="","",E144+G144-H144)</f>
        <v/>
      </c>
      <c r="J144" s="37" t="str">
        <f aca="false">IF(A144="","",I144*C144)</f>
        <v/>
      </c>
      <c r="K144" s="40" t="str">
        <f aca="false">IF(A144="","",IF(I144&lt;=0,"Tükendi",IF(I144&lt;=F144,"Kritik","Yeterli")))</f>
        <v/>
      </c>
      <c r="L144" s="37" t="str">
        <f aca="false">IF(A144="","",SUMIFS(Satışlar!$G$5:$G$1004,Satışlar!$C$5:$C$1004,A144))</f>
        <v/>
      </c>
      <c r="M144" s="41" t="str">
        <f aca="false">IF(A144="","",L144+ROW()/1000000)</f>
        <v/>
      </c>
      <c r="N144" s="41" t="str">
        <f aca="false">IF(OR(K144="Tükendi",K144="Kritik"),ROW(),"")</f>
        <v/>
      </c>
    </row>
    <row r="145" customFormat="false" ht="15" hidden="false" customHeight="false" outlineLevel="0" collapsed="false">
      <c r="A145" s="33"/>
      <c r="B145" s="36"/>
      <c r="C145" s="35"/>
      <c r="D145" s="35"/>
      <c r="E145" s="34"/>
      <c r="F145" s="34"/>
      <c r="G145" s="38" t="str">
        <f aca="false">IF(A145="","",SUMIFS(Alışlar!$D$5:$D$504,Alışlar!$C$5:$C$504,A145))</f>
        <v/>
      </c>
      <c r="H145" s="38" t="str">
        <f aca="false">IF(A145="","",SUMIFS(Satışlar!$D$5:$D$1004,Satışlar!$C$5:$C$1004,A145))</f>
        <v/>
      </c>
      <c r="I145" s="39" t="str">
        <f aca="false">IF(A145="","",E145+G145-H145)</f>
        <v/>
      </c>
      <c r="J145" s="37" t="str">
        <f aca="false">IF(A145="","",I145*C145)</f>
        <v/>
      </c>
      <c r="K145" s="40" t="str">
        <f aca="false">IF(A145="","",IF(I145&lt;=0,"Tükendi",IF(I145&lt;=F145,"Kritik","Yeterli")))</f>
        <v/>
      </c>
      <c r="L145" s="37" t="str">
        <f aca="false">IF(A145="","",SUMIFS(Satışlar!$G$5:$G$1004,Satışlar!$C$5:$C$1004,A145))</f>
        <v/>
      </c>
      <c r="M145" s="41" t="str">
        <f aca="false">IF(A145="","",L145+ROW()/1000000)</f>
        <v/>
      </c>
      <c r="N145" s="41" t="str">
        <f aca="false">IF(OR(K145="Tükendi",K145="Kritik"),ROW(),"")</f>
        <v/>
      </c>
    </row>
    <row r="146" customFormat="false" ht="15" hidden="false" customHeight="false" outlineLevel="0" collapsed="false">
      <c r="A146" s="33"/>
      <c r="B146" s="36"/>
      <c r="C146" s="35"/>
      <c r="D146" s="35"/>
      <c r="E146" s="34"/>
      <c r="F146" s="34"/>
      <c r="G146" s="38" t="str">
        <f aca="false">IF(A146="","",SUMIFS(Alışlar!$D$5:$D$504,Alışlar!$C$5:$C$504,A146))</f>
        <v/>
      </c>
      <c r="H146" s="38" t="str">
        <f aca="false">IF(A146="","",SUMIFS(Satışlar!$D$5:$D$1004,Satışlar!$C$5:$C$1004,A146))</f>
        <v/>
      </c>
      <c r="I146" s="39" t="str">
        <f aca="false">IF(A146="","",E146+G146-H146)</f>
        <v/>
      </c>
      <c r="J146" s="37" t="str">
        <f aca="false">IF(A146="","",I146*C146)</f>
        <v/>
      </c>
      <c r="K146" s="40" t="str">
        <f aca="false">IF(A146="","",IF(I146&lt;=0,"Tükendi",IF(I146&lt;=F146,"Kritik","Yeterli")))</f>
        <v/>
      </c>
      <c r="L146" s="37" t="str">
        <f aca="false">IF(A146="","",SUMIFS(Satışlar!$G$5:$G$1004,Satışlar!$C$5:$C$1004,A146))</f>
        <v/>
      </c>
      <c r="M146" s="41" t="str">
        <f aca="false">IF(A146="","",L146+ROW()/1000000)</f>
        <v/>
      </c>
      <c r="N146" s="41" t="str">
        <f aca="false">IF(OR(K146="Tükendi",K146="Kritik"),ROW(),"")</f>
        <v/>
      </c>
    </row>
    <row r="147" customFormat="false" ht="15" hidden="false" customHeight="false" outlineLevel="0" collapsed="false">
      <c r="A147" s="33"/>
      <c r="B147" s="36"/>
      <c r="C147" s="35"/>
      <c r="D147" s="35"/>
      <c r="E147" s="34"/>
      <c r="F147" s="34"/>
      <c r="G147" s="38" t="str">
        <f aca="false">IF(A147="","",SUMIFS(Alışlar!$D$5:$D$504,Alışlar!$C$5:$C$504,A147))</f>
        <v/>
      </c>
      <c r="H147" s="38" t="str">
        <f aca="false">IF(A147="","",SUMIFS(Satışlar!$D$5:$D$1004,Satışlar!$C$5:$C$1004,A147))</f>
        <v/>
      </c>
      <c r="I147" s="39" t="str">
        <f aca="false">IF(A147="","",E147+G147-H147)</f>
        <v/>
      </c>
      <c r="J147" s="37" t="str">
        <f aca="false">IF(A147="","",I147*C147)</f>
        <v/>
      </c>
      <c r="K147" s="40" t="str">
        <f aca="false">IF(A147="","",IF(I147&lt;=0,"Tükendi",IF(I147&lt;=F147,"Kritik","Yeterli")))</f>
        <v/>
      </c>
      <c r="L147" s="37" t="str">
        <f aca="false">IF(A147="","",SUMIFS(Satışlar!$G$5:$G$1004,Satışlar!$C$5:$C$1004,A147))</f>
        <v/>
      </c>
      <c r="M147" s="41" t="str">
        <f aca="false">IF(A147="","",L147+ROW()/1000000)</f>
        <v/>
      </c>
      <c r="N147" s="41" t="str">
        <f aca="false">IF(OR(K147="Tükendi",K147="Kritik"),ROW(),"")</f>
        <v/>
      </c>
    </row>
    <row r="148" customFormat="false" ht="15" hidden="false" customHeight="false" outlineLevel="0" collapsed="false">
      <c r="A148" s="33"/>
      <c r="B148" s="36"/>
      <c r="C148" s="35"/>
      <c r="D148" s="35"/>
      <c r="E148" s="34"/>
      <c r="F148" s="34"/>
      <c r="G148" s="38" t="str">
        <f aca="false">IF(A148="","",SUMIFS(Alışlar!$D$5:$D$504,Alışlar!$C$5:$C$504,A148))</f>
        <v/>
      </c>
      <c r="H148" s="38" t="str">
        <f aca="false">IF(A148="","",SUMIFS(Satışlar!$D$5:$D$1004,Satışlar!$C$5:$C$1004,A148))</f>
        <v/>
      </c>
      <c r="I148" s="39" t="str">
        <f aca="false">IF(A148="","",E148+G148-H148)</f>
        <v/>
      </c>
      <c r="J148" s="37" t="str">
        <f aca="false">IF(A148="","",I148*C148)</f>
        <v/>
      </c>
      <c r="K148" s="40" t="str">
        <f aca="false">IF(A148="","",IF(I148&lt;=0,"Tükendi",IF(I148&lt;=F148,"Kritik","Yeterli")))</f>
        <v/>
      </c>
      <c r="L148" s="37" t="str">
        <f aca="false">IF(A148="","",SUMIFS(Satışlar!$G$5:$G$1004,Satışlar!$C$5:$C$1004,A148))</f>
        <v/>
      </c>
      <c r="M148" s="41" t="str">
        <f aca="false">IF(A148="","",L148+ROW()/1000000)</f>
        <v/>
      </c>
      <c r="N148" s="41" t="str">
        <f aca="false">IF(OR(K148="Tükendi",K148="Kritik"),ROW(),"")</f>
        <v/>
      </c>
    </row>
    <row r="149" customFormat="false" ht="15" hidden="false" customHeight="false" outlineLevel="0" collapsed="false">
      <c r="A149" s="33"/>
      <c r="B149" s="36"/>
      <c r="C149" s="35"/>
      <c r="D149" s="35"/>
      <c r="E149" s="34"/>
      <c r="F149" s="34"/>
      <c r="G149" s="38" t="str">
        <f aca="false">IF(A149="","",SUMIFS(Alışlar!$D$5:$D$504,Alışlar!$C$5:$C$504,A149))</f>
        <v/>
      </c>
      <c r="H149" s="38" t="str">
        <f aca="false">IF(A149="","",SUMIFS(Satışlar!$D$5:$D$1004,Satışlar!$C$5:$C$1004,A149))</f>
        <v/>
      </c>
      <c r="I149" s="39" t="str">
        <f aca="false">IF(A149="","",E149+G149-H149)</f>
        <v/>
      </c>
      <c r="J149" s="37" t="str">
        <f aca="false">IF(A149="","",I149*C149)</f>
        <v/>
      </c>
      <c r="K149" s="40" t="str">
        <f aca="false">IF(A149="","",IF(I149&lt;=0,"Tükendi",IF(I149&lt;=F149,"Kritik","Yeterli")))</f>
        <v/>
      </c>
      <c r="L149" s="37" t="str">
        <f aca="false">IF(A149="","",SUMIFS(Satışlar!$G$5:$G$1004,Satışlar!$C$5:$C$1004,A149))</f>
        <v/>
      </c>
      <c r="M149" s="41" t="str">
        <f aca="false">IF(A149="","",L149+ROW()/1000000)</f>
        <v/>
      </c>
      <c r="N149" s="41" t="str">
        <f aca="false">IF(OR(K149="Tükendi",K149="Kritik"),ROW(),"")</f>
        <v/>
      </c>
    </row>
    <row r="150" customFormat="false" ht="15" hidden="false" customHeight="false" outlineLevel="0" collapsed="false">
      <c r="A150" s="33"/>
      <c r="B150" s="36"/>
      <c r="C150" s="35"/>
      <c r="D150" s="35"/>
      <c r="E150" s="34"/>
      <c r="F150" s="34"/>
      <c r="G150" s="38" t="str">
        <f aca="false">IF(A150="","",SUMIFS(Alışlar!$D$5:$D$504,Alışlar!$C$5:$C$504,A150))</f>
        <v/>
      </c>
      <c r="H150" s="38" t="str">
        <f aca="false">IF(A150="","",SUMIFS(Satışlar!$D$5:$D$1004,Satışlar!$C$5:$C$1004,A150))</f>
        <v/>
      </c>
      <c r="I150" s="39" t="str">
        <f aca="false">IF(A150="","",E150+G150-H150)</f>
        <v/>
      </c>
      <c r="J150" s="37" t="str">
        <f aca="false">IF(A150="","",I150*C150)</f>
        <v/>
      </c>
      <c r="K150" s="40" t="str">
        <f aca="false">IF(A150="","",IF(I150&lt;=0,"Tükendi",IF(I150&lt;=F150,"Kritik","Yeterli")))</f>
        <v/>
      </c>
      <c r="L150" s="37" t="str">
        <f aca="false">IF(A150="","",SUMIFS(Satışlar!$G$5:$G$1004,Satışlar!$C$5:$C$1004,A150))</f>
        <v/>
      </c>
      <c r="M150" s="41" t="str">
        <f aca="false">IF(A150="","",L150+ROW()/1000000)</f>
        <v/>
      </c>
      <c r="N150" s="41" t="str">
        <f aca="false">IF(OR(K150="Tükendi",K150="Kritik"),ROW(),"")</f>
        <v/>
      </c>
    </row>
    <row r="151" customFormat="false" ht="15" hidden="false" customHeight="false" outlineLevel="0" collapsed="false">
      <c r="A151" s="33"/>
      <c r="B151" s="36"/>
      <c r="C151" s="35"/>
      <c r="D151" s="35"/>
      <c r="E151" s="34"/>
      <c r="F151" s="34"/>
      <c r="G151" s="38" t="str">
        <f aca="false">IF(A151="","",SUMIFS(Alışlar!$D$5:$D$504,Alışlar!$C$5:$C$504,A151))</f>
        <v/>
      </c>
      <c r="H151" s="38" t="str">
        <f aca="false">IF(A151="","",SUMIFS(Satışlar!$D$5:$D$1004,Satışlar!$C$5:$C$1004,A151))</f>
        <v/>
      </c>
      <c r="I151" s="39" t="str">
        <f aca="false">IF(A151="","",E151+G151-H151)</f>
        <v/>
      </c>
      <c r="J151" s="37" t="str">
        <f aca="false">IF(A151="","",I151*C151)</f>
        <v/>
      </c>
      <c r="K151" s="40" t="str">
        <f aca="false">IF(A151="","",IF(I151&lt;=0,"Tükendi",IF(I151&lt;=F151,"Kritik","Yeterli")))</f>
        <v/>
      </c>
      <c r="L151" s="37" t="str">
        <f aca="false">IF(A151="","",SUMIFS(Satışlar!$G$5:$G$1004,Satışlar!$C$5:$C$1004,A151))</f>
        <v/>
      </c>
      <c r="M151" s="41" t="str">
        <f aca="false">IF(A151="","",L151+ROW()/1000000)</f>
        <v/>
      </c>
      <c r="N151" s="41" t="str">
        <f aca="false">IF(OR(K151="Tükendi",K151="Kritik"),ROW(),"")</f>
        <v/>
      </c>
    </row>
    <row r="152" customFormat="false" ht="15" hidden="false" customHeight="false" outlineLevel="0" collapsed="false">
      <c r="A152" s="33"/>
      <c r="B152" s="36"/>
      <c r="C152" s="35"/>
      <c r="D152" s="35"/>
      <c r="E152" s="34"/>
      <c r="F152" s="34"/>
      <c r="G152" s="38" t="str">
        <f aca="false">IF(A152="","",SUMIFS(Alışlar!$D$5:$D$504,Alışlar!$C$5:$C$504,A152))</f>
        <v/>
      </c>
      <c r="H152" s="38" t="str">
        <f aca="false">IF(A152="","",SUMIFS(Satışlar!$D$5:$D$1004,Satışlar!$C$5:$C$1004,A152))</f>
        <v/>
      </c>
      <c r="I152" s="39" t="str">
        <f aca="false">IF(A152="","",E152+G152-H152)</f>
        <v/>
      </c>
      <c r="J152" s="37" t="str">
        <f aca="false">IF(A152="","",I152*C152)</f>
        <v/>
      </c>
      <c r="K152" s="40" t="str">
        <f aca="false">IF(A152="","",IF(I152&lt;=0,"Tükendi",IF(I152&lt;=F152,"Kritik","Yeterli")))</f>
        <v/>
      </c>
      <c r="L152" s="37" t="str">
        <f aca="false">IF(A152="","",SUMIFS(Satışlar!$G$5:$G$1004,Satışlar!$C$5:$C$1004,A152))</f>
        <v/>
      </c>
      <c r="M152" s="41" t="str">
        <f aca="false">IF(A152="","",L152+ROW()/1000000)</f>
        <v/>
      </c>
      <c r="N152" s="41" t="str">
        <f aca="false">IF(OR(K152="Tükendi",K152="Kritik"),ROW(),"")</f>
        <v/>
      </c>
    </row>
    <row r="153" customFormat="false" ht="15" hidden="false" customHeight="false" outlineLevel="0" collapsed="false">
      <c r="A153" s="33"/>
      <c r="B153" s="36"/>
      <c r="C153" s="35"/>
      <c r="D153" s="35"/>
      <c r="E153" s="34"/>
      <c r="F153" s="34"/>
      <c r="G153" s="38" t="str">
        <f aca="false">IF(A153="","",SUMIFS(Alışlar!$D$5:$D$504,Alışlar!$C$5:$C$504,A153))</f>
        <v/>
      </c>
      <c r="H153" s="38" t="str">
        <f aca="false">IF(A153="","",SUMIFS(Satışlar!$D$5:$D$1004,Satışlar!$C$5:$C$1004,A153))</f>
        <v/>
      </c>
      <c r="I153" s="39" t="str">
        <f aca="false">IF(A153="","",E153+G153-H153)</f>
        <v/>
      </c>
      <c r="J153" s="37" t="str">
        <f aca="false">IF(A153="","",I153*C153)</f>
        <v/>
      </c>
      <c r="K153" s="40" t="str">
        <f aca="false">IF(A153="","",IF(I153&lt;=0,"Tükendi",IF(I153&lt;=F153,"Kritik","Yeterli")))</f>
        <v/>
      </c>
      <c r="L153" s="37" t="str">
        <f aca="false">IF(A153="","",SUMIFS(Satışlar!$G$5:$G$1004,Satışlar!$C$5:$C$1004,A153))</f>
        <v/>
      </c>
      <c r="M153" s="41" t="str">
        <f aca="false">IF(A153="","",L153+ROW()/1000000)</f>
        <v/>
      </c>
      <c r="N153" s="41" t="str">
        <f aca="false">IF(OR(K153="Tükendi",K153="Kritik"),ROW(),"")</f>
        <v/>
      </c>
    </row>
    <row r="154" customFormat="false" ht="15" hidden="false" customHeight="false" outlineLevel="0" collapsed="false">
      <c r="A154" s="33"/>
      <c r="B154" s="36"/>
      <c r="C154" s="35"/>
      <c r="D154" s="35"/>
      <c r="E154" s="34"/>
      <c r="F154" s="34"/>
      <c r="G154" s="38" t="str">
        <f aca="false">IF(A154="","",SUMIFS(Alışlar!$D$5:$D$504,Alışlar!$C$5:$C$504,A154))</f>
        <v/>
      </c>
      <c r="H154" s="38" t="str">
        <f aca="false">IF(A154="","",SUMIFS(Satışlar!$D$5:$D$1004,Satışlar!$C$5:$C$1004,A154))</f>
        <v/>
      </c>
      <c r="I154" s="39" t="str">
        <f aca="false">IF(A154="","",E154+G154-H154)</f>
        <v/>
      </c>
      <c r="J154" s="37" t="str">
        <f aca="false">IF(A154="","",I154*C154)</f>
        <v/>
      </c>
      <c r="K154" s="40" t="str">
        <f aca="false">IF(A154="","",IF(I154&lt;=0,"Tükendi",IF(I154&lt;=F154,"Kritik","Yeterli")))</f>
        <v/>
      </c>
      <c r="L154" s="37" t="str">
        <f aca="false">IF(A154="","",SUMIFS(Satışlar!$G$5:$G$1004,Satışlar!$C$5:$C$1004,A154))</f>
        <v/>
      </c>
      <c r="M154" s="41" t="str">
        <f aca="false">IF(A154="","",L154+ROW()/1000000)</f>
        <v/>
      </c>
      <c r="N154" s="41" t="str">
        <f aca="false">IF(OR(K154="Tükendi",K154="Kritik"),ROW(),"")</f>
        <v/>
      </c>
    </row>
    <row r="155" customFormat="false" ht="15" hidden="false" customHeight="false" outlineLevel="0" collapsed="false">
      <c r="A155" s="33"/>
      <c r="B155" s="36"/>
      <c r="C155" s="35"/>
      <c r="D155" s="35"/>
      <c r="E155" s="34"/>
      <c r="F155" s="34"/>
      <c r="G155" s="38" t="str">
        <f aca="false">IF(A155="","",SUMIFS(Alışlar!$D$5:$D$504,Alışlar!$C$5:$C$504,A155))</f>
        <v/>
      </c>
      <c r="H155" s="38" t="str">
        <f aca="false">IF(A155="","",SUMIFS(Satışlar!$D$5:$D$1004,Satışlar!$C$5:$C$1004,A155))</f>
        <v/>
      </c>
      <c r="I155" s="39" t="str">
        <f aca="false">IF(A155="","",E155+G155-H155)</f>
        <v/>
      </c>
      <c r="J155" s="37" t="str">
        <f aca="false">IF(A155="","",I155*C155)</f>
        <v/>
      </c>
      <c r="K155" s="40" t="str">
        <f aca="false">IF(A155="","",IF(I155&lt;=0,"Tükendi",IF(I155&lt;=F155,"Kritik","Yeterli")))</f>
        <v/>
      </c>
      <c r="L155" s="37" t="str">
        <f aca="false">IF(A155="","",SUMIFS(Satışlar!$G$5:$G$1004,Satışlar!$C$5:$C$1004,A155))</f>
        <v/>
      </c>
      <c r="M155" s="41" t="str">
        <f aca="false">IF(A155="","",L155+ROW()/1000000)</f>
        <v/>
      </c>
      <c r="N155" s="41" t="str">
        <f aca="false">IF(OR(K155="Tükendi",K155="Kritik"),ROW(),"")</f>
        <v/>
      </c>
    </row>
    <row r="156" customFormat="false" ht="15" hidden="false" customHeight="false" outlineLevel="0" collapsed="false">
      <c r="A156" s="33"/>
      <c r="B156" s="36"/>
      <c r="C156" s="35"/>
      <c r="D156" s="35"/>
      <c r="E156" s="34"/>
      <c r="F156" s="34"/>
      <c r="G156" s="38" t="str">
        <f aca="false">IF(A156="","",SUMIFS(Alışlar!$D$5:$D$504,Alışlar!$C$5:$C$504,A156))</f>
        <v/>
      </c>
      <c r="H156" s="38" t="str">
        <f aca="false">IF(A156="","",SUMIFS(Satışlar!$D$5:$D$1004,Satışlar!$C$5:$C$1004,A156))</f>
        <v/>
      </c>
      <c r="I156" s="39" t="str">
        <f aca="false">IF(A156="","",E156+G156-H156)</f>
        <v/>
      </c>
      <c r="J156" s="37" t="str">
        <f aca="false">IF(A156="","",I156*C156)</f>
        <v/>
      </c>
      <c r="K156" s="40" t="str">
        <f aca="false">IF(A156="","",IF(I156&lt;=0,"Tükendi",IF(I156&lt;=F156,"Kritik","Yeterli")))</f>
        <v/>
      </c>
      <c r="L156" s="37" t="str">
        <f aca="false">IF(A156="","",SUMIFS(Satışlar!$G$5:$G$1004,Satışlar!$C$5:$C$1004,A156))</f>
        <v/>
      </c>
      <c r="M156" s="41" t="str">
        <f aca="false">IF(A156="","",L156+ROW()/1000000)</f>
        <v/>
      </c>
      <c r="N156" s="41" t="str">
        <f aca="false">IF(OR(K156="Tükendi",K156="Kritik"),ROW(),"")</f>
        <v/>
      </c>
    </row>
    <row r="157" customFormat="false" ht="15" hidden="false" customHeight="false" outlineLevel="0" collapsed="false">
      <c r="A157" s="33"/>
      <c r="B157" s="36"/>
      <c r="C157" s="35"/>
      <c r="D157" s="35"/>
      <c r="E157" s="34"/>
      <c r="F157" s="34"/>
      <c r="G157" s="38" t="str">
        <f aca="false">IF(A157="","",SUMIFS(Alışlar!$D$5:$D$504,Alışlar!$C$5:$C$504,A157))</f>
        <v/>
      </c>
      <c r="H157" s="38" t="str">
        <f aca="false">IF(A157="","",SUMIFS(Satışlar!$D$5:$D$1004,Satışlar!$C$5:$C$1004,A157))</f>
        <v/>
      </c>
      <c r="I157" s="39" t="str">
        <f aca="false">IF(A157="","",E157+G157-H157)</f>
        <v/>
      </c>
      <c r="J157" s="37" t="str">
        <f aca="false">IF(A157="","",I157*C157)</f>
        <v/>
      </c>
      <c r="K157" s="40" t="str">
        <f aca="false">IF(A157="","",IF(I157&lt;=0,"Tükendi",IF(I157&lt;=F157,"Kritik","Yeterli")))</f>
        <v/>
      </c>
      <c r="L157" s="37" t="str">
        <f aca="false">IF(A157="","",SUMIFS(Satışlar!$G$5:$G$1004,Satışlar!$C$5:$C$1004,A157))</f>
        <v/>
      </c>
      <c r="M157" s="41" t="str">
        <f aca="false">IF(A157="","",L157+ROW()/1000000)</f>
        <v/>
      </c>
      <c r="N157" s="41" t="str">
        <f aca="false">IF(OR(K157="Tükendi",K157="Kritik"),ROW(),"")</f>
        <v/>
      </c>
    </row>
    <row r="158" customFormat="false" ht="15" hidden="false" customHeight="false" outlineLevel="0" collapsed="false">
      <c r="A158" s="33"/>
      <c r="B158" s="36"/>
      <c r="C158" s="35"/>
      <c r="D158" s="35"/>
      <c r="E158" s="34"/>
      <c r="F158" s="34"/>
      <c r="G158" s="38" t="str">
        <f aca="false">IF(A158="","",SUMIFS(Alışlar!$D$5:$D$504,Alışlar!$C$5:$C$504,A158))</f>
        <v/>
      </c>
      <c r="H158" s="38" t="str">
        <f aca="false">IF(A158="","",SUMIFS(Satışlar!$D$5:$D$1004,Satışlar!$C$5:$C$1004,A158))</f>
        <v/>
      </c>
      <c r="I158" s="39" t="str">
        <f aca="false">IF(A158="","",E158+G158-H158)</f>
        <v/>
      </c>
      <c r="J158" s="37" t="str">
        <f aca="false">IF(A158="","",I158*C158)</f>
        <v/>
      </c>
      <c r="K158" s="40" t="str">
        <f aca="false">IF(A158="","",IF(I158&lt;=0,"Tükendi",IF(I158&lt;=F158,"Kritik","Yeterli")))</f>
        <v/>
      </c>
      <c r="L158" s="37" t="str">
        <f aca="false">IF(A158="","",SUMIFS(Satışlar!$G$5:$G$1004,Satışlar!$C$5:$C$1004,A158))</f>
        <v/>
      </c>
      <c r="M158" s="41" t="str">
        <f aca="false">IF(A158="","",L158+ROW()/1000000)</f>
        <v/>
      </c>
      <c r="N158" s="41" t="str">
        <f aca="false">IF(OR(K158="Tükendi",K158="Kritik"),ROW(),"")</f>
        <v/>
      </c>
    </row>
    <row r="159" customFormat="false" ht="15" hidden="false" customHeight="false" outlineLevel="0" collapsed="false">
      <c r="A159" s="33"/>
      <c r="B159" s="36"/>
      <c r="C159" s="35"/>
      <c r="D159" s="35"/>
      <c r="E159" s="34"/>
      <c r="F159" s="34"/>
      <c r="G159" s="38" t="str">
        <f aca="false">IF(A159="","",SUMIFS(Alışlar!$D$5:$D$504,Alışlar!$C$5:$C$504,A159))</f>
        <v/>
      </c>
      <c r="H159" s="38" t="str">
        <f aca="false">IF(A159="","",SUMIFS(Satışlar!$D$5:$D$1004,Satışlar!$C$5:$C$1004,A159))</f>
        <v/>
      </c>
      <c r="I159" s="39" t="str">
        <f aca="false">IF(A159="","",E159+G159-H159)</f>
        <v/>
      </c>
      <c r="J159" s="37" t="str">
        <f aca="false">IF(A159="","",I159*C159)</f>
        <v/>
      </c>
      <c r="K159" s="40" t="str">
        <f aca="false">IF(A159="","",IF(I159&lt;=0,"Tükendi",IF(I159&lt;=F159,"Kritik","Yeterli")))</f>
        <v/>
      </c>
      <c r="L159" s="37" t="str">
        <f aca="false">IF(A159="","",SUMIFS(Satışlar!$G$5:$G$1004,Satışlar!$C$5:$C$1004,A159))</f>
        <v/>
      </c>
      <c r="M159" s="41" t="str">
        <f aca="false">IF(A159="","",L159+ROW()/1000000)</f>
        <v/>
      </c>
      <c r="N159" s="41" t="str">
        <f aca="false">IF(OR(K159="Tükendi",K159="Kritik"),ROW(),"")</f>
        <v/>
      </c>
    </row>
    <row r="160" customFormat="false" ht="15" hidden="false" customHeight="false" outlineLevel="0" collapsed="false">
      <c r="A160" s="33"/>
      <c r="B160" s="36"/>
      <c r="C160" s="35"/>
      <c r="D160" s="35"/>
      <c r="E160" s="34"/>
      <c r="F160" s="34"/>
      <c r="G160" s="38" t="str">
        <f aca="false">IF(A160="","",SUMIFS(Alışlar!$D$5:$D$504,Alışlar!$C$5:$C$504,A160))</f>
        <v/>
      </c>
      <c r="H160" s="38" t="str">
        <f aca="false">IF(A160="","",SUMIFS(Satışlar!$D$5:$D$1004,Satışlar!$C$5:$C$1004,A160))</f>
        <v/>
      </c>
      <c r="I160" s="39" t="str">
        <f aca="false">IF(A160="","",E160+G160-H160)</f>
        <v/>
      </c>
      <c r="J160" s="37" t="str">
        <f aca="false">IF(A160="","",I160*C160)</f>
        <v/>
      </c>
      <c r="K160" s="40" t="str">
        <f aca="false">IF(A160="","",IF(I160&lt;=0,"Tükendi",IF(I160&lt;=F160,"Kritik","Yeterli")))</f>
        <v/>
      </c>
      <c r="L160" s="37" t="str">
        <f aca="false">IF(A160="","",SUMIFS(Satışlar!$G$5:$G$1004,Satışlar!$C$5:$C$1004,A160))</f>
        <v/>
      </c>
      <c r="M160" s="41" t="str">
        <f aca="false">IF(A160="","",L160+ROW()/1000000)</f>
        <v/>
      </c>
      <c r="N160" s="41" t="str">
        <f aca="false">IF(OR(K160="Tükendi",K160="Kritik"),ROW(),"")</f>
        <v/>
      </c>
    </row>
    <row r="161" customFormat="false" ht="15" hidden="false" customHeight="false" outlineLevel="0" collapsed="false">
      <c r="A161" s="33"/>
      <c r="B161" s="36"/>
      <c r="C161" s="35"/>
      <c r="D161" s="35"/>
      <c r="E161" s="34"/>
      <c r="F161" s="34"/>
      <c r="G161" s="38" t="str">
        <f aca="false">IF(A161="","",SUMIFS(Alışlar!$D$5:$D$504,Alışlar!$C$5:$C$504,A161))</f>
        <v/>
      </c>
      <c r="H161" s="38" t="str">
        <f aca="false">IF(A161="","",SUMIFS(Satışlar!$D$5:$D$1004,Satışlar!$C$5:$C$1004,A161))</f>
        <v/>
      </c>
      <c r="I161" s="39" t="str">
        <f aca="false">IF(A161="","",E161+G161-H161)</f>
        <v/>
      </c>
      <c r="J161" s="37" t="str">
        <f aca="false">IF(A161="","",I161*C161)</f>
        <v/>
      </c>
      <c r="K161" s="40" t="str">
        <f aca="false">IF(A161="","",IF(I161&lt;=0,"Tükendi",IF(I161&lt;=F161,"Kritik","Yeterli")))</f>
        <v/>
      </c>
      <c r="L161" s="37" t="str">
        <f aca="false">IF(A161="","",SUMIFS(Satışlar!$G$5:$G$1004,Satışlar!$C$5:$C$1004,A161))</f>
        <v/>
      </c>
      <c r="M161" s="41" t="str">
        <f aca="false">IF(A161="","",L161+ROW()/1000000)</f>
        <v/>
      </c>
      <c r="N161" s="41" t="str">
        <f aca="false">IF(OR(K161="Tükendi",K161="Kritik"),ROW(),"")</f>
        <v/>
      </c>
    </row>
    <row r="162" customFormat="false" ht="15" hidden="false" customHeight="false" outlineLevel="0" collapsed="false">
      <c r="A162" s="33"/>
      <c r="B162" s="36"/>
      <c r="C162" s="35"/>
      <c r="D162" s="35"/>
      <c r="E162" s="34"/>
      <c r="F162" s="34"/>
      <c r="G162" s="38" t="str">
        <f aca="false">IF(A162="","",SUMIFS(Alışlar!$D$5:$D$504,Alışlar!$C$5:$C$504,A162))</f>
        <v/>
      </c>
      <c r="H162" s="38" t="str">
        <f aca="false">IF(A162="","",SUMIFS(Satışlar!$D$5:$D$1004,Satışlar!$C$5:$C$1004,A162))</f>
        <v/>
      </c>
      <c r="I162" s="39" t="str">
        <f aca="false">IF(A162="","",E162+G162-H162)</f>
        <v/>
      </c>
      <c r="J162" s="37" t="str">
        <f aca="false">IF(A162="","",I162*C162)</f>
        <v/>
      </c>
      <c r="K162" s="40" t="str">
        <f aca="false">IF(A162="","",IF(I162&lt;=0,"Tükendi",IF(I162&lt;=F162,"Kritik","Yeterli")))</f>
        <v/>
      </c>
      <c r="L162" s="37" t="str">
        <f aca="false">IF(A162="","",SUMIFS(Satışlar!$G$5:$G$1004,Satışlar!$C$5:$C$1004,A162))</f>
        <v/>
      </c>
      <c r="M162" s="41" t="str">
        <f aca="false">IF(A162="","",L162+ROW()/1000000)</f>
        <v/>
      </c>
      <c r="N162" s="41" t="str">
        <f aca="false">IF(OR(K162="Tükendi",K162="Kritik"),ROW(),"")</f>
        <v/>
      </c>
    </row>
    <row r="163" customFormat="false" ht="15" hidden="false" customHeight="false" outlineLevel="0" collapsed="false">
      <c r="A163" s="33"/>
      <c r="B163" s="36"/>
      <c r="C163" s="35"/>
      <c r="D163" s="35"/>
      <c r="E163" s="34"/>
      <c r="F163" s="34"/>
      <c r="G163" s="38" t="str">
        <f aca="false">IF(A163="","",SUMIFS(Alışlar!$D$5:$D$504,Alışlar!$C$5:$C$504,A163))</f>
        <v/>
      </c>
      <c r="H163" s="38" t="str">
        <f aca="false">IF(A163="","",SUMIFS(Satışlar!$D$5:$D$1004,Satışlar!$C$5:$C$1004,A163))</f>
        <v/>
      </c>
      <c r="I163" s="39" t="str">
        <f aca="false">IF(A163="","",E163+G163-H163)</f>
        <v/>
      </c>
      <c r="J163" s="37" t="str">
        <f aca="false">IF(A163="","",I163*C163)</f>
        <v/>
      </c>
      <c r="K163" s="40" t="str">
        <f aca="false">IF(A163="","",IF(I163&lt;=0,"Tükendi",IF(I163&lt;=F163,"Kritik","Yeterli")))</f>
        <v/>
      </c>
      <c r="L163" s="37" t="str">
        <f aca="false">IF(A163="","",SUMIFS(Satışlar!$G$5:$G$1004,Satışlar!$C$5:$C$1004,A163))</f>
        <v/>
      </c>
      <c r="M163" s="41" t="str">
        <f aca="false">IF(A163="","",L163+ROW()/1000000)</f>
        <v/>
      </c>
      <c r="N163" s="41" t="str">
        <f aca="false">IF(OR(K163="Tükendi",K163="Kritik"),ROW(),"")</f>
        <v/>
      </c>
    </row>
    <row r="164" customFormat="false" ht="15" hidden="false" customHeight="false" outlineLevel="0" collapsed="false">
      <c r="A164" s="33"/>
      <c r="B164" s="36"/>
      <c r="C164" s="35"/>
      <c r="D164" s="35"/>
      <c r="E164" s="34"/>
      <c r="F164" s="34"/>
      <c r="G164" s="38" t="str">
        <f aca="false">IF(A164="","",SUMIFS(Alışlar!$D$5:$D$504,Alışlar!$C$5:$C$504,A164))</f>
        <v/>
      </c>
      <c r="H164" s="38" t="str">
        <f aca="false">IF(A164="","",SUMIFS(Satışlar!$D$5:$D$1004,Satışlar!$C$5:$C$1004,A164))</f>
        <v/>
      </c>
      <c r="I164" s="39" t="str">
        <f aca="false">IF(A164="","",E164+G164-H164)</f>
        <v/>
      </c>
      <c r="J164" s="37" t="str">
        <f aca="false">IF(A164="","",I164*C164)</f>
        <v/>
      </c>
      <c r="K164" s="40" t="str">
        <f aca="false">IF(A164="","",IF(I164&lt;=0,"Tükendi",IF(I164&lt;=F164,"Kritik","Yeterli")))</f>
        <v/>
      </c>
      <c r="L164" s="37" t="str">
        <f aca="false">IF(A164="","",SUMIFS(Satışlar!$G$5:$G$1004,Satışlar!$C$5:$C$1004,A164))</f>
        <v/>
      </c>
      <c r="M164" s="41" t="str">
        <f aca="false">IF(A164="","",L164+ROW()/1000000)</f>
        <v/>
      </c>
      <c r="N164" s="41" t="str">
        <f aca="false">IF(OR(K164="Tükendi",K164="Kritik"),ROW(),"")</f>
        <v/>
      </c>
    </row>
    <row r="165" customFormat="false" ht="15" hidden="false" customHeight="false" outlineLevel="0" collapsed="false">
      <c r="A165" s="33"/>
      <c r="B165" s="36"/>
      <c r="C165" s="35"/>
      <c r="D165" s="35"/>
      <c r="E165" s="34"/>
      <c r="F165" s="34"/>
      <c r="G165" s="38" t="str">
        <f aca="false">IF(A165="","",SUMIFS(Alışlar!$D$5:$D$504,Alışlar!$C$5:$C$504,A165))</f>
        <v/>
      </c>
      <c r="H165" s="38" t="str">
        <f aca="false">IF(A165="","",SUMIFS(Satışlar!$D$5:$D$1004,Satışlar!$C$5:$C$1004,A165))</f>
        <v/>
      </c>
      <c r="I165" s="39" t="str">
        <f aca="false">IF(A165="","",E165+G165-H165)</f>
        <v/>
      </c>
      <c r="J165" s="37" t="str">
        <f aca="false">IF(A165="","",I165*C165)</f>
        <v/>
      </c>
      <c r="K165" s="40" t="str">
        <f aca="false">IF(A165="","",IF(I165&lt;=0,"Tükendi",IF(I165&lt;=F165,"Kritik","Yeterli")))</f>
        <v/>
      </c>
      <c r="L165" s="37" t="str">
        <f aca="false">IF(A165="","",SUMIFS(Satışlar!$G$5:$G$1004,Satışlar!$C$5:$C$1004,A165))</f>
        <v/>
      </c>
      <c r="M165" s="41" t="str">
        <f aca="false">IF(A165="","",L165+ROW()/1000000)</f>
        <v/>
      </c>
      <c r="N165" s="41" t="str">
        <f aca="false">IF(OR(K165="Tükendi",K165="Kritik"),ROW(),"")</f>
        <v/>
      </c>
    </row>
    <row r="166" customFormat="false" ht="15" hidden="false" customHeight="false" outlineLevel="0" collapsed="false">
      <c r="A166" s="33"/>
      <c r="B166" s="36"/>
      <c r="C166" s="35"/>
      <c r="D166" s="35"/>
      <c r="E166" s="34"/>
      <c r="F166" s="34"/>
      <c r="G166" s="38" t="str">
        <f aca="false">IF(A166="","",SUMIFS(Alışlar!$D$5:$D$504,Alışlar!$C$5:$C$504,A166))</f>
        <v/>
      </c>
      <c r="H166" s="38" t="str">
        <f aca="false">IF(A166="","",SUMIFS(Satışlar!$D$5:$D$1004,Satışlar!$C$5:$C$1004,A166))</f>
        <v/>
      </c>
      <c r="I166" s="39" t="str">
        <f aca="false">IF(A166="","",E166+G166-H166)</f>
        <v/>
      </c>
      <c r="J166" s="37" t="str">
        <f aca="false">IF(A166="","",I166*C166)</f>
        <v/>
      </c>
      <c r="K166" s="40" t="str">
        <f aca="false">IF(A166="","",IF(I166&lt;=0,"Tükendi",IF(I166&lt;=F166,"Kritik","Yeterli")))</f>
        <v/>
      </c>
      <c r="L166" s="37" t="str">
        <f aca="false">IF(A166="","",SUMIFS(Satışlar!$G$5:$G$1004,Satışlar!$C$5:$C$1004,A166))</f>
        <v/>
      </c>
      <c r="M166" s="41" t="str">
        <f aca="false">IF(A166="","",L166+ROW()/1000000)</f>
        <v/>
      </c>
      <c r="N166" s="41" t="str">
        <f aca="false">IF(OR(K166="Tükendi",K166="Kritik"),ROW(),"")</f>
        <v/>
      </c>
    </row>
    <row r="167" customFormat="false" ht="15" hidden="false" customHeight="false" outlineLevel="0" collapsed="false">
      <c r="A167" s="33"/>
      <c r="B167" s="36"/>
      <c r="C167" s="35"/>
      <c r="D167" s="35"/>
      <c r="E167" s="34"/>
      <c r="F167" s="34"/>
      <c r="G167" s="38" t="str">
        <f aca="false">IF(A167="","",SUMIFS(Alışlar!$D$5:$D$504,Alışlar!$C$5:$C$504,A167))</f>
        <v/>
      </c>
      <c r="H167" s="38" t="str">
        <f aca="false">IF(A167="","",SUMIFS(Satışlar!$D$5:$D$1004,Satışlar!$C$5:$C$1004,A167))</f>
        <v/>
      </c>
      <c r="I167" s="39" t="str">
        <f aca="false">IF(A167="","",E167+G167-H167)</f>
        <v/>
      </c>
      <c r="J167" s="37" t="str">
        <f aca="false">IF(A167="","",I167*C167)</f>
        <v/>
      </c>
      <c r="K167" s="40" t="str">
        <f aca="false">IF(A167="","",IF(I167&lt;=0,"Tükendi",IF(I167&lt;=F167,"Kritik","Yeterli")))</f>
        <v/>
      </c>
      <c r="L167" s="37" t="str">
        <f aca="false">IF(A167="","",SUMIFS(Satışlar!$G$5:$G$1004,Satışlar!$C$5:$C$1004,A167))</f>
        <v/>
      </c>
      <c r="M167" s="41" t="str">
        <f aca="false">IF(A167="","",L167+ROW()/1000000)</f>
        <v/>
      </c>
      <c r="N167" s="41" t="str">
        <f aca="false">IF(OR(K167="Tükendi",K167="Kritik"),ROW(),"")</f>
        <v/>
      </c>
    </row>
    <row r="168" customFormat="false" ht="15" hidden="false" customHeight="false" outlineLevel="0" collapsed="false">
      <c r="A168" s="33"/>
      <c r="B168" s="36"/>
      <c r="C168" s="35"/>
      <c r="D168" s="35"/>
      <c r="E168" s="34"/>
      <c r="F168" s="34"/>
      <c r="G168" s="38" t="str">
        <f aca="false">IF(A168="","",SUMIFS(Alışlar!$D$5:$D$504,Alışlar!$C$5:$C$504,A168))</f>
        <v/>
      </c>
      <c r="H168" s="38" t="str">
        <f aca="false">IF(A168="","",SUMIFS(Satışlar!$D$5:$D$1004,Satışlar!$C$5:$C$1004,A168))</f>
        <v/>
      </c>
      <c r="I168" s="39" t="str">
        <f aca="false">IF(A168="","",E168+G168-H168)</f>
        <v/>
      </c>
      <c r="J168" s="37" t="str">
        <f aca="false">IF(A168="","",I168*C168)</f>
        <v/>
      </c>
      <c r="K168" s="40" t="str">
        <f aca="false">IF(A168="","",IF(I168&lt;=0,"Tükendi",IF(I168&lt;=F168,"Kritik","Yeterli")))</f>
        <v/>
      </c>
      <c r="L168" s="37" t="str">
        <f aca="false">IF(A168="","",SUMIFS(Satışlar!$G$5:$G$1004,Satışlar!$C$5:$C$1004,A168))</f>
        <v/>
      </c>
      <c r="M168" s="41" t="str">
        <f aca="false">IF(A168="","",L168+ROW()/1000000)</f>
        <v/>
      </c>
      <c r="N168" s="41" t="str">
        <f aca="false">IF(OR(K168="Tükendi",K168="Kritik"),ROW(),"")</f>
        <v/>
      </c>
    </row>
    <row r="169" customFormat="false" ht="15" hidden="false" customHeight="false" outlineLevel="0" collapsed="false">
      <c r="A169" s="33"/>
      <c r="B169" s="36"/>
      <c r="C169" s="35"/>
      <c r="D169" s="35"/>
      <c r="E169" s="34"/>
      <c r="F169" s="34"/>
      <c r="G169" s="38" t="str">
        <f aca="false">IF(A169="","",SUMIFS(Alışlar!$D$5:$D$504,Alışlar!$C$5:$C$504,A169))</f>
        <v/>
      </c>
      <c r="H169" s="38" t="str">
        <f aca="false">IF(A169="","",SUMIFS(Satışlar!$D$5:$D$1004,Satışlar!$C$5:$C$1004,A169))</f>
        <v/>
      </c>
      <c r="I169" s="39" t="str">
        <f aca="false">IF(A169="","",E169+G169-H169)</f>
        <v/>
      </c>
      <c r="J169" s="37" t="str">
        <f aca="false">IF(A169="","",I169*C169)</f>
        <v/>
      </c>
      <c r="K169" s="40" t="str">
        <f aca="false">IF(A169="","",IF(I169&lt;=0,"Tükendi",IF(I169&lt;=F169,"Kritik","Yeterli")))</f>
        <v/>
      </c>
      <c r="L169" s="37" t="str">
        <f aca="false">IF(A169="","",SUMIFS(Satışlar!$G$5:$G$1004,Satışlar!$C$5:$C$1004,A169))</f>
        <v/>
      </c>
      <c r="M169" s="41" t="str">
        <f aca="false">IF(A169="","",L169+ROW()/1000000)</f>
        <v/>
      </c>
      <c r="N169" s="41" t="str">
        <f aca="false">IF(OR(K169="Tükendi",K169="Kritik"),ROW(),"")</f>
        <v/>
      </c>
    </row>
    <row r="170" customFormat="false" ht="15" hidden="false" customHeight="false" outlineLevel="0" collapsed="false">
      <c r="A170" s="33"/>
      <c r="B170" s="36"/>
      <c r="C170" s="35"/>
      <c r="D170" s="35"/>
      <c r="E170" s="34"/>
      <c r="F170" s="34"/>
      <c r="G170" s="38" t="str">
        <f aca="false">IF(A170="","",SUMIFS(Alışlar!$D$5:$D$504,Alışlar!$C$5:$C$504,A170))</f>
        <v/>
      </c>
      <c r="H170" s="38" t="str">
        <f aca="false">IF(A170="","",SUMIFS(Satışlar!$D$5:$D$1004,Satışlar!$C$5:$C$1004,A170))</f>
        <v/>
      </c>
      <c r="I170" s="39" t="str">
        <f aca="false">IF(A170="","",E170+G170-H170)</f>
        <v/>
      </c>
      <c r="J170" s="37" t="str">
        <f aca="false">IF(A170="","",I170*C170)</f>
        <v/>
      </c>
      <c r="K170" s="40" t="str">
        <f aca="false">IF(A170="","",IF(I170&lt;=0,"Tükendi",IF(I170&lt;=F170,"Kritik","Yeterli")))</f>
        <v/>
      </c>
      <c r="L170" s="37" t="str">
        <f aca="false">IF(A170="","",SUMIFS(Satışlar!$G$5:$G$1004,Satışlar!$C$5:$C$1004,A170))</f>
        <v/>
      </c>
      <c r="M170" s="41" t="str">
        <f aca="false">IF(A170="","",L170+ROW()/1000000)</f>
        <v/>
      </c>
      <c r="N170" s="41" t="str">
        <f aca="false">IF(OR(K170="Tükendi",K170="Kritik"),ROW(),"")</f>
        <v/>
      </c>
    </row>
    <row r="171" customFormat="false" ht="15" hidden="false" customHeight="false" outlineLevel="0" collapsed="false">
      <c r="A171" s="33"/>
      <c r="B171" s="36"/>
      <c r="C171" s="35"/>
      <c r="D171" s="35"/>
      <c r="E171" s="34"/>
      <c r="F171" s="34"/>
      <c r="G171" s="38" t="str">
        <f aca="false">IF(A171="","",SUMIFS(Alışlar!$D$5:$D$504,Alışlar!$C$5:$C$504,A171))</f>
        <v/>
      </c>
      <c r="H171" s="38" t="str">
        <f aca="false">IF(A171="","",SUMIFS(Satışlar!$D$5:$D$1004,Satışlar!$C$5:$C$1004,A171))</f>
        <v/>
      </c>
      <c r="I171" s="39" t="str">
        <f aca="false">IF(A171="","",E171+G171-H171)</f>
        <v/>
      </c>
      <c r="J171" s="37" t="str">
        <f aca="false">IF(A171="","",I171*C171)</f>
        <v/>
      </c>
      <c r="K171" s="40" t="str">
        <f aca="false">IF(A171="","",IF(I171&lt;=0,"Tükendi",IF(I171&lt;=F171,"Kritik","Yeterli")))</f>
        <v/>
      </c>
      <c r="L171" s="37" t="str">
        <f aca="false">IF(A171="","",SUMIFS(Satışlar!$G$5:$G$1004,Satışlar!$C$5:$C$1004,A171))</f>
        <v/>
      </c>
      <c r="M171" s="41" t="str">
        <f aca="false">IF(A171="","",L171+ROW()/1000000)</f>
        <v/>
      </c>
      <c r="N171" s="41" t="str">
        <f aca="false">IF(OR(K171="Tükendi",K171="Kritik"),ROW(),"")</f>
        <v/>
      </c>
    </row>
    <row r="172" customFormat="false" ht="15" hidden="false" customHeight="false" outlineLevel="0" collapsed="false">
      <c r="A172" s="33"/>
      <c r="B172" s="36"/>
      <c r="C172" s="35"/>
      <c r="D172" s="35"/>
      <c r="E172" s="34"/>
      <c r="F172" s="34"/>
      <c r="G172" s="38" t="str">
        <f aca="false">IF(A172="","",SUMIFS(Alışlar!$D$5:$D$504,Alışlar!$C$5:$C$504,A172))</f>
        <v/>
      </c>
      <c r="H172" s="38" t="str">
        <f aca="false">IF(A172="","",SUMIFS(Satışlar!$D$5:$D$1004,Satışlar!$C$5:$C$1004,A172))</f>
        <v/>
      </c>
      <c r="I172" s="39" t="str">
        <f aca="false">IF(A172="","",E172+G172-H172)</f>
        <v/>
      </c>
      <c r="J172" s="37" t="str">
        <f aca="false">IF(A172="","",I172*C172)</f>
        <v/>
      </c>
      <c r="K172" s="40" t="str">
        <f aca="false">IF(A172="","",IF(I172&lt;=0,"Tükendi",IF(I172&lt;=F172,"Kritik","Yeterli")))</f>
        <v/>
      </c>
      <c r="L172" s="37" t="str">
        <f aca="false">IF(A172="","",SUMIFS(Satışlar!$G$5:$G$1004,Satışlar!$C$5:$C$1004,A172))</f>
        <v/>
      </c>
      <c r="M172" s="41" t="str">
        <f aca="false">IF(A172="","",L172+ROW()/1000000)</f>
        <v/>
      </c>
      <c r="N172" s="41" t="str">
        <f aca="false">IF(OR(K172="Tükendi",K172="Kritik"),ROW(),"")</f>
        <v/>
      </c>
    </row>
    <row r="173" customFormat="false" ht="15" hidden="false" customHeight="false" outlineLevel="0" collapsed="false">
      <c r="A173" s="33"/>
      <c r="B173" s="36"/>
      <c r="C173" s="35"/>
      <c r="D173" s="35"/>
      <c r="E173" s="34"/>
      <c r="F173" s="34"/>
      <c r="G173" s="38" t="str">
        <f aca="false">IF(A173="","",SUMIFS(Alışlar!$D$5:$D$504,Alışlar!$C$5:$C$504,A173))</f>
        <v/>
      </c>
      <c r="H173" s="38" t="str">
        <f aca="false">IF(A173="","",SUMIFS(Satışlar!$D$5:$D$1004,Satışlar!$C$5:$C$1004,A173))</f>
        <v/>
      </c>
      <c r="I173" s="39" t="str">
        <f aca="false">IF(A173="","",E173+G173-H173)</f>
        <v/>
      </c>
      <c r="J173" s="37" t="str">
        <f aca="false">IF(A173="","",I173*C173)</f>
        <v/>
      </c>
      <c r="K173" s="40" t="str">
        <f aca="false">IF(A173="","",IF(I173&lt;=0,"Tükendi",IF(I173&lt;=F173,"Kritik","Yeterli")))</f>
        <v/>
      </c>
      <c r="L173" s="37" t="str">
        <f aca="false">IF(A173="","",SUMIFS(Satışlar!$G$5:$G$1004,Satışlar!$C$5:$C$1004,A173))</f>
        <v/>
      </c>
      <c r="M173" s="41" t="str">
        <f aca="false">IF(A173="","",L173+ROW()/1000000)</f>
        <v/>
      </c>
      <c r="N173" s="41" t="str">
        <f aca="false">IF(OR(K173="Tükendi",K173="Kritik"),ROW(),"")</f>
        <v/>
      </c>
    </row>
    <row r="174" customFormat="false" ht="15" hidden="false" customHeight="false" outlineLevel="0" collapsed="false">
      <c r="A174" s="33"/>
      <c r="B174" s="36"/>
      <c r="C174" s="35"/>
      <c r="D174" s="35"/>
      <c r="E174" s="34"/>
      <c r="F174" s="34"/>
      <c r="G174" s="38" t="str">
        <f aca="false">IF(A174="","",SUMIFS(Alışlar!$D$5:$D$504,Alışlar!$C$5:$C$504,A174))</f>
        <v/>
      </c>
      <c r="H174" s="38" t="str">
        <f aca="false">IF(A174="","",SUMIFS(Satışlar!$D$5:$D$1004,Satışlar!$C$5:$C$1004,A174))</f>
        <v/>
      </c>
      <c r="I174" s="39" t="str">
        <f aca="false">IF(A174="","",E174+G174-H174)</f>
        <v/>
      </c>
      <c r="J174" s="37" t="str">
        <f aca="false">IF(A174="","",I174*C174)</f>
        <v/>
      </c>
      <c r="K174" s="40" t="str">
        <f aca="false">IF(A174="","",IF(I174&lt;=0,"Tükendi",IF(I174&lt;=F174,"Kritik","Yeterli")))</f>
        <v/>
      </c>
      <c r="L174" s="37" t="str">
        <f aca="false">IF(A174="","",SUMIFS(Satışlar!$G$5:$G$1004,Satışlar!$C$5:$C$1004,A174))</f>
        <v/>
      </c>
      <c r="M174" s="41" t="str">
        <f aca="false">IF(A174="","",L174+ROW()/1000000)</f>
        <v/>
      </c>
      <c r="N174" s="41" t="str">
        <f aca="false">IF(OR(K174="Tükendi",K174="Kritik"),ROW(),"")</f>
        <v/>
      </c>
    </row>
    <row r="175" customFormat="false" ht="15" hidden="false" customHeight="false" outlineLevel="0" collapsed="false">
      <c r="A175" s="33"/>
      <c r="B175" s="36"/>
      <c r="C175" s="35"/>
      <c r="D175" s="35"/>
      <c r="E175" s="34"/>
      <c r="F175" s="34"/>
      <c r="G175" s="38" t="str">
        <f aca="false">IF(A175="","",SUMIFS(Alışlar!$D$5:$D$504,Alışlar!$C$5:$C$504,A175))</f>
        <v/>
      </c>
      <c r="H175" s="38" t="str">
        <f aca="false">IF(A175="","",SUMIFS(Satışlar!$D$5:$D$1004,Satışlar!$C$5:$C$1004,A175))</f>
        <v/>
      </c>
      <c r="I175" s="39" t="str">
        <f aca="false">IF(A175="","",E175+G175-H175)</f>
        <v/>
      </c>
      <c r="J175" s="37" t="str">
        <f aca="false">IF(A175="","",I175*C175)</f>
        <v/>
      </c>
      <c r="K175" s="40" t="str">
        <f aca="false">IF(A175="","",IF(I175&lt;=0,"Tükendi",IF(I175&lt;=F175,"Kritik","Yeterli")))</f>
        <v/>
      </c>
      <c r="L175" s="37" t="str">
        <f aca="false">IF(A175="","",SUMIFS(Satışlar!$G$5:$G$1004,Satışlar!$C$5:$C$1004,A175))</f>
        <v/>
      </c>
      <c r="M175" s="41" t="str">
        <f aca="false">IF(A175="","",L175+ROW()/1000000)</f>
        <v/>
      </c>
      <c r="N175" s="41" t="str">
        <f aca="false">IF(OR(K175="Tükendi",K175="Kritik"),ROW(),"")</f>
        <v/>
      </c>
    </row>
    <row r="176" customFormat="false" ht="15" hidden="false" customHeight="false" outlineLevel="0" collapsed="false">
      <c r="A176" s="33"/>
      <c r="B176" s="36"/>
      <c r="C176" s="35"/>
      <c r="D176" s="35"/>
      <c r="E176" s="34"/>
      <c r="F176" s="34"/>
      <c r="G176" s="38" t="str">
        <f aca="false">IF(A176="","",SUMIFS(Alışlar!$D$5:$D$504,Alışlar!$C$5:$C$504,A176))</f>
        <v/>
      </c>
      <c r="H176" s="38" t="str">
        <f aca="false">IF(A176="","",SUMIFS(Satışlar!$D$5:$D$1004,Satışlar!$C$5:$C$1004,A176))</f>
        <v/>
      </c>
      <c r="I176" s="39" t="str">
        <f aca="false">IF(A176="","",E176+G176-H176)</f>
        <v/>
      </c>
      <c r="J176" s="37" t="str">
        <f aca="false">IF(A176="","",I176*C176)</f>
        <v/>
      </c>
      <c r="K176" s="40" t="str">
        <f aca="false">IF(A176="","",IF(I176&lt;=0,"Tükendi",IF(I176&lt;=F176,"Kritik","Yeterli")))</f>
        <v/>
      </c>
      <c r="L176" s="37" t="str">
        <f aca="false">IF(A176="","",SUMIFS(Satışlar!$G$5:$G$1004,Satışlar!$C$5:$C$1004,A176))</f>
        <v/>
      </c>
      <c r="M176" s="41" t="str">
        <f aca="false">IF(A176="","",L176+ROW()/1000000)</f>
        <v/>
      </c>
      <c r="N176" s="41" t="str">
        <f aca="false">IF(OR(K176="Tükendi",K176="Kritik"),ROW(),"")</f>
        <v/>
      </c>
    </row>
    <row r="177" customFormat="false" ht="15" hidden="false" customHeight="false" outlineLevel="0" collapsed="false">
      <c r="A177" s="33"/>
      <c r="B177" s="36"/>
      <c r="C177" s="35"/>
      <c r="D177" s="35"/>
      <c r="E177" s="34"/>
      <c r="F177" s="34"/>
      <c r="G177" s="38" t="str">
        <f aca="false">IF(A177="","",SUMIFS(Alışlar!$D$5:$D$504,Alışlar!$C$5:$C$504,A177))</f>
        <v/>
      </c>
      <c r="H177" s="38" t="str">
        <f aca="false">IF(A177="","",SUMIFS(Satışlar!$D$5:$D$1004,Satışlar!$C$5:$C$1004,A177))</f>
        <v/>
      </c>
      <c r="I177" s="39" t="str">
        <f aca="false">IF(A177="","",E177+G177-H177)</f>
        <v/>
      </c>
      <c r="J177" s="37" t="str">
        <f aca="false">IF(A177="","",I177*C177)</f>
        <v/>
      </c>
      <c r="K177" s="40" t="str">
        <f aca="false">IF(A177="","",IF(I177&lt;=0,"Tükendi",IF(I177&lt;=F177,"Kritik","Yeterli")))</f>
        <v/>
      </c>
      <c r="L177" s="37" t="str">
        <f aca="false">IF(A177="","",SUMIFS(Satışlar!$G$5:$G$1004,Satışlar!$C$5:$C$1004,A177))</f>
        <v/>
      </c>
      <c r="M177" s="41" t="str">
        <f aca="false">IF(A177="","",L177+ROW()/1000000)</f>
        <v/>
      </c>
      <c r="N177" s="41" t="str">
        <f aca="false">IF(OR(K177="Tükendi",K177="Kritik"),ROW(),"")</f>
        <v/>
      </c>
    </row>
    <row r="178" customFormat="false" ht="15" hidden="false" customHeight="false" outlineLevel="0" collapsed="false">
      <c r="A178" s="33"/>
      <c r="B178" s="36"/>
      <c r="C178" s="35"/>
      <c r="D178" s="35"/>
      <c r="E178" s="34"/>
      <c r="F178" s="34"/>
      <c r="G178" s="38" t="str">
        <f aca="false">IF(A178="","",SUMIFS(Alışlar!$D$5:$D$504,Alışlar!$C$5:$C$504,A178))</f>
        <v/>
      </c>
      <c r="H178" s="38" t="str">
        <f aca="false">IF(A178="","",SUMIFS(Satışlar!$D$5:$D$1004,Satışlar!$C$5:$C$1004,A178))</f>
        <v/>
      </c>
      <c r="I178" s="39" t="str">
        <f aca="false">IF(A178="","",E178+G178-H178)</f>
        <v/>
      </c>
      <c r="J178" s="37" t="str">
        <f aca="false">IF(A178="","",I178*C178)</f>
        <v/>
      </c>
      <c r="K178" s="40" t="str">
        <f aca="false">IF(A178="","",IF(I178&lt;=0,"Tükendi",IF(I178&lt;=F178,"Kritik","Yeterli")))</f>
        <v/>
      </c>
      <c r="L178" s="37" t="str">
        <f aca="false">IF(A178="","",SUMIFS(Satışlar!$G$5:$G$1004,Satışlar!$C$5:$C$1004,A178))</f>
        <v/>
      </c>
      <c r="M178" s="41" t="str">
        <f aca="false">IF(A178="","",L178+ROW()/1000000)</f>
        <v/>
      </c>
      <c r="N178" s="41" t="str">
        <f aca="false">IF(OR(K178="Tükendi",K178="Kritik"),ROW(),"")</f>
        <v/>
      </c>
    </row>
    <row r="179" customFormat="false" ht="15" hidden="false" customHeight="false" outlineLevel="0" collapsed="false">
      <c r="A179" s="33"/>
      <c r="B179" s="36"/>
      <c r="C179" s="35"/>
      <c r="D179" s="35"/>
      <c r="E179" s="34"/>
      <c r="F179" s="34"/>
      <c r="G179" s="38" t="str">
        <f aca="false">IF(A179="","",SUMIFS(Alışlar!$D$5:$D$504,Alışlar!$C$5:$C$504,A179))</f>
        <v/>
      </c>
      <c r="H179" s="38" t="str">
        <f aca="false">IF(A179="","",SUMIFS(Satışlar!$D$5:$D$1004,Satışlar!$C$5:$C$1004,A179))</f>
        <v/>
      </c>
      <c r="I179" s="39" t="str">
        <f aca="false">IF(A179="","",E179+G179-H179)</f>
        <v/>
      </c>
      <c r="J179" s="37" t="str">
        <f aca="false">IF(A179="","",I179*C179)</f>
        <v/>
      </c>
      <c r="K179" s="40" t="str">
        <f aca="false">IF(A179="","",IF(I179&lt;=0,"Tükendi",IF(I179&lt;=F179,"Kritik","Yeterli")))</f>
        <v/>
      </c>
      <c r="L179" s="37" t="str">
        <f aca="false">IF(A179="","",SUMIFS(Satışlar!$G$5:$G$1004,Satışlar!$C$5:$C$1004,A179))</f>
        <v/>
      </c>
      <c r="M179" s="41" t="str">
        <f aca="false">IF(A179="","",L179+ROW()/1000000)</f>
        <v/>
      </c>
      <c r="N179" s="41" t="str">
        <f aca="false">IF(OR(K179="Tükendi",K179="Kritik"),ROW(),"")</f>
        <v/>
      </c>
    </row>
    <row r="180" customFormat="false" ht="15" hidden="false" customHeight="false" outlineLevel="0" collapsed="false">
      <c r="A180" s="33"/>
      <c r="B180" s="36"/>
      <c r="C180" s="35"/>
      <c r="D180" s="35"/>
      <c r="E180" s="34"/>
      <c r="F180" s="34"/>
      <c r="G180" s="38" t="str">
        <f aca="false">IF(A180="","",SUMIFS(Alışlar!$D$5:$D$504,Alışlar!$C$5:$C$504,A180))</f>
        <v/>
      </c>
      <c r="H180" s="38" t="str">
        <f aca="false">IF(A180="","",SUMIFS(Satışlar!$D$5:$D$1004,Satışlar!$C$5:$C$1004,A180))</f>
        <v/>
      </c>
      <c r="I180" s="39" t="str">
        <f aca="false">IF(A180="","",E180+G180-H180)</f>
        <v/>
      </c>
      <c r="J180" s="37" t="str">
        <f aca="false">IF(A180="","",I180*C180)</f>
        <v/>
      </c>
      <c r="K180" s="40" t="str">
        <f aca="false">IF(A180="","",IF(I180&lt;=0,"Tükendi",IF(I180&lt;=F180,"Kritik","Yeterli")))</f>
        <v/>
      </c>
      <c r="L180" s="37" t="str">
        <f aca="false">IF(A180="","",SUMIFS(Satışlar!$G$5:$G$1004,Satışlar!$C$5:$C$1004,A180))</f>
        <v/>
      </c>
      <c r="M180" s="41" t="str">
        <f aca="false">IF(A180="","",L180+ROW()/1000000)</f>
        <v/>
      </c>
      <c r="N180" s="41" t="str">
        <f aca="false">IF(OR(K180="Tükendi",K180="Kritik"),ROW(),"")</f>
        <v/>
      </c>
    </row>
    <row r="181" customFormat="false" ht="15" hidden="false" customHeight="false" outlineLevel="0" collapsed="false">
      <c r="A181" s="33"/>
      <c r="B181" s="36"/>
      <c r="C181" s="35"/>
      <c r="D181" s="35"/>
      <c r="E181" s="34"/>
      <c r="F181" s="34"/>
      <c r="G181" s="38" t="str">
        <f aca="false">IF(A181="","",SUMIFS(Alışlar!$D$5:$D$504,Alışlar!$C$5:$C$504,A181))</f>
        <v/>
      </c>
      <c r="H181" s="38" t="str">
        <f aca="false">IF(A181="","",SUMIFS(Satışlar!$D$5:$D$1004,Satışlar!$C$5:$C$1004,A181))</f>
        <v/>
      </c>
      <c r="I181" s="39" t="str">
        <f aca="false">IF(A181="","",E181+G181-H181)</f>
        <v/>
      </c>
      <c r="J181" s="37" t="str">
        <f aca="false">IF(A181="","",I181*C181)</f>
        <v/>
      </c>
      <c r="K181" s="40" t="str">
        <f aca="false">IF(A181="","",IF(I181&lt;=0,"Tükendi",IF(I181&lt;=F181,"Kritik","Yeterli")))</f>
        <v/>
      </c>
      <c r="L181" s="37" t="str">
        <f aca="false">IF(A181="","",SUMIFS(Satışlar!$G$5:$G$1004,Satışlar!$C$5:$C$1004,A181))</f>
        <v/>
      </c>
      <c r="M181" s="41" t="str">
        <f aca="false">IF(A181="","",L181+ROW()/1000000)</f>
        <v/>
      </c>
      <c r="N181" s="41" t="str">
        <f aca="false">IF(OR(K181="Tükendi",K181="Kritik"),ROW(),"")</f>
        <v/>
      </c>
    </row>
    <row r="182" customFormat="false" ht="15" hidden="false" customHeight="false" outlineLevel="0" collapsed="false">
      <c r="A182" s="33"/>
      <c r="B182" s="36"/>
      <c r="C182" s="35"/>
      <c r="D182" s="35"/>
      <c r="E182" s="34"/>
      <c r="F182" s="34"/>
      <c r="G182" s="38" t="str">
        <f aca="false">IF(A182="","",SUMIFS(Alışlar!$D$5:$D$504,Alışlar!$C$5:$C$504,A182))</f>
        <v/>
      </c>
      <c r="H182" s="38" t="str">
        <f aca="false">IF(A182="","",SUMIFS(Satışlar!$D$5:$D$1004,Satışlar!$C$5:$C$1004,A182))</f>
        <v/>
      </c>
      <c r="I182" s="39" t="str">
        <f aca="false">IF(A182="","",E182+G182-H182)</f>
        <v/>
      </c>
      <c r="J182" s="37" t="str">
        <f aca="false">IF(A182="","",I182*C182)</f>
        <v/>
      </c>
      <c r="K182" s="40" t="str">
        <f aca="false">IF(A182="","",IF(I182&lt;=0,"Tükendi",IF(I182&lt;=F182,"Kritik","Yeterli")))</f>
        <v/>
      </c>
      <c r="L182" s="37" t="str">
        <f aca="false">IF(A182="","",SUMIFS(Satışlar!$G$5:$G$1004,Satışlar!$C$5:$C$1004,A182))</f>
        <v/>
      </c>
      <c r="M182" s="41" t="str">
        <f aca="false">IF(A182="","",L182+ROW()/1000000)</f>
        <v/>
      </c>
      <c r="N182" s="41" t="str">
        <f aca="false">IF(OR(K182="Tükendi",K182="Kritik"),ROW(),"")</f>
        <v/>
      </c>
    </row>
    <row r="183" customFormat="false" ht="15" hidden="false" customHeight="false" outlineLevel="0" collapsed="false">
      <c r="A183" s="33"/>
      <c r="B183" s="36"/>
      <c r="C183" s="35"/>
      <c r="D183" s="35"/>
      <c r="E183" s="34"/>
      <c r="F183" s="34"/>
      <c r="G183" s="38" t="str">
        <f aca="false">IF(A183="","",SUMIFS(Alışlar!$D$5:$D$504,Alışlar!$C$5:$C$504,A183))</f>
        <v/>
      </c>
      <c r="H183" s="38" t="str">
        <f aca="false">IF(A183="","",SUMIFS(Satışlar!$D$5:$D$1004,Satışlar!$C$5:$C$1004,A183))</f>
        <v/>
      </c>
      <c r="I183" s="39" t="str">
        <f aca="false">IF(A183="","",E183+G183-H183)</f>
        <v/>
      </c>
      <c r="J183" s="37" t="str">
        <f aca="false">IF(A183="","",I183*C183)</f>
        <v/>
      </c>
      <c r="K183" s="40" t="str">
        <f aca="false">IF(A183="","",IF(I183&lt;=0,"Tükendi",IF(I183&lt;=F183,"Kritik","Yeterli")))</f>
        <v/>
      </c>
      <c r="L183" s="37" t="str">
        <f aca="false">IF(A183="","",SUMIFS(Satışlar!$G$5:$G$1004,Satışlar!$C$5:$C$1004,A183))</f>
        <v/>
      </c>
      <c r="M183" s="41" t="str">
        <f aca="false">IF(A183="","",L183+ROW()/1000000)</f>
        <v/>
      </c>
      <c r="N183" s="41" t="str">
        <f aca="false">IF(OR(K183="Tükendi",K183="Kritik"),ROW(),"")</f>
        <v/>
      </c>
    </row>
    <row r="184" customFormat="false" ht="15" hidden="false" customHeight="false" outlineLevel="0" collapsed="false">
      <c r="A184" s="33"/>
      <c r="B184" s="36"/>
      <c r="C184" s="35"/>
      <c r="D184" s="35"/>
      <c r="E184" s="34"/>
      <c r="F184" s="34"/>
      <c r="G184" s="38" t="str">
        <f aca="false">IF(A184="","",SUMIFS(Alışlar!$D$5:$D$504,Alışlar!$C$5:$C$504,A184))</f>
        <v/>
      </c>
      <c r="H184" s="38" t="str">
        <f aca="false">IF(A184="","",SUMIFS(Satışlar!$D$5:$D$1004,Satışlar!$C$5:$C$1004,A184))</f>
        <v/>
      </c>
      <c r="I184" s="39" t="str">
        <f aca="false">IF(A184="","",E184+G184-H184)</f>
        <v/>
      </c>
      <c r="J184" s="37" t="str">
        <f aca="false">IF(A184="","",I184*C184)</f>
        <v/>
      </c>
      <c r="K184" s="40" t="str">
        <f aca="false">IF(A184="","",IF(I184&lt;=0,"Tükendi",IF(I184&lt;=F184,"Kritik","Yeterli")))</f>
        <v/>
      </c>
      <c r="L184" s="37" t="str">
        <f aca="false">IF(A184="","",SUMIFS(Satışlar!$G$5:$G$1004,Satışlar!$C$5:$C$1004,A184))</f>
        <v/>
      </c>
      <c r="M184" s="41" t="str">
        <f aca="false">IF(A184="","",L184+ROW()/1000000)</f>
        <v/>
      </c>
      <c r="N184" s="41" t="str">
        <f aca="false">IF(OR(K184="Tükendi",K184="Kritik"),ROW(),"")</f>
        <v/>
      </c>
    </row>
    <row r="185" customFormat="false" ht="15" hidden="false" customHeight="false" outlineLevel="0" collapsed="false">
      <c r="A185" s="33"/>
      <c r="B185" s="36"/>
      <c r="C185" s="35"/>
      <c r="D185" s="35"/>
      <c r="E185" s="34"/>
      <c r="F185" s="34"/>
      <c r="G185" s="38" t="str">
        <f aca="false">IF(A185="","",SUMIFS(Alışlar!$D$5:$D$504,Alışlar!$C$5:$C$504,A185))</f>
        <v/>
      </c>
      <c r="H185" s="38" t="str">
        <f aca="false">IF(A185="","",SUMIFS(Satışlar!$D$5:$D$1004,Satışlar!$C$5:$C$1004,A185))</f>
        <v/>
      </c>
      <c r="I185" s="39" t="str">
        <f aca="false">IF(A185="","",E185+G185-H185)</f>
        <v/>
      </c>
      <c r="J185" s="37" t="str">
        <f aca="false">IF(A185="","",I185*C185)</f>
        <v/>
      </c>
      <c r="K185" s="40" t="str">
        <f aca="false">IF(A185="","",IF(I185&lt;=0,"Tükendi",IF(I185&lt;=F185,"Kritik","Yeterli")))</f>
        <v/>
      </c>
      <c r="L185" s="37" t="str">
        <f aca="false">IF(A185="","",SUMIFS(Satışlar!$G$5:$G$1004,Satışlar!$C$5:$C$1004,A185))</f>
        <v/>
      </c>
      <c r="M185" s="41" t="str">
        <f aca="false">IF(A185="","",L185+ROW()/1000000)</f>
        <v/>
      </c>
      <c r="N185" s="41" t="str">
        <f aca="false">IF(OR(K185="Tükendi",K185="Kritik"),ROW(),"")</f>
        <v/>
      </c>
    </row>
    <row r="186" customFormat="false" ht="15" hidden="false" customHeight="false" outlineLevel="0" collapsed="false">
      <c r="A186" s="33"/>
      <c r="B186" s="36"/>
      <c r="C186" s="35"/>
      <c r="D186" s="35"/>
      <c r="E186" s="34"/>
      <c r="F186" s="34"/>
      <c r="G186" s="38" t="str">
        <f aca="false">IF(A186="","",SUMIFS(Alışlar!$D$5:$D$504,Alışlar!$C$5:$C$504,A186))</f>
        <v/>
      </c>
      <c r="H186" s="38" t="str">
        <f aca="false">IF(A186="","",SUMIFS(Satışlar!$D$5:$D$1004,Satışlar!$C$5:$C$1004,A186))</f>
        <v/>
      </c>
      <c r="I186" s="39" t="str">
        <f aca="false">IF(A186="","",E186+G186-H186)</f>
        <v/>
      </c>
      <c r="J186" s="37" t="str">
        <f aca="false">IF(A186="","",I186*C186)</f>
        <v/>
      </c>
      <c r="K186" s="40" t="str">
        <f aca="false">IF(A186="","",IF(I186&lt;=0,"Tükendi",IF(I186&lt;=F186,"Kritik","Yeterli")))</f>
        <v/>
      </c>
      <c r="L186" s="37" t="str">
        <f aca="false">IF(A186="","",SUMIFS(Satışlar!$G$5:$G$1004,Satışlar!$C$5:$C$1004,A186))</f>
        <v/>
      </c>
      <c r="M186" s="41" t="str">
        <f aca="false">IF(A186="","",L186+ROW()/1000000)</f>
        <v/>
      </c>
      <c r="N186" s="41" t="str">
        <f aca="false">IF(OR(K186="Tükendi",K186="Kritik"),ROW(),"")</f>
        <v/>
      </c>
    </row>
    <row r="187" customFormat="false" ht="15" hidden="false" customHeight="false" outlineLevel="0" collapsed="false">
      <c r="A187" s="33"/>
      <c r="B187" s="36"/>
      <c r="C187" s="35"/>
      <c r="D187" s="35"/>
      <c r="E187" s="34"/>
      <c r="F187" s="34"/>
      <c r="G187" s="38" t="str">
        <f aca="false">IF(A187="","",SUMIFS(Alışlar!$D$5:$D$504,Alışlar!$C$5:$C$504,A187))</f>
        <v/>
      </c>
      <c r="H187" s="38" t="str">
        <f aca="false">IF(A187="","",SUMIFS(Satışlar!$D$5:$D$1004,Satışlar!$C$5:$C$1004,A187))</f>
        <v/>
      </c>
      <c r="I187" s="39" t="str">
        <f aca="false">IF(A187="","",E187+G187-H187)</f>
        <v/>
      </c>
      <c r="J187" s="37" t="str">
        <f aca="false">IF(A187="","",I187*C187)</f>
        <v/>
      </c>
      <c r="K187" s="40" t="str">
        <f aca="false">IF(A187="","",IF(I187&lt;=0,"Tükendi",IF(I187&lt;=F187,"Kritik","Yeterli")))</f>
        <v/>
      </c>
      <c r="L187" s="37" t="str">
        <f aca="false">IF(A187="","",SUMIFS(Satışlar!$G$5:$G$1004,Satışlar!$C$5:$C$1004,A187))</f>
        <v/>
      </c>
      <c r="M187" s="41" t="str">
        <f aca="false">IF(A187="","",L187+ROW()/1000000)</f>
        <v/>
      </c>
      <c r="N187" s="41" t="str">
        <f aca="false">IF(OR(K187="Tükendi",K187="Kritik"),ROW(),"")</f>
        <v/>
      </c>
    </row>
    <row r="188" customFormat="false" ht="15" hidden="false" customHeight="false" outlineLevel="0" collapsed="false">
      <c r="A188" s="33"/>
      <c r="B188" s="36"/>
      <c r="C188" s="35"/>
      <c r="D188" s="35"/>
      <c r="E188" s="34"/>
      <c r="F188" s="34"/>
      <c r="G188" s="38" t="str">
        <f aca="false">IF(A188="","",SUMIFS(Alışlar!$D$5:$D$504,Alışlar!$C$5:$C$504,A188))</f>
        <v/>
      </c>
      <c r="H188" s="38" t="str">
        <f aca="false">IF(A188="","",SUMIFS(Satışlar!$D$5:$D$1004,Satışlar!$C$5:$C$1004,A188))</f>
        <v/>
      </c>
      <c r="I188" s="39" t="str">
        <f aca="false">IF(A188="","",E188+G188-H188)</f>
        <v/>
      </c>
      <c r="J188" s="37" t="str">
        <f aca="false">IF(A188="","",I188*C188)</f>
        <v/>
      </c>
      <c r="K188" s="40" t="str">
        <f aca="false">IF(A188="","",IF(I188&lt;=0,"Tükendi",IF(I188&lt;=F188,"Kritik","Yeterli")))</f>
        <v/>
      </c>
      <c r="L188" s="37" t="str">
        <f aca="false">IF(A188="","",SUMIFS(Satışlar!$G$5:$G$1004,Satışlar!$C$5:$C$1004,A188))</f>
        <v/>
      </c>
      <c r="M188" s="41" t="str">
        <f aca="false">IF(A188="","",L188+ROW()/1000000)</f>
        <v/>
      </c>
      <c r="N188" s="41" t="str">
        <f aca="false">IF(OR(K188="Tükendi",K188="Kritik"),ROW(),"")</f>
        <v/>
      </c>
    </row>
    <row r="189" customFormat="false" ht="15" hidden="false" customHeight="false" outlineLevel="0" collapsed="false">
      <c r="A189" s="33"/>
      <c r="B189" s="36"/>
      <c r="C189" s="35"/>
      <c r="D189" s="35"/>
      <c r="E189" s="34"/>
      <c r="F189" s="34"/>
      <c r="G189" s="38" t="str">
        <f aca="false">IF(A189="","",SUMIFS(Alışlar!$D$5:$D$504,Alışlar!$C$5:$C$504,A189))</f>
        <v/>
      </c>
      <c r="H189" s="38" t="str">
        <f aca="false">IF(A189="","",SUMIFS(Satışlar!$D$5:$D$1004,Satışlar!$C$5:$C$1004,A189))</f>
        <v/>
      </c>
      <c r="I189" s="39" t="str">
        <f aca="false">IF(A189="","",E189+G189-H189)</f>
        <v/>
      </c>
      <c r="J189" s="37" t="str">
        <f aca="false">IF(A189="","",I189*C189)</f>
        <v/>
      </c>
      <c r="K189" s="40" t="str">
        <f aca="false">IF(A189="","",IF(I189&lt;=0,"Tükendi",IF(I189&lt;=F189,"Kritik","Yeterli")))</f>
        <v/>
      </c>
      <c r="L189" s="37" t="str">
        <f aca="false">IF(A189="","",SUMIFS(Satışlar!$G$5:$G$1004,Satışlar!$C$5:$C$1004,A189))</f>
        <v/>
      </c>
      <c r="M189" s="41" t="str">
        <f aca="false">IF(A189="","",L189+ROW()/1000000)</f>
        <v/>
      </c>
      <c r="N189" s="41" t="str">
        <f aca="false">IF(OR(K189="Tükendi",K189="Kritik"),ROW(),"")</f>
        <v/>
      </c>
    </row>
    <row r="190" customFormat="false" ht="15" hidden="false" customHeight="false" outlineLevel="0" collapsed="false">
      <c r="A190" s="33"/>
      <c r="B190" s="36"/>
      <c r="C190" s="35"/>
      <c r="D190" s="35"/>
      <c r="E190" s="34"/>
      <c r="F190" s="34"/>
      <c r="G190" s="38" t="str">
        <f aca="false">IF(A190="","",SUMIFS(Alışlar!$D$5:$D$504,Alışlar!$C$5:$C$504,A190))</f>
        <v/>
      </c>
      <c r="H190" s="38" t="str">
        <f aca="false">IF(A190="","",SUMIFS(Satışlar!$D$5:$D$1004,Satışlar!$C$5:$C$1004,A190))</f>
        <v/>
      </c>
      <c r="I190" s="39" t="str">
        <f aca="false">IF(A190="","",E190+G190-H190)</f>
        <v/>
      </c>
      <c r="J190" s="37" t="str">
        <f aca="false">IF(A190="","",I190*C190)</f>
        <v/>
      </c>
      <c r="K190" s="40" t="str">
        <f aca="false">IF(A190="","",IF(I190&lt;=0,"Tükendi",IF(I190&lt;=F190,"Kritik","Yeterli")))</f>
        <v/>
      </c>
      <c r="L190" s="37" t="str">
        <f aca="false">IF(A190="","",SUMIFS(Satışlar!$G$5:$G$1004,Satışlar!$C$5:$C$1004,A190))</f>
        <v/>
      </c>
      <c r="M190" s="41" t="str">
        <f aca="false">IF(A190="","",L190+ROW()/1000000)</f>
        <v/>
      </c>
      <c r="N190" s="41" t="str">
        <f aca="false">IF(OR(K190="Tükendi",K190="Kritik"),ROW(),"")</f>
        <v/>
      </c>
    </row>
    <row r="191" customFormat="false" ht="15" hidden="false" customHeight="false" outlineLevel="0" collapsed="false">
      <c r="A191" s="33"/>
      <c r="B191" s="36"/>
      <c r="C191" s="35"/>
      <c r="D191" s="35"/>
      <c r="E191" s="34"/>
      <c r="F191" s="34"/>
      <c r="G191" s="38" t="str">
        <f aca="false">IF(A191="","",SUMIFS(Alışlar!$D$5:$D$504,Alışlar!$C$5:$C$504,A191))</f>
        <v/>
      </c>
      <c r="H191" s="38" t="str">
        <f aca="false">IF(A191="","",SUMIFS(Satışlar!$D$5:$D$1004,Satışlar!$C$5:$C$1004,A191))</f>
        <v/>
      </c>
      <c r="I191" s="39" t="str">
        <f aca="false">IF(A191="","",E191+G191-H191)</f>
        <v/>
      </c>
      <c r="J191" s="37" t="str">
        <f aca="false">IF(A191="","",I191*C191)</f>
        <v/>
      </c>
      <c r="K191" s="40" t="str">
        <f aca="false">IF(A191="","",IF(I191&lt;=0,"Tükendi",IF(I191&lt;=F191,"Kritik","Yeterli")))</f>
        <v/>
      </c>
      <c r="L191" s="37" t="str">
        <f aca="false">IF(A191="","",SUMIFS(Satışlar!$G$5:$G$1004,Satışlar!$C$5:$C$1004,A191))</f>
        <v/>
      </c>
      <c r="M191" s="41" t="str">
        <f aca="false">IF(A191="","",L191+ROW()/1000000)</f>
        <v/>
      </c>
      <c r="N191" s="41" t="str">
        <f aca="false">IF(OR(K191="Tükendi",K191="Kritik"),ROW(),"")</f>
        <v/>
      </c>
    </row>
    <row r="192" customFormat="false" ht="15" hidden="false" customHeight="false" outlineLevel="0" collapsed="false">
      <c r="A192" s="33"/>
      <c r="B192" s="36"/>
      <c r="C192" s="35"/>
      <c r="D192" s="35"/>
      <c r="E192" s="34"/>
      <c r="F192" s="34"/>
      <c r="G192" s="38" t="str">
        <f aca="false">IF(A192="","",SUMIFS(Alışlar!$D$5:$D$504,Alışlar!$C$5:$C$504,A192))</f>
        <v/>
      </c>
      <c r="H192" s="38" t="str">
        <f aca="false">IF(A192="","",SUMIFS(Satışlar!$D$5:$D$1004,Satışlar!$C$5:$C$1004,A192))</f>
        <v/>
      </c>
      <c r="I192" s="39" t="str">
        <f aca="false">IF(A192="","",E192+G192-H192)</f>
        <v/>
      </c>
      <c r="J192" s="37" t="str">
        <f aca="false">IF(A192="","",I192*C192)</f>
        <v/>
      </c>
      <c r="K192" s="40" t="str">
        <f aca="false">IF(A192="","",IF(I192&lt;=0,"Tükendi",IF(I192&lt;=F192,"Kritik","Yeterli")))</f>
        <v/>
      </c>
      <c r="L192" s="37" t="str">
        <f aca="false">IF(A192="","",SUMIFS(Satışlar!$G$5:$G$1004,Satışlar!$C$5:$C$1004,A192))</f>
        <v/>
      </c>
      <c r="M192" s="41" t="str">
        <f aca="false">IF(A192="","",L192+ROW()/1000000)</f>
        <v/>
      </c>
      <c r="N192" s="41" t="str">
        <f aca="false">IF(OR(K192="Tükendi",K192="Kritik"),ROW(),"")</f>
        <v/>
      </c>
    </row>
    <row r="193" customFormat="false" ht="15" hidden="false" customHeight="false" outlineLevel="0" collapsed="false">
      <c r="A193" s="33"/>
      <c r="B193" s="36"/>
      <c r="C193" s="35"/>
      <c r="D193" s="35"/>
      <c r="E193" s="34"/>
      <c r="F193" s="34"/>
      <c r="G193" s="38" t="str">
        <f aca="false">IF(A193="","",SUMIFS(Alışlar!$D$5:$D$504,Alışlar!$C$5:$C$504,A193))</f>
        <v/>
      </c>
      <c r="H193" s="38" t="str">
        <f aca="false">IF(A193="","",SUMIFS(Satışlar!$D$5:$D$1004,Satışlar!$C$5:$C$1004,A193))</f>
        <v/>
      </c>
      <c r="I193" s="39" t="str">
        <f aca="false">IF(A193="","",E193+G193-H193)</f>
        <v/>
      </c>
      <c r="J193" s="37" t="str">
        <f aca="false">IF(A193="","",I193*C193)</f>
        <v/>
      </c>
      <c r="K193" s="40" t="str">
        <f aca="false">IF(A193="","",IF(I193&lt;=0,"Tükendi",IF(I193&lt;=F193,"Kritik","Yeterli")))</f>
        <v/>
      </c>
      <c r="L193" s="37" t="str">
        <f aca="false">IF(A193="","",SUMIFS(Satışlar!$G$5:$G$1004,Satışlar!$C$5:$C$1004,A193))</f>
        <v/>
      </c>
      <c r="M193" s="41" t="str">
        <f aca="false">IF(A193="","",L193+ROW()/1000000)</f>
        <v/>
      </c>
      <c r="N193" s="41" t="str">
        <f aca="false">IF(OR(K193="Tükendi",K193="Kritik"),ROW(),"")</f>
        <v/>
      </c>
    </row>
    <row r="194" customFormat="false" ht="15" hidden="false" customHeight="false" outlineLevel="0" collapsed="false">
      <c r="A194" s="33"/>
      <c r="B194" s="36"/>
      <c r="C194" s="35"/>
      <c r="D194" s="35"/>
      <c r="E194" s="34"/>
      <c r="F194" s="34"/>
      <c r="G194" s="38" t="str">
        <f aca="false">IF(A194="","",SUMIFS(Alışlar!$D$5:$D$504,Alışlar!$C$5:$C$504,A194))</f>
        <v/>
      </c>
      <c r="H194" s="38" t="str">
        <f aca="false">IF(A194="","",SUMIFS(Satışlar!$D$5:$D$1004,Satışlar!$C$5:$C$1004,A194))</f>
        <v/>
      </c>
      <c r="I194" s="39" t="str">
        <f aca="false">IF(A194="","",E194+G194-H194)</f>
        <v/>
      </c>
      <c r="J194" s="37" t="str">
        <f aca="false">IF(A194="","",I194*C194)</f>
        <v/>
      </c>
      <c r="K194" s="40" t="str">
        <f aca="false">IF(A194="","",IF(I194&lt;=0,"Tükendi",IF(I194&lt;=F194,"Kritik","Yeterli")))</f>
        <v/>
      </c>
      <c r="L194" s="37" t="str">
        <f aca="false">IF(A194="","",SUMIFS(Satışlar!$G$5:$G$1004,Satışlar!$C$5:$C$1004,A194))</f>
        <v/>
      </c>
      <c r="M194" s="41" t="str">
        <f aca="false">IF(A194="","",L194+ROW()/1000000)</f>
        <v/>
      </c>
      <c r="N194" s="41" t="str">
        <f aca="false">IF(OR(K194="Tükendi",K194="Kritik"),ROW(),"")</f>
        <v/>
      </c>
    </row>
    <row r="195" customFormat="false" ht="15" hidden="false" customHeight="false" outlineLevel="0" collapsed="false">
      <c r="A195" s="33"/>
      <c r="B195" s="36"/>
      <c r="C195" s="35"/>
      <c r="D195" s="35"/>
      <c r="E195" s="34"/>
      <c r="F195" s="34"/>
      <c r="G195" s="38" t="str">
        <f aca="false">IF(A195="","",SUMIFS(Alışlar!$D$5:$D$504,Alışlar!$C$5:$C$504,A195))</f>
        <v/>
      </c>
      <c r="H195" s="38" t="str">
        <f aca="false">IF(A195="","",SUMIFS(Satışlar!$D$5:$D$1004,Satışlar!$C$5:$C$1004,A195))</f>
        <v/>
      </c>
      <c r="I195" s="39" t="str">
        <f aca="false">IF(A195="","",E195+G195-H195)</f>
        <v/>
      </c>
      <c r="J195" s="37" t="str">
        <f aca="false">IF(A195="","",I195*C195)</f>
        <v/>
      </c>
      <c r="K195" s="40" t="str">
        <f aca="false">IF(A195="","",IF(I195&lt;=0,"Tükendi",IF(I195&lt;=F195,"Kritik","Yeterli")))</f>
        <v/>
      </c>
      <c r="L195" s="37" t="str">
        <f aca="false">IF(A195="","",SUMIFS(Satışlar!$G$5:$G$1004,Satışlar!$C$5:$C$1004,A195))</f>
        <v/>
      </c>
      <c r="M195" s="41" t="str">
        <f aca="false">IF(A195="","",L195+ROW()/1000000)</f>
        <v/>
      </c>
      <c r="N195" s="41" t="str">
        <f aca="false">IF(OR(K195="Tükendi",K195="Kritik"),ROW(),"")</f>
        <v/>
      </c>
    </row>
    <row r="196" customFormat="false" ht="15" hidden="false" customHeight="false" outlineLevel="0" collapsed="false">
      <c r="A196" s="33"/>
      <c r="B196" s="36"/>
      <c r="C196" s="35"/>
      <c r="D196" s="35"/>
      <c r="E196" s="34"/>
      <c r="F196" s="34"/>
      <c r="G196" s="38" t="str">
        <f aca="false">IF(A196="","",SUMIFS(Alışlar!$D$5:$D$504,Alışlar!$C$5:$C$504,A196))</f>
        <v/>
      </c>
      <c r="H196" s="38" t="str">
        <f aca="false">IF(A196="","",SUMIFS(Satışlar!$D$5:$D$1004,Satışlar!$C$5:$C$1004,A196))</f>
        <v/>
      </c>
      <c r="I196" s="39" t="str">
        <f aca="false">IF(A196="","",E196+G196-H196)</f>
        <v/>
      </c>
      <c r="J196" s="37" t="str">
        <f aca="false">IF(A196="","",I196*C196)</f>
        <v/>
      </c>
      <c r="K196" s="40" t="str">
        <f aca="false">IF(A196="","",IF(I196&lt;=0,"Tükendi",IF(I196&lt;=F196,"Kritik","Yeterli")))</f>
        <v/>
      </c>
      <c r="L196" s="37" t="str">
        <f aca="false">IF(A196="","",SUMIFS(Satışlar!$G$5:$G$1004,Satışlar!$C$5:$C$1004,A196))</f>
        <v/>
      </c>
      <c r="M196" s="41" t="str">
        <f aca="false">IF(A196="","",L196+ROW()/1000000)</f>
        <v/>
      </c>
      <c r="N196" s="41" t="str">
        <f aca="false">IF(OR(K196="Tükendi",K196="Kritik"),ROW(),"")</f>
        <v/>
      </c>
    </row>
    <row r="197" customFormat="false" ht="15" hidden="false" customHeight="false" outlineLevel="0" collapsed="false">
      <c r="A197" s="33"/>
      <c r="B197" s="36"/>
      <c r="C197" s="35"/>
      <c r="D197" s="35"/>
      <c r="E197" s="34"/>
      <c r="F197" s="34"/>
      <c r="G197" s="38" t="str">
        <f aca="false">IF(A197="","",SUMIFS(Alışlar!$D$5:$D$504,Alışlar!$C$5:$C$504,A197))</f>
        <v/>
      </c>
      <c r="H197" s="38" t="str">
        <f aca="false">IF(A197="","",SUMIFS(Satışlar!$D$5:$D$1004,Satışlar!$C$5:$C$1004,A197))</f>
        <v/>
      </c>
      <c r="I197" s="39" t="str">
        <f aca="false">IF(A197="","",E197+G197-H197)</f>
        <v/>
      </c>
      <c r="J197" s="37" t="str">
        <f aca="false">IF(A197="","",I197*C197)</f>
        <v/>
      </c>
      <c r="K197" s="40" t="str">
        <f aca="false">IF(A197="","",IF(I197&lt;=0,"Tükendi",IF(I197&lt;=F197,"Kritik","Yeterli")))</f>
        <v/>
      </c>
      <c r="L197" s="37" t="str">
        <f aca="false">IF(A197="","",SUMIFS(Satışlar!$G$5:$G$1004,Satışlar!$C$5:$C$1004,A197))</f>
        <v/>
      </c>
      <c r="M197" s="41" t="str">
        <f aca="false">IF(A197="","",L197+ROW()/1000000)</f>
        <v/>
      </c>
      <c r="N197" s="41" t="str">
        <f aca="false">IF(OR(K197="Tükendi",K197="Kritik"),ROW(),"")</f>
        <v/>
      </c>
    </row>
    <row r="198" customFormat="false" ht="15" hidden="false" customHeight="false" outlineLevel="0" collapsed="false">
      <c r="A198" s="33"/>
      <c r="B198" s="36"/>
      <c r="C198" s="35"/>
      <c r="D198" s="35"/>
      <c r="E198" s="34"/>
      <c r="F198" s="34"/>
      <c r="G198" s="38" t="str">
        <f aca="false">IF(A198="","",SUMIFS(Alışlar!$D$5:$D$504,Alışlar!$C$5:$C$504,A198))</f>
        <v/>
      </c>
      <c r="H198" s="38" t="str">
        <f aca="false">IF(A198="","",SUMIFS(Satışlar!$D$5:$D$1004,Satışlar!$C$5:$C$1004,A198))</f>
        <v/>
      </c>
      <c r="I198" s="39" t="str">
        <f aca="false">IF(A198="","",E198+G198-H198)</f>
        <v/>
      </c>
      <c r="J198" s="37" t="str">
        <f aca="false">IF(A198="","",I198*C198)</f>
        <v/>
      </c>
      <c r="K198" s="40" t="str">
        <f aca="false">IF(A198="","",IF(I198&lt;=0,"Tükendi",IF(I198&lt;=F198,"Kritik","Yeterli")))</f>
        <v/>
      </c>
      <c r="L198" s="37" t="str">
        <f aca="false">IF(A198="","",SUMIFS(Satışlar!$G$5:$G$1004,Satışlar!$C$5:$C$1004,A198))</f>
        <v/>
      </c>
      <c r="M198" s="41" t="str">
        <f aca="false">IF(A198="","",L198+ROW()/1000000)</f>
        <v/>
      </c>
      <c r="N198" s="41" t="str">
        <f aca="false">IF(OR(K198="Tükendi",K198="Kritik"),ROW(),"")</f>
        <v/>
      </c>
    </row>
    <row r="199" customFormat="false" ht="15" hidden="false" customHeight="false" outlineLevel="0" collapsed="false">
      <c r="A199" s="33"/>
      <c r="B199" s="36"/>
      <c r="C199" s="35"/>
      <c r="D199" s="35"/>
      <c r="E199" s="34"/>
      <c r="F199" s="34"/>
      <c r="G199" s="38" t="str">
        <f aca="false">IF(A199="","",SUMIFS(Alışlar!$D$5:$D$504,Alışlar!$C$5:$C$504,A199))</f>
        <v/>
      </c>
      <c r="H199" s="38" t="str">
        <f aca="false">IF(A199="","",SUMIFS(Satışlar!$D$5:$D$1004,Satışlar!$C$5:$C$1004,A199))</f>
        <v/>
      </c>
      <c r="I199" s="39" t="str">
        <f aca="false">IF(A199="","",E199+G199-H199)</f>
        <v/>
      </c>
      <c r="J199" s="37" t="str">
        <f aca="false">IF(A199="","",I199*C199)</f>
        <v/>
      </c>
      <c r="K199" s="40" t="str">
        <f aca="false">IF(A199="","",IF(I199&lt;=0,"Tükendi",IF(I199&lt;=F199,"Kritik","Yeterli")))</f>
        <v/>
      </c>
      <c r="L199" s="37" t="str">
        <f aca="false">IF(A199="","",SUMIFS(Satışlar!$G$5:$G$1004,Satışlar!$C$5:$C$1004,A199))</f>
        <v/>
      </c>
      <c r="M199" s="41" t="str">
        <f aca="false">IF(A199="","",L199+ROW()/1000000)</f>
        <v/>
      </c>
      <c r="N199" s="41" t="str">
        <f aca="false">IF(OR(K199="Tükendi",K199="Kritik"),ROW(),"")</f>
        <v/>
      </c>
    </row>
    <row r="200" customFormat="false" ht="15" hidden="false" customHeight="false" outlineLevel="0" collapsed="false">
      <c r="A200" s="33"/>
      <c r="B200" s="36"/>
      <c r="C200" s="35"/>
      <c r="D200" s="35"/>
      <c r="E200" s="34"/>
      <c r="F200" s="34"/>
      <c r="G200" s="38" t="str">
        <f aca="false">IF(A200="","",SUMIFS(Alışlar!$D$5:$D$504,Alışlar!$C$5:$C$504,A200))</f>
        <v/>
      </c>
      <c r="H200" s="38" t="str">
        <f aca="false">IF(A200="","",SUMIFS(Satışlar!$D$5:$D$1004,Satışlar!$C$5:$C$1004,A200))</f>
        <v/>
      </c>
      <c r="I200" s="39" t="str">
        <f aca="false">IF(A200="","",E200+G200-H200)</f>
        <v/>
      </c>
      <c r="J200" s="37" t="str">
        <f aca="false">IF(A200="","",I200*C200)</f>
        <v/>
      </c>
      <c r="K200" s="40" t="str">
        <f aca="false">IF(A200="","",IF(I200&lt;=0,"Tükendi",IF(I200&lt;=F200,"Kritik","Yeterli")))</f>
        <v/>
      </c>
      <c r="L200" s="37" t="str">
        <f aca="false">IF(A200="","",SUMIFS(Satışlar!$G$5:$G$1004,Satışlar!$C$5:$C$1004,A200))</f>
        <v/>
      </c>
      <c r="M200" s="41" t="str">
        <f aca="false">IF(A200="","",L200+ROW()/1000000)</f>
        <v/>
      </c>
      <c r="N200" s="41" t="str">
        <f aca="false">IF(OR(K200="Tükendi",K200="Kritik"),ROW(),"")</f>
        <v/>
      </c>
    </row>
    <row r="201" customFormat="false" ht="15" hidden="false" customHeight="false" outlineLevel="0" collapsed="false">
      <c r="A201" s="33"/>
      <c r="B201" s="36"/>
      <c r="C201" s="35"/>
      <c r="D201" s="35"/>
      <c r="E201" s="34"/>
      <c r="F201" s="34"/>
      <c r="G201" s="38" t="str">
        <f aca="false">IF(A201="","",SUMIFS(Alışlar!$D$5:$D$504,Alışlar!$C$5:$C$504,A201))</f>
        <v/>
      </c>
      <c r="H201" s="38" t="str">
        <f aca="false">IF(A201="","",SUMIFS(Satışlar!$D$5:$D$1004,Satışlar!$C$5:$C$1004,A201))</f>
        <v/>
      </c>
      <c r="I201" s="39" t="str">
        <f aca="false">IF(A201="","",E201+G201-H201)</f>
        <v/>
      </c>
      <c r="J201" s="37" t="str">
        <f aca="false">IF(A201="","",I201*C201)</f>
        <v/>
      </c>
      <c r="K201" s="40" t="str">
        <f aca="false">IF(A201="","",IF(I201&lt;=0,"Tükendi",IF(I201&lt;=F201,"Kritik","Yeterli")))</f>
        <v/>
      </c>
      <c r="L201" s="37" t="str">
        <f aca="false">IF(A201="","",SUMIFS(Satışlar!$G$5:$G$1004,Satışlar!$C$5:$C$1004,A201))</f>
        <v/>
      </c>
      <c r="M201" s="41" t="str">
        <f aca="false">IF(A201="","",L201+ROW()/1000000)</f>
        <v/>
      </c>
      <c r="N201" s="41" t="str">
        <f aca="false">IF(OR(K201="Tükendi",K201="Kritik"),ROW(),"")</f>
        <v/>
      </c>
    </row>
    <row r="202" customFormat="false" ht="15" hidden="false" customHeight="false" outlineLevel="0" collapsed="false">
      <c r="A202" s="33"/>
      <c r="B202" s="36"/>
      <c r="C202" s="35"/>
      <c r="D202" s="35"/>
      <c r="E202" s="34"/>
      <c r="F202" s="34"/>
      <c r="G202" s="38" t="str">
        <f aca="false">IF(A202="","",SUMIFS(Alışlar!$D$5:$D$504,Alışlar!$C$5:$C$504,A202))</f>
        <v/>
      </c>
      <c r="H202" s="38" t="str">
        <f aca="false">IF(A202="","",SUMIFS(Satışlar!$D$5:$D$1004,Satışlar!$C$5:$C$1004,A202))</f>
        <v/>
      </c>
      <c r="I202" s="39" t="str">
        <f aca="false">IF(A202="","",E202+G202-H202)</f>
        <v/>
      </c>
      <c r="J202" s="37" t="str">
        <f aca="false">IF(A202="","",I202*C202)</f>
        <v/>
      </c>
      <c r="K202" s="40" t="str">
        <f aca="false">IF(A202="","",IF(I202&lt;=0,"Tükendi",IF(I202&lt;=F202,"Kritik","Yeterli")))</f>
        <v/>
      </c>
      <c r="L202" s="37" t="str">
        <f aca="false">IF(A202="","",SUMIFS(Satışlar!$G$5:$G$1004,Satışlar!$C$5:$C$1004,A202))</f>
        <v/>
      </c>
      <c r="M202" s="41" t="str">
        <f aca="false">IF(A202="","",L202+ROW()/1000000)</f>
        <v/>
      </c>
      <c r="N202" s="41" t="str">
        <f aca="false">IF(OR(K202="Tükendi",K202="Kritik"),ROW(),"")</f>
        <v/>
      </c>
    </row>
    <row r="203" customFormat="false" ht="15" hidden="false" customHeight="false" outlineLevel="0" collapsed="false">
      <c r="A203" s="33"/>
      <c r="B203" s="36"/>
      <c r="C203" s="35"/>
      <c r="D203" s="35"/>
      <c r="E203" s="34"/>
      <c r="F203" s="34"/>
      <c r="G203" s="38" t="str">
        <f aca="false">IF(A203="","",SUMIFS(Alışlar!$D$5:$D$504,Alışlar!$C$5:$C$504,A203))</f>
        <v/>
      </c>
      <c r="H203" s="38" t="str">
        <f aca="false">IF(A203="","",SUMIFS(Satışlar!$D$5:$D$1004,Satışlar!$C$5:$C$1004,A203))</f>
        <v/>
      </c>
      <c r="I203" s="39" t="str">
        <f aca="false">IF(A203="","",E203+G203-H203)</f>
        <v/>
      </c>
      <c r="J203" s="37" t="str">
        <f aca="false">IF(A203="","",I203*C203)</f>
        <v/>
      </c>
      <c r="K203" s="40" t="str">
        <f aca="false">IF(A203="","",IF(I203&lt;=0,"Tükendi",IF(I203&lt;=F203,"Kritik","Yeterli")))</f>
        <v/>
      </c>
      <c r="L203" s="37" t="str">
        <f aca="false">IF(A203="","",SUMIFS(Satışlar!$G$5:$G$1004,Satışlar!$C$5:$C$1004,A203))</f>
        <v/>
      </c>
      <c r="M203" s="41" t="str">
        <f aca="false">IF(A203="","",L203+ROW()/1000000)</f>
        <v/>
      </c>
      <c r="N203" s="41" t="str">
        <f aca="false">IF(OR(K203="Tükendi",K203="Kritik"),ROW(),"")</f>
        <v/>
      </c>
    </row>
    <row r="204" customFormat="false" ht="15" hidden="false" customHeight="false" outlineLevel="0" collapsed="false">
      <c r="A204" s="33"/>
      <c r="B204" s="36"/>
      <c r="C204" s="35"/>
      <c r="D204" s="35"/>
      <c r="E204" s="34"/>
      <c r="F204" s="34"/>
      <c r="G204" s="38" t="str">
        <f aca="false">IF(A204="","",SUMIFS(Alışlar!$D$5:$D$504,Alışlar!$C$5:$C$504,A204))</f>
        <v/>
      </c>
      <c r="H204" s="38" t="str">
        <f aca="false">IF(A204="","",SUMIFS(Satışlar!$D$5:$D$1004,Satışlar!$C$5:$C$1004,A204))</f>
        <v/>
      </c>
      <c r="I204" s="39" t="str">
        <f aca="false">IF(A204="","",E204+G204-H204)</f>
        <v/>
      </c>
      <c r="J204" s="37" t="str">
        <f aca="false">IF(A204="","",I204*C204)</f>
        <v/>
      </c>
      <c r="K204" s="40" t="str">
        <f aca="false">IF(A204="","",IF(I204&lt;=0,"Tükendi",IF(I204&lt;=F204,"Kritik","Yeterli")))</f>
        <v/>
      </c>
      <c r="L204" s="37" t="str">
        <f aca="false">IF(A204="","",SUMIFS(Satışlar!$G$5:$G$1004,Satışlar!$C$5:$C$1004,A204))</f>
        <v/>
      </c>
      <c r="M204" s="41" t="str">
        <f aca="false">IF(A204="","",L204+ROW()/1000000)</f>
        <v/>
      </c>
      <c r="N204" s="41" t="str">
        <f aca="false">IF(OR(K204="Tükendi",K204="Kritik"),ROW(),"")</f>
        <v/>
      </c>
    </row>
  </sheetData>
  <conditionalFormatting sqref="K5:K204">
    <cfRule type="cellIs" priority="2" operator="equal" aboveAverage="0" equalAverage="0" bottom="0" percent="0" rank="0" text="" dxfId="5">
      <formula>"Tükendi"</formula>
    </cfRule>
    <cfRule type="cellIs" priority="3" operator="equal" aboveAverage="0" equalAverage="0" bottom="0" percent="0" rank="0" text="" dxfId="6">
      <formula>"Kritik"</formula>
    </cfRule>
    <cfRule type="cellIs" priority="4" operator="equal" aboveAverage="0" equalAverage="0" bottom="0" percent="0" rank="0" text="" dxfId="7">
      <formula>"Yeterli"</formula>
    </cfRule>
  </conditionalFormatting>
  <dataValidations count="2">
    <dataValidation allowBlank="true" error="Bu ürün adı zaten var. Her ürün adı bir kez girilebilir." errorStyle="stop" errorTitle="Ürün" operator="between" showDropDown="false" showErrorMessage="true" showInputMessage="false" sqref="A5:A204" type="custom">
      <formula1>COUNTIF($A$5:$A$204,A5)=1</formula1>
      <formula2>0</formula2>
    </dataValidation>
    <dataValidation allowBlank="true" error="Sıfır ya da daha büyük bir sayı gir." errorStyle="stop" errorTitle="Sayı" operator="greaterThanOrEqual" showDropDown="false" showErrorMessage="true" showInputMessage="false" sqref="C5:F204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79009"/>
    <pageSetUpPr fitToPage="true"/>
  </sheetPr>
  <dimension ref="A1:L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6" min="3" style="0" width="15"/>
    <col collapsed="false" customWidth="true" hidden="false" outlineLevel="0" max="7" min="7" style="0" width="16"/>
    <col collapsed="false" customWidth="true" hidden="false" outlineLevel="0" max="9" min="8" style="0" width="15"/>
    <col collapsed="false" customWidth="true" hidden="false" outlineLevel="0" max="11" min="10" style="0" width="16"/>
    <col collapsed="false" customWidth="true" hidden="true" outlineLevel="0" max="12" min="12" style="0" width="4"/>
  </cols>
  <sheetData>
    <row r="1" customFormat="false" ht="19.7" hidden="false" customHeight="false" outlineLevel="0" collapsed="false">
      <c r="A1" s="8" t="s">
        <v>143</v>
      </c>
    </row>
    <row r="2" customFormat="false" ht="15" hidden="false" customHeight="false" outlineLevel="0" collapsed="false">
      <c r="A2" s="11" t="s">
        <v>144</v>
      </c>
    </row>
    <row r="4" customFormat="false" ht="27.75" hidden="false" customHeight="true" outlineLevel="0" collapsed="false">
      <c r="A4" s="30" t="s">
        <v>145</v>
      </c>
      <c r="B4" s="30" t="s">
        <v>146</v>
      </c>
      <c r="C4" s="30" t="s">
        <v>147</v>
      </c>
      <c r="D4" s="30" t="s">
        <v>148</v>
      </c>
      <c r="E4" s="31" t="s">
        <v>149</v>
      </c>
      <c r="F4" s="31" t="s">
        <v>127</v>
      </c>
      <c r="G4" s="31" t="s">
        <v>150</v>
      </c>
      <c r="H4" s="31" t="s">
        <v>151</v>
      </c>
      <c r="I4" s="31" t="s">
        <v>91</v>
      </c>
      <c r="J4" s="31" t="s">
        <v>152</v>
      </c>
      <c r="K4" s="31" t="s">
        <v>153</v>
      </c>
      <c r="L4" s="31" t="s">
        <v>139</v>
      </c>
    </row>
    <row r="5" customFormat="false" ht="15" hidden="false" customHeight="false" outlineLevel="0" collapsed="false">
      <c r="A5" s="33" t="s">
        <v>106</v>
      </c>
      <c r="B5" s="42"/>
      <c r="C5" s="35" t="n">
        <v>2500</v>
      </c>
      <c r="D5" s="35"/>
      <c r="E5" s="37" t="n">
        <f aca="false">IF(A5="","",SUMIFS(Satışlar!$G$5:$G$1004,Satışlar!$B$5:$B$1004,A5,Satışlar!$F$5:$F$1004,"Veresiye"))</f>
        <v>14400</v>
      </c>
      <c r="F5" s="37" t="n">
        <f aca="false">IF(A5="","",SUMIFS('Cari Hareket'!$D$5:$D$504,'Cari Hareket'!$B$5:$B$504,"Tahsilat",'Cari Hareket'!$C$5:$C$504,A5))</f>
        <v>0</v>
      </c>
      <c r="G5" s="43" t="n">
        <f aca="false">IF(A5="","",C5+E5-F5)</f>
        <v>16900</v>
      </c>
      <c r="H5" s="37" t="n">
        <f aca="false">IF(A5="","",SUMIFS(Alışlar!$G$5:$G$504,Alışlar!$B$5:$B$504,A5,Alışlar!$F$5:$F$504,"Veresiye"))</f>
        <v>0</v>
      </c>
      <c r="I5" s="37" t="n">
        <f aca="false">IF(A5="","",SUMIFS('Cari Hareket'!$D$5:$D$504,'Cari Hareket'!$B$5:$B$504,"Ödeme",'Cari Hareket'!$C$5:$C$504,A5))</f>
        <v>0</v>
      </c>
      <c r="J5" s="43" t="n">
        <f aca="false">IF(A5="","",D5+H5-I5)</f>
        <v>0</v>
      </c>
      <c r="K5" s="37" t="n">
        <f aca="false">IF(A5="","",G5-J5)</f>
        <v>16900</v>
      </c>
      <c r="L5" s="41" t="n">
        <f aca="false">IF(A5="","",G5+ROW()/1000000)</f>
        <v>16900.000005</v>
      </c>
    </row>
    <row r="6" customFormat="false" ht="15" hidden="false" customHeight="false" outlineLevel="0" collapsed="false">
      <c r="A6" s="33" t="s">
        <v>103</v>
      </c>
      <c r="B6" s="42"/>
      <c r="C6" s="35"/>
      <c r="D6" s="35"/>
      <c r="E6" s="37" t="n">
        <f aca="false">IF(A6="","",SUMIFS(Satışlar!$G$5:$G$1004,Satışlar!$B$5:$B$1004,A6,Satışlar!$F$5:$F$1004,"Veresiye"))</f>
        <v>9000</v>
      </c>
      <c r="F6" s="37" t="n">
        <f aca="false">IF(A6="","",SUMIFS('Cari Hareket'!$D$5:$D$504,'Cari Hareket'!$B$5:$B$504,"Tahsilat",'Cari Hareket'!$C$5:$C$504,A6))</f>
        <v>4000</v>
      </c>
      <c r="G6" s="43" t="n">
        <f aca="false">IF(A6="","",C6+E6-F6)</f>
        <v>5000</v>
      </c>
      <c r="H6" s="37" t="n">
        <f aca="false">IF(A6="","",SUMIFS(Alışlar!$G$5:$G$504,Alışlar!$B$5:$B$504,A6,Alışlar!$F$5:$F$504,"Veresiye"))</f>
        <v>0</v>
      </c>
      <c r="I6" s="37" t="n">
        <f aca="false">IF(A6="","",SUMIFS('Cari Hareket'!$D$5:$D$504,'Cari Hareket'!$B$5:$B$504,"Ödeme",'Cari Hareket'!$C$5:$C$504,A6))</f>
        <v>0</v>
      </c>
      <c r="J6" s="43" t="n">
        <f aca="false">IF(A6="","",D6+H6-I6)</f>
        <v>0</v>
      </c>
      <c r="K6" s="37" t="n">
        <f aca="false">IF(A6="","",G6-J6)</f>
        <v>5000</v>
      </c>
      <c r="L6" s="41" t="n">
        <f aca="false">IF(A6="","",G6+ROW()/1000000)</f>
        <v>5000.000006</v>
      </c>
    </row>
    <row r="7" customFormat="false" ht="15" hidden="false" customHeight="false" outlineLevel="0" collapsed="false">
      <c r="A7" s="33" t="s">
        <v>99</v>
      </c>
      <c r="B7" s="42"/>
      <c r="C7" s="35"/>
      <c r="D7" s="35"/>
      <c r="E7" s="37" t="n">
        <f aca="false">IF(A7="","",SUMIFS(Satışlar!$G$5:$G$1004,Satışlar!$B$5:$B$1004,A7,Satışlar!$F$5:$F$1004,"Veresiye"))</f>
        <v>10800</v>
      </c>
      <c r="F7" s="37" t="n">
        <f aca="false">IF(A7="","",SUMIFS('Cari Hareket'!$D$5:$D$504,'Cari Hareket'!$B$5:$B$504,"Tahsilat",'Cari Hareket'!$C$5:$C$504,A7))</f>
        <v>3000</v>
      </c>
      <c r="G7" s="43" t="n">
        <f aca="false">IF(A7="","",C7+E7-F7)</f>
        <v>7800</v>
      </c>
      <c r="H7" s="37" t="n">
        <f aca="false">IF(A7="","",SUMIFS(Alışlar!$G$5:$G$504,Alışlar!$B$5:$B$504,A7,Alışlar!$F$5:$F$504,"Veresiye"))</f>
        <v>0</v>
      </c>
      <c r="I7" s="37" t="n">
        <f aca="false">IF(A7="","",SUMIFS('Cari Hareket'!$D$5:$D$504,'Cari Hareket'!$B$5:$B$504,"Ödeme",'Cari Hareket'!$C$5:$C$504,A7))</f>
        <v>0</v>
      </c>
      <c r="J7" s="43" t="n">
        <f aca="false">IF(A7="","",D7+H7-I7)</f>
        <v>0</v>
      </c>
      <c r="K7" s="37" t="n">
        <f aca="false">IF(A7="","",G7-J7)</f>
        <v>7800</v>
      </c>
      <c r="L7" s="41" t="n">
        <f aca="false">IF(A7="","",G7+ROW()/1000000)</f>
        <v>7800.000007</v>
      </c>
    </row>
    <row r="8" customFormat="false" ht="15" hidden="false" customHeight="false" outlineLevel="0" collapsed="false">
      <c r="A8" s="33" t="s">
        <v>111</v>
      </c>
      <c r="B8" s="42"/>
      <c r="C8" s="35"/>
      <c r="D8" s="35" t="n">
        <v>1500</v>
      </c>
      <c r="E8" s="37" t="n">
        <f aca="false">IF(A8="","",SUMIFS(Satışlar!$G$5:$G$1004,Satışlar!$B$5:$B$1004,A8,Satışlar!$F$5:$F$1004,"Veresiye"))</f>
        <v>0</v>
      </c>
      <c r="F8" s="37" t="n">
        <f aca="false">IF(A8="","",SUMIFS('Cari Hareket'!$D$5:$D$504,'Cari Hareket'!$B$5:$B$504,"Tahsilat",'Cari Hareket'!$C$5:$C$504,A8))</f>
        <v>0</v>
      </c>
      <c r="G8" s="43" t="n">
        <f aca="false">IF(A8="","",C8+E8-F8)</f>
        <v>0</v>
      </c>
      <c r="H8" s="37" t="n">
        <f aca="false">IF(A8="","",SUMIFS(Alışlar!$G$5:$G$504,Alışlar!$B$5:$B$504,A8,Alışlar!$F$5:$F$504,"Veresiye"))</f>
        <v>5800</v>
      </c>
      <c r="I8" s="37" t="n">
        <f aca="false">IF(A8="","",SUMIFS('Cari Hareket'!$D$5:$D$504,'Cari Hareket'!$B$5:$B$504,"Ödeme",'Cari Hareket'!$C$5:$C$504,A8))</f>
        <v>2000</v>
      </c>
      <c r="J8" s="43" t="n">
        <f aca="false">IF(A8="","",D8+H8-I8)</f>
        <v>5300</v>
      </c>
      <c r="K8" s="37" t="n">
        <f aca="false">IF(A8="","",G8-J8)</f>
        <v>-5300</v>
      </c>
      <c r="L8" s="41" t="n">
        <f aca="false">IF(A8="","",G8+ROW()/1000000)</f>
        <v>8E-006</v>
      </c>
    </row>
    <row r="9" customFormat="false" ht="15" hidden="false" customHeight="false" outlineLevel="0" collapsed="false">
      <c r="A9" s="33" t="s">
        <v>112</v>
      </c>
      <c r="B9" s="42"/>
      <c r="C9" s="35"/>
      <c r="D9" s="35"/>
      <c r="E9" s="37" t="n">
        <f aca="false">IF(A9="","",SUMIFS(Satışlar!$G$5:$G$1004,Satışlar!$B$5:$B$1004,A9,Satışlar!$F$5:$F$1004,"Veresiye"))</f>
        <v>0</v>
      </c>
      <c r="F9" s="37" t="n">
        <f aca="false">IF(A9="","",SUMIFS('Cari Hareket'!$D$5:$D$504,'Cari Hareket'!$B$5:$B$504,"Tahsilat",'Cari Hareket'!$C$5:$C$504,A9))</f>
        <v>0</v>
      </c>
      <c r="G9" s="43" t="n">
        <f aca="false">IF(A9="","",C9+E9-F9)</f>
        <v>0</v>
      </c>
      <c r="H9" s="37" t="n">
        <f aca="false">IF(A9="","",SUMIFS(Alışlar!$G$5:$G$504,Alışlar!$B$5:$B$504,A9,Alışlar!$F$5:$F$504,"Veresiye"))</f>
        <v>0</v>
      </c>
      <c r="I9" s="37" t="n">
        <f aca="false">IF(A9="","",SUMIFS('Cari Hareket'!$D$5:$D$504,'Cari Hareket'!$B$5:$B$504,"Ödeme",'Cari Hareket'!$C$5:$C$504,A9))</f>
        <v>0</v>
      </c>
      <c r="J9" s="43" t="n">
        <f aca="false">IF(A9="","",D9+H9-I9)</f>
        <v>0</v>
      </c>
      <c r="K9" s="37" t="n">
        <f aca="false">IF(A9="","",G9-J9)</f>
        <v>0</v>
      </c>
      <c r="L9" s="41" t="n">
        <f aca="false">IF(A9="","",G9+ROW()/1000000)</f>
        <v>9E-006</v>
      </c>
    </row>
    <row r="10" customFormat="false" ht="15" hidden="false" customHeight="false" outlineLevel="0" collapsed="false">
      <c r="A10" s="33"/>
      <c r="B10" s="42"/>
      <c r="C10" s="35"/>
      <c r="D10" s="35"/>
      <c r="E10" s="37" t="str">
        <f aca="false">IF(A10="","",SUMIFS(Satışlar!$G$5:$G$1004,Satışlar!$B$5:$B$1004,A10,Satışlar!$F$5:$F$1004,"Veresiye"))</f>
        <v/>
      </c>
      <c r="F10" s="37" t="str">
        <f aca="false">IF(A10="","",SUMIFS('Cari Hareket'!$D$5:$D$504,'Cari Hareket'!$B$5:$B$504,"Tahsilat",'Cari Hareket'!$C$5:$C$504,A10))</f>
        <v/>
      </c>
      <c r="G10" s="43" t="str">
        <f aca="false">IF(A10="","",C10+E10-F10)</f>
        <v/>
      </c>
      <c r="H10" s="37" t="str">
        <f aca="false">IF(A10="","",SUMIFS(Alışlar!$G$5:$G$504,Alışlar!$B$5:$B$504,A10,Alışlar!$F$5:$F$504,"Veresiye"))</f>
        <v/>
      </c>
      <c r="I10" s="37" t="str">
        <f aca="false">IF(A10="","",SUMIFS('Cari Hareket'!$D$5:$D$504,'Cari Hareket'!$B$5:$B$504,"Ödeme",'Cari Hareket'!$C$5:$C$504,A10))</f>
        <v/>
      </c>
      <c r="J10" s="43" t="str">
        <f aca="false">IF(A10="","",D10+H10-I10)</f>
        <v/>
      </c>
      <c r="K10" s="37" t="str">
        <f aca="false">IF(A10="","",G10-J10)</f>
        <v/>
      </c>
      <c r="L10" s="41" t="str">
        <f aca="false">IF(A10="","",G10+ROW()/1000000)</f>
        <v/>
      </c>
    </row>
    <row r="11" customFormat="false" ht="15" hidden="false" customHeight="false" outlineLevel="0" collapsed="false">
      <c r="A11" s="33"/>
      <c r="B11" s="42"/>
      <c r="C11" s="35"/>
      <c r="D11" s="35"/>
      <c r="E11" s="37" t="str">
        <f aca="false">IF(A11="","",SUMIFS(Satışlar!$G$5:$G$1004,Satışlar!$B$5:$B$1004,A11,Satışlar!$F$5:$F$1004,"Veresiye"))</f>
        <v/>
      </c>
      <c r="F11" s="37" t="str">
        <f aca="false">IF(A11="","",SUMIFS('Cari Hareket'!$D$5:$D$504,'Cari Hareket'!$B$5:$B$504,"Tahsilat",'Cari Hareket'!$C$5:$C$504,A11))</f>
        <v/>
      </c>
      <c r="G11" s="43" t="str">
        <f aca="false">IF(A11="","",C11+E11-F11)</f>
        <v/>
      </c>
      <c r="H11" s="37" t="str">
        <f aca="false">IF(A11="","",SUMIFS(Alışlar!$G$5:$G$504,Alışlar!$B$5:$B$504,A11,Alışlar!$F$5:$F$504,"Veresiye"))</f>
        <v/>
      </c>
      <c r="I11" s="37" t="str">
        <f aca="false">IF(A11="","",SUMIFS('Cari Hareket'!$D$5:$D$504,'Cari Hareket'!$B$5:$B$504,"Ödeme",'Cari Hareket'!$C$5:$C$504,A11))</f>
        <v/>
      </c>
      <c r="J11" s="43" t="str">
        <f aca="false">IF(A11="","",D11+H11-I11)</f>
        <v/>
      </c>
      <c r="K11" s="37" t="str">
        <f aca="false">IF(A11="","",G11-J11)</f>
        <v/>
      </c>
      <c r="L11" s="41" t="str">
        <f aca="false">IF(A11="","",G11+ROW()/1000000)</f>
        <v/>
      </c>
    </row>
    <row r="12" customFormat="false" ht="15" hidden="false" customHeight="false" outlineLevel="0" collapsed="false">
      <c r="A12" s="33"/>
      <c r="B12" s="42"/>
      <c r="C12" s="35"/>
      <c r="D12" s="35"/>
      <c r="E12" s="37" t="str">
        <f aca="false">IF(A12="","",SUMIFS(Satışlar!$G$5:$G$1004,Satışlar!$B$5:$B$1004,A12,Satışlar!$F$5:$F$1004,"Veresiye"))</f>
        <v/>
      </c>
      <c r="F12" s="37" t="str">
        <f aca="false">IF(A12="","",SUMIFS('Cari Hareket'!$D$5:$D$504,'Cari Hareket'!$B$5:$B$504,"Tahsilat",'Cari Hareket'!$C$5:$C$504,A12))</f>
        <v/>
      </c>
      <c r="G12" s="43" t="str">
        <f aca="false">IF(A12="","",C12+E12-F12)</f>
        <v/>
      </c>
      <c r="H12" s="37" t="str">
        <f aca="false">IF(A12="","",SUMIFS(Alışlar!$G$5:$G$504,Alışlar!$B$5:$B$504,A12,Alışlar!$F$5:$F$504,"Veresiye"))</f>
        <v/>
      </c>
      <c r="I12" s="37" t="str">
        <f aca="false">IF(A12="","",SUMIFS('Cari Hareket'!$D$5:$D$504,'Cari Hareket'!$B$5:$B$504,"Ödeme",'Cari Hareket'!$C$5:$C$504,A12))</f>
        <v/>
      </c>
      <c r="J12" s="43" t="str">
        <f aca="false">IF(A12="","",D12+H12-I12)</f>
        <v/>
      </c>
      <c r="K12" s="37" t="str">
        <f aca="false">IF(A12="","",G12-J12)</f>
        <v/>
      </c>
      <c r="L12" s="41" t="str">
        <f aca="false">IF(A12="","",G12+ROW()/1000000)</f>
        <v/>
      </c>
    </row>
    <row r="13" customFormat="false" ht="15" hidden="false" customHeight="false" outlineLevel="0" collapsed="false">
      <c r="A13" s="33"/>
      <c r="B13" s="42"/>
      <c r="C13" s="35"/>
      <c r="D13" s="35"/>
      <c r="E13" s="37" t="str">
        <f aca="false">IF(A13="","",SUMIFS(Satışlar!$G$5:$G$1004,Satışlar!$B$5:$B$1004,A13,Satışlar!$F$5:$F$1004,"Veresiye"))</f>
        <v/>
      </c>
      <c r="F13" s="37" t="str">
        <f aca="false">IF(A13="","",SUMIFS('Cari Hareket'!$D$5:$D$504,'Cari Hareket'!$B$5:$B$504,"Tahsilat",'Cari Hareket'!$C$5:$C$504,A13))</f>
        <v/>
      </c>
      <c r="G13" s="43" t="str">
        <f aca="false">IF(A13="","",C13+E13-F13)</f>
        <v/>
      </c>
      <c r="H13" s="37" t="str">
        <f aca="false">IF(A13="","",SUMIFS(Alışlar!$G$5:$G$504,Alışlar!$B$5:$B$504,A13,Alışlar!$F$5:$F$504,"Veresiye"))</f>
        <v/>
      </c>
      <c r="I13" s="37" t="str">
        <f aca="false">IF(A13="","",SUMIFS('Cari Hareket'!$D$5:$D$504,'Cari Hareket'!$B$5:$B$504,"Ödeme",'Cari Hareket'!$C$5:$C$504,A13))</f>
        <v/>
      </c>
      <c r="J13" s="43" t="str">
        <f aca="false">IF(A13="","",D13+H13-I13)</f>
        <v/>
      </c>
      <c r="K13" s="37" t="str">
        <f aca="false">IF(A13="","",G13-J13)</f>
        <v/>
      </c>
      <c r="L13" s="41" t="str">
        <f aca="false">IF(A13="","",G13+ROW()/1000000)</f>
        <v/>
      </c>
    </row>
    <row r="14" customFormat="false" ht="15" hidden="false" customHeight="false" outlineLevel="0" collapsed="false">
      <c r="A14" s="33"/>
      <c r="B14" s="42"/>
      <c r="C14" s="35"/>
      <c r="D14" s="35"/>
      <c r="E14" s="37" t="str">
        <f aca="false">IF(A14="","",SUMIFS(Satışlar!$G$5:$G$1004,Satışlar!$B$5:$B$1004,A14,Satışlar!$F$5:$F$1004,"Veresiye"))</f>
        <v/>
      </c>
      <c r="F14" s="37" t="str">
        <f aca="false">IF(A14="","",SUMIFS('Cari Hareket'!$D$5:$D$504,'Cari Hareket'!$B$5:$B$504,"Tahsilat",'Cari Hareket'!$C$5:$C$504,A14))</f>
        <v/>
      </c>
      <c r="G14" s="43" t="str">
        <f aca="false">IF(A14="","",C14+E14-F14)</f>
        <v/>
      </c>
      <c r="H14" s="37" t="str">
        <f aca="false">IF(A14="","",SUMIFS(Alışlar!$G$5:$G$504,Alışlar!$B$5:$B$504,A14,Alışlar!$F$5:$F$504,"Veresiye"))</f>
        <v/>
      </c>
      <c r="I14" s="37" t="str">
        <f aca="false">IF(A14="","",SUMIFS('Cari Hareket'!$D$5:$D$504,'Cari Hareket'!$B$5:$B$504,"Ödeme",'Cari Hareket'!$C$5:$C$504,A14))</f>
        <v/>
      </c>
      <c r="J14" s="43" t="str">
        <f aca="false">IF(A14="","",D14+H14-I14)</f>
        <v/>
      </c>
      <c r="K14" s="37" t="str">
        <f aca="false">IF(A14="","",G14-J14)</f>
        <v/>
      </c>
      <c r="L14" s="41" t="str">
        <f aca="false">IF(A14="","",G14+ROW()/1000000)</f>
        <v/>
      </c>
    </row>
    <row r="15" customFormat="false" ht="15" hidden="false" customHeight="false" outlineLevel="0" collapsed="false">
      <c r="A15" s="33"/>
      <c r="B15" s="42"/>
      <c r="C15" s="35"/>
      <c r="D15" s="35"/>
      <c r="E15" s="37" t="str">
        <f aca="false">IF(A15="","",SUMIFS(Satışlar!$G$5:$G$1004,Satışlar!$B$5:$B$1004,A15,Satışlar!$F$5:$F$1004,"Veresiye"))</f>
        <v/>
      </c>
      <c r="F15" s="37" t="str">
        <f aca="false">IF(A15="","",SUMIFS('Cari Hareket'!$D$5:$D$504,'Cari Hareket'!$B$5:$B$504,"Tahsilat",'Cari Hareket'!$C$5:$C$504,A15))</f>
        <v/>
      </c>
      <c r="G15" s="43" t="str">
        <f aca="false">IF(A15="","",C15+E15-F15)</f>
        <v/>
      </c>
      <c r="H15" s="37" t="str">
        <f aca="false">IF(A15="","",SUMIFS(Alışlar!$G$5:$G$504,Alışlar!$B$5:$B$504,A15,Alışlar!$F$5:$F$504,"Veresiye"))</f>
        <v/>
      </c>
      <c r="I15" s="37" t="str">
        <f aca="false">IF(A15="","",SUMIFS('Cari Hareket'!$D$5:$D$504,'Cari Hareket'!$B$5:$B$504,"Ödeme",'Cari Hareket'!$C$5:$C$504,A15))</f>
        <v/>
      </c>
      <c r="J15" s="43" t="str">
        <f aca="false">IF(A15="","",D15+H15-I15)</f>
        <v/>
      </c>
      <c r="K15" s="37" t="str">
        <f aca="false">IF(A15="","",G15-J15)</f>
        <v/>
      </c>
      <c r="L15" s="41" t="str">
        <f aca="false">IF(A15="","",G15+ROW()/1000000)</f>
        <v/>
      </c>
    </row>
    <row r="16" customFormat="false" ht="15" hidden="false" customHeight="false" outlineLevel="0" collapsed="false">
      <c r="A16" s="33"/>
      <c r="B16" s="42"/>
      <c r="C16" s="35"/>
      <c r="D16" s="35"/>
      <c r="E16" s="37" t="str">
        <f aca="false">IF(A16="","",SUMIFS(Satışlar!$G$5:$G$1004,Satışlar!$B$5:$B$1004,A16,Satışlar!$F$5:$F$1004,"Veresiye"))</f>
        <v/>
      </c>
      <c r="F16" s="37" t="str">
        <f aca="false">IF(A16="","",SUMIFS('Cari Hareket'!$D$5:$D$504,'Cari Hareket'!$B$5:$B$504,"Tahsilat",'Cari Hareket'!$C$5:$C$504,A16))</f>
        <v/>
      </c>
      <c r="G16" s="43" t="str">
        <f aca="false">IF(A16="","",C16+E16-F16)</f>
        <v/>
      </c>
      <c r="H16" s="37" t="str">
        <f aca="false">IF(A16="","",SUMIFS(Alışlar!$G$5:$G$504,Alışlar!$B$5:$B$504,A16,Alışlar!$F$5:$F$504,"Veresiye"))</f>
        <v/>
      </c>
      <c r="I16" s="37" t="str">
        <f aca="false">IF(A16="","",SUMIFS('Cari Hareket'!$D$5:$D$504,'Cari Hareket'!$B$5:$B$504,"Ödeme",'Cari Hareket'!$C$5:$C$504,A16))</f>
        <v/>
      </c>
      <c r="J16" s="43" t="str">
        <f aca="false">IF(A16="","",D16+H16-I16)</f>
        <v/>
      </c>
      <c r="K16" s="37" t="str">
        <f aca="false">IF(A16="","",G16-J16)</f>
        <v/>
      </c>
      <c r="L16" s="41" t="str">
        <f aca="false">IF(A16="","",G16+ROW()/1000000)</f>
        <v/>
      </c>
    </row>
    <row r="17" customFormat="false" ht="15" hidden="false" customHeight="false" outlineLevel="0" collapsed="false">
      <c r="A17" s="33"/>
      <c r="B17" s="42"/>
      <c r="C17" s="35"/>
      <c r="D17" s="35"/>
      <c r="E17" s="37" t="str">
        <f aca="false">IF(A17="","",SUMIFS(Satışlar!$G$5:$G$1004,Satışlar!$B$5:$B$1004,A17,Satışlar!$F$5:$F$1004,"Veresiye"))</f>
        <v/>
      </c>
      <c r="F17" s="37" t="str">
        <f aca="false">IF(A17="","",SUMIFS('Cari Hareket'!$D$5:$D$504,'Cari Hareket'!$B$5:$B$504,"Tahsilat",'Cari Hareket'!$C$5:$C$504,A17))</f>
        <v/>
      </c>
      <c r="G17" s="43" t="str">
        <f aca="false">IF(A17="","",C17+E17-F17)</f>
        <v/>
      </c>
      <c r="H17" s="37" t="str">
        <f aca="false">IF(A17="","",SUMIFS(Alışlar!$G$5:$G$504,Alışlar!$B$5:$B$504,A17,Alışlar!$F$5:$F$504,"Veresiye"))</f>
        <v/>
      </c>
      <c r="I17" s="37" t="str">
        <f aca="false">IF(A17="","",SUMIFS('Cari Hareket'!$D$5:$D$504,'Cari Hareket'!$B$5:$B$504,"Ödeme",'Cari Hareket'!$C$5:$C$504,A17))</f>
        <v/>
      </c>
      <c r="J17" s="43" t="str">
        <f aca="false">IF(A17="","",D17+H17-I17)</f>
        <v/>
      </c>
      <c r="K17" s="37" t="str">
        <f aca="false">IF(A17="","",G17-J17)</f>
        <v/>
      </c>
      <c r="L17" s="41" t="str">
        <f aca="false">IF(A17="","",G17+ROW()/1000000)</f>
        <v/>
      </c>
    </row>
    <row r="18" customFormat="false" ht="15" hidden="false" customHeight="false" outlineLevel="0" collapsed="false">
      <c r="A18" s="33"/>
      <c r="B18" s="42"/>
      <c r="C18" s="35"/>
      <c r="D18" s="35"/>
      <c r="E18" s="37" t="str">
        <f aca="false">IF(A18="","",SUMIFS(Satışlar!$G$5:$G$1004,Satışlar!$B$5:$B$1004,A18,Satışlar!$F$5:$F$1004,"Veresiye"))</f>
        <v/>
      </c>
      <c r="F18" s="37" t="str">
        <f aca="false">IF(A18="","",SUMIFS('Cari Hareket'!$D$5:$D$504,'Cari Hareket'!$B$5:$B$504,"Tahsilat",'Cari Hareket'!$C$5:$C$504,A18))</f>
        <v/>
      </c>
      <c r="G18" s="43" t="str">
        <f aca="false">IF(A18="","",C18+E18-F18)</f>
        <v/>
      </c>
      <c r="H18" s="37" t="str">
        <f aca="false">IF(A18="","",SUMIFS(Alışlar!$G$5:$G$504,Alışlar!$B$5:$B$504,A18,Alışlar!$F$5:$F$504,"Veresiye"))</f>
        <v/>
      </c>
      <c r="I18" s="37" t="str">
        <f aca="false">IF(A18="","",SUMIFS('Cari Hareket'!$D$5:$D$504,'Cari Hareket'!$B$5:$B$504,"Ödeme",'Cari Hareket'!$C$5:$C$504,A18))</f>
        <v/>
      </c>
      <c r="J18" s="43" t="str">
        <f aca="false">IF(A18="","",D18+H18-I18)</f>
        <v/>
      </c>
      <c r="K18" s="37" t="str">
        <f aca="false">IF(A18="","",G18-J18)</f>
        <v/>
      </c>
      <c r="L18" s="41" t="str">
        <f aca="false">IF(A18="","",G18+ROW()/1000000)</f>
        <v/>
      </c>
    </row>
    <row r="19" customFormat="false" ht="15" hidden="false" customHeight="false" outlineLevel="0" collapsed="false">
      <c r="A19" s="33"/>
      <c r="B19" s="42"/>
      <c r="C19" s="35"/>
      <c r="D19" s="35"/>
      <c r="E19" s="37" t="str">
        <f aca="false">IF(A19="","",SUMIFS(Satışlar!$G$5:$G$1004,Satışlar!$B$5:$B$1004,A19,Satışlar!$F$5:$F$1004,"Veresiye"))</f>
        <v/>
      </c>
      <c r="F19" s="37" t="str">
        <f aca="false">IF(A19="","",SUMIFS('Cari Hareket'!$D$5:$D$504,'Cari Hareket'!$B$5:$B$504,"Tahsilat",'Cari Hareket'!$C$5:$C$504,A19))</f>
        <v/>
      </c>
      <c r="G19" s="43" t="str">
        <f aca="false">IF(A19="","",C19+E19-F19)</f>
        <v/>
      </c>
      <c r="H19" s="37" t="str">
        <f aca="false">IF(A19="","",SUMIFS(Alışlar!$G$5:$G$504,Alışlar!$B$5:$B$504,A19,Alışlar!$F$5:$F$504,"Veresiye"))</f>
        <v/>
      </c>
      <c r="I19" s="37" t="str">
        <f aca="false">IF(A19="","",SUMIFS('Cari Hareket'!$D$5:$D$504,'Cari Hareket'!$B$5:$B$504,"Ödeme",'Cari Hareket'!$C$5:$C$504,A19))</f>
        <v/>
      </c>
      <c r="J19" s="43" t="str">
        <f aca="false">IF(A19="","",D19+H19-I19)</f>
        <v/>
      </c>
      <c r="K19" s="37" t="str">
        <f aca="false">IF(A19="","",G19-J19)</f>
        <v/>
      </c>
      <c r="L19" s="41" t="str">
        <f aca="false">IF(A19="","",G19+ROW()/1000000)</f>
        <v/>
      </c>
    </row>
    <row r="20" customFormat="false" ht="15" hidden="false" customHeight="false" outlineLevel="0" collapsed="false">
      <c r="A20" s="33"/>
      <c r="B20" s="42"/>
      <c r="C20" s="35"/>
      <c r="D20" s="35"/>
      <c r="E20" s="37" t="str">
        <f aca="false">IF(A20="","",SUMIFS(Satışlar!$G$5:$G$1004,Satışlar!$B$5:$B$1004,A20,Satışlar!$F$5:$F$1004,"Veresiye"))</f>
        <v/>
      </c>
      <c r="F20" s="37" t="str">
        <f aca="false">IF(A20="","",SUMIFS('Cari Hareket'!$D$5:$D$504,'Cari Hareket'!$B$5:$B$504,"Tahsilat",'Cari Hareket'!$C$5:$C$504,A20))</f>
        <v/>
      </c>
      <c r="G20" s="43" t="str">
        <f aca="false">IF(A20="","",C20+E20-F20)</f>
        <v/>
      </c>
      <c r="H20" s="37" t="str">
        <f aca="false">IF(A20="","",SUMIFS(Alışlar!$G$5:$G$504,Alışlar!$B$5:$B$504,A20,Alışlar!$F$5:$F$504,"Veresiye"))</f>
        <v/>
      </c>
      <c r="I20" s="37" t="str">
        <f aca="false">IF(A20="","",SUMIFS('Cari Hareket'!$D$5:$D$504,'Cari Hareket'!$B$5:$B$504,"Ödeme",'Cari Hareket'!$C$5:$C$504,A20))</f>
        <v/>
      </c>
      <c r="J20" s="43" t="str">
        <f aca="false">IF(A20="","",D20+H20-I20)</f>
        <v/>
      </c>
      <c r="K20" s="37" t="str">
        <f aca="false">IF(A20="","",G20-J20)</f>
        <v/>
      </c>
      <c r="L20" s="41" t="str">
        <f aca="false">IF(A20="","",G20+ROW()/1000000)</f>
        <v/>
      </c>
    </row>
    <row r="21" customFormat="false" ht="15" hidden="false" customHeight="false" outlineLevel="0" collapsed="false">
      <c r="A21" s="33"/>
      <c r="B21" s="42"/>
      <c r="C21" s="35"/>
      <c r="D21" s="35"/>
      <c r="E21" s="37" t="str">
        <f aca="false">IF(A21="","",SUMIFS(Satışlar!$G$5:$G$1004,Satışlar!$B$5:$B$1004,A21,Satışlar!$F$5:$F$1004,"Veresiye"))</f>
        <v/>
      </c>
      <c r="F21" s="37" t="str">
        <f aca="false">IF(A21="","",SUMIFS('Cari Hareket'!$D$5:$D$504,'Cari Hareket'!$B$5:$B$504,"Tahsilat",'Cari Hareket'!$C$5:$C$504,A21))</f>
        <v/>
      </c>
      <c r="G21" s="43" t="str">
        <f aca="false">IF(A21="","",C21+E21-F21)</f>
        <v/>
      </c>
      <c r="H21" s="37" t="str">
        <f aca="false">IF(A21="","",SUMIFS(Alışlar!$G$5:$G$504,Alışlar!$B$5:$B$504,A21,Alışlar!$F$5:$F$504,"Veresiye"))</f>
        <v/>
      </c>
      <c r="I21" s="37" t="str">
        <f aca="false">IF(A21="","",SUMIFS('Cari Hareket'!$D$5:$D$504,'Cari Hareket'!$B$5:$B$504,"Ödeme",'Cari Hareket'!$C$5:$C$504,A21))</f>
        <v/>
      </c>
      <c r="J21" s="43" t="str">
        <f aca="false">IF(A21="","",D21+H21-I21)</f>
        <v/>
      </c>
      <c r="K21" s="37" t="str">
        <f aca="false">IF(A21="","",G21-J21)</f>
        <v/>
      </c>
      <c r="L21" s="41" t="str">
        <f aca="false">IF(A21="","",G21+ROW()/1000000)</f>
        <v/>
      </c>
    </row>
    <row r="22" customFormat="false" ht="15" hidden="false" customHeight="false" outlineLevel="0" collapsed="false">
      <c r="A22" s="33"/>
      <c r="B22" s="42"/>
      <c r="C22" s="35"/>
      <c r="D22" s="35"/>
      <c r="E22" s="37" t="str">
        <f aca="false">IF(A22="","",SUMIFS(Satışlar!$G$5:$G$1004,Satışlar!$B$5:$B$1004,A22,Satışlar!$F$5:$F$1004,"Veresiye"))</f>
        <v/>
      </c>
      <c r="F22" s="37" t="str">
        <f aca="false">IF(A22="","",SUMIFS('Cari Hareket'!$D$5:$D$504,'Cari Hareket'!$B$5:$B$504,"Tahsilat",'Cari Hareket'!$C$5:$C$504,A22))</f>
        <v/>
      </c>
      <c r="G22" s="43" t="str">
        <f aca="false">IF(A22="","",C22+E22-F22)</f>
        <v/>
      </c>
      <c r="H22" s="37" t="str">
        <f aca="false">IF(A22="","",SUMIFS(Alışlar!$G$5:$G$504,Alışlar!$B$5:$B$504,A22,Alışlar!$F$5:$F$504,"Veresiye"))</f>
        <v/>
      </c>
      <c r="I22" s="37" t="str">
        <f aca="false">IF(A22="","",SUMIFS('Cari Hareket'!$D$5:$D$504,'Cari Hareket'!$B$5:$B$504,"Ödeme",'Cari Hareket'!$C$5:$C$504,A22))</f>
        <v/>
      </c>
      <c r="J22" s="43" t="str">
        <f aca="false">IF(A22="","",D22+H22-I22)</f>
        <v/>
      </c>
      <c r="K22" s="37" t="str">
        <f aca="false">IF(A22="","",G22-J22)</f>
        <v/>
      </c>
      <c r="L22" s="41" t="str">
        <f aca="false">IF(A22="","",G22+ROW()/1000000)</f>
        <v/>
      </c>
    </row>
    <row r="23" customFormat="false" ht="15" hidden="false" customHeight="false" outlineLevel="0" collapsed="false">
      <c r="A23" s="33"/>
      <c r="B23" s="42"/>
      <c r="C23" s="35"/>
      <c r="D23" s="35"/>
      <c r="E23" s="37" t="str">
        <f aca="false">IF(A23="","",SUMIFS(Satışlar!$G$5:$G$1004,Satışlar!$B$5:$B$1004,A23,Satışlar!$F$5:$F$1004,"Veresiye"))</f>
        <v/>
      </c>
      <c r="F23" s="37" t="str">
        <f aca="false">IF(A23="","",SUMIFS('Cari Hareket'!$D$5:$D$504,'Cari Hareket'!$B$5:$B$504,"Tahsilat",'Cari Hareket'!$C$5:$C$504,A23))</f>
        <v/>
      </c>
      <c r="G23" s="43" t="str">
        <f aca="false">IF(A23="","",C23+E23-F23)</f>
        <v/>
      </c>
      <c r="H23" s="37" t="str">
        <f aca="false">IF(A23="","",SUMIFS(Alışlar!$G$5:$G$504,Alışlar!$B$5:$B$504,A23,Alışlar!$F$5:$F$504,"Veresiye"))</f>
        <v/>
      </c>
      <c r="I23" s="37" t="str">
        <f aca="false">IF(A23="","",SUMIFS('Cari Hareket'!$D$5:$D$504,'Cari Hareket'!$B$5:$B$504,"Ödeme",'Cari Hareket'!$C$5:$C$504,A23))</f>
        <v/>
      </c>
      <c r="J23" s="43" t="str">
        <f aca="false">IF(A23="","",D23+H23-I23)</f>
        <v/>
      </c>
      <c r="K23" s="37" t="str">
        <f aca="false">IF(A23="","",G23-J23)</f>
        <v/>
      </c>
      <c r="L23" s="41" t="str">
        <f aca="false">IF(A23="","",G23+ROW()/1000000)</f>
        <v/>
      </c>
    </row>
    <row r="24" customFormat="false" ht="15" hidden="false" customHeight="false" outlineLevel="0" collapsed="false">
      <c r="A24" s="33"/>
      <c r="B24" s="42"/>
      <c r="C24" s="35"/>
      <c r="D24" s="35"/>
      <c r="E24" s="37" t="str">
        <f aca="false">IF(A24="","",SUMIFS(Satışlar!$G$5:$G$1004,Satışlar!$B$5:$B$1004,A24,Satışlar!$F$5:$F$1004,"Veresiye"))</f>
        <v/>
      </c>
      <c r="F24" s="37" t="str">
        <f aca="false">IF(A24="","",SUMIFS('Cari Hareket'!$D$5:$D$504,'Cari Hareket'!$B$5:$B$504,"Tahsilat",'Cari Hareket'!$C$5:$C$504,A24))</f>
        <v/>
      </c>
      <c r="G24" s="43" t="str">
        <f aca="false">IF(A24="","",C24+E24-F24)</f>
        <v/>
      </c>
      <c r="H24" s="37" t="str">
        <f aca="false">IF(A24="","",SUMIFS(Alışlar!$G$5:$G$504,Alışlar!$B$5:$B$504,A24,Alışlar!$F$5:$F$504,"Veresiye"))</f>
        <v/>
      </c>
      <c r="I24" s="37" t="str">
        <f aca="false">IF(A24="","",SUMIFS('Cari Hareket'!$D$5:$D$504,'Cari Hareket'!$B$5:$B$504,"Ödeme",'Cari Hareket'!$C$5:$C$504,A24))</f>
        <v/>
      </c>
      <c r="J24" s="43" t="str">
        <f aca="false">IF(A24="","",D24+H24-I24)</f>
        <v/>
      </c>
      <c r="K24" s="37" t="str">
        <f aca="false">IF(A24="","",G24-J24)</f>
        <v/>
      </c>
      <c r="L24" s="41" t="str">
        <f aca="false">IF(A24="","",G24+ROW()/1000000)</f>
        <v/>
      </c>
    </row>
    <row r="25" customFormat="false" ht="15" hidden="false" customHeight="false" outlineLevel="0" collapsed="false">
      <c r="A25" s="33"/>
      <c r="B25" s="42"/>
      <c r="C25" s="35"/>
      <c r="D25" s="35"/>
      <c r="E25" s="37" t="str">
        <f aca="false">IF(A25="","",SUMIFS(Satışlar!$G$5:$G$1004,Satışlar!$B$5:$B$1004,A25,Satışlar!$F$5:$F$1004,"Veresiye"))</f>
        <v/>
      </c>
      <c r="F25" s="37" t="str">
        <f aca="false">IF(A25="","",SUMIFS('Cari Hareket'!$D$5:$D$504,'Cari Hareket'!$B$5:$B$504,"Tahsilat",'Cari Hareket'!$C$5:$C$504,A25))</f>
        <v/>
      </c>
      <c r="G25" s="43" t="str">
        <f aca="false">IF(A25="","",C25+E25-F25)</f>
        <v/>
      </c>
      <c r="H25" s="37" t="str">
        <f aca="false">IF(A25="","",SUMIFS(Alışlar!$G$5:$G$504,Alışlar!$B$5:$B$504,A25,Alışlar!$F$5:$F$504,"Veresiye"))</f>
        <v/>
      </c>
      <c r="I25" s="37" t="str">
        <f aca="false">IF(A25="","",SUMIFS('Cari Hareket'!$D$5:$D$504,'Cari Hareket'!$B$5:$B$504,"Ödeme",'Cari Hareket'!$C$5:$C$504,A25))</f>
        <v/>
      </c>
      <c r="J25" s="43" t="str">
        <f aca="false">IF(A25="","",D25+H25-I25)</f>
        <v/>
      </c>
      <c r="K25" s="37" t="str">
        <f aca="false">IF(A25="","",G25-J25)</f>
        <v/>
      </c>
      <c r="L25" s="41" t="str">
        <f aca="false">IF(A25="","",G25+ROW()/1000000)</f>
        <v/>
      </c>
    </row>
    <row r="26" customFormat="false" ht="15" hidden="false" customHeight="false" outlineLevel="0" collapsed="false">
      <c r="A26" s="33"/>
      <c r="B26" s="42"/>
      <c r="C26" s="35"/>
      <c r="D26" s="35"/>
      <c r="E26" s="37" t="str">
        <f aca="false">IF(A26="","",SUMIFS(Satışlar!$G$5:$G$1004,Satışlar!$B$5:$B$1004,A26,Satışlar!$F$5:$F$1004,"Veresiye"))</f>
        <v/>
      </c>
      <c r="F26" s="37" t="str">
        <f aca="false">IF(A26="","",SUMIFS('Cari Hareket'!$D$5:$D$504,'Cari Hareket'!$B$5:$B$504,"Tahsilat",'Cari Hareket'!$C$5:$C$504,A26))</f>
        <v/>
      </c>
      <c r="G26" s="43" t="str">
        <f aca="false">IF(A26="","",C26+E26-F26)</f>
        <v/>
      </c>
      <c r="H26" s="37" t="str">
        <f aca="false">IF(A26="","",SUMIFS(Alışlar!$G$5:$G$504,Alışlar!$B$5:$B$504,A26,Alışlar!$F$5:$F$504,"Veresiye"))</f>
        <v/>
      </c>
      <c r="I26" s="37" t="str">
        <f aca="false">IF(A26="","",SUMIFS('Cari Hareket'!$D$5:$D$504,'Cari Hareket'!$B$5:$B$504,"Ödeme",'Cari Hareket'!$C$5:$C$504,A26))</f>
        <v/>
      </c>
      <c r="J26" s="43" t="str">
        <f aca="false">IF(A26="","",D26+H26-I26)</f>
        <v/>
      </c>
      <c r="K26" s="37" t="str">
        <f aca="false">IF(A26="","",G26-J26)</f>
        <v/>
      </c>
      <c r="L26" s="41" t="str">
        <f aca="false">IF(A26="","",G26+ROW()/1000000)</f>
        <v/>
      </c>
    </row>
    <row r="27" customFormat="false" ht="15" hidden="false" customHeight="false" outlineLevel="0" collapsed="false">
      <c r="A27" s="33"/>
      <c r="B27" s="42"/>
      <c r="C27" s="35"/>
      <c r="D27" s="35"/>
      <c r="E27" s="37" t="str">
        <f aca="false">IF(A27="","",SUMIFS(Satışlar!$G$5:$G$1004,Satışlar!$B$5:$B$1004,A27,Satışlar!$F$5:$F$1004,"Veresiye"))</f>
        <v/>
      </c>
      <c r="F27" s="37" t="str">
        <f aca="false">IF(A27="","",SUMIFS('Cari Hareket'!$D$5:$D$504,'Cari Hareket'!$B$5:$B$504,"Tahsilat",'Cari Hareket'!$C$5:$C$504,A27))</f>
        <v/>
      </c>
      <c r="G27" s="43" t="str">
        <f aca="false">IF(A27="","",C27+E27-F27)</f>
        <v/>
      </c>
      <c r="H27" s="37" t="str">
        <f aca="false">IF(A27="","",SUMIFS(Alışlar!$G$5:$G$504,Alışlar!$B$5:$B$504,A27,Alışlar!$F$5:$F$504,"Veresiye"))</f>
        <v/>
      </c>
      <c r="I27" s="37" t="str">
        <f aca="false">IF(A27="","",SUMIFS('Cari Hareket'!$D$5:$D$504,'Cari Hareket'!$B$5:$B$504,"Ödeme",'Cari Hareket'!$C$5:$C$504,A27))</f>
        <v/>
      </c>
      <c r="J27" s="43" t="str">
        <f aca="false">IF(A27="","",D27+H27-I27)</f>
        <v/>
      </c>
      <c r="K27" s="37" t="str">
        <f aca="false">IF(A27="","",G27-J27)</f>
        <v/>
      </c>
      <c r="L27" s="41" t="str">
        <f aca="false">IF(A27="","",G27+ROW()/1000000)</f>
        <v/>
      </c>
    </row>
    <row r="28" customFormat="false" ht="15" hidden="false" customHeight="false" outlineLevel="0" collapsed="false">
      <c r="A28" s="33"/>
      <c r="B28" s="42"/>
      <c r="C28" s="35"/>
      <c r="D28" s="35"/>
      <c r="E28" s="37" t="str">
        <f aca="false">IF(A28="","",SUMIFS(Satışlar!$G$5:$G$1004,Satışlar!$B$5:$B$1004,A28,Satışlar!$F$5:$F$1004,"Veresiye"))</f>
        <v/>
      </c>
      <c r="F28" s="37" t="str">
        <f aca="false">IF(A28="","",SUMIFS('Cari Hareket'!$D$5:$D$504,'Cari Hareket'!$B$5:$B$504,"Tahsilat",'Cari Hareket'!$C$5:$C$504,A28))</f>
        <v/>
      </c>
      <c r="G28" s="43" t="str">
        <f aca="false">IF(A28="","",C28+E28-F28)</f>
        <v/>
      </c>
      <c r="H28" s="37" t="str">
        <f aca="false">IF(A28="","",SUMIFS(Alışlar!$G$5:$G$504,Alışlar!$B$5:$B$504,A28,Alışlar!$F$5:$F$504,"Veresiye"))</f>
        <v/>
      </c>
      <c r="I28" s="37" t="str">
        <f aca="false">IF(A28="","",SUMIFS('Cari Hareket'!$D$5:$D$504,'Cari Hareket'!$B$5:$B$504,"Ödeme",'Cari Hareket'!$C$5:$C$504,A28))</f>
        <v/>
      </c>
      <c r="J28" s="43" t="str">
        <f aca="false">IF(A28="","",D28+H28-I28)</f>
        <v/>
      </c>
      <c r="K28" s="37" t="str">
        <f aca="false">IF(A28="","",G28-J28)</f>
        <v/>
      </c>
      <c r="L28" s="41" t="str">
        <f aca="false">IF(A28="","",G28+ROW()/1000000)</f>
        <v/>
      </c>
    </row>
    <row r="29" customFormat="false" ht="15" hidden="false" customHeight="false" outlineLevel="0" collapsed="false">
      <c r="A29" s="33"/>
      <c r="B29" s="42"/>
      <c r="C29" s="35"/>
      <c r="D29" s="35"/>
      <c r="E29" s="37" t="str">
        <f aca="false">IF(A29="","",SUMIFS(Satışlar!$G$5:$G$1004,Satışlar!$B$5:$B$1004,A29,Satışlar!$F$5:$F$1004,"Veresiye"))</f>
        <v/>
      </c>
      <c r="F29" s="37" t="str">
        <f aca="false">IF(A29="","",SUMIFS('Cari Hareket'!$D$5:$D$504,'Cari Hareket'!$B$5:$B$504,"Tahsilat",'Cari Hareket'!$C$5:$C$504,A29))</f>
        <v/>
      </c>
      <c r="G29" s="43" t="str">
        <f aca="false">IF(A29="","",C29+E29-F29)</f>
        <v/>
      </c>
      <c r="H29" s="37" t="str">
        <f aca="false">IF(A29="","",SUMIFS(Alışlar!$G$5:$G$504,Alışlar!$B$5:$B$504,A29,Alışlar!$F$5:$F$504,"Veresiye"))</f>
        <v/>
      </c>
      <c r="I29" s="37" t="str">
        <f aca="false">IF(A29="","",SUMIFS('Cari Hareket'!$D$5:$D$504,'Cari Hareket'!$B$5:$B$504,"Ödeme",'Cari Hareket'!$C$5:$C$504,A29))</f>
        <v/>
      </c>
      <c r="J29" s="43" t="str">
        <f aca="false">IF(A29="","",D29+H29-I29)</f>
        <v/>
      </c>
      <c r="K29" s="37" t="str">
        <f aca="false">IF(A29="","",G29-J29)</f>
        <v/>
      </c>
      <c r="L29" s="41" t="str">
        <f aca="false">IF(A29="","",G29+ROW()/1000000)</f>
        <v/>
      </c>
    </row>
    <row r="30" customFormat="false" ht="15" hidden="false" customHeight="false" outlineLevel="0" collapsed="false">
      <c r="A30" s="33"/>
      <c r="B30" s="42"/>
      <c r="C30" s="35"/>
      <c r="D30" s="35"/>
      <c r="E30" s="37" t="str">
        <f aca="false">IF(A30="","",SUMIFS(Satışlar!$G$5:$G$1004,Satışlar!$B$5:$B$1004,A30,Satışlar!$F$5:$F$1004,"Veresiye"))</f>
        <v/>
      </c>
      <c r="F30" s="37" t="str">
        <f aca="false">IF(A30="","",SUMIFS('Cari Hareket'!$D$5:$D$504,'Cari Hareket'!$B$5:$B$504,"Tahsilat",'Cari Hareket'!$C$5:$C$504,A30))</f>
        <v/>
      </c>
      <c r="G30" s="43" t="str">
        <f aca="false">IF(A30="","",C30+E30-F30)</f>
        <v/>
      </c>
      <c r="H30" s="37" t="str">
        <f aca="false">IF(A30="","",SUMIFS(Alışlar!$G$5:$G$504,Alışlar!$B$5:$B$504,A30,Alışlar!$F$5:$F$504,"Veresiye"))</f>
        <v/>
      </c>
      <c r="I30" s="37" t="str">
        <f aca="false">IF(A30="","",SUMIFS('Cari Hareket'!$D$5:$D$504,'Cari Hareket'!$B$5:$B$504,"Ödeme",'Cari Hareket'!$C$5:$C$504,A30))</f>
        <v/>
      </c>
      <c r="J30" s="43" t="str">
        <f aca="false">IF(A30="","",D30+H30-I30)</f>
        <v/>
      </c>
      <c r="K30" s="37" t="str">
        <f aca="false">IF(A30="","",G30-J30)</f>
        <v/>
      </c>
      <c r="L30" s="41" t="str">
        <f aca="false">IF(A30="","",G30+ROW()/1000000)</f>
        <v/>
      </c>
    </row>
    <row r="31" customFormat="false" ht="15" hidden="false" customHeight="false" outlineLevel="0" collapsed="false">
      <c r="A31" s="33"/>
      <c r="B31" s="42"/>
      <c r="C31" s="35"/>
      <c r="D31" s="35"/>
      <c r="E31" s="37" t="str">
        <f aca="false">IF(A31="","",SUMIFS(Satışlar!$G$5:$G$1004,Satışlar!$B$5:$B$1004,A31,Satışlar!$F$5:$F$1004,"Veresiye"))</f>
        <v/>
      </c>
      <c r="F31" s="37" t="str">
        <f aca="false">IF(A31="","",SUMIFS('Cari Hareket'!$D$5:$D$504,'Cari Hareket'!$B$5:$B$504,"Tahsilat",'Cari Hareket'!$C$5:$C$504,A31))</f>
        <v/>
      </c>
      <c r="G31" s="43" t="str">
        <f aca="false">IF(A31="","",C31+E31-F31)</f>
        <v/>
      </c>
      <c r="H31" s="37" t="str">
        <f aca="false">IF(A31="","",SUMIFS(Alışlar!$G$5:$G$504,Alışlar!$B$5:$B$504,A31,Alışlar!$F$5:$F$504,"Veresiye"))</f>
        <v/>
      </c>
      <c r="I31" s="37" t="str">
        <f aca="false">IF(A31="","",SUMIFS('Cari Hareket'!$D$5:$D$504,'Cari Hareket'!$B$5:$B$504,"Ödeme",'Cari Hareket'!$C$5:$C$504,A31))</f>
        <v/>
      </c>
      <c r="J31" s="43" t="str">
        <f aca="false">IF(A31="","",D31+H31-I31)</f>
        <v/>
      </c>
      <c r="K31" s="37" t="str">
        <f aca="false">IF(A31="","",G31-J31)</f>
        <v/>
      </c>
      <c r="L31" s="41" t="str">
        <f aca="false">IF(A31="","",G31+ROW()/1000000)</f>
        <v/>
      </c>
    </row>
    <row r="32" customFormat="false" ht="15" hidden="false" customHeight="false" outlineLevel="0" collapsed="false">
      <c r="A32" s="33"/>
      <c r="B32" s="42"/>
      <c r="C32" s="35"/>
      <c r="D32" s="35"/>
      <c r="E32" s="37" t="str">
        <f aca="false">IF(A32="","",SUMIFS(Satışlar!$G$5:$G$1004,Satışlar!$B$5:$B$1004,A32,Satışlar!$F$5:$F$1004,"Veresiye"))</f>
        <v/>
      </c>
      <c r="F32" s="37" t="str">
        <f aca="false">IF(A32="","",SUMIFS('Cari Hareket'!$D$5:$D$504,'Cari Hareket'!$B$5:$B$504,"Tahsilat",'Cari Hareket'!$C$5:$C$504,A32))</f>
        <v/>
      </c>
      <c r="G32" s="43" t="str">
        <f aca="false">IF(A32="","",C32+E32-F32)</f>
        <v/>
      </c>
      <c r="H32" s="37" t="str">
        <f aca="false">IF(A32="","",SUMIFS(Alışlar!$G$5:$G$504,Alışlar!$B$5:$B$504,A32,Alışlar!$F$5:$F$504,"Veresiye"))</f>
        <v/>
      </c>
      <c r="I32" s="37" t="str">
        <f aca="false">IF(A32="","",SUMIFS('Cari Hareket'!$D$5:$D$504,'Cari Hareket'!$B$5:$B$504,"Ödeme",'Cari Hareket'!$C$5:$C$504,A32))</f>
        <v/>
      </c>
      <c r="J32" s="43" t="str">
        <f aca="false">IF(A32="","",D32+H32-I32)</f>
        <v/>
      </c>
      <c r="K32" s="37" t="str">
        <f aca="false">IF(A32="","",G32-J32)</f>
        <v/>
      </c>
      <c r="L32" s="41" t="str">
        <f aca="false">IF(A32="","",G32+ROW()/1000000)</f>
        <v/>
      </c>
    </row>
    <row r="33" customFormat="false" ht="15" hidden="false" customHeight="false" outlineLevel="0" collapsed="false">
      <c r="A33" s="33"/>
      <c r="B33" s="42"/>
      <c r="C33" s="35"/>
      <c r="D33" s="35"/>
      <c r="E33" s="37" t="str">
        <f aca="false">IF(A33="","",SUMIFS(Satışlar!$G$5:$G$1004,Satışlar!$B$5:$B$1004,A33,Satışlar!$F$5:$F$1004,"Veresiye"))</f>
        <v/>
      </c>
      <c r="F33" s="37" t="str">
        <f aca="false">IF(A33="","",SUMIFS('Cari Hareket'!$D$5:$D$504,'Cari Hareket'!$B$5:$B$504,"Tahsilat",'Cari Hareket'!$C$5:$C$504,A33))</f>
        <v/>
      </c>
      <c r="G33" s="43" t="str">
        <f aca="false">IF(A33="","",C33+E33-F33)</f>
        <v/>
      </c>
      <c r="H33" s="37" t="str">
        <f aca="false">IF(A33="","",SUMIFS(Alışlar!$G$5:$G$504,Alışlar!$B$5:$B$504,A33,Alışlar!$F$5:$F$504,"Veresiye"))</f>
        <v/>
      </c>
      <c r="I33" s="37" t="str">
        <f aca="false">IF(A33="","",SUMIFS('Cari Hareket'!$D$5:$D$504,'Cari Hareket'!$B$5:$B$504,"Ödeme",'Cari Hareket'!$C$5:$C$504,A33))</f>
        <v/>
      </c>
      <c r="J33" s="43" t="str">
        <f aca="false">IF(A33="","",D33+H33-I33)</f>
        <v/>
      </c>
      <c r="K33" s="37" t="str">
        <f aca="false">IF(A33="","",G33-J33)</f>
        <v/>
      </c>
      <c r="L33" s="41" t="str">
        <f aca="false">IF(A33="","",G33+ROW()/1000000)</f>
        <v/>
      </c>
    </row>
    <row r="34" customFormat="false" ht="15" hidden="false" customHeight="false" outlineLevel="0" collapsed="false">
      <c r="A34" s="33"/>
      <c r="B34" s="42"/>
      <c r="C34" s="35"/>
      <c r="D34" s="35"/>
      <c r="E34" s="37" t="str">
        <f aca="false">IF(A34="","",SUMIFS(Satışlar!$G$5:$G$1004,Satışlar!$B$5:$B$1004,A34,Satışlar!$F$5:$F$1004,"Veresiye"))</f>
        <v/>
      </c>
      <c r="F34" s="37" t="str">
        <f aca="false">IF(A34="","",SUMIFS('Cari Hareket'!$D$5:$D$504,'Cari Hareket'!$B$5:$B$504,"Tahsilat",'Cari Hareket'!$C$5:$C$504,A34))</f>
        <v/>
      </c>
      <c r="G34" s="43" t="str">
        <f aca="false">IF(A34="","",C34+E34-F34)</f>
        <v/>
      </c>
      <c r="H34" s="37" t="str">
        <f aca="false">IF(A34="","",SUMIFS(Alışlar!$G$5:$G$504,Alışlar!$B$5:$B$504,A34,Alışlar!$F$5:$F$504,"Veresiye"))</f>
        <v/>
      </c>
      <c r="I34" s="37" t="str">
        <f aca="false">IF(A34="","",SUMIFS('Cari Hareket'!$D$5:$D$504,'Cari Hareket'!$B$5:$B$504,"Ödeme",'Cari Hareket'!$C$5:$C$504,A34))</f>
        <v/>
      </c>
      <c r="J34" s="43" t="str">
        <f aca="false">IF(A34="","",D34+H34-I34)</f>
        <v/>
      </c>
      <c r="K34" s="37" t="str">
        <f aca="false">IF(A34="","",G34-J34)</f>
        <v/>
      </c>
      <c r="L34" s="41" t="str">
        <f aca="false">IF(A34="","",G34+ROW()/1000000)</f>
        <v/>
      </c>
    </row>
    <row r="35" customFormat="false" ht="15" hidden="false" customHeight="false" outlineLevel="0" collapsed="false">
      <c r="A35" s="33"/>
      <c r="B35" s="42"/>
      <c r="C35" s="35"/>
      <c r="D35" s="35"/>
      <c r="E35" s="37" t="str">
        <f aca="false">IF(A35="","",SUMIFS(Satışlar!$G$5:$G$1004,Satışlar!$B$5:$B$1004,A35,Satışlar!$F$5:$F$1004,"Veresiye"))</f>
        <v/>
      </c>
      <c r="F35" s="37" t="str">
        <f aca="false">IF(A35="","",SUMIFS('Cari Hareket'!$D$5:$D$504,'Cari Hareket'!$B$5:$B$504,"Tahsilat",'Cari Hareket'!$C$5:$C$504,A35))</f>
        <v/>
      </c>
      <c r="G35" s="43" t="str">
        <f aca="false">IF(A35="","",C35+E35-F35)</f>
        <v/>
      </c>
      <c r="H35" s="37" t="str">
        <f aca="false">IF(A35="","",SUMIFS(Alışlar!$G$5:$G$504,Alışlar!$B$5:$B$504,A35,Alışlar!$F$5:$F$504,"Veresiye"))</f>
        <v/>
      </c>
      <c r="I35" s="37" t="str">
        <f aca="false">IF(A35="","",SUMIFS('Cari Hareket'!$D$5:$D$504,'Cari Hareket'!$B$5:$B$504,"Ödeme",'Cari Hareket'!$C$5:$C$504,A35))</f>
        <v/>
      </c>
      <c r="J35" s="43" t="str">
        <f aca="false">IF(A35="","",D35+H35-I35)</f>
        <v/>
      </c>
      <c r="K35" s="37" t="str">
        <f aca="false">IF(A35="","",G35-J35)</f>
        <v/>
      </c>
      <c r="L35" s="41" t="str">
        <f aca="false">IF(A35="","",G35+ROW()/1000000)</f>
        <v/>
      </c>
    </row>
    <row r="36" customFormat="false" ht="15" hidden="false" customHeight="false" outlineLevel="0" collapsed="false">
      <c r="A36" s="33"/>
      <c r="B36" s="42"/>
      <c r="C36" s="35"/>
      <c r="D36" s="35"/>
      <c r="E36" s="37" t="str">
        <f aca="false">IF(A36="","",SUMIFS(Satışlar!$G$5:$G$1004,Satışlar!$B$5:$B$1004,A36,Satışlar!$F$5:$F$1004,"Veresiye"))</f>
        <v/>
      </c>
      <c r="F36" s="37" t="str">
        <f aca="false">IF(A36="","",SUMIFS('Cari Hareket'!$D$5:$D$504,'Cari Hareket'!$B$5:$B$504,"Tahsilat",'Cari Hareket'!$C$5:$C$504,A36))</f>
        <v/>
      </c>
      <c r="G36" s="43" t="str">
        <f aca="false">IF(A36="","",C36+E36-F36)</f>
        <v/>
      </c>
      <c r="H36" s="37" t="str">
        <f aca="false">IF(A36="","",SUMIFS(Alışlar!$G$5:$G$504,Alışlar!$B$5:$B$504,A36,Alışlar!$F$5:$F$504,"Veresiye"))</f>
        <v/>
      </c>
      <c r="I36" s="37" t="str">
        <f aca="false">IF(A36="","",SUMIFS('Cari Hareket'!$D$5:$D$504,'Cari Hareket'!$B$5:$B$504,"Ödeme",'Cari Hareket'!$C$5:$C$504,A36))</f>
        <v/>
      </c>
      <c r="J36" s="43" t="str">
        <f aca="false">IF(A36="","",D36+H36-I36)</f>
        <v/>
      </c>
      <c r="K36" s="37" t="str">
        <f aca="false">IF(A36="","",G36-J36)</f>
        <v/>
      </c>
      <c r="L36" s="41" t="str">
        <f aca="false">IF(A36="","",G36+ROW()/1000000)</f>
        <v/>
      </c>
    </row>
    <row r="37" customFormat="false" ht="15" hidden="false" customHeight="false" outlineLevel="0" collapsed="false">
      <c r="A37" s="33"/>
      <c r="B37" s="42"/>
      <c r="C37" s="35"/>
      <c r="D37" s="35"/>
      <c r="E37" s="37" t="str">
        <f aca="false">IF(A37="","",SUMIFS(Satışlar!$G$5:$G$1004,Satışlar!$B$5:$B$1004,A37,Satışlar!$F$5:$F$1004,"Veresiye"))</f>
        <v/>
      </c>
      <c r="F37" s="37" t="str">
        <f aca="false">IF(A37="","",SUMIFS('Cari Hareket'!$D$5:$D$504,'Cari Hareket'!$B$5:$B$504,"Tahsilat",'Cari Hareket'!$C$5:$C$504,A37))</f>
        <v/>
      </c>
      <c r="G37" s="43" t="str">
        <f aca="false">IF(A37="","",C37+E37-F37)</f>
        <v/>
      </c>
      <c r="H37" s="37" t="str">
        <f aca="false">IF(A37="","",SUMIFS(Alışlar!$G$5:$G$504,Alışlar!$B$5:$B$504,A37,Alışlar!$F$5:$F$504,"Veresiye"))</f>
        <v/>
      </c>
      <c r="I37" s="37" t="str">
        <f aca="false">IF(A37="","",SUMIFS('Cari Hareket'!$D$5:$D$504,'Cari Hareket'!$B$5:$B$504,"Ödeme",'Cari Hareket'!$C$5:$C$504,A37))</f>
        <v/>
      </c>
      <c r="J37" s="43" t="str">
        <f aca="false">IF(A37="","",D37+H37-I37)</f>
        <v/>
      </c>
      <c r="K37" s="37" t="str">
        <f aca="false">IF(A37="","",G37-J37)</f>
        <v/>
      </c>
      <c r="L37" s="41" t="str">
        <f aca="false">IF(A37="","",G37+ROW()/1000000)</f>
        <v/>
      </c>
    </row>
    <row r="38" customFormat="false" ht="15" hidden="false" customHeight="false" outlineLevel="0" collapsed="false">
      <c r="A38" s="33"/>
      <c r="B38" s="42"/>
      <c r="C38" s="35"/>
      <c r="D38" s="35"/>
      <c r="E38" s="37" t="str">
        <f aca="false">IF(A38="","",SUMIFS(Satışlar!$G$5:$G$1004,Satışlar!$B$5:$B$1004,A38,Satışlar!$F$5:$F$1004,"Veresiye"))</f>
        <v/>
      </c>
      <c r="F38" s="37" t="str">
        <f aca="false">IF(A38="","",SUMIFS('Cari Hareket'!$D$5:$D$504,'Cari Hareket'!$B$5:$B$504,"Tahsilat",'Cari Hareket'!$C$5:$C$504,A38))</f>
        <v/>
      </c>
      <c r="G38" s="43" t="str">
        <f aca="false">IF(A38="","",C38+E38-F38)</f>
        <v/>
      </c>
      <c r="H38" s="37" t="str">
        <f aca="false">IF(A38="","",SUMIFS(Alışlar!$G$5:$G$504,Alışlar!$B$5:$B$504,A38,Alışlar!$F$5:$F$504,"Veresiye"))</f>
        <v/>
      </c>
      <c r="I38" s="37" t="str">
        <f aca="false">IF(A38="","",SUMIFS('Cari Hareket'!$D$5:$D$504,'Cari Hareket'!$B$5:$B$504,"Ödeme",'Cari Hareket'!$C$5:$C$504,A38))</f>
        <v/>
      </c>
      <c r="J38" s="43" t="str">
        <f aca="false">IF(A38="","",D38+H38-I38)</f>
        <v/>
      </c>
      <c r="K38" s="37" t="str">
        <f aca="false">IF(A38="","",G38-J38)</f>
        <v/>
      </c>
      <c r="L38" s="41" t="str">
        <f aca="false">IF(A38="","",G38+ROW()/1000000)</f>
        <v/>
      </c>
    </row>
    <row r="39" customFormat="false" ht="15" hidden="false" customHeight="false" outlineLevel="0" collapsed="false">
      <c r="A39" s="33"/>
      <c r="B39" s="42"/>
      <c r="C39" s="35"/>
      <c r="D39" s="35"/>
      <c r="E39" s="37" t="str">
        <f aca="false">IF(A39="","",SUMIFS(Satışlar!$G$5:$G$1004,Satışlar!$B$5:$B$1004,A39,Satışlar!$F$5:$F$1004,"Veresiye"))</f>
        <v/>
      </c>
      <c r="F39" s="37" t="str">
        <f aca="false">IF(A39="","",SUMIFS('Cari Hareket'!$D$5:$D$504,'Cari Hareket'!$B$5:$B$504,"Tahsilat",'Cari Hareket'!$C$5:$C$504,A39))</f>
        <v/>
      </c>
      <c r="G39" s="43" t="str">
        <f aca="false">IF(A39="","",C39+E39-F39)</f>
        <v/>
      </c>
      <c r="H39" s="37" t="str">
        <f aca="false">IF(A39="","",SUMIFS(Alışlar!$G$5:$G$504,Alışlar!$B$5:$B$504,A39,Alışlar!$F$5:$F$504,"Veresiye"))</f>
        <v/>
      </c>
      <c r="I39" s="37" t="str">
        <f aca="false">IF(A39="","",SUMIFS('Cari Hareket'!$D$5:$D$504,'Cari Hareket'!$B$5:$B$504,"Ödeme",'Cari Hareket'!$C$5:$C$504,A39))</f>
        <v/>
      </c>
      <c r="J39" s="43" t="str">
        <f aca="false">IF(A39="","",D39+H39-I39)</f>
        <v/>
      </c>
      <c r="K39" s="37" t="str">
        <f aca="false">IF(A39="","",G39-J39)</f>
        <v/>
      </c>
      <c r="L39" s="41" t="str">
        <f aca="false">IF(A39="","",G39+ROW()/1000000)</f>
        <v/>
      </c>
    </row>
    <row r="40" customFormat="false" ht="15" hidden="false" customHeight="false" outlineLevel="0" collapsed="false">
      <c r="A40" s="33"/>
      <c r="B40" s="42"/>
      <c r="C40" s="35"/>
      <c r="D40" s="35"/>
      <c r="E40" s="37" t="str">
        <f aca="false">IF(A40="","",SUMIFS(Satışlar!$G$5:$G$1004,Satışlar!$B$5:$B$1004,A40,Satışlar!$F$5:$F$1004,"Veresiye"))</f>
        <v/>
      </c>
      <c r="F40" s="37" t="str">
        <f aca="false">IF(A40="","",SUMIFS('Cari Hareket'!$D$5:$D$504,'Cari Hareket'!$B$5:$B$504,"Tahsilat",'Cari Hareket'!$C$5:$C$504,A40))</f>
        <v/>
      </c>
      <c r="G40" s="43" t="str">
        <f aca="false">IF(A40="","",C40+E40-F40)</f>
        <v/>
      </c>
      <c r="H40" s="37" t="str">
        <f aca="false">IF(A40="","",SUMIFS(Alışlar!$G$5:$G$504,Alışlar!$B$5:$B$504,A40,Alışlar!$F$5:$F$504,"Veresiye"))</f>
        <v/>
      </c>
      <c r="I40" s="37" t="str">
        <f aca="false">IF(A40="","",SUMIFS('Cari Hareket'!$D$5:$D$504,'Cari Hareket'!$B$5:$B$504,"Ödeme",'Cari Hareket'!$C$5:$C$504,A40))</f>
        <v/>
      </c>
      <c r="J40" s="43" t="str">
        <f aca="false">IF(A40="","",D40+H40-I40)</f>
        <v/>
      </c>
      <c r="K40" s="37" t="str">
        <f aca="false">IF(A40="","",G40-J40)</f>
        <v/>
      </c>
      <c r="L40" s="41" t="str">
        <f aca="false">IF(A40="","",G40+ROW()/1000000)</f>
        <v/>
      </c>
    </row>
    <row r="41" customFormat="false" ht="15" hidden="false" customHeight="false" outlineLevel="0" collapsed="false">
      <c r="A41" s="33"/>
      <c r="B41" s="42"/>
      <c r="C41" s="35"/>
      <c r="D41" s="35"/>
      <c r="E41" s="37" t="str">
        <f aca="false">IF(A41="","",SUMIFS(Satışlar!$G$5:$G$1004,Satışlar!$B$5:$B$1004,A41,Satışlar!$F$5:$F$1004,"Veresiye"))</f>
        <v/>
      </c>
      <c r="F41" s="37" t="str">
        <f aca="false">IF(A41="","",SUMIFS('Cari Hareket'!$D$5:$D$504,'Cari Hareket'!$B$5:$B$504,"Tahsilat",'Cari Hareket'!$C$5:$C$504,A41))</f>
        <v/>
      </c>
      <c r="G41" s="43" t="str">
        <f aca="false">IF(A41="","",C41+E41-F41)</f>
        <v/>
      </c>
      <c r="H41" s="37" t="str">
        <f aca="false">IF(A41="","",SUMIFS(Alışlar!$G$5:$G$504,Alışlar!$B$5:$B$504,A41,Alışlar!$F$5:$F$504,"Veresiye"))</f>
        <v/>
      </c>
      <c r="I41" s="37" t="str">
        <f aca="false">IF(A41="","",SUMIFS('Cari Hareket'!$D$5:$D$504,'Cari Hareket'!$B$5:$B$504,"Ödeme",'Cari Hareket'!$C$5:$C$504,A41))</f>
        <v/>
      </c>
      <c r="J41" s="43" t="str">
        <f aca="false">IF(A41="","",D41+H41-I41)</f>
        <v/>
      </c>
      <c r="K41" s="37" t="str">
        <f aca="false">IF(A41="","",G41-J41)</f>
        <v/>
      </c>
      <c r="L41" s="41" t="str">
        <f aca="false">IF(A41="","",G41+ROW()/1000000)</f>
        <v/>
      </c>
    </row>
    <row r="42" customFormat="false" ht="15" hidden="false" customHeight="false" outlineLevel="0" collapsed="false">
      <c r="A42" s="33"/>
      <c r="B42" s="42"/>
      <c r="C42" s="35"/>
      <c r="D42" s="35"/>
      <c r="E42" s="37" t="str">
        <f aca="false">IF(A42="","",SUMIFS(Satışlar!$G$5:$G$1004,Satışlar!$B$5:$B$1004,A42,Satışlar!$F$5:$F$1004,"Veresiye"))</f>
        <v/>
      </c>
      <c r="F42" s="37" t="str">
        <f aca="false">IF(A42="","",SUMIFS('Cari Hareket'!$D$5:$D$504,'Cari Hareket'!$B$5:$B$504,"Tahsilat",'Cari Hareket'!$C$5:$C$504,A42))</f>
        <v/>
      </c>
      <c r="G42" s="43" t="str">
        <f aca="false">IF(A42="","",C42+E42-F42)</f>
        <v/>
      </c>
      <c r="H42" s="37" t="str">
        <f aca="false">IF(A42="","",SUMIFS(Alışlar!$G$5:$G$504,Alışlar!$B$5:$B$504,A42,Alışlar!$F$5:$F$504,"Veresiye"))</f>
        <v/>
      </c>
      <c r="I42" s="37" t="str">
        <f aca="false">IF(A42="","",SUMIFS('Cari Hareket'!$D$5:$D$504,'Cari Hareket'!$B$5:$B$504,"Ödeme",'Cari Hareket'!$C$5:$C$504,A42))</f>
        <v/>
      </c>
      <c r="J42" s="43" t="str">
        <f aca="false">IF(A42="","",D42+H42-I42)</f>
        <v/>
      </c>
      <c r="K42" s="37" t="str">
        <f aca="false">IF(A42="","",G42-J42)</f>
        <v/>
      </c>
      <c r="L42" s="41" t="str">
        <f aca="false">IF(A42="","",G42+ROW()/1000000)</f>
        <v/>
      </c>
    </row>
    <row r="43" customFormat="false" ht="15" hidden="false" customHeight="false" outlineLevel="0" collapsed="false">
      <c r="A43" s="33"/>
      <c r="B43" s="42"/>
      <c r="C43" s="35"/>
      <c r="D43" s="35"/>
      <c r="E43" s="37" t="str">
        <f aca="false">IF(A43="","",SUMIFS(Satışlar!$G$5:$G$1004,Satışlar!$B$5:$B$1004,A43,Satışlar!$F$5:$F$1004,"Veresiye"))</f>
        <v/>
      </c>
      <c r="F43" s="37" t="str">
        <f aca="false">IF(A43="","",SUMIFS('Cari Hareket'!$D$5:$D$504,'Cari Hareket'!$B$5:$B$504,"Tahsilat",'Cari Hareket'!$C$5:$C$504,A43))</f>
        <v/>
      </c>
      <c r="G43" s="43" t="str">
        <f aca="false">IF(A43="","",C43+E43-F43)</f>
        <v/>
      </c>
      <c r="H43" s="37" t="str">
        <f aca="false">IF(A43="","",SUMIFS(Alışlar!$G$5:$G$504,Alışlar!$B$5:$B$504,A43,Alışlar!$F$5:$F$504,"Veresiye"))</f>
        <v/>
      </c>
      <c r="I43" s="37" t="str">
        <f aca="false">IF(A43="","",SUMIFS('Cari Hareket'!$D$5:$D$504,'Cari Hareket'!$B$5:$B$504,"Ödeme",'Cari Hareket'!$C$5:$C$504,A43))</f>
        <v/>
      </c>
      <c r="J43" s="43" t="str">
        <f aca="false">IF(A43="","",D43+H43-I43)</f>
        <v/>
      </c>
      <c r="K43" s="37" t="str">
        <f aca="false">IF(A43="","",G43-J43)</f>
        <v/>
      </c>
      <c r="L43" s="41" t="str">
        <f aca="false">IF(A43="","",G43+ROW()/1000000)</f>
        <v/>
      </c>
    </row>
    <row r="44" customFormat="false" ht="15" hidden="false" customHeight="false" outlineLevel="0" collapsed="false">
      <c r="A44" s="33"/>
      <c r="B44" s="42"/>
      <c r="C44" s="35"/>
      <c r="D44" s="35"/>
      <c r="E44" s="37" t="str">
        <f aca="false">IF(A44="","",SUMIFS(Satışlar!$G$5:$G$1004,Satışlar!$B$5:$B$1004,A44,Satışlar!$F$5:$F$1004,"Veresiye"))</f>
        <v/>
      </c>
      <c r="F44" s="37" t="str">
        <f aca="false">IF(A44="","",SUMIFS('Cari Hareket'!$D$5:$D$504,'Cari Hareket'!$B$5:$B$504,"Tahsilat",'Cari Hareket'!$C$5:$C$504,A44))</f>
        <v/>
      </c>
      <c r="G44" s="43" t="str">
        <f aca="false">IF(A44="","",C44+E44-F44)</f>
        <v/>
      </c>
      <c r="H44" s="37" t="str">
        <f aca="false">IF(A44="","",SUMIFS(Alışlar!$G$5:$G$504,Alışlar!$B$5:$B$504,A44,Alışlar!$F$5:$F$504,"Veresiye"))</f>
        <v/>
      </c>
      <c r="I44" s="37" t="str">
        <f aca="false">IF(A44="","",SUMIFS('Cari Hareket'!$D$5:$D$504,'Cari Hareket'!$B$5:$B$504,"Ödeme",'Cari Hareket'!$C$5:$C$504,A44))</f>
        <v/>
      </c>
      <c r="J44" s="43" t="str">
        <f aca="false">IF(A44="","",D44+H44-I44)</f>
        <v/>
      </c>
      <c r="K44" s="37" t="str">
        <f aca="false">IF(A44="","",G44-J44)</f>
        <v/>
      </c>
      <c r="L44" s="41" t="str">
        <f aca="false">IF(A44="","",G44+ROW()/1000000)</f>
        <v/>
      </c>
    </row>
    <row r="45" customFormat="false" ht="15" hidden="false" customHeight="false" outlineLevel="0" collapsed="false">
      <c r="A45" s="33"/>
      <c r="B45" s="42"/>
      <c r="C45" s="35"/>
      <c r="D45" s="35"/>
      <c r="E45" s="37" t="str">
        <f aca="false">IF(A45="","",SUMIFS(Satışlar!$G$5:$G$1004,Satışlar!$B$5:$B$1004,A45,Satışlar!$F$5:$F$1004,"Veresiye"))</f>
        <v/>
      </c>
      <c r="F45" s="37" t="str">
        <f aca="false">IF(A45="","",SUMIFS('Cari Hareket'!$D$5:$D$504,'Cari Hareket'!$B$5:$B$504,"Tahsilat",'Cari Hareket'!$C$5:$C$504,A45))</f>
        <v/>
      </c>
      <c r="G45" s="43" t="str">
        <f aca="false">IF(A45="","",C45+E45-F45)</f>
        <v/>
      </c>
      <c r="H45" s="37" t="str">
        <f aca="false">IF(A45="","",SUMIFS(Alışlar!$G$5:$G$504,Alışlar!$B$5:$B$504,A45,Alışlar!$F$5:$F$504,"Veresiye"))</f>
        <v/>
      </c>
      <c r="I45" s="37" t="str">
        <f aca="false">IF(A45="","",SUMIFS('Cari Hareket'!$D$5:$D$504,'Cari Hareket'!$B$5:$B$504,"Ödeme",'Cari Hareket'!$C$5:$C$504,A45))</f>
        <v/>
      </c>
      <c r="J45" s="43" t="str">
        <f aca="false">IF(A45="","",D45+H45-I45)</f>
        <v/>
      </c>
      <c r="K45" s="37" t="str">
        <f aca="false">IF(A45="","",G45-J45)</f>
        <v/>
      </c>
      <c r="L45" s="41" t="str">
        <f aca="false">IF(A45="","",G45+ROW()/1000000)</f>
        <v/>
      </c>
    </row>
    <row r="46" customFormat="false" ht="15" hidden="false" customHeight="false" outlineLevel="0" collapsed="false">
      <c r="A46" s="33"/>
      <c r="B46" s="42"/>
      <c r="C46" s="35"/>
      <c r="D46" s="35"/>
      <c r="E46" s="37" t="str">
        <f aca="false">IF(A46="","",SUMIFS(Satışlar!$G$5:$G$1004,Satışlar!$B$5:$B$1004,A46,Satışlar!$F$5:$F$1004,"Veresiye"))</f>
        <v/>
      </c>
      <c r="F46" s="37" t="str">
        <f aca="false">IF(A46="","",SUMIFS('Cari Hareket'!$D$5:$D$504,'Cari Hareket'!$B$5:$B$504,"Tahsilat",'Cari Hareket'!$C$5:$C$504,A46))</f>
        <v/>
      </c>
      <c r="G46" s="43" t="str">
        <f aca="false">IF(A46="","",C46+E46-F46)</f>
        <v/>
      </c>
      <c r="H46" s="37" t="str">
        <f aca="false">IF(A46="","",SUMIFS(Alışlar!$G$5:$G$504,Alışlar!$B$5:$B$504,A46,Alışlar!$F$5:$F$504,"Veresiye"))</f>
        <v/>
      </c>
      <c r="I46" s="37" t="str">
        <f aca="false">IF(A46="","",SUMIFS('Cari Hareket'!$D$5:$D$504,'Cari Hareket'!$B$5:$B$504,"Ödeme",'Cari Hareket'!$C$5:$C$504,A46))</f>
        <v/>
      </c>
      <c r="J46" s="43" t="str">
        <f aca="false">IF(A46="","",D46+H46-I46)</f>
        <v/>
      </c>
      <c r="K46" s="37" t="str">
        <f aca="false">IF(A46="","",G46-J46)</f>
        <v/>
      </c>
      <c r="L46" s="41" t="str">
        <f aca="false">IF(A46="","",G46+ROW()/1000000)</f>
        <v/>
      </c>
    </row>
    <row r="47" customFormat="false" ht="15" hidden="false" customHeight="false" outlineLevel="0" collapsed="false">
      <c r="A47" s="33"/>
      <c r="B47" s="42"/>
      <c r="C47" s="35"/>
      <c r="D47" s="35"/>
      <c r="E47" s="37" t="str">
        <f aca="false">IF(A47="","",SUMIFS(Satışlar!$G$5:$G$1004,Satışlar!$B$5:$B$1004,A47,Satışlar!$F$5:$F$1004,"Veresiye"))</f>
        <v/>
      </c>
      <c r="F47" s="37" t="str">
        <f aca="false">IF(A47="","",SUMIFS('Cari Hareket'!$D$5:$D$504,'Cari Hareket'!$B$5:$B$504,"Tahsilat",'Cari Hareket'!$C$5:$C$504,A47))</f>
        <v/>
      </c>
      <c r="G47" s="43" t="str">
        <f aca="false">IF(A47="","",C47+E47-F47)</f>
        <v/>
      </c>
      <c r="H47" s="37" t="str">
        <f aca="false">IF(A47="","",SUMIFS(Alışlar!$G$5:$G$504,Alışlar!$B$5:$B$504,A47,Alışlar!$F$5:$F$504,"Veresiye"))</f>
        <v/>
      </c>
      <c r="I47" s="37" t="str">
        <f aca="false">IF(A47="","",SUMIFS('Cari Hareket'!$D$5:$D$504,'Cari Hareket'!$B$5:$B$504,"Ödeme",'Cari Hareket'!$C$5:$C$504,A47))</f>
        <v/>
      </c>
      <c r="J47" s="43" t="str">
        <f aca="false">IF(A47="","",D47+H47-I47)</f>
        <v/>
      </c>
      <c r="K47" s="37" t="str">
        <f aca="false">IF(A47="","",G47-J47)</f>
        <v/>
      </c>
      <c r="L47" s="41" t="str">
        <f aca="false">IF(A47="","",G47+ROW()/1000000)</f>
        <v/>
      </c>
    </row>
    <row r="48" customFormat="false" ht="15" hidden="false" customHeight="false" outlineLevel="0" collapsed="false">
      <c r="A48" s="33"/>
      <c r="B48" s="42"/>
      <c r="C48" s="35"/>
      <c r="D48" s="35"/>
      <c r="E48" s="37" t="str">
        <f aca="false">IF(A48="","",SUMIFS(Satışlar!$G$5:$G$1004,Satışlar!$B$5:$B$1004,A48,Satışlar!$F$5:$F$1004,"Veresiye"))</f>
        <v/>
      </c>
      <c r="F48" s="37" t="str">
        <f aca="false">IF(A48="","",SUMIFS('Cari Hareket'!$D$5:$D$504,'Cari Hareket'!$B$5:$B$504,"Tahsilat",'Cari Hareket'!$C$5:$C$504,A48))</f>
        <v/>
      </c>
      <c r="G48" s="43" t="str">
        <f aca="false">IF(A48="","",C48+E48-F48)</f>
        <v/>
      </c>
      <c r="H48" s="37" t="str">
        <f aca="false">IF(A48="","",SUMIFS(Alışlar!$G$5:$G$504,Alışlar!$B$5:$B$504,A48,Alışlar!$F$5:$F$504,"Veresiye"))</f>
        <v/>
      </c>
      <c r="I48" s="37" t="str">
        <f aca="false">IF(A48="","",SUMIFS('Cari Hareket'!$D$5:$D$504,'Cari Hareket'!$B$5:$B$504,"Ödeme",'Cari Hareket'!$C$5:$C$504,A48))</f>
        <v/>
      </c>
      <c r="J48" s="43" t="str">
        <f aca="false">IF(A48="","",D48+H48-I48)</f>
        <v/>
      </c>
      <c r="K48" s="37" t="str">
        <f aca="false">IF(A48="","",G48-J48)</f>
        <v/>
      </c>
      <c r="L48" s="41" t="str">
        <f aca="false">IF(A48="","",G48+ROW()/1000000)</f>
        <v/>
      </c>
    </row>
    <row r="49" customFormat="false" ht="15" hidden="false" customHeight="false" outlineLevel="0" collapsed="false">
      <c r="A49" s="33"/>
      <c r="B49" s="42"/>
      <c r="C49" s="35"/>
      <c r="D49" s="35"/>
      <c r="E49" s="37" t="str">
        <f aca="false">IF(A49="","",SUMIFS(Satışlar!$G$5:$G$1004,Satışlar!$B$5:$B$1004,A49,Satışlar!$F$5:$F$1004,"Veresiye"))</f>
        <v/>
      </c>
      <c r="F49" s="37" t="str">
        <f aca="false">IF(A49="","",SUMIFS('Cari Hareket'!$D$5:$D$504,'Cari Hareket'!$B$5:$B$504,"Tahsilat",'Cari Hareket'!$C$5:$C$504,A49))</f>
        <v/>
      </c>
      <c r="G49" s="43" t="str">
        <f aca="false">IF(A49="","",C49+E49-F49)</f>
        <v/>
      </c>
      <c r="H49" s="37" t="str">
        <f aca="false">IF(A49="","",SUMIFS(Alışlar!$G$5:$G$504,Alışlar!$B$5:$B$504,A49,Alışlar!$F$5:$F$504,"Veresiye"))</f>
        <v/>
      </c>
      <c r="I49" s="37" t="str">
        <f aca="false">IF(A49="","",SUMIFS('Cari Hareket'!$D$5:$D$504,'Cari Hareket'!$B$5:$B$504,"Ödeme",'Cari Hareket'!$C$5:$C$504,A49))</f>
        <v/>
      </c>
      <c r="J49" s="43" t="str">
        <f aca="false">IF(A49="","",D49+H49-I49)</f>
        <v/>
      </c>
      <c r="K49" s="37" t="str">
        <f aca="false">IF(A49="","",G49-J49)</f>
        <v/>
      </c>
      <c r="L49" s="41" t="str">
        <f aca="false">IF(A49="","",G49+ROW()/1000000)</f>
        <v/>
      </c>
    </row>
    <row r="50" customFormat="false" ht="15" hidden="false" customHeight="false" outlineLevel="0" collapsed="false">
      <c r="A50" s="33"/>
      <c r="B50" s="42"/>
      <c r="C50" s="35"/>
      <c r="D50" s="35"/>
      <c r="E50" s="37" t="str">
        <f aca="false">IF(A50="","",SUMIFS(Satışlar!$G$5:$G$1004,Satışlar!$B$5:$B$1004,A50,Satışlar!$F$5:$F$1004,"Veresiye"))</f>
        <v/>
      </c>
      <c r="F50" s="37" t="str">
        <f aca="false">IF(A50="","",SUMIFS('Cari Hareket'!$D$5:$D$504,'Cari Hareket'!$B$5:$B$504,"Tahsilat",'Cari Hareket'!$C$5:$C$504,A50))</f>
        <v/>
      </c>
      <c r="G50" s="43" t="str">
        <f aca="false">IF(A50="","",C50+E50-F50)</f>
        <v/>
      </c>
      <c r="H50" s="37" t="str">
        <f aca="false">IF(A50="","",SUMIFS(Alışlar!$G$5:$G$504,Alışlar!$B$5:$B$504,A50,Alışlar!$F$5:$F$504,"Veresiye"))</f>
        <v/>
      </c>
      <c r="I50" s="37" t="str">
        <f aca="false">IF(A50="","",SUMIFS('Cari Hareket'!$D$5:$D$504,'Cari Hareket'!$B$5:$B$504,"Ödeme",'Cari Hareket'!$C$5:$C$504,A50))</f>
        <v/>
      </c>
      <c r="J50" s="43" t="str">
        <f aca="false">IF(A50="","",D50+H50-I50)</f>
        <v/>
      </c>
      <c r="K50" s="37" t="str">
        <f aca="false">IF(A50="","",G50-J50)</f>
        <v/>
      </c>
      <c r="L50" s="41" t="str">
        <f aca="false">IF(A50="","",G50+ROW()/1000000)</f>
        <v/>
      </c>
    </row>
    <row r="51" customFormat="false" ht="15" hidden="false" customHeight="false" outlineLevel="0" collapsed="false">
      <c r="A51" s="33"/>
      <c r="B51" s="42"/>
      <c r="C51" s="35"/>
      <c r="D51" s="35"/>
      <c r="E51" s="37" t="str">
        <f aca="false">IF(A51="","",SUMIFS(Satışlar!$G$5:$G$1004,Satışlar!$B$5:$B$1004,A51,Satışlar!$F$5:$F$1004,"Veresiye"))</f>
        <v/>
      </c>
      <c r="F51" s="37" t="str">
        <f aca="false">IF(A51="","",SUMIFS('Cari Hareket'!$D$5:$D$504,'Cari Hareket'!$B$5:$B$504,"Tahsilat",'Cari Hareket'!$C$5:$C$504,A51))</f>
        <v/>
      </c>
      <c r="G51" s="43" t="str">
        <f aca="false">IF(A51="","",C51+E51-F51)</f>
        <v/>
      </c>
      <c r="H51" s="37" t="str">
        <f aca="false">IF(A51="","",SUMIFS(Alışlar!$G$5:$G$504,Alışlar!$B$5:$B$504,A51,Alışlar!$F$5:$F$504,"Veresiye"))</f>
        <v/>
      </c>
      <c r="I51" s="37" t="str">
        <f aca="false">IF(A51="","",SUMIFS('Cari Hareket'!$D$5:$D$504,'Cari Hareket'!$B$5:$B$504,"Ödeme",'Cari Hareket'!$C$5:$C$504,A51))</f>
        <v/>
      </c>
      <c r="J51" s="43" t="str">
        <f aca="false">IF(A51="","",D51+H51-I51)</f>
        <v/>
      </c>
      <c r="K51" s="37" t="str">
        <f aca="false">IF(A51="","",G51-J51)</f>
        <v/>
      </c>
      <c r="L51" s="41" t="str">
        <f aca="false">IF(A51="","",G51+ROW()/1000000)</f>
        <v/>
      </c>
    </row>
    <row r="52" customFormat="false" ht="15" hidden="false" customHeight="false" outlineLevel="0" collapsed="false">
      <c r="A52" s="33"/>
      <c r="B52" s="42"/>
      <c r="C52" s="35"/>
      <c r="D52" s="35"/>
      <c r="E52" s="37" t="str">
        <f aca="false">IF(A52="","",SUMIFS(Satışlar!$G$5:$G$1004,Satışlar!$B$5:$B$1004,A52,Satışlar!$F$5:$F$1004,"Veresiye"))</f>
        <v/>
      </c>
      <c r="F52" s="37" t="str">
        <f aca="false">IF(A52="","",SUMIFS('Cari Hareket'!$D$5:$D$504,'Cari Hareket'!$B$5:$B$504,"Tahsilat",'Cari Hareket'!$C$5:$C$504,A52))</f>
        <v/>
      </c>
      <c r="G52" s="43" t="str">
        <f aca="false">IF(A52="","",C52+E52-F52)</f>
        <v/>
      </c>
      <c r="H52" s="37" t="str">
        <f aca="false">IF(A52="","",SUMIFS(Alışlar!$G$5:$G$504,Alışlar!$B$5:$B$504,A52,Alışlar!$F$5:$F$504,"Veresiye"))</f>
        <v/>
      </c>
      <c r="I52" s="37" t="str">
        <f aca="false">IF(A52="","",SUMIFS('Cari Hareket'!$D$5:$D$504,'Cari Hareket'!$B$5:$B$504,"Ödeme",'Cari Hareket'!$C$5:$C$504,A52))</f>
        <v/>
      </c>
      <c r="J52" s="43" t="str">
        <f aca="false">IF(A52="","",D52+H52-I52)</f>
        <v/>
      </c>
      <c r="K52" s="37" t="str">
        <f aca="false">IF(A52="","",G52-J52)</f>
        <v/>
      </c>
      <c r="L52" s="41" t="str">
        <f aca="false">IF(A52="","",G52+ROW()/1000000)</f>
        <v/>
      </c>
    </row>
    <row r="53" customFormat="false" ht="15" hidden="false" customHeight="false" outlineLevel="0" collapsed="false">
      <c r="A53" s="33"/>
      <c r="B53" s="42"/>
      <c r="C53" s="35"/>
      <c r="D53" s="35"/>
      <c r="E53" s="37" t="str">
        <f aca="false">IF(A53="","",SUMIFS(Satışlar!$G$5:$G$1004,Satışlar!$B$5:$B$1004,A53,Satışlar!$F$5:$F$1004,"Veresiye"))</f>
        <v/>
      </c>
      <c r="F53" s="37" t="str">
        <f aca="false">IF(A53="","",SUMIFS('Cari Hareket'!$D$5:$D$504,'Cari Hareket'!$B$5:$B$504,"Tahsilat",'Cari Hareket'!$C$5:$C$504,A53))</f>
        <v/>
      </c>
      <c r="G53" s="43" t="str">
        <f aca="false">IF(A53="","",C53+E53-F53)</f>
        <v/>
      </c>
      <c r="H53" s="37" t="str">
        <f aca="false">IF(A53="","",SUMIFS(Alışlar!$G$5:$G$504,Alışlar!$B$5:$B$504,A53,Alışlar!$F$5:$F$504,"Veresiye"))</f>
        <v/>
      </c>
      <c r="I53" s="37" t="str">
        <f aca="false">IF(A53="","",SUMIFS('Cari Hareket'!$D$5:$D$504,'Cari Hareket'!$B$5:$B$504,"Ödeme",'Cari Hareket'!$C$5:$C$504,A53))</f>
        <v/>
      </c>
      <c r="J53" s="43" t="str">
        <f aca="false">IF(A53="","",D53+H53-I53)</f>
        <v/>
      </c>
      <c r="K53" s="37" t="str">
        <f aca="false">IF(A53="","",G53-J53)</f>
        <v/>
      </c>
      <c r="L53" s="41" t="str">
        <f aca="false">IF(A53="","",G53+ROW()/1000000)</f>
        <v/>
      </c>
    </row>
    <row r="54" customFormat="false" ht="15" hidden="false" customHeight="false" outlineLevel="0" collapsed="false">
      <c r="A54" s="33"/>
      <c r="B54" s="42"/>
      <c r="C54" s="35"/>
      <c r="D54" s="35"/>
      <c r="E54" s="37" t="str">
        <f aca="false">IF(A54="","",SUMIFS(Satışlar!$G$5:$G$1004,Satışlar!$B$5:$B$1004,A54,Satışlar!$F$5:$F$1004,"Veresiye"))</f>
        <v/>
      </c>
      <c r="F54" s="37" t="str">
        <f aca="false">IF(A54="","",SUMIFS('Cari Hareket'!$D$5:$D$504,'Cari Hareket'!$B$5:$B$504,"Tahsilat",'Cari Hareket'!$C$5:$C$504,A54))</f>
        <v/>
      </c>
      <c r="G54" s="43" t="str">
        <f aca="false">IF(A54="","",C54+E54-F54)</f>
        <v/>
      </c>
      <c r="H54" s="37" t="str">
        <f aca="false">IF(A54="","",SUMIFS(Alışlar!$G$5:$G$504,Alışlar!$B$5:$B$504,A54,Alışlar!$F$5:$F$504,"Veresiye"))</f>
        <v/>
      </c>
      <c r="I54" s="37" t="str">
        <f aca="false">IF(A54="","",SUMIFS('Cari Hareket'!$D$5:$D$504,'Cari Hareket'!$B$5:$B$504,"Ödeme",'Cari Hareket'!$C$5:$C$504,A54))</f>
        <v/>
      </c>
      <c r="J54" s="43" t="str">
        <f aca="false">IF(A54="","",D54+H54-I54)</f>
        <v/>
      </c>
      <c r="K54" s="37" t="str">
        <f aca="false">IF(A54="","",G54-J54)</f>
        <v/>
      </c>
      <c r="L54" s="41" t="str">
        <f aca="false">IF(A54="","",G54+ROW()/1000000)</f>
        <v/>
      </c>
    </row>
    <row r="55" customFormat="false" ht="15" hidden="false" customHeight="false" outlineLevel="0" collapsed="false">
      <c r="A55" s="33"/>
      <c r="B55" s="42"/>
      <c r="C55" s="35"/>
      <c r="D55" s="35"/>
      <c r="E55" s="37" t="str">
        <f aca="false">IF(A55="","",SUMIFS(Satışlar!$G$5:$G$1004,Satışlar!$B$5:$B$1004,A55,Satışlar!$F$5:$F$1004,"Veresiye"))</f>
        <v/>
      </c>
      <c r="F55" s="37" t="str">
        <f aca="false">IF(A55="","",SUMIFS('Cari Hareket'!$D$5:$D$504,'Cari Hareket'!$B$5:$B$504,"Tahsilat",'Cari Hareket'!$C$5:$C$504,A55))</f>
        <v/>
      </c>
      <c r="G55" s="43" t="str">
        <f aca="false">IF(A55="","",C55+E55-F55)</f>
        <v/>
      </c>
      <c r="H55" s="37" t="str">
        <f aca="false">IF(A55="","",SUMIFS(Alışlar!$G$5:$G$504,Alışlar!$B$5:$B$504,A55,Alışlar!$F$5:$F$504,"Veresiye"))</f>
        <v/>
      </c>
      <c r="I55" s="37" t="str">
        <f aca="false">IF(A55="","",SUMIFS('Cari Hareket'!$D$5:$D$504,'Cari Hareket'!$B$5:$B$504,"Ödeme",'Cari Hareket'!$C$5:$C$504,A55))</f>
        <v/>
      </c>
      <c r="J55" s="43" t="str">
        <f aca="false">IF(A55="","",D55+H55-I55)</f>
        <v/>
      </c>
      <c r="K55" s="37" t="str">
        <f aca="false">IF(A55="","",G55-J55)</f>
        <v/>
      </c>
      <c r="L55" s="41" t="str">
        <f aca="false">IF(A55="","",G55+ROW()/1000000)</f>
        <v/>
      </c>
    </row>
    <row r="56" customFormat="false" ht="15" hidden="false" customHeight="false" outlineLevel="0" collapsed="false">
      <c r="A56" s="33"/>
      <c r="B56" s="42"/>
      <c r="C56" s="35"/>
      <c r="D56" s="35"/>
      <c r="E56" s="37" t="str">
        <f aca="false">IF(A56="","",SUMIFS(Satışlar!$G$5:$G$1004,Satışlar!$B$5:$B$1004,A56,Satışlar!$F$5:$F$1004,"Veresiye"))</f>
        <v/>
      </c>
      <c r="F56" s="37" t="str">
        <f aca="false">IF(A56="","",SUMIFS('Cari Hareket'!$D$5:$D$504,'Cari Hareket'!$B$5:$B$504,"Tahsilat",'Cari Hareket'!$C$5:$C$504,A56))</f>
        <v/>
      </c>
      <c r="G56" s="43" t="str">
        <f aca="false">IF(A56="","",C56+E56-F56)</f>
        <v/>
      </c>
      <c r="H56" s="37" t="str">
        <f aca="false">IF(A56="","",SUMIFS(Alışlar!$G$5:$G$504,Alışlar!$B$5:$B$504,A56,Alışlar!$F$5:$F$504,"Veresiye"))</f>
        <v/>
      </c>
      <c r="I56" s="37" t="str">
        <f aca="false">IF(A56="","",SUMIFS('Cari Hareket'!$D$5:$D$504,'Cari Hareket'!$B$5:$B$504,"Ödeme",'Cari Hareket'!$C$5:$C$504,A56))</f>
        <v/>
      </c>
      <c r="J56" s="43" t="str">
        <f aca="false">IF(A56="","",D56+H56-I56)</f>
        <v/>
      </c>
      <c r="K56" s="37" t="str">
        <f aca="false">IF(A56="","",G56-J56)</f>
        <v/>
      </c>
      <c r="L56" s="41" t="str">
        <f aca="false">IF(A56="","",G56+ROW()/1000000)</f>
        <v/>
      </c>
    </row>
    <row r="57" customFormat="false" ht="15" hidden="false" customHeight="false" outlineLevel="0" collapsed="false">
      <c r="A57" s="33"/>
      <c r="B57" s="42"/>
      <c r="C57" s="35"/>
      <c r="D57" s="35"/>
      <c r="E57" s="37" t="str">
        <f aca="false">IF(A57="","",SUMIFS(Satışlar!$G$5:$G$1004,Satışlar!$B$5:$B$1004,A57,Satışlar!$F$5:$F$1004,"Veresiye"))</f>
        <v/>
      </c>
      <c r="F57" s="37" t="str">
        <f aca="false">IF(A57="","",SUMIFS('Cari Hareket'!$D$5:$D$504,'Cari Hareket'!$B$5:$B$504,"Tahsilat",'Cari Hareket'!$C$5:$C$504,A57))</f>
        <v/>
      </c>
      <c r="G57" s="43" t="str">
        <f aca="false">IF(A57="","",C57+E57-F57)</f>
        <v/>
      </c>
      <c r="H57" s="37" t="str">
        <f aca="false">IF(A57="","",SUMIFS(Alışlar!$G$5:$G$504,Alışlar!$B$5:$B$504,A57,Alışlar!$F$5:$F$504,"Veresiye"))</f>
        <v/>
      </c>
      <c r="I57" s="37" t="str">
        <f aca="false">IF(A57="","",SUMIFS('Cari Hareket'!$D$5:$D$504,'Cari Hareket'!$B$5:$B$504,"Ödeme",'Cari Hareket'!$C$5:$C$504,A57))</f>
        <v/>
      </c>
      <c r="J57" s="43" t="str">
        <f aca="false">IF(A57="","",D57+H57-I57)</f>
        <v/>
      </c>
      <c r="K57" s="37" t="str">
        <f aca="false">IF(A57="","",G57-J57)</f>
        <v/>
      </c>
      <c r="L57" s="41" t="str">
        <f aca="false">IF(A57="","",G57+ROW()/1000000)</f>
        <v/>
      </c>
    </row>
    <row r="58" customFormat="false" ht="15" hidden="false" customHeight="false" outlineLevel="0" collapsed="false">
      <c r="A58" s="33"/>
      <c r="B58" s="42"/>
      <c r="C58" s="35"/>
      <c r="D58" s="35"/>
      <c r="E58" s="37" t="str">
        <f aca="false">IF(A58="","",SUMIFS(Satışlar!$G$5:$G$1004,Satışlar!$B$5:$B$1004,A58,Satışlar!$F$5:$F$1004,"Veresiye"))</f>
        <v/>
      </c>
      <c r="F58" s="37" t="str">
        <f aca="false">IF(A58="","",SUMIFS('Cari Hareket'!$D$5:$D$504,'Cari Hareket'!$B$5:$B$504,"Tahsilat",'Cari Hareket'!$C$5:$C$504,A58))</f>
        <v/>
      </c>
      <c r="G58" s="43" t="str">
        <f aca="false">IF(A58="","",C58+E58-F58)</f>
        <v/>
      </c>
      <c r="H58" s="37" t="str">
        <f aca="false">IF(A58="","",SUMIFS(Alışlar!$G$5:$G$504,Alışlar!$B$5:$B$504,A58,Alışlar!$F$5:$F$504,"Veresiye"))</f>
        <v/>
      </c>
      <c r="I58" s="37" t="str">
        <f aca="false">IF(A58="","",SUMIFS('Cari Hareket'!$D$5:$D$504,'Cari Hareket'!$B$5:$B$504,"Ödeme",'Cari Hareket'!$C$5:$C$504,A58))</f>
        <v/>
      </c>
      <c r="J58" s="43" t="str">
        <f aca="false">IF(A58="","",D58+H58-I58)</f>
        <v/>
      </c>
      <c r="K58" s="37" t="str">
        <f aca="false">IF(A58="","",G58-J58)</f>
        <v/>
      </c>
      <c r="L58" s="41" t="str">
        <f aca="false">IF(A58="","",G58+ROW()/1000000)</f>
        <v/>
      </c>
    </row>
    <row r="59" customFormat="false" ht="15" hidden="false" customHeight="false" outlineLevel="0" collapsed="false">
      <c r="A59" s="33"/>
      <c r="B59" s="42"/>
      <c r="C59" s="35"/>
      <c r="D59" s="35"/>
      <c r="E59" s="37" t="str">
        <f aca="false">IF(A59="","",SUMIFS(Satışlar!$G$5:$G$1004,Satışlar!$B$5:$B$1004,A59,Satışlar!$F$5:$F$1004,"Veresiye"))</f>
        <v/>
      </c>
      <c r="F59" s="37" t="str">
        <f aca="false">IF(A59="","",SUMIFS('Cari Hareket'!$D$5:$D$504,'Cari Hareket'!$B$5:$B$504,"Tahsilat",'Cari Hareket'!$C$5:$C$504,A59))</f>
        <v/>
      </c>
      <c r="G59" s="43" t="str">
        <f aca="false">IF(A59="","",C59+E59-F59)</f>
        <v/>
      </c>
      <c r="H59" s="37" t="str">
        <f aca="false">IF(A59="","",SUMIFS(Alışlar!$G$5:$G$504,Alışlar!$B$5:$B$504,A59,Alışlar!$F$5:$F$504,"Veresiye"))</f>
        <v/>
      </c>
      <c r="I59" s="37" t="str">
        <f aca="false">IF(A59="","",SUMIFS('Cari Hareket'!$D$5:$D$504,'Cari Hareket'!$B$5:$B$504,"Ödeme",'Cari Hareket'!$C$5:$C$504,A59))</f>
        <v/>
      </c>
      <c r="J59" s="43" t="str">
        <f aca="false">IF(A59="","",D59+H59-I59)</f>
        <v/>
      </c>
      <c r="K59" s="37" t="str">
        <f aca="false">IF(A59="","",G59-J59)</f>
        <v/>
      </c>
      <c r="L59" s="41" t="str">
        <f aca="false">IF(A59="","",G59+ROW()/1000000)</f>
        <v/>
      </c>
    </row>
    <row r="60" customFormat="false" ht="15" hidden="false" customHeight="false" outlineLevel="0" collapsed="false">
      <c r="A60" s="33"/>
      <c r="B60" s="42"/>
      <c r="C60" s="35"/>
      <c r="D60" s="35"/>
      <c r="E60" s="37" t="str">
        <f aca="false">IF(A60="","",SUMIFS(Satışlar!$G$5:$G$1004,Satışlar!$B$5:$B$1004,A60,Satışlar!$F$5:$F$1004,"Veresiye"))</f>
        <v/>
      </c>
      <c r="F60" s="37" t="str">
        <f aca="false">IF(A60="","",SUMIFS('Cari Hareket'!$D$5:$D$504,'Cari Hareket'!$B$5:$B$504,"Tahsilat",'Cari Hareket'!$C$5:$C$504,A60))</f>
        <v/>
      </c>
      <c r="G60" s="43" t="str">
        <f aca="false">IF(A60="","",C60+E60-F60)</f>
        <v/>
      </c>
      <c r="H60" s="37" t="str">
        <f aca="false">IF(A60="","",SUMIFS(Alışlar!$G$5:$G$504,Alışlar!$B$5:$B$504,A60,Alışlar!$F$5:$F$504,"Veresiye"))</f>
        <v/>
      </c>
      <c r="I60" s="37" t="str">
        <f aca="false">IF(A60="","",SUMIFS('Cari Hareket'!$D$5:$D$504,'Cari Hareket'!$B$5:$B$504,"Ödeme",'Cari Hareket'!$C$5:$C$504,A60))</f>
        <v/>
      </c>
      <c r="J60" s="43" t="str">
        <f aca="false">IF(A60="","",D60+H60-I60)</f>
        <v/>
      </c>
      <c r="K60" s="37" t="str">
        <f aca="false">IF(A60="","",G60-J60)</f>
        <v/>
      </c>
      <c r="L60" s="41" t="str">
        <f aca="false">IF(A60="","",G60+ROW()/1000000)</f>
        <v/>
      </c>
    </row>
    <row r="61" customFormat="false" ht="15" hidden="false" customHeight="false" outlineLevel="0" collapsed="false">
      <c r="A61" s="33"/>
      <c r="B61" s="42"/>
      <c r="C61" s="35"/>
      <c r="D61" s="35"/>
      <c r="E61" s="37" t="str">
        <f aca="false">IF(A61="","",SUMIFS(Satışlar!$G$5:$G$1004,Satışlar!$B$5:$B$1004,A61,Satışlar!$F$5:$F$1004,"Veresiye"))</f>
        <v/>
      </c>
      <c r="F61" s="37" t="str">
        <f aca="false">IF(A61="","",SUMIFS('Cari Hareket'!$D$5:$D$504,'Cari Hareket'!$B$5:$B$504,"Tahsilat",'Cari Hareket'!$C$5:$C$504,A61))</f>
        <v/>
      </c>
      <c r="G61" s="43" t="str">
        <f aca="false">IF(A61="","",C61+E61-F61)</f>
        <v/>
      </c>
      <c r="H61" s="37" t="str">
        <f aca="false">IF(A61="","",SUMIFS(Alışlar!$G$5:$G$504,Alışlar!$B$5:$B$504,A61,Alışlar!$F$5:$F$504,"Veresiye"))</f>
        <v/>
      </c>
      <c r="I61" s="37" t="str">
        <f aca="false">IF(A61="","",SUMIFS('Cari Hareket'!$D$5:$D$504,'Cari Hareket'!$B$5:$B$504,"Ödeme",'Cari Hareket'!$C$5:$C$504,A61))</f>
        <v/>
      </c>
      <c r="J61" s="43" t="str">
        <f aca="false">IF(A61="","",D61+H61-I61)</f>
        <v/>
      </c>
      <c r="K61" s="37" t="str">
        <f aca="false">IF(A61="","",G61-J61)</f>
        <v/>
      </c>
      <c r="L61" s="41" t="str">
        <f aca="false">IF(A61="","",G61+ROW()/1000000)</f>
        <v/>
      </c>
    </row>
    <row r="62" customFormat="false" ht="15" hidden="false" customHeight="false" outlineLevel="0" collapsed="false">
      <c r="A62" s="33"/>
      <c r="B62" s="42"/>
      <c r="C62" s="35"/>
      <c r="D62" s="35"/>
      <c r="E62" s="37" t="str">
        <f aca="false">IF(A62="","",SUMIFS(Satışlar!$G$5:$G$1004,Satışlar!$B$5:$B$1004,A62,Satışlar!$F$5:$F$1004,"Veresiye"))</f>
        <v/>
      </c>
      <c r="F62" s="37" t="str">
        <f aca="false">IF(A62="","",SUMIFS('Cari Hareket'!$D$5:$D$504,'Cari Hareket'!$B$5:$B$504,"Tahsilat",'Cari Hareket'!$C$5:$C$504,A62))</f>
        <v/>
      </c>
      <c r="G62" s="43" t="str">
        <f aca="false">IF(A62="","",C62+E62-F62)</f>
        <v/>
      </c>
      <c r="H62" s="37" t="str">
        <f aca="false">IF(A62="","",SUMIFS(Alışlar!$G$5:$G$504,Alışlar!$B$5:$B$504,A62,Alışlar!$F$5:$F$504,"Veresiye"))</f>
        <v/>
      </c>
      <c r="I62" s="37" t="str">
        <f aca="false">IF(A62="","",SUMIFS('Cari Hareket'!$D$5:$D$504,'Cari Hareket'!$B$5:$B$504,"Ödeme",'Cari Hareket'!$C$5:$C$504,A62))</f>
        <v/>
      </c>
      <c r="J62" s="43" t="str">
        <f aca="false">IF(A62="","",D62+H62-I62)</f>
        <v/>
      </c>
      <c r="K62" s="37" t="str">
        <f aca="false">IF(A62="","",G62-J62)</f>
        <v/>
      </c>
      <c r="L62" s="41" t="str">
        <f aca="false">IF(A62="","",G62+ROW()/1000000)</f>
        <v/>
      </c>
    </row>
    <row r="63" customFormat="false" ht="15" hidden="false" customHeight="false" outlineLevel="0" collapsed="false">
      <c r="A63" s="33"/>
      <c r="B63" s="42"/>
      <c r="C63" s="35"/>
      <c r="D63" s="35"/>
      <c r="E63" s="37" t="str">
        <f aca="false">IF(A63="","",SUMIFS(Satışlar!$G$5:$G$1004,Satışlar!$B$5:$B$1004,A63,Satışlar!$F$5:$F$1004,"Veresiye"))</f>
        <v/>
      </c>
      <c r="F63" s="37" t="str">
        <f aca="false">IF(A63="","",SUMIFS('Cari Hareket'!$D$5:$D$504,'Cari Hareket'!$B$5:$B$504,"Tahsilat",'Cari Hareket'!$C$5:$C$504,A63))</f>
        <v/>
      </c>
      <c r="G63" s="43" t="str">
        <f aca="false">IF(A63="","",C63+E63-F63)</f>
        <v/>
      </c>
      <c r="H63" s="37" t="str">
        <f aca="false">IF(A63="","",SUMIFS(Alışlar!$G$5:$G$504,Alışlar!$B$5:$B$504,A63,Alışlar!$F$5:$F$504,"Veresiye"))</f>
        <v/>
      </c>
      <c r="I63" s="37" t="str">
        <f aca="false">IF(A63="","",SUMIFS('Cari Hareket'!$D$5:$D$504,'Cari Hareket'!$B$5:$B$504,"Ödeme",'Cari Hareket'!$C$5:$C$504,A63))</f>
        <v/>
      </c>
      <c r="J63" s="43" t="str">
        <f aca="false">IF(A63="","",D63+H63-I63)</f>
        <v/>
      </c>
      <c r="K63" s="37" t="str">
        <f aca="false">IF(A63="","",G63-J63)</f>
        <v/>
      </c>
      <c r="L63" s="41" t="str">
        <f aca="false">IF(A63="","",G63+ROW()/1000000)</f>
        <v/>
      </c>
    </row>
    <row r="64" customFormat="false" ht="15" hidden="false" customHeight="false" outlineLevel="0" collapsed="false">
      <c r="A64" s="33"/>
      <c r="B64" s="42"/>
      <c r="C64" s="35"/>
      <c r="D64" s="35"/>
      <c r="E64" s="37" t="str">
        <f aca="false">IF(A64="","",SUMIFS(Satışlar!$G$5:$G$1004,Satışlar!$B$5:$B$1004,A64,Satışlar!$F$5:$F$1004,"Veresiye"))</f>
        <v/>
      </c>
      <c r="F64" s="37" t="str">
        <f aca="false">IF(A64="","",SUMIFS('Cari Hareket'!$D$5:$D$504,'Cari Hareket'!$B$5:$B$504,"Tahsilat",'Cari Hareket'!$C$5:$C$504,A64))</f>
        <v/>
      </c>
      <c r="G64" s="43" t="str">
        <f aca="false">IF(A64="","",C64+E64-F64)</f>
        <v/>
      </c>
      <c r="H64" s="37" t="str">
        <f aca="false">IF(A64="","",SUMIFS(Alışlar!$G$5:$G$504,Alışlar!$B$5:$B$504,A64,Alışlar!$F$5:$F$504,"Veresiye"))</f>
        <v/>
      </c>
      <c r="I64" s="37" t="str">
        <f aca="false">IF(A64="","",SUMIFS('Cari Hareket'!$D$5:$D$504,'Cari Hareket'!$B$5:$B$504,"Ödeme",'Cari Hareket'!$C$5:$C$504,A64))</f>
        <v/>
      </c>
      <c r="J64" s="43" t="str">
        <f aca="false">IF(A64="","",D64+H64-I64)</f>
        <v/>
      </c>
      <c r="K64" s="37" t="str">
        <f aca="false">IF(A64="","",G64-J64)</f>
        <v/>
      </c>
      <c r="L64" s="41" t="str">
        <f aca="false">IF(A64="","",G64+ROW()/1000000)</f>
        <v/>
      </c>
    </row>
    <row r="65" customFormat="false" ht="15" hidden="false" customHeight="false" outlineLevel="0" collapsed="false">
      <c r="A65" s="33"/>
      <c r="B65" s="42"/>
      <c r="C65" s="35"/>
      <c r="D65" s="35"/>
      <c r="E65" s="37" t="str">
        <f aca="false">IF(A65="","",SUMIFS(Satışlar!$G$5:$G$1004,Satışlar!$B$5:$B$1004,A65,Satışlar!$F$5:$F$1004,"Veresiye"))</f>
        <v/>
      </c>
      <c r="F65" s="37" t="str">
        <f aca="false">IF(A65="","",SUMIFS('Cari Hareket'!$D$5:$D$504,'Cari Hareket'!$B$5:$B$504,"Tahsilat",'Cari Hareket'!$C$5:$C$504,A65))</f>
        <v/>
      </c>
      <c r="G65" s="43" t="str">
        <f aca="false">IF(A65="","",C65+E65-F65)</f>
        <v/>
      </c>
      <c r="H65" s="37" t="str">
        <f aca="false">IF(A65="","",SUMIFS(Alışlar!$G$5:$G$504,Alışlar!$B$5:$B$504,A65,Alışlar!$F$5:$F$504,"Veresiye"))</f>
        <v/>
      </c>
      <c r="I65" s="37" t="str">
        <f aca="false">IF(A65="","",SUMIFS('Cari Hareket'!$D$5:$D$504,'Cari Hareket'!$B$5:$B$504,"Ödeme",'Cari Hareket'!$C$5:$C$504,A65))</f>
        <v/>
      </c>
      <c r="J65" s="43" t="str">
        <f aca="false">IF(A65="","",D65+H65-I65)</f>
        <v/>
      </c>
      <c r="K65" s="37" t="str">
        <f aca="false">IF(A65="","",G65-J65)</f>
        <v/>
      </c>
      <c r="L65" s="41" t="str">
        <f aca="false">IF(A65="","",G65+ROW()/1000000)</f>
        <v/>
      </c>
    </row>
    <row r="66" customFormat="false" ht="15" hidden="false" customHeight="false" outlineLevel="0" collapsed="false">
      <c r="A66" s="33"/>
      <c r="B66" s="42"/>
      <c r="C66" s="35"/>
      <c r="D66" s="35"/>
      <c r="E66" s="37" t="str">
        <f aca="false">IF(A66="","",SUMIFS(Satışlar!$G$5:$G$1004,Satışlar!$B$5:$B$1004,A66,Satışlar!$F$5:$F$1004,"Veresiye"))</f>
        <v/>
      </c>
      <c r="F66" s="37" t="str">
        <f aca="false">IF(A66="","",SUMIFS('Cari Hareket'!$D$5:$D$504,'Cari Hareket'!$B$5:$B$504,"Tahsilat",'Cari Hareket'!$C$5:$C$504,A66))</f>
        <v/>
      </c>
      <c r="G66" s="43" t="str">
        <f aca="false">IF(A66="","",C66+E66-F66)</f>
        <v/>
      </c>
      <c r="H66" s="37" t="str">
        <f aca="false">IF(A66="","",SUMIFS(Alışlar!$G$5:$G$504,Alışlar!$B$5:$B$504,A66,Alışlar!$F$5:$F$504,"Veresiye"))</f>
        <v/>
      </c>
      <c r="I66" s="37" t="str">
        <f aca="false">IF(A66="","",SUMIFS('Cari Hareket'!$D$5:$D$504,'Cari Hareket'!$B$5:$B$504,"Ödeme",'Cari Hareket'!$C$5:$C$504,A66))</f>
        <v/>
      </c>
      <c r="J66" s="43" t="str">
        <f aca="false">IF(A66="","",D66+H66-I66)</f>
        <v/>
      </c>
      <c r="K66" s="37" t="str">
        <f aca="false">IF(A66="","",G66-J66)</f>
        <v/>
      </c>
      <c r="L66" s="41" t="str">
        <f aca="false">IF(A66="","",G66+ROW()/1000000)</f>
        <v/>
      </c>
    </row>
    <row r="67" customFormat="false" ht="15" hidden="false" customHeight="false" outlineLevel="0" collapsed="false">
      <c r="A67" s="33"/>
      <c r="B67" s="42"/>
      <c r="C67" s="35"/>
      <c r="D67" s="35"/>
      <c r="E67" s="37" t="str">
        <f aca="false">IF(A67="","",SUMIFS(Satışlar!$G$5:$G$1004,Satışlar!$B$5:$B$1004,A67,Satışlar!$F$5:$F$1004,"Veresiye"))</f>
        <v/>
      </c>
      <c r="F67" s="37" t="str">
        <f aca="false">IF(A67="","",SUMIFS('Cari Hareket'!$D$5:$D$504,'Cari Hareket'!$B$5:$B$504,"Tahsilat",'Cari Hareket'!$C$5:$C$504,A67))</f>
        <v/>
      </c>
      <c r="G67" s="43" t="str">
        <f aca="false">IF(A67="","",C67+E67-F67)</f>
        <v/>
      </c>
      <c r="H67" s="37" t="str">
        <f aca="false">IF(A67="","",SUMIFS(Alışlar!$G$5:$G$504,Alışlar!$B$5:$B$504,A67,Alışlar!$F$5:$F$504,"Veresiye"))</f>
        <v/>
      </c>
      <c r="I67" s="37" t="str">
        <f aca="false">IF(A67="","",SUMIFS('Cari Hareket'!$D$5:$D$504,'Cari Hareket'!$B$5:$B$504,"Ödeme",'Cari Hareket'!$C$5:$C$504,A67))</f>
        <v/>
      </c>
      <c r="J67" s="43" t="str">
        <f aca="false">IF(A67="","",D67+H67-I67)</f>
        <v/>
      </c>
      <c r="K67" s="37" t="str">
        <f aca="false">IF(A67="","",G67-J67)</f>
        <v/>
      </c>
      <c r="L67" s="41" t="str">
        <f aca="false">IF(A67="","",G67+ROW()/1000000)</f>
        <v/>
      </c>
    </row>
    <row r="68" customFormat="false" ht="15" hidden="false" customHeight="false" outlineLevel="0" collapsed="false">
      <c r="A68" s="33"/>
      <c r="B68" s="42"/>
      <c r="C68" s="35"/>
      <c r="D68" s="35"/>
      <c r="E68" s="37" t="str">
        <f aca="false">IF(A68="","",SUMIFS(Satışlar!$G$5:$G$1004,Satışlar!$B$5:$B$1004,A68,Satışlar!$F$5:$F$1004,"Veresiye"))</f>
        <v/>
      </c>
      <c r="F68" s="37" t="str">
        <f aca="false">IF(A68="","",SUMIFS('Cari Hareket'!$D$5:$D$504,'Cari Hareket'!$B$5:$B$504,"Tahsilat",'Cari Hareket'!$C$5:$C$504,A68))</f>
        <v/>
      </c>
      <c r="G68" s="43" t="str">
        <f aca="false">IF(A68="","",C68+E68-F68)</f>
        <v/>
      </c>
      <c r="H68" s="37" t="str">
        <f aca="false">IF(A68="","",SUMIFS(Alışlar!$G$5:$G$504,Alışlar!$B$5:$B$504,A68,Alışlar!$F$5:$F$504,"Veresiye"))</f>
        <v/>
      </c>
      <c r="I68" s="37" t="str">
        <f aca="false">IF(A68="","",SUMIFS('Cari Hareket'!$D$5:$D$504,'Cari Hareket'!$B$5:$B$504,"Ödeme",'Cari Hareket'!$C$5:$C$504,A68))</f>
        <v/>
      </c>
      <c r="J68" s="43" t="str">
        <f aca="false">IF(A68="","",D68+H68-I68)</f>
        <v/>
      </c>
      <c r="K68" s="37" t="str">
        <f aca="false">IF(A68="","",G68-J68)</f>
        <v/>
      </c>
      <c r="L68" s="41" t="str">
        <f aca="false">IF(A68="","",G68+ROW()/1000000)</f>
        <v/>
      </c>
    </row>
    <row r="69" customFormat="false" ht="15" hidden="false" customHeight="false" outlineLevel="0" collapsed="false">
      <c r="A69" s="33"/>
      <c r="B69" s="42"/>
      <c r="C69" s="35"/>
      <c r="D69" s="35"/>
      <c r="E69" s="37" t="str">
        <f aca="false">IF(A69="","",SUMIFS(Satışlar!$G$5:$G$1004,Satışlar!$B$5:$B$1004,A69,Satışlar!$F$5:$F$1004,"Veresiye"))</f>
        <v/>
      </c>
      <c r="F69" s="37" t="str">
        <f aca="false">IF(A69="","",SUMIFS('Cari Hareket'!$D$5:$D$504,'Cari Hareket'!$B$5:$B$504,"Tahsilat",'Cari Hareket'!$C$5:$C$504,A69))</f>
        <v/>
      </c>
      <c r="G69" s="43" t="str">
        <f aca="false">IF(A69="","",C69+E69-F69)</f>
        <v/>
      </c>
      <c r="H69" s="37" t="str">
        <f aca="false">IF(A69="","",SUMIFS(Alışlar!$G$5:$G$504,Alışlar!$B$5:$B$504,A69,Alışlar!$F$5:$F$504,"Veresiye"))</f>
        <v/>
      </c>
      <c r="I69" s="37" t="str">
        <f aca="false">IF(A69="","",SUMIFS('Cari Hareket'!$D$5:$D$504,'Cari Hareket'!$B$5:$B$504,"Ödeme",'Cari Hareket'!$C$5:$C$504,A69))</f>
        <v/>
      </c>
      <c r="J69" s="43" t="str">
        <f aca="false">IF(A69="","",D69+H69-I69)</f>
        <v/>
      </c>
      <c r="K69" s="37" t="str">
        <f aca="false">IF(A69="","",G69-J69)</f>
        <v/>
      </c>
      <c r="L69" s="41" t="str">
        <f aca="false">IF(A69="","",G69+ROW()/1000000)</f>
        <v/>
      </c>
    </row>
    <row r="70" customFormat="false" ht="15" hidden="false" customHeight="false" outlineLevel="0" collapsed="false">
      <c r="A70" s="33"/>
      <c r="B70" s="42"/>
      <c r="C70" s="35"/>
      <c r="D70" s="35"/>
      <c r="E70" s="37" t="str">
        <f aca="false">IF(A70="","",SUMIFS(Satışlar!$G$5:$G$1004,Satışlar!$B$5:$B$1004,A70,Satışlar!$F$5:$F$1004,"Veresiye"))</f>
        <v/>
      </c>
      <c r="F70" s="37" t="str">
        <f aca="false">IF(A70="","",SUMIFS('Cari Hareket'!$D$5:$D$504,'Cari Hareket'!$B$5:$B$504,"Tahsilat",'Cari Hareket'!$C$5:$C$504,A70))</f>
        <v/>
      </c>
      <c r="G70" s="43" t="str">
        <f aca="false">IF(A70="","",C70+E70-F70)</f>
        <v/>
      </c>
      <c r="H70" s="37" t="str">
        <f aca="false">IF(A70="","",SUMIFS(Alışlar!$G$5:$G$504,Alışlar!$B$5:$B$504,A70,Alışlar!$F$5:$F$504,"Veresiye"))</f>
        <v/>
      </c>
      <c r="I70" s="37" t="str">
        <f aca="false">IF(A70="","",SUMIFS('Cari Hareket'!$D$5:$D$504,'Cari Hareket'!$B$5:$B$504,"Ödeme",'Cari Hareket'!$C$5:$C$504,A70))</f>
        <v/>
      </c>
      <c r="J70" s="43" t="str">
        <f aca="false">IF(A70="","",D70+H70-I70)</f>
        <v/>
      </c>
      <c r="K70" s="37" t="str">
        <f aca="false">IF(A70="","",G70-J70)</f>
        <v/>
      </c>
      <c r="L70" s="41" t="str">
        <f aca="false">IF(A70="","",G70+ROW()/1000000)</f>
        <v/>
      </c>
    </row>
    <row r="71" customFormat="false" ht="15" hidden="false" customHeight="false" outlineLevel="0" collapsed="false">
      <c r="A71" s="33"/>
      <c r="B71" s="42"/>
      <c r="C71" s="35"/>
      <c r="D71" s="35"/>
      <c r="E71" s="37" t="str">
        <f aca="false">IF(A71="","",SUMIFS(Satışlar!$G$5:$G$1004,Satışlar!$B$5:$B$1004,A71,Satışlar!$F$5:$F$1004,"Veresiye"))</f>
        <v/>
      </c>
      <c r="F71" s="37" t="str">
        <f aca="false">IF(A71="","",SUMIFS('Cari Hareket'!$D$5:$D$504,'Cari Hareket'!$B$5:$B$504,"Tahsilat",'Cari Hareket'!$C$5:$C$504,A71))</f>
        <v/>
      </c>
      <c r="G71" s="43" t="str">
        <f aca="false">IF(A71="","",C71+E71-F71)</f>
        <v/>
      </c>
      <c r="H71" s="37" t="str">
        <f aca="false">IF(A71="","",SUMIFS(Alışlar!$G$5:$G$504,Alışlar!$B$5:$B$504,A71,Alışlar!$F$5:$F$504,"Veresiye"))</f>
        <v/>
      </c>
      <c r="I71" s="37" t="str">
        <f aca="false">IF(A71="","",SUMIFS('Cari Hareket'!$D$5:$D$504,'Cari Hareket'!$B$5:$B$504,"Ödeme",'Cari Hareket'!$C$5:$C$504,A71))</f>
        <v/>
      </c>
      <c r="J71" s="43" t="str">
        <f aca="false">IF(A71="","",D71+H71-I71)</f>
        <v/>
      </c>
      <c r="K71" s="37" t="str">
        <f aca="false">IF(A71="","",G71-J71)</f>
        <v/>
      </c>
      <c r="L71" s="41" t="str">
        <f aca="false">IF(A71="","",G71+ROW()/1000000)</f>
        <v/>
      </c>
    </row>
    <row r="72" customFormat="false" ht="15" hidden="false" customHeight="false" outlineLevel="0" collapsed="false">
      <c r="A72" s="33"/>
      <c r="B72" s="42"/>
      <c r="C72" s="35"/>
      <c r="D72" s="35"/>
      <c r="E72" s="37" t="str">
        <f aca="false">IF(A72="","",SUMIFS(Satışlar!$G$5:$G$1004,Satışlar!$B$5:$B$1004,A72,Satışlar!$F$5:$F$1004,"Veresiye"))</f>
        <v/>
      </c>
      <c r="F72" s="37" t="str">
        <f aca="false">IF(A72="","",SUMIFS('Cari Hareket'!$D$5:$D$504,'Cari Hareket'!$B$5:$B$504,"Tahsilat",'Cari Hareket'!$C$5:$C$504,A72))</f>
        <v/>
      </c>
      <c r="G72" s="43" t="str">
        <f aca="false">IF(A72="","",C72+E72-F72)</f>
        <v/>
      </c>
      <c r="H72" s="37" t="str">
        <f aca="false">IF(A72="","",SUMIFS(Alışlar!$G$5:$G$504,Alışlar!$B$5:$B$504,A72,Alışlar!$F$5:$F$504,"Veresiye"))</f>
        <v/>
      </c>
      <c r="I72" s="37" t="str">
        <f aca="false">IF(A72="","",SUMIFS('Cari Hareket'!$D$5:$D$504,'Cari Hareket'!$B$5:$B$504,"Ödeme",'Cari Hareket'!$C$5:$C$504,A72))</f>
        <v/>
      </c>
      <c r="J72" s="43" t="str">
        <f aca="false">IF(A72="","",D72+H72-I72)</f>
        <v/>
      </c>
      <c r="K72" s="37" t="str">
        <f aca="false">IF(A72="","",G72-J72)</f>
        <v/>
      </c>
      <c r="L72" s="41" t="str">
        <f aca="false">IF(A72="","",G72+ROW()/1000000)</f>
        <v/>
      </c>
    </row>
    <row r="73" customFormat="false" ht="15" hidden="false" customHeight="false" outlineLevel="0" collapsed="false">
      <c r="A73" s="33"/>
      <c r="B73" s="42"/>
      <c r="C73" s="35"/>
      <c r="D73" s="35"/>
      <c r="E73" s="37" t="str">
        <f aca="false">IF(A73="","",SUMIFS(Satışlar!$G$5:$G$1004,Satışlar!$B$5:$B$1004,A73,Satışlar!$F$5:$F$1004,"Veresiye"))</f>
        <v/>
      </c>
      <c r="F73" s="37" t="str">
        <f aca="false">IF(A73="","",SUMIFS('Cari Hareket'!$D$5:$D$504,'Cari Hareket'!$B$5:$B$504,"Tahsilat",'Cari Hareket'!$C$5:$C$504,A73))</f>
        <v/>
      </c>
      <c r="G73" s="43" t="str">
        <f aca="false">IF(A73="","",C73+E73-F73)</f>
        <v/>
      </c>
      <c r="H73" s="37" t="str">
        <f aca="false">IF(A73="","",SUMIFS(Alışlar!$G$5:$G$504,Alışlar!$B$5:$B$504,A73,Alışlar!$F$5:$F$504,"Veresiye"))</f>
        <v/>
      </c>
      <c r="I73" s="37" t="str">
        <f aca="false">IF(A73="","",SUMIFS('Cari Hareket'!$D$5:$D$504,'Cari Hareket'!$B$5:$B$504,"Ödeme",'Cari Hareket'!$C$5:$C$504,A73))</f>
        <v/>
      </c>
      <c r="J73" s="43" t="str">
        <f aca="false">IF(A73="","",D73+H73-I73)</f>
        <v/>
      </c>
      <c r="K73" s="37" t="str">
        <f aca="false">IF(A73="","",G73-J73)</f>
        <v/>
      </c>
      <c r="L73" s="41" t="str">
        <f aca="false">IF(A73="","",G73+ROW()/1000000)</f>
        <v/>
      </c>
    </row>
    <row r="74" customFormat="false" ht="15" hidden="false" customHeight="false" outlineLevel="0" collapsed="false">
      <c r="A74" s="33"/>
      <c r="B74" s="42"/>
      <c r="C74" s="35"/>
      <c r="D74" s="35"/>
      <c r="E74" s="37" t="str">
        <f aca="false">IF(A74="","",SUMIFS(Satışlar!$G$5:$G$1004,Satışlar!$B$5:$B$1004,A74,Satışlar!$F$5:$F$1004,"Veresiye"))</f>
        <v/>
      </c>
      <c r="F74" s="37" t="str">
        <f aca="false">IF(A74="","",SUMIFS('Cari Hareket'!$D$5:$D$504,'Cari Hareket'!$B$5:$B$504,"Tahsilat",'Cari Hareket'!$C$5:$C$504,A74))</f>
        <v/>
      </c>
      <c r="G74" s="43" t="str">
        <f aca="false">IF(A74="","",C74+E74-F74)</f>
        <v/>
      </c>
      <c r="H74" s="37" t="str">
        <f aca="false">IF(A74="","",SUMIFS(Alışlar!$G$5:$G$504,Alışlar!$B$5:$B$504,A74,Alışlar!$F$5:$F$504,"Veresiye"))</f>
        <v/>
      </c>
      <c r="I74" s="37" t="str">
        <f aca="false">IF(A74="","",SUMIFS('Cari Hareket'!$D$5:$D$504,'Cari Hareket'!$B$5:$B$504,"Ödeme",'Cari Hareket'!$C$5:$C$504,A74))</f>
        <v/>
      </c>
      <c r="J74" s="43" t="str">
        <f aca="false">IF(A74="","",D74+H74-I74)</f>
        <v/>
      </c>
      <c r="K74" s="37" t="str">
        <f aca="false">IF(A74="","",G74-J74)</f>
        <v/>
      </c>
      <c r="L74" s="41" t="str">
        <f aca="false">IF(A74="","",G74+ROW()/1000000)</f>
        <v/>
      </c>
    </row>
    <row r="75" customFormat="false" ht="15" hidden="false" customHeight="false" outlineLevel="0" collapsed="false">
      <c r="A75" s="33"/>
      <c r="B75" s="42"/>
      <c r="C75" s="35"/>
      <c r="D75" s="35"/>
      <c r="E75" s="37" t="str">
        <f aca="false">IF(A75="","",SUMIFS(Satışlar!$G$5:$G$1004,Satışlar!$B$5:$B$1004,A75,Satışlar!$F$5:$F$1004,"Veresiye"))</f>
        <v/>
      </c>
      <c r="F75" s="37" t="str">
        <f aca="false">IF(A75="","",SUMIFS('Cari Hareket'!$D$5:$D$504,'Cari Hareket'!$B$5:$B$504,"Tahsilat",'Cari Hareket'!$C$5:$C$504,A75))</f>
        <v/>
      </c>
      <c r="G75" s="43" t="str">
        <f aca="false">IF(A75="","",C75+E75-F75)</f>
        <v/>
      </c>
      <c r="H75" s="37" t="str">
        <f aca="false">IF(A75="","",SUMIFS(Alışlar!$G$5:$G$504,Alışlar!$B$5:$B$504,A75,Alışlar!$F$5:$F$504,"Veresiye"))</f>
        <v/>
      </c>
      <c r="I75" s="37" t="str">
        <f aca="false">IF(A75="","",SUMIFS('Cari Hareket'!$D$5:$D$504,'Cari Hareket'!$B$5:$B$504,"Ödeme",'Cari Hareket'!$C$5:$C$504,A75))</f>
        <v/>
      </c>
      <c r="J75" s="43" t="str">
        <f aca="false">IF(A75="","",D75+H75-I75)</f>
        <v/>
      </c>
      <c r="K75" s="37" t="str">
        <f aca="false">IF(A75="","",G75-J75)</f>
        <v/>
      </c>
      <c r="L75" s="41" t="str">
        <f aca="false">IF(A75="","",G75+ROW()/1000000)</f>
        <v/>
      </c>
    </row>
    <row r="76" customFormat="false" ht="15" hidden="false" customHeight="false" outlineLevel="0" collapsed="false">
      <c r="A76" s="33"/>
      <c r="B76" s="42"/>
      <c r="C76" s="35"/>
      <c r="D76" s="35"/>
      <c r="E76" s="37" t="str">
        <f aca="false">IF(A76="","",SUMIFS(Satışlar!$G$5:$G$1004,Satışlar!$B$5:$B$1004,A76,Satışlar!$F$5:$F$1004,"Veresiye"))</f>
        <v/>
      </c>
      <c r="F76" s="37" t="str">
        <f aca="false">IF(A76="","",SUMIFS('Cari Hareket'!$D$5:$D$504,'Cari Hareket'!$B$5:$B$504,"Tahsilat",'Cari Hareket'!$C$5:$C$504,A76))</f>
        <v/>
      </c>
      <c r="G76" s="43" t="str">
        <f aca="false">IF(A76="","",C76+E76-F76)</f>
        <v/>
      </c>
      <c r="H76" s="37" t="str">
        <f aca="false">IF(A76="","",SUMIFS(Alışlar!$G$5:$G$504,Alışlar!$B$5:$B$504,A76,Alışlar!$F$5:$F$504,"Veresiye"))</f>
        <v/>
      </c>
      <c r="I76" s="37" t="str">
        <f aca="false">IF(A76="","",SUMIFS('Cari Hareket'!$D$5:$D$504,'Cari Hareket'!$B$5:$B$504,"Ödeme",'Cari Hareket'!$C$5:$C$504,A76))</f>
        <v/>
      </c>
      <c r="J76" s="43" t="str">
        <f aca="false">IF(A76="","",D76+H76-I76)</f>
        <v/>
      </c>
      <c r="K76" s="37" t="str">
        <f aca="false">IF(A76="","",G76-J76)</f>
        <v/>
      </c>
      <c r="L76" s="41" t="str">
        <f aca="false">IF(A76="","",G76+ROW()/1000000)</f>
        <v/>
      </c>
    </row>
    <row r="77" customFormat="false" ht="15" hidden="false" customHeight="false" outlineLevel="0" collapsed="false">
      <c r="A77" s="33"/>
      <c r="B77" s="42"/>
      <c r="C77" s="35"/>
      <c r="D77" s="35"/>
      <c r="E77" s="37" t="str">
        <f aca="false">IF(A77="","",SUMIFS(Satışlar!$G$5:$G$1004,Satışlar!$B$5:$B$1004,A77,Satışlar!$F$5:$F$1004,"Veresiye"))</f>
        <v/>
      </c>
      <c r="F77" s="37" t="str">
        <f aca="false">IF(A77="","",SUMIFS('Cari Hareket'!$D$5:$D$504,'Cari Hareket'!$B$5:$B$504,"Tahsilat",'Cari Hareket'!$C$5:$C$504,A77))</f>
        <v/>
      </c>
      <c r="G77" s="43" t="str">
        <f aca="false">IF(A77="","",C77+E77-F77)</f>
        <v/>
      </c>
      <c r="H77" s="37" t="str">
        <f aca="false">IF(A77="","",SUMIFS(Alışlar!$G$5:$G$504,Alışlar!$B$5:$B$504,A77,Alışlar!$F$5:$F$504,"Veresiye"))</f>
        <v/>
      </c>
      <c r="I77" s="37" t="str">
        <f aca="false">IF(A77="","",SUMIFS('Cari Hareket'!$D$5:$D$504,'Cari Hareket'!$B$5:$B$504,"Ödeme",'Cari Hareket'!$C$5:$C$504,A77))</f>
        <v/>
      </c>
      <c r="J77" s="43" t="str">
        <f aca="false">IF(A77="","",D77+H77-I77)</f>
        <v/>
      </c>
      <c r="K77" s="37" t="str">
        <f aca="false">IF(A77="","",G77-J77)</f>
        <v/>
      </c>
      <c r="L77" s="41" t="str">
        <f aca="false">IF(A77="","",G77+ROW()/1000000)</f>
        <v/>
      </c>
    </row>
    <row r="78" customFormat="false" ht="15" hidden="false" customHeight="false" outlineLevel="0" collapsed="false">
      <c r="A78" s="33"/>
      <c r="B78" s="42"/>
      <c r="C78" s="35"/>
      <c r="D78" s="35"/>
      <c r="E78" s="37" t="str">
        <f aca="false">IF(A78="","",SUMIFS(Satışlar!$G$5:$G$1004,Satışlar!$B$5:$B$1004,A78,Satışlar!$F$5:$F$1004,"Veresiye"))</f>
        <v/>
      </c>
      <c r="F78" s="37" t="str">
        <f aca="false">IF(A78="","",SUMIFS('Cari Hareket'!$D$5:$D$504,'Cari Hareket'!$B$5:$B$504,"Tahsilat",'Cari Hareket'!$C$5:$C$504,A78))</f>
        <v/>
      </c>
      <c r="G78" s="43" t="str">
        <f aca="false">IF(A78="","",C78+E78-F78)</f>
        <v/>
      </c>
      <c r="H78" s="37" t="str">
        <f aca="false">IF(A78="","",SUMIFS(Alışlar!$G$5:$G$504,Alışlar!$B$5:$B$504,A78,Alışlar!$F$5:$F$504,"Veresiye"))</f>
        <v/>
      </c>
      <c r="I78" s="37" t="str">
        <f aca="false">IF(A78="","",SUMIFS('Cari Hareket'!$D$5:$D$504,'Cari Hareket'!$B$5:$B$504,"Ödeme",'Cari Hareket'!$C$5:$C$504,A78))</f>
        <v/>
      </c>
      <c r="J78" s="43" t="str">
        <f aca="false">IF(A78="","",D78+H78-I78)</f>
        <v/>
      </c>
      <c r="K78" s="37" t="str">
        <f aca="false">IF(A78="","",G78-J78)</f>
        <v/>
      </c>
      <c r="L78" s="41" t="str">
        <f aca="false">IF(A78="","",G78+ROW()/1000000)</f>
        <v/>
      </c>
    </row>
    <row r="79" customFormat="false" ht="15" hidden="false" customHeight="false" outlineLevel="0" collapsed="false">
      <c r="A79" s="33"/>
      <c r="B79" s="42"/>
      <c r="C79" s="35"/>
      <c r="D79" s="35"/>
      <c r="E79" s="37" t="str">
        <f aca="false">IF(A79="","",SUMIFS(Satışlar!$G$5:$G$1004,Satışlar!$B$5:$B$1004,A79,Satışlar!$F$5:$F$1004,"Veresiye"))</f>
        <v/>
      </c>
      <c r="F79" s="37" t="str">
        <f aca="false">IF(A79="","",SUMIFS('Cari Hareket'!$D$5:$D$504,'Cari Hareket'!$B$5:$B$504,"Tahsilat",'Cari Hareket'!$C$5:$C$504,A79))</f>
        <v/>
      </c>
      <c r="G79" s="43" t="str">
        <f aca="false">IF(A79="","",C79+E79-F79)</f>
        <v/>
      </c>
      <c r="H79" s="37" t="str">
        <f aca="false">IF(A79="","",SUMIFS(Alışlar!$G$5:$G$504,Alışlar!$B$5:$B$504,A79,Alışlar!$F$5:$F$504,"Veresiye"))</f>
        <v/>
      </c>
      <c r="I79" s="37" t="str">
        <f aca="false">IF(A79="","",SUMIFS('Cari Hareket'!$D$5:$D$504,'Cari Hareket'!$B$5:$B$504,"Ödeme",'Cari Hareket'!$C$5:$C$504,A79))</f>
        <v/>
      </c>
      <c r="J79" s="43" t="str">
        <f aca="false">IF(A79="","",D79+H79-I79)</f>
        <v/>
      </c>
      <c r="K79" s="37" t="str">
        <f aca="false">IF(A79="","",G79-J79)</f>
        <v/>
      </c>
      <c r="L79" s="41" t="str">
        <f aca="false">IF(A79="","",G79+ROW()/1000000)</f>
        <v/>
      </c>
    </row>
    <row r="80" customFormat="false" ht="15" hidden="false" customHeight="false" outlineLevel="0" collapsed="false">
      <c r="A80" s="33"/>
      <c r="B80" s="42"/>
      <c r="C80" s="35"/>
      <c r="D80" s="35"/>
      <c r="E80" s="37" t="str">
        <f aca="false">IF(A80="","",SUMIFS(Satışlar!$G$5:$G$1004,Satışlar!$B$5:$B$1004,A80,Satışlar!$F$5:$F$1004,"Veresiye"))</f>
        <v/>
      </c>
      <c r="F80" s="37" t="str">
        <f aca="false">IF(A80="","",SUMIFS('Cari Hareket'!$D$5:$D$504,'Cari Hareket'!$B$5:$B$504,"Tahsilat",'Cari Hareket'!$C$5:$C$504,A80))</f>
        <v/>
      </c>
      <c r="G80" s="43" t="str">
        <f aca="false">IF(A80="","",C80+E80-F80)</f>
        <v/>
      </c>
      <c r="H80" s="37" t="str">
        <f aca="false">IF(A80="","",SUMIFS(Alışlar!$G$5:$G$504,Alışlar!$B$5:$B$504,A80,Alışlar!$F$5:$F$504,"Veresiye"))</f>
        <v/>
      </c>
      <c r="I80" s="37" t="str">
        <f aca="false">IF(A80="","",SUMIFS('Cari Hareket'!$D$5:$D$504,'Cari Hareket'!$B$5:$B$504,"Ödeme",'Cari Hareket'!$C$5:$C$504,A80))</f>
        <v/>
      </c>
      <c r="J80" s="43" t="str">
        <f aca="false">IF(A80="","",D80+H80-I80)</f>
        <v/>
      </c>
      <c r="K80" s="37" t="str">
        <f aca="false">IF(A80="","",G80-J80)</f>
        <v/>
      </c>
      <c r="L80" s="41" t="str">
        <f aca="false">IF(A80="","",G80+ROW()/1000000)</f>
        <v/>
      </c>
    </row>
    <row r="81" customFormat="false" ht="15" hidden="false" customHeight="false" outlineLevel="0" collapsed="false">
      <c r="A81" s="33"/>
      <c r="B81" s="42"/>
      <c r="C81" s="35"/>
      <c r="D81" s="35"/>
      <c r="E81" s="37" t="str">
        <f aca="false">IF(A81="","",SUMIFS(Satışlar!$G$5:$G$1004,Satışlar!$B$5:$B$1004,A81,Satışlar!$F$5:$F$1004,"Veresiye"))</f>
        <v/>
      </c>
      <c r="F81" s="37" t="str">
        <f aca="false">IF(A81="","",SUMIFS('Cari Hareket'!$D$5:$D$504,'Cari Hareket'!$B$5:$B$504,"Tahsilat",'Cari Hareket'!$C$5:$C$504,A81))</f>
        <v/>
      </c>
      <c r="G81" s="43" t="str">
        <f aca="false">IF(A81="","",C81+E81-F81)</f>
        <v/>
      </c>
      <c r="H81" s="37" t="str">
        <f aca="false">IF(A81="","",SUMIFS(Alışlar!$G$5:$G$504,Alışlar!$B$5:$B$504,A81,Alışlar!$F$5:$F$504,"Veresiye"))</f>
        <v/>
      </c>
      <c r="I81" s="37" t="str">
        <f aca="false">IF(A81="","",SUMIFS('Cari Hareket'!$D$5:$D$504,'Cari Hareket'!$B$5:$B$504,"Ödeme",'Cari Hareket'!$C$5:$C$504,A81))</f>
        <v/>
      </c>
      <c r="J81" s="43" t="str">
        <f aca="false">IF(A81="","",D81+H81-I81)</f>
        <v/>
      </c>
      <c r="K81" s="37" t="str">
        <f aca="false">IF(A81="","",G81-J81)</f>
        <v/>
      </c>
      <c r="L81" s="41" t="str">
        <f aca="false">IF(A81="","",G81+ROW()/1000000)</f>
        <v/>
      </c>
    </row>
    <row r="82" customFormat="false" ht="15" hidden="false" customHeight="false" outlineLevel="0" collapsed="false">
      <c r="A82" s="33"/>
      <c r="B82" s="42"/>
      <c r="C82" s="35"/>
      <c r="D82" s="35"/>
      <c r="E82" s="37" t="str">
        <f aca="false">IF(A82="","",SUMIFS(Satışlar!$G$5:$G$1004,Satışlar!$B$5:$B$1004,A82,Satışlar!$F$5:$F$1004,"Veresiye"))</f>
        <v/>
      </c>
      <c r="F82" s="37" t="str">
        <f aca="false">IF(A82="","",SUMIFS('Cari Hareket'!$D$5:$D$504,'Cari Hareket'!$B$5:$B$504,"Tahsilat",'Cari Hareket'!$C$5:$C$504,A82))</f>
        <v/>
      </c>
      <c r="G82" s="43" t="str">
        <f aca="false">IF(A82="","",C82+E82-F82)</f>
        <v/>
      </c>
      <c r="H82" s="37" t="str">
        <f aca="false">IF(A82="","",SUMIFS(Alışlar!$G$5:$G$504,Alışlar!$B$5:$B$504,A82,Alışlar!$F$5:$F$504,"Veresiye"))</f>
        <v/>
      </c>
      <c r="I82" s="37" t="str">
        <f aca="false">IF(A82="","",SUMIFS('Cari Hareket'!$D$5:$D$504,'Cari Hareket'!$B$5:$B$504,"Ödeme",'Cari Hareket'!$C$5:$C$504,A82))</f>
        <v/>
      </c>
      <c r="J82" s="43" t="str">
        <f aca="false">IF(A82="","",D82+H82-I82)</f>
        <v/>
      </c>
      <c r="K82" s="37" t="str">
        <f aca="false">IF(A82="","",G82-J82)</f>
        <v/>
      </c>
      <c r="L82" s="41" t="str">
        <f aca="false">IF(A82="","",G82+ROW()/1000000)</f>
        <v/>
      </c>
    </row>
    <row r="83" customFormat="false" ht="15" hidden="false" customHeight="false" outlineLevel="0" collapsed="false">
      <c r="A83" s="33"/>
      <c r="B83" s="42"/>
      <c r="C83" s="35"/>
      <c r="D83" s="35"/>
      <c r="E83" s="37" t="str">
        <f aca="false">IF(A83="","",SUMIFS(Satışlar!$G$5:$G$1004,Satışlar!$B$5:$B$1004,A83,Satışlar!$F$5:$F$1004,"Veresiye"))</f>
        <v/>
      </c>
      <c r="F83" s="37" t="str">
        <f aca="false">IF(A83="","",SUMIFS('Cari Hareket'!$D$5:$D$504,'Cari Hareket'!$B$5:$B$504,"Tahsilat",'Cari Hareket'!$C$5:$C$504,A83))</f>
        <v/>
      </c>
      <c r="G83" s="43" t="str">
        <f aca="false">IF(A83="","",C83+E83-F83)</f>
        <v/>
      </c>
      <c r="H83" s="37" t="str">
        <f aca="false">IF(A83="","",SUMIFS(Alışlar!$G$5:$G$504,Alışlar!$B$5:$B$504,A83,Alışlar!$F$5:$F$504,"Veresiye"))</f>
        <v/>
      </c>
      <c r="I83" s="37" t="str">
        <f aca="false">IF(A83="","",SUMIFS('Cari Hareket'!$D$5:$D$504,'Cari Hareket'!$B$5:$B$504,"Ödeme",'Cari Hareket'!$C$5:$C$504,A83))</f>
        <v/>
      </c>
      <c r="J83" s="43" t="str">
        <f aca="false">IF(A83="","",D83+H83-I83)</f>
        <v/>
      </c>
      <c r="K83" s="37" t="str">
        <f aca="false">IF(A83="","",G83-J83)</f>
        <v/>
      </c>
      <c r="L83" s="41" t="str">
        <f aca="false">IF(A83="","",G83+ROW()/1000000)</f>
        <v/>
      </c>
    </row>
    <row r="84" customFormat="false" ht="15" hidden="false" customHeight="false" outlineLevel="0" collapsed="false">
      <c r="A84" s="33"/>
      <c r="B84" s="42"/>
      <c r="C84" s="35"/>
      <c r="D84" s="35"/>
      <c r="E84" s="37" t="str">
        <f aca="false">IF(A84="","",SUMIFS(Satışlar!$G$5:$G$1004,Satışlar!$B$5:$B$1004,A84,Satışlar!$F$5:$F$1004,"Veresiye"))</f>
        <v/>
      </c>
      <c r="F84" s="37" t="str">
        <f aca="false">IF(A84="","",SUMIFS('Cari Hareket'!$D$5:$D$504,'Cari Hareket'!$B$5:$B$504,"Tahsilat",'Cari Hareket'!$C$5:$C$504,A84))</f>
        <v/>
      </c>
      <c r="G84" s="43" t="str">
        <f aca="false">IF(A84="","",C84+E84-F84)</f>
        <v/>
      </c>
      <c r="H84" s="37" t="str">
        <f aca="false">IF(A84="","",SUMIFS(Alışlar!$G$5:$G$504,Alışlar!$B$5:$B$504,A84,Alışlar!$F$5:$F$504,"Veresiye"))</f>
        <v/>
      </c>
      <c r="I84" s="37" t="str">
        <f aca="false">IF(A84="","",SUMIFS('Cari Hareket'!$D$5:$D$504,'Cari Hareket'!$B$5:$B$504,"Ödeme",'Cari Hareket'!$C$5:$C$504,A84))</f>
        <v/>
      </c>
      <c r="J84" s="43" t="str">
        <f aca="false">IF(A84="","",D84+H84-I84)</f>
        <v/>
      </c>
      <c r="K84" s="37" t="str">
        <f aca="false">IF(A84="","",G84-J84)</f>
        <v/>
      </c>
      <c r="L84" s="41" t="str">
        <f aca="false">IF(A84="","",G84+ROW()/1000000)</f>
        <v/>
      </c>
    </row>
    <row r="85" customFormat="false" ht="15" hidden="false" customHeight="false" outlineLevel="0" collapsed="false">
      <c r="A85" s="33"/>
      <c r="B85" s="42"/>
      <c r="C85" s="35"/>
      <c r="D85" s="35"/>
      <c r="E85" s="37" t="str">
        <f aca="false">IF(A85="","",SUMIFS(Satışlar!$G$5:$G$1004,Satışlar!$B$5:$B$1004,A85,Satışlar!$F$5:$F$1004,"Veresiye"))</f>
        <v/>
      </c>
      <c r="F85" s="37" t="str">
        <f aca="false">IF(A85="","",SUMIFS('Cari Hareket'!$D$5:$D$504,'Cari Hareket'!$B$5:$B$504,"Tahsilat",'Cari Hareket'!$C$5:$C$504,A85))</f>
        <v/>
      </c>
      <c r="G85" s="43" t="str">
        <f aca="false">IF(A85="","",C85+E85-F85)</f>
        <v/>
      </c>
      <c r="H85" s="37" t="str">
        <f aca="false">IF(A85="","",SUMIFS(Alışlar!$G$5:$G$504,Alışlar!$B$5:$B$504,A85,Alışlar!$F$5:$F$504,"Veresiye"))</f>
        <v/>
      </c>
      <c r="I85" s="37" t="str">
        <f aca="false">IF(A85="","",SUMIFS('Cari Hareket'!$D$5:$D$504,'Cari Hareket'!$B$5:$B$504,"Ödeme",'Cari Hareket'!$C$5:$C$504,A85))</f>
        <v/>
      </c>
      <c r="J85" s="43" t="str">
        <f aca="false">IF(A85="","",D85+H85-I85)</f>
        <v/>
      </c>
      <c r="K85" s="37" t="str">
        <f aca="false">IF(A85="","",G85-J85)</f>
        <v/>
      </c>
      <c r="L85" s="41" t="str">
        <f aca="false">IF(A85="","",G85+ROW()/1000000)</f>
        <v/>
      </c>
    </row>
    <row r="86" customFormat="false" ht="15" hidden="false" customHeight="false" outlineLevel="0" collapsed="false">
      <c r="A86" s="33"/>
      <c r="B86" s="42"/>
      <c r="C86" s="35"/>
      <c r="D86" s="35"/>
      <c r="E86" s="37" t="str">
        <f aca="false">IF(A86="","",SUMIFS(Satışlar!$G$5:$G$1004,Satışlar!$B$5:$B$1004,A86,Satışlar!$F$5:$F$1004,"Veresiye"))</f>
        <v/>
      </c>
      <c r="F86" s="37" t="str">
        <f aca="false">IF(A86="","",SUMIFS('Cari Hareket'!$D$5:$D$504,'Cari Hareket'!$B$5:$B$504,"Tahsilat",'Cari Hareket'!$C$5:$C$504,A86))</f>
        <v/>
      </c>
      <c r="G86" s="43" t="str">
        <f aca="false">IF(A86="","",C86+E86-F86)</f>
        <v/>
      </c>
      <c r="H86" s="37" t="str">
        <f aca="false">IF(A86="","",SUMIFS(Alışlar!$G$5:$G$504,Alışlar!$B$5:$B$504,A86,Alışlar!$F$5:$F$504,"Veresiye"))</f>
        <v/>
      </c>
      <c r="I86" s="37" t="str">
        <f aca="false">IF(A86="","",SUMIFS('Cari Hareket'!$D$5:$D$504,'Cari Hareket'!$B$5:$B$504,"Ödeme",'Cari Hareket'!$C$5:$C$504,A86))</f>
        <v/>
      </c>
      <c r="J86" s="43" t="str">
        <f aca="false">IF(A86="","",D86+H86-I86)</f>
        <v/>
      </c>
      <c r="K86" s="37" t="str">
        <f aca="false">IF(A86="","",G86-J86)</f>
        <v/>
      </c>
      <c r="L86" s="41" t="str">
        <f aca="false">IF(A86="","",G86+ROW()/1000000)</f>
        <v/>
      </c>
    </row>
    <row r="87" customFormat="false" ht="15" hidden="false" customHeight="false" outlineLevel="0" collapsed="false">
      <c r="A87" s="33"/>
      <c r="B87" s="42"/>
      <c r="C87" s="35"/>
      <c r="D87" s="35"/>
      <c r="E87" s="37" t="str">
        <f aca="false">IF(A87="","",SUMIFS(Satışlar!$G$5:$G$1004,Satışlar!$B$5:$B$1004,A87,Satışlar!$F$5:$F$1004,"Veresiye"))</f>
        <v/>
      </c>
      <c r="F87" s="37" t="str">
        <f aca="false">IF(A87="","",SUMIFS('Cari Hareket'!$D$5:$D$504,'Cari Hareket'!$B$5:$B$504,"Tahsilat",'Cari Hareket'!$C$5:$C$504,A87))</f>
        <v/>
      </c>
      <c r="G87" s="43" t="str">
        <f aca="false">IF(A87="","",C87+E87-F87)</f>
        <v/>
      </c>
      <c r="H87" s="37" t="str">
        <f aca="false">IF(A87="","",SUMIFS(Alışlar!$G$5:$G$504,Alışlar!$B$5:$B$504,A87,Alışlar!$F$5:$F$504,"Veresiye"))</f>
        <v/>
      </c>
      <c r="I87" s="37" t="str">
        <f aca="false">IF(A87="","",SUMIFS('Cari Hareket'!$D$5:$D$504,'Cari Hareket'!$B$5:$B$504,"Ödeme",'Cari Hareket'!$C$5:$C$504,A87))</f>
        <v/>
      </c>
      <c r="J87" s="43" t="str">
        <f aca="false">IF(A87="","",D87+H87-I87)</f>
        <v/>
      </c>
      <c r="K87" s="37" t="str">
        <f aca="false">IF(A87="","",G87-J87)</f>
        <v/>
      </c>
      <c r="L87" s="41" t="str">
        <f aca="false">IF(A87="","",G87+ROW()/1000000)</f>
        <v/>
      </c>
    </row>
    <row r="88" customFormat="false" ht="15" hidden="false" customHeight="false" outlineLevel="0" collapsed="false">
      <c r="A88" s="33"/>
      <c r="B88" s="42"/>
      <c r="C88" s="35"/>
      <c r="D88" s="35"/>
      <c r="E88" s="37" t="str">
        <f aca="false">IF(A88="","",SUMIFS(Satışlar!$G$5:$G$1004,Satışlar!$B$5:$B$1004,A88,Satışlar!$F$5:$F$1004,"Veresiye"))</f>
        <v/>
      </c>
      <c r="F88" s="37" t="str">
        <f aca="false">IF(A88="","",SUMIFS('Cari Hareket'!$D$5:$D$504,'Cari Hareket'!$B$5:$B$504,"Tahsilat",'Cari Hareket'!$C$5:$C$504,A88))</f>
        <v/>
      </c>
      <c r="G88" s="43" t="str">
        <f aca="false">IF(A88="","",C88+E88-F88)</f>
        <v/>
      </c>
      <c r="H88" s="37" t="str">
        <f aca="false">IF(A88="","",SUMIFS(Alışlar!$G$5:$G$504,Alışlar!$B$5:$B$504,A88,Alışlar!$F$5:$F$504,"Veresiye"))</f>
        <v/>
      </c>
      <c r="I88" s="37" t="str">
        <f aca="false">IF(A88="","",SUMIFS('Cari Hareket'!$D$5:$D$504,'Cari Hareket'!$B$5:$B$504,"Ödeme",'Cari Hareket'!$C$5:$C$504,A88))</f>
        <v/>
      </c>
      <c r="J88" s="43" t="str">
        <f aca="false">IF(A88="","",D88+H88-I88)</f>
        <v/>
      </c>
      <c r="K88" s="37" t="str">
        <f aca="false">IF(A88="","",G88-J88)</f>
        <v/>
      </c>
      <c r="L88" s="41" t="str">
        <f aca="false">IF(A88="","",G88+ROW()/1000000)</f>
        <v/>
      </c>
    </row>
    <row r="89" customFormat="false" ht="15" hidden="false" customHeight="false" outlineLevel="0" collapsed="false">
      <c r="A89" s="33"/>
      <c r="B89" s="42"/>
      <c r="C89" s="35"/>
      <c r="D89" s="35"/>
      <c r="E89" s="37" t="str">
        <f aca="false">IF(A89="","",SUMIFS(Satışlar!$G$5:$G$1004,Satışlar!$B$5:$B$1004,A89,Satışlar!$F$5:$F$1004,"Veresiye"))</f>
        <v/>
      </c>
      <c r="F89" s="37" t="str">
        <f aca="false">IF(A89="","",SUMIFS('Cari Hareket'!$D$5:$D$504,'Cari Hareket'!$B$5:$B$504,"Tahsilat",'Cari Hareket'!$C$5:$C$504,A89))</f>
        <v/>
      </c>
      <c r="G89" s="43" t="str">
        <f aca="false">IF(A89="","",C89+E89-F89)</f>
        <v/>
      </c>
      <c r="H89" s="37" t="str">
        <f aca="false">IF(A89="","",SUMIFS(Alışlar!$G$5:$G$504,Alışlar!$B$5:$B$504,A89,Alışlar!$F$5:$F$504,"Veresiye"))</f>
        <v/>
      </c>
      <c r="I89" s="37" t="str">
        <f aca="false">IF(A89="","",SUMIFS('Cari Hareket'!$D$5:$D$504,'Cari Hareket'!$B$5:$B$504,"Ödeme",'Cari Hareket'!$C$5:$C$504,A89))</f>
        <v/>
      </c>
      <c r="J89" s="43" t="str">
        <f aca="false">IF(A89="","",D89+H89-I89)</f>
        <v/>
      </c>
      <c r="K89" s="37" t="str">
        <f aca="false">IF(A89="","",G89-J89)</f>
        <v/>
      </c>
      <c r="L89" s="41" t="str">
        <f aca="false">IF(A89="","",G89+ROW()/1000000)</f>
        <v/>
      </c>
    </row>
    <row r="90" customFormat="false" ht="15" hidden="false" customHeight="false" outlineLevel="0" collapsed="false">
      <c r="A90" s="33"/>
      <c r="B90" s="42"/>
      <c r="C90" s="35"/>
      <c r="D90" s="35"/>
      <c r="E90" s="37" t="str">
        <f aca="false">IF(A90="","",SUMIFS(Satışlar!$G$5:$G$1004,Satışlar!$B$5:$B$1004,A90,Satışlar!$F$5:$F$1004,"Veresiye"))</f>
        <v/>
      </c>
      <c r="F90" s="37" t="str">
        <f aca="false">IF(A90="","",SUMIFS('Cari Hareket'!$D$5:$D$504,'Cari Hareket'!$B$5:$B$504,"Tahsilat",'Cari Hareket'!$C$5:$C$504,A90))</f>
        <v/>
      </c>
      <c r="G90" s="43" t="str">
        <f aca="false">IF(A90="","",C90+E90-F90)</f>
        <v/>
      </c>
      <c r="H90" s="37" t="str">
        <f aca="false">IF(A90="","",SUMIFS(Alışlar!$G$5:$G$504,Alışlar!$B$5:$B$504,A90,Alışlar!$F$5:$F$504,"Veresiye"))</f>
        <v/>
      </c>
      <c r="I90" s="37" t="str">
        <f aca="false">IF(A90="","",SUMIFS('Cari Hareket'!$D$5:$D$504,'Cari Hareket'!$B$5:$B$504,"Ödeme",'Cari Hareket'!$C$5:$C$504,A90))</f>
        <v/>
      </c>
      <c r="J90" s="43" t="str">
        <f aca="false">IF(A90="","",D90+H90-I90)</f>
        <v/>
      </c>
      <c r="K90" s="37" t="str">
        <f aca="false">IF(A90="","",G90-J90)</f>
        <v/>
      </c>
      <c r="L90" s="41" t="str">
        <f aca="false">IF(A90="","",G90+ROW()/1000000)</f>
        <v/>
      </c>
    </row>
    <row r="91" customFormat="false" ht="15" hidden="false" customHeight="false" outlineLevel="0" collapsed="false">
      <c r="A91" s="33"/>
      <c r="B91" s="42"/>
      <c r="C91" s="35"/>
      <c r="D91" s="35"/>
      <c r="E91" s="37" t="str">
        <f aca="false">IF(A91="","",SUMIFS(Satışlar!$G$5:$G$1004,Satışlar!$B$5:$B$1004,A91,Satışlar!$F$5:$F$1004,"Veresiye"))</f>
        <v/>
      </c>
      <c r="F91" s="37" t="str">
        <f aca="false">IF(A91="","",SUMIFS('Cari Hareket'!$D$5:$D$504,'Cari Hareket'!$B$5:$B$504,"Tahsilat",'Cari Hareket'!$C$5:$C$504,A91))</f>
        <v/>
      </c>
      <c r="G91" s="43" t="str">
        <f aca="false">IF(A91="","",C91+E91-F91)</f>
        <v/>
      </c>
      <c r="H91" s="37" t="str">
        <f aca="false">IF(A91="","",SUMIFS(Alışlar!$G$5:$G$504,Alışlar!$B$5:$B$504,A91,Alışlar!$F$5:$F$504,"Veresiye"))</f>
        <v/>
      </c>
      <c r="I91" s="37" t="str">
        <f aca="false">IF(A91="","",SUMIFS('Cari Hareket'!$D$5:$D$504,'Cari Hareket'!$B$5:$B$504,"Ödeme",'Cari Hareket'!$C$5:$C$504,A91))</f>
        <v/>
      </c>
      <c r="J91" s="43" t="str">
        <f aca="false">IF(A91="","",D91+H91-I91)</f>
        <v/>
      </c>
      <c r="K91" s="37" t="str">
        <f aca="false">IF(A91="","",G91-J91)</f>
        <v/>
      </c>
      <c r="L91" s="41" t="str">
        <f aca="false">IF(A91="","",G91+ROW()/1000000)</f>
        <v/>
      </c>
    </row>
    <row r="92" customFormat="false" ht="15" hidden="false" customHeight="false" outlineLevel="0" collapsed="false">
      <c r="A92" s="33"/>
      <c r="B92" s="42"/>
      <c r="C92" s="35"/>
      <c r="D92" s="35"/>
      <c r="E92" s="37" t="str">
        <f aca="false">IF(A92="","",SUMIFS(Satışlar!$G$5:$G$1004,Satışlar!$B$5:$B$1004,A92,Satışlar!$F$5:$F$1004,"Veresiye"))</f>
        <v/>
      </c>
      <c r="F92" s="37" t="str">
        <f aca="false">IF(A92="","",SUMIFS('Cari Hareket'!$D$5:$D$504,'Cari Hareket'!$B$5:$B$504,"Tahsilat",'Cari Hareket'!$C$5:$C$504,A92))</f>
        <v/>
      </c>
      <c r="G92" s="43" t="str">
        <f aca="false">IF(A92="","",C92+E92-F92)</f>
        <v/>
      </c>
      <c r="H92" s="37" t="str">
        <f aca="false">IF(A92="","",SUMIFS(Alışlar!$G$5:$G$504,Alışlar!$B$5:$B$504,A92,Alışlar!$F$5:$F$504,"Veresiye"))</f>
        <v/>
      </c>
      <c r="I92" s="37" t="str">
        <f aca="false">IF(A92="","",SUMIFS('Cari Hareket'!$D$5:$D$504,'Cari Hareket'!$B$5:$B$504,"Ödeme",'Cari Hareket'!$C$5:$C$504,A92))</f>
        <v/>
      </c>
      <c r="J92" s="43" t="str">
        <f aca="false">IF(A92="","",D92+H92-I92)</f>
        <v/>
      </c>
      <c r="K92" s="37" t="str">
        <f aca="false">IF(A92="","",G92-J92)</f>
        <v/>
      </c>
      <c r="L92" s="41" t="str">
        <f aca="false">IF(A92="","",G92+ROW()/1000000)</f>
        <v/>
      </c>
    </row>
    <row r="93" customFormat="false" ht="15" hidden="false" customHeight="false" outlineLevel="0" collapsed="false">
      <c r="A93" s="33"/>
      <c r="B93" s="42"/>
      <c r="C93" s="35"/>
      <c r="D93" s="35"/>
      <c r="E93" s="37" t="str">
        <f aca="false">IF(A93="","",SUMIFS(Satışlar!$G$5:$G$1004,Satışlar!$B$5:$B$1004,A93,Satışlar!$F$5:$F$1004,"Veresiye"))</f>
        <v/>
      </c>
      <c r="F93" s="37" t="str">
        <f aca="false">IF(A93="","",SUMIFS('Cari Hareket'!$D$5:$D$504,'Cari Hareket'!$B$5:$B$504,"Tahsilat",'Cari Hareket'!$C$5:$C$504,A93))</f>
        <v/>
      </c>
      <c r="G93" s="43" t="str">
        <f aca="false">IF(A93="","",C93+E93-F93)</f>
        <v/>
      </c>
      <c r="H93" s="37" t="str">
        <f aca="false">IF(A93="","",SUMIFS(Alışlar!$G$5:$G$504,Alışlar!$B$5:$B$504,A93,Alışlar!$F$5:$F$504,"Veresiye"))</f>
        <v/>
      </c>
      <c r="I93" s="37" t="str">
        <f aca="false">IF(A93="","",SUMIFS('Cari Hareket'!$D$5:$D$504,'Cari Hareket'!$B$5:$B$504,"Ödeme",'Cari Hareket'!$C$5:$C$504,A93))</f>
        <v/>
      </c>
      <c r="J93" s="43" t="str">
        <f aca="false">IF(A93="","",D93+H93-I93)</f>
        <v/>
      </c>
      <c r="K93" s="37" t="str">
        <f aca="false">IF(A93="","",G93-J93)</f>
        <v/>
      </c>
      <c r="L93" s="41" t="str">
        <f aca="false">IF(A93="","",G93+ROW()/1000000)</f>
        <v/>
      </c>
    </row>
    <row r="94" customFormat="false" ht="15" hidden="false" customHeight="false" outlineLevel="0" collapsed="false">
      <c r="A94" s="33"/>
      <c r="B94" s="42"/>
      <c r="C94" s="35"/>
      <c r="D94" s="35"/>
      <c r="E94" s="37" t="str">
        <f aca="false">IF(A94="","",SUMIFS(Satışlar!$G$5:$G$1004,Satışlar!$B$5:$B$1004,A94,Satışlar!$F$5:$F$1004,"Veresiye"))</f>
        <v/>
      </c>
      <c r="F94" s="37" t="str">
        <f aca="false">IF(A94="","",SUMIFS('Cari Hareket'!$D$5:$D$504,'Cari Hareket'!$B$5:$B$504,"Tahsilat",'Cari Hareket'!$C$5:$C$504,A94))</f>
        <v/>
      </c>
      <c r="G94" s="43" t="str">
        <f aca="false">IF(A94="","",C94+E94-F94)</f>
        <v/>
      </c>
      <c r="H94" s="37" t="str">
        <f aca="false">IF(A94="","",SUMIFS(Alışlar!$G$5:$G$504,Alışlar!$B$5:$B$504,A94,Alışlar!$F$5:$F$504,"Veresiye"))</f>
        <v/>
      </c>
      <c r="I94" s="37" t="str">
        <f aca="false">IF(A94="","",SUMIFS('Cari Hareket'!$D$5:$D$504,'Cari Hareket'!$B$5:$B$504,"Ödeme",'Cari Hareket'!$C$5:$C$504,A94))</f>
        <v/>
      </c>
      <c r="J94" s="43" t="str">
        <f aca="false">IF(A94="","",D94+H94-I94)</f>
        <v/>
      </c>
      <c r="K94" s="37" t="str">
        <f aca="false">IF(A94="","",G94-J94)</f>
        <v/>
      </c>
      <c r="L94" s="41" t="str">
        <f aca="false">IF(A94="","",G94+ROW()/1000000)</f>
        <v/>
      </c>
    </row>
    <row r="95" customFormat="false" ht="15" hidden="false" customHeight="false" outlineLevel="0" collapsed="false">
      <c r="A95" s="33"/>
      <c r="B95" s="42"/>
      <c r="C95" s="35"/>
      <c r="D95" s="35"/>
      <c r="E95" s="37" t="str">
        <f aca="false">IF(A95="","",SUMIFS(Satışlar!$G$5:$G$1004,Satışlar!$B$5:$B$1004,A95,Satışlar!$F$5:$F$1004,"Veresiye"))</f>
        <v/>
      </c>
      <c r="F95" s="37" t="str">
        <f aca="false">IF(A95="","",SUMIFS('Cari Hareket'!$D$5:$D$504,'Cari Hareket'!$B$5:$B$504,"Tahsilat",'Cari Hareket'!$C$5:$C$504,A95))</f>
        <v/>
      </c>
      <c r="G95" s="43" t="str">
        <f aca="false">IF(A95="","",C95+E95-F95)</f>
        <v/>
      </c>
      <c r="H95" s="37" t="str">
        <f aca="false">IF(A95="","",SUMIFS(Alışlar!$G$5:$G$504,Alışlar!$B$5:$B$504,A95,Alışlar!$F$5:$F$504,"Veresiye"))</f>
        <v/>
      </c>
      <c r="I95" s="37" t="str">
        <f aca="false">IF(A95="","",SUMIFS('Cari Hareket'!$D$5:$D$504,'Cari Hareket'!$B$5:$B$504,"Ödeme",'Cari Hareket'!$C$5:$C$504,A95))</f>
        <v/>
      </c>
      <c r="J95" s="43" t="str">
        <f aca="false">IF(A95="","",D95+H95-I95)</f>
        <v/>
      </c>
      <c r="K95" s="37" t="str">
        <f aca="false">IF(A95="","",G95-J95)</f>
        <v/>
      </c>
      <c r="L95" s="41" t="str">
        <f aca="false">IF(A95="","",G95+ROW()/1000000)</f>
        <v/>
      </c>
    </row>
    <row r="96" customFormat="false" ht="15" hidden="false" customHeight="false" outlineLevel="0" collapsed="false">
      <c r="A96" s="33"/>
      <c r="B96" s="42"/>
      <c r="C96" s="35"/>
      <c r="D96" s="35"/>
      <c r="E96" s="37" t="str">
        <f aca="false">IF(A96="","",SUMIFS(Satışlar!$G$5:$G$1004,Satışlar!$B$5:$B$1004,A96,Satışlar!$F$5:$F$1004,"Veresiye"))</f>
        <v/>
      </c>
      <c r="F96" s="37" t="str">
        <f aca="false">IF(A96="","",SUMIFS('Cari Hareket'!$D$5:$D$504,'Cari Hareket'!$B$5:$B$504,"Tahsilat",'Cari Hareket'!$C$5:$C$504,A96))</f>
        <v/>
      </c>
      <c r="G96" s="43" t="str">
        <f aca="false">IF(A96="","",C96+E96-F96)</f>
        <v/>
      </c>
      <c r="H96" s="37" t="str">
        <f aca="false">IF(A96="","",SUMIFS(Alışlar!$G$5:$G$504,Alışlar!$B$5:$B$504,A96,Alışlar!$F$5:$F$504,"Veresiye"))</f>
        <v/>
      </c>
      <c r="I96" s="37" t="str">
        <f aca="false">IF(A96="","",SUMIFS('Cari Hareket'!$D$5:$D$504,'Cari Hareket'!$B$5:$B$504,"Ödeme",'Cari Hareket'!$C$5:$C$504,A96))</f>
        <v/>
      </c>
      <c r="J96" s="43" t="str">
        <f aca="false">IF(A96="","",D96+H96-I96)</f>
        <v/>
      </c>
      <c r="K96" s="37" t="str">
        <f aca="false">IF(A96="","",G96-J96)</f>
        <v/>
      </c>
      <c r="L96" s="41" t="str">
        <f aca="false">IF(A96="","",G96+ROW()/1000000)</f>
        <v/>
      </c>
    </row>
    <row r="97" customFormat="false" ht="15" hidden="false" customHeight="false" outlineLevel="0" collapsed="false">
      <c r="A97" s="33"/>
      <c r="B97" s="42"/>
      <c r="C97" s="35"/>
      <c r="D97" s="35"/>
      <c r="E97" s="37" t="str">
        <f aca="false">IF(A97="","",SUMIFS(Satışlar!$G$5:$G$1004,Satışlar!$B$5:$B$1004,A97,Satışlar!$F$5:$F$1004,"Veresiye"))</f>
        <v/>
      </c>
      <c r="F97" s="37" t="str">
        <f aca="false">IF(A97="","",SUMIFS('Cari Hareket'!$D$5:$D$504,'Cari Hareket'!$B$5:$B$504,"Tahsilat",'Cari Hareket'!$C$5:$C$504,A97))</f>
        <v/>
      </c>
      <c r="G97" s="43" t="str">
        <f aca="false">IF(A97="","",C97+E97-F97)</f>
        <v/>
      </c>
      <c r="H97" s="37" t="str">
        <f aca="false">IF(A97="","",SUMIFS(Alışlar!$G$5:$G$504,Alışlar!$B$5:$B$504,A97,Alışlar!$F$5:$F$504,"Veresiye"))</f>
        <v/>
      </c>
      <c r="I97" s="37" t="str">
        <f aca="false">IF(A97="","",SUMIFS('Cari Hareket'!$D$5:$D$504,'Cari Hareket'!$B$5:$B$504,"Ödeme",'Cari Hareket'!$C$5:$C$504,A97))</f>
        <v/>
      </c>
      <c r="J97" s="43" t="str">
        <f aca="false">IF(A97="","",D97+H97-I97)</f>
        <v/>
      </c>
      <c r="K97" s="37" t="str">
        <f aca="false">IF(A97="","",G97-J97)</f>
        <v/>
      </c>
      <c r="L97" s="41" t="str">
        <f aca="false">IF(A97="","",G97+ROW()/1000000)</f>
        <v/>
      </c>
    </row>
    <row r="98" customFormat="false" ht="15" hidden="false" customHeight="false" outlineLevel="0" collapsed="false">
      <c r="A98" s="33"/>
      <c r="B98" s="42"/>
      <c r="C98" s="35"/>
      <c r="D98" s="35"/>
      <c r="E98" s="37" t="str">
        <f aca="false">IF(A98="","",SUMIFS(Satışlar!$G$5:$G$1004,Satışlar!$B$5:$B$1004,A98,Satışlar!$F$5:$F$1004,"Veresiye"))</f>
        <v/>
      </c>
      <c r="F98" s="37" t="str">
        <f aca="false">IF(A98="","",SUMIFS('Cari Hareket'!$D$5:$D$504,'Cari Hareket'!$B$5:$B$504,"Tahsilat",'Cari Hareket'!$C$5:$C$504,A98))</f>
        <v/>
      </c>
      <c r="G98" s="43" t="str">
        <f aca="false">IF(A98="","",C98+E98-F98)</f>
        <v/>
      </c>
      <c r="H98" s="37" t="str">
        <f aca="false">IF(A98="","",SUMIFS(Alışlar!$G$5:$G$504,Alışlar!$B$5:$B$504,A98,Alışlar!$F$5:$F$504,"Veresiye"))</f>
        <v/>
      </c>
      <c r="I98" s="37" t="str">
        <f aca="false">IF(A98="","",SUMIFS('Cari Hareket'!$D$5:$D$504,'Cari Hareket'!$B$5:$B$504,"Ödeme",'Cari Hareket'!$C$5:$C$504,A98))</f>
        <v/>
      </c>
      <c r="J98" s="43" t="str">
        <f aca="false">IF(A98="","",D98+H98-I98)</f>
        <v/>
      </c>
      <c r="K98" s="37" t="str">
        <f aca="false">IF(A98="","",G98-J98)</f>
        <v/>
      </c>
      <c r="L98" s="41" t="str">
        <f aca="false">IF(A98="","",G98+ROW()/1000000)</f>
        <v/>
      </c>
    </row>
    <row r="99" customFormat="false" ht="15" hidden="false" customHeight="false" outlineLevel="0" collapsed="false">
      <c r="A99" s="33"/>
      <c r="B99" s="42"/>
      <c r="C99" s="35"/>
      <c r="D99" s="35"/>
      <c r="E99" s="37" t="str">
        <f aca="false">IF(A99="","",SUMIFS(Satışlar!$G$5:$G$1004,Satışlar!$B$5:$B$1004,A99,Satışlar!$F$5:$F$1004,"Veresiye"))</f>
        <v/>
      </c>
      <c r="F99" s="37" t="str">
        <f aca="false">IF(A99="","",SUMIFS('Cari Hareket'!$D$5:$D$504,'Cari Hareket'!$B$5:$B$504,"Tahsilat",'Cari Hareket'!$C$5:$C$504,A99))</f>
        <v/>
      </c>
      <c r="G99" s="43" t="str">
        <f aca="false">IF(A99="","",C99+E99-F99)</f>
        <v/>
      </c>
      <c r="H99" s="37" t="str">
        <f aca="false">IF(A99="","",SUMIFS(Alışlar!$G$5:$G$504,Alışlar!$B$5:$B$504,A99,Alışlar!$F$5:$F$504,"Veresiye"))</f>
        <v/>
      </c>
      <c r="I99" s="37" t="str">
        <f aca="false">IF(A99="","",SUMIFS('Cari Hareket'!$D$5:$D$504,'Cari Hareket'!$B$5:$B$504,"Ödeme",'Cari Hareket'!$C$5:$C$504,A99))</f>
        <v/>
      </c>
      <c r="J99" s="43" t="str">
        <f aca="false">IF(A99="","",D99+H99-I99)</f>
        <v/>
      </c>
      <c r="K99" s="37" t="str">
        <f aca="false">IF(A99="","",G99-J99)</f>
        <v/>
      </c>
      <c r="L99" s="41" t="str">
        <f aca="false">IF(A99="","",G99+ROW()/1000000)</f>
        <v/>
      </c>
    </row>
    <row r="100" customFormat="false" ht="15" hidden="false" customHeight="false" outlineLevel="0" collapsed="false">
      <c r="A100" s="33"/>
      <c r="B100" s="42"/>
      <c r="C100" s="35"/>
      <c r="D100" s="35"/>
      <c r="E100" s="37" t="str">
        <f aca="false">IF(A100="","",SUMIFS(Satışlar!$G$5:$G$1004,Satışlar!$B$5:$B$1004,A100,Satışlar!$F$5:$F$1004,"Veresiye"))</f>
        <v/>
      </c>
      <c r="F100" s="37" t="str">
        <f aca="false">IF(A100="","",SUMIFS('Cari Hareket'!$D$5:$D$504,'Cari Hareket'!$B$5:$B$504,"Tahsilat",'Cari Hareket'!$C$5:$C$504,A100))</f>
        <v/>
      </c>
      <c r="G100" s="43" t="str">
        <f aca="false">IF(A100="","",C100+E100-F100)</f>
        <v/>
      </c>
      <c r="H100" s="37" t="str">
        <f aca="false">IF(A100="","",SUMIFS(Alışlar!$G$5:$G$504,Alışlar!$B$5:$B$504,A100,Alışlar!$F$5:$F$504,"Veresiye"))</f>
        <v/>
      </c>
      <c r="I100" s="37" t="str">
        <f aca="false">IF(A100="","",SUMIFS('Cari Hareket'!$D$5:$D$504,'Cari Hareket'!$B$5:$B$504,"Ödeme",'Cari Hareket'!$C$5:$C$504,A100))</f>
        <v/>
      </c>
      <c r="J100" s="43" t="str">
        <f aca="false">IF(A100="","",D100+H100-I100)</f>
        <v/>
      </c>
      <c r="K100" s="37" t="str">
        <f aca="false">IF(A100="","",G100-J100)</f>
        <v/>
      </c>
      <c r="L100" s="41" t="str">
        <f aca="false">IF(A100="","",G100+ROW()/1000000)</f>
        <v/>
      </c>
    </row>
    <row r="101" customFormat="false" ht="15" hidden="false" customHeight="false" outlineLevel="0" collapsed="false">
      <c r="A101" s="33"/>
      <c r="B101" s="42"/>
      <c r="C101" s="35"/>
      <c r="D101" s="35"/>
      <c r="E101" s="37" t="str">
        <f aca="false">IF(A101="","",SUMIFS(Satışlar!$G$5:$G$1004,Satışlar!$B$5:$B$1004,A101,Satışlar!$F$5:$F$1004,"Veresiye"))</f>
        <v/>
      </c>
      <c r="F101" s="37" t="str">
        <f aca="false">IF(A101="","",SUMIFS('Cari Hareket'!$D$5:$D$504,'Cari Hareket'!$B$5:$B$504,"Tahsilat",'Cari Hareket'!$C$5:$C$504,A101))</f>
        <v/>
      </c>
      <c r="G101" s="43" t="str">
        <f aca="false">IF(A101="","",C101+E101-F101)</f>
        <v/>
      </c>
      <c r="H101" s="37" t="str">
        <f aca="false">IF(A101="","",SUMIFS(Alışlar!$G$5:$G$504,Alışlar!$B$5:$B$504,A101,Alışlar!$F$5:$F$504,"Veresiye"))</f>
        <v/>
      </c>
      <c r="I101" s="37" t="str">
        <f aca="false">IF(A101="","",SUMIFS('Cari Hareket'!$D$5:$D$504,'Cari Hareket'!$B$5:$B$504,"Ödeme",'Cari Hareket'!$C$5:$C$504,A101))</f>
        <v/>
      </c>
      <c r="J101" s="43" t="str">
        <f aca="false">IF(A101="","",D101+H101-I101)</f>
        <v/>
      </c>
      <c r="K101" s="37" t="str">
        <f aca="false">IF(A101="","",G101-J101)</f>
        <v/>
      </c>
      <c r="L101" s="41" t="str">
        <f aca="false">IF(A101="","",G101+ROW()/1000000)</f>
        <v/>
      </c>
    </row>
    <row r="102" customFormat="false" ht="15" hidden="false" customHeight="false" outlineLevel="0" collapsed="false">
      <c r="A102" s="33"/>
      <c r="B102" s="42"/>
      <c r="C102" s="35"/>
      <c r="D102" s="35"/>
      <c r="E102" s="37" t="str">
        <f aca="false">IF(A102="","",SUMIFS(Satışlar!$G$5:$G$1004,Satışlar!$B$5:$B$1004,A102,Satışlar!$F$5:$F$1004,"Veresiye"))</f>
        <v/>
      </c>
      <c r="F102" s="37" t="str">
        <f aca="false">IF(A102="","",SUMIFS('Cari Hareket'!$D$5:$D$504,'Cari Hareket'!$B$5:$B$504,"Tahsilat",'Cari Hareket'!$C$5:$C$504,A102))</f>
        <v/>
      </c>
      <c r="G102" s="43" t="str">
        <f aca="false">IF(A102="","",C102+E102-F102)</f>
        <v/>
      </c>
      <c r="H102" s="37" t="str">
        <f aca="false">IF(A102="","",SUMIFS(Alışlar!$G$5:$G$504,Alışlar!$B$5:$B$504,A102,Alışlar!$F$5:$F$504,"Veresiye"))</f>
        <v/>
      </c>
      <c r="I102" s="37" t="str">
        <f aca="false">IF(A102="","",SUMIFS('Cari Hareket'!$D$5:$D$504,'Cari Hareket'!$B$5:$B$504,"Ödeme",'Cari Hareket'!$C$5:$C$504,A102))</f>
        <v/>
      </c>
      <c r="J102" s="43" t="str">
        <f aca="false">IF(A102="","",D102+H102-I102)</f>
        <v/>
      </c>
      <c r="K102" s="37" t="str">
        <f aca="false">IF(A102="","",G102-J102)</f>
        <v/>
      </c>
      <c r="L102" s="41" t="str">
        <f aca="false">IF(A102="","",G102+ROW()/1000000)</f>
        <v/>
      </c>
    </row>
    <row r="103" customFormat="false" ht="15" hidden="false" customHeight="false" outlineLevel="0" collapsed="false">
      <c r="A103" s="33"/>
      <c r="B103" s="42"/>
      <c r="C103" s="35"/>
      <c r="D103" s="35"/>
      <c r="E103" s="37" t="str">
        <f aca="false">IF(A103="","",SUMIFS(Satışlar!$G$5:$G$1004,Satışlar!$B$5:$B$1004,A103,Satışlar!$F$5:$F$1004,"Veresiye"))</f>
        <v/>
      </c>
      <c r="F103" s="37" t="str">
        <f aca="false">IF(A103="","",SUMIFS('Cari Hareket'!$D$5:$D$504,'Cari Hareket'!$B$5:$B$504,"Tahsilat",'Cari Hareket'!$C$5:$C$504,A103))</f>
        <v/>
      </c>
      <c r="G103" s="43" t="str">
        <f aca="false">IF(A103="","",C103+E103-F103)</f>
        <v/>
      </c>
      <c r="H103" s="37" t="str">
        <f aca="false">IF(A103="","",SUMIFS(Alışlar!$G$5:$G$504,Alışlar!$B$5:$B$504,A103,Alışlar!$F$5:$F$504,"Veresiye"))</f>
        <v/>
      </c>
      <c r="I103" s="37" t="str">
        <f aca="false">IF(A103="","",SUMIFS('Cari Hareket'!$D$5:$D$504,'Cari Hareket'!$B$5:$B$504,"Ödeme",'Cari Hareket'!$C$5:$C$504,A103))</f>
        <v/>
      </c>
      <c r="J103" s="43" t="str">
        <f aca="false">IF(A103="","",D103+H103-I103)</f>
        <v/>
      </c>
      <c r="K103" s="37" t="str">
        <f aca="false">IF(A103="","",G103-J103)</f>
        <v/>
      </c>
      <c r="L103" s="41" t="str">
        <f aca="false">IF(A103="","",G103+ROW()/1000000)</f>
        <v/>
      </c>
    </row>
    <row r="104" customFormat="false" ht="15" hidden="false" customHeight="false" outlineLevel="0" collapsed="false">
      <c r="A104" s="33"/>
      <c r="B104" s="42"/>
      <c r="C104" s="35"/>
      <c r="D104" s="35"/>
      <c r="E104" s="37" t="str">
        <f aca="false">IF(A104="","",SUMIFS(Satışlar!$G$5:$G$1004,Satışlar!$B$5:$B$1004,A104,Satışlar!$F$5:$F$1004,"Veresiye"))</f>
        <v/>
      </c>
      <c r="F104" s="37" t="str">
        <f aca="false">IF(A104="","",SUMIFS('Cari Hareket'!$D$5:$D$504,'Cari Hareket'!$B$5:$B$504,"Tahsilat",'Cari Hareket'!$C$5:$C$504,A104))</f>
        <v/>
      </c>
      <c r="G104" s="43" t="str">
        <f aca="false">IF(A104="","",C104+E104-F104)</f>
        <v/>
      </c>
      <c r="H104" s="37" t="str">
        <f aca="false">IF(A104="","",SUMIFS(Alışlar!$G$5:$G$504,Alışlar!$B$5:$B$504,A104,Alışlar!$F$5:$F$504,"Veresiye"))</f>
        <v/>
      </c>
      <c r="I104" s="37" t="str">
        <f aca="false">IF(A104="","",SUMIFS('Cari Hareket'!$D$5:$D$504,'Cari Hareket'!$B$5:$B$504,"Ödeme",'Cari Hareket'!$C$5:$C$504,A104))</f>
        <v/>
      </c>
      <c r="J104" s="43" t="str">
        <f aca="false">IF(A104="","",D104+H104-I104)</f>
        <v/>
      </c>
      <c r="K104" s="37" t="str">
        <f aca="false">IF(A104="","",G104-J104)</f>
        <v/>
      </c>
      <c r="L104" s="41" t="str">
        <f aca="false">IF(A104="","",G104+ROW()/1000000)</f>
        <v/>
      </c>
    </row>
  </sheetData>
  <conditionalFormatting sqref="K5:K104">
    <cfRule type="cellIs" priority="2" operator="lessThan" aboveAverage="0" equalAverage="0" bottom="0" percent="0" rank="0" text="" dxfId="0">
      <formula>0</formula>
    </cfRule>
  </conditionalFormatting>
  <dataValidations count="2">
    <dataValidation allowBlank="true" error="Sıfır ya da daha büyük bir sayı gir." errorStyle="stop" errorTitle="Sayı" operator="greaterThanOrEqual" showDropDown="false" showErrorMessage="true" showInputMessage="false" sqref="C5:D104" type="decimal">
      <formula1>0</formula1>
      <formula2>0</formula2>
    </dataValidation>
    <dataValidation allowBlank="true" error="Bu ad zaten var. Her cari adı bir kez girilebilir." errorStyle="stop" errorTitle="Cari" operator="between" showDropDown="false" showErrorMessage="true" showInputMessage="false" sqref="A5:A104" type="custom">
      <formula1>COUNTIF($A$5:$A$104,A5)=1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79009"/>
    <pageSetUpPr fitToPage="true"/>
  </sheetPr>
  <dimension ref="B1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30"/>
    <col collapsed="false" customWidth="true" hidden="false" outlineLevel="0" max="4" min="4" style="0" width="3"/>
    <col collapsed="false" customWidth="true" hidden="false" outlineLevel="0" max="5" min="5" style="0" width="30"/>
  </cols>
  <sheetData>
    <row r="1" customFormat="false" ht="19.7" hidden="false" customHeight="false" outlineLevel="0" collapsed="false">
      <c r="B1" s="8" t="s">
        <v>154</v>
      </c>
    </row>
    <row r="2" customFormat="false" ht="15" hidden="false" customHeight="false" outlineLevel="0" collapsed="false">
      <c r="B2" s="11" t="s">
        <v>155</v>
      </c>
    </row>
    <row r="3" customFormat="false" ht="15" hidden="false" customHeight="false" outlineLevel="0" collapsed="false">
      <c r="E3" s="44" t="s">
        <v>156</v>
      </c>
    </row>
    <row r="4" customFormat="false" ht="15" hidden="false" customHeight="false" outlineLevel="0" collapsed="false">
      <c r="B4" s="45" t="s">
        <v>157</v>
      </c>
      <c r="C4" s="46" t="s">
        <v>158</v>
      </c>
      <c r="E4" s="47" t="s">
        <v>116</v>
      </c>
    </row>
    <row r="5" customFormat="false" ht="15" hidden="false" customHeight="false" outlineLevel="0" collapsed="false">
      <c r="B5" s="45" t="s">
        <v>159</v>
      </c>
      <c r="C5" s="48" t="n">
        <v>10000</v>
      </c>
      <c r="E5" s="47" t="s">
        <v>118</v>
      </c>
    </row>
    <row r="6" customFormat="false" ht="15" hidden="false" customHeight="false" outlineLevel="0" collapsed="false">
      <c r="B6" s="11" t="s">
        <v>160</v>
      </c>
      <c r="E6" s="47" t="s">
        <v>123</v>
      </c>
    </row>
    <row r="7" customFormat="false" ht="15" hidden="false" customHeight="false" outlineLevel="0" collapsed="false">
      <c r="E7" s="47" t="s">
        <v>161</v>
      </c>
    </row>
    <row r="8" customFormat="false" ht="15" hidden="false" customHeight="false" outlineLevel="0" collapsed="false">
      <c r="E8" s="47" t="s">
        <v>162</v>
      </c>
    </row>
    <row r="9" customFormat="false" ht="15" hidden="false" customHeight="false" outlineLevel="0" collapsed="false">
      <c r="E9" s="47" t="s">
        <v>120</v>
      </c>
    </row>
    <row r="10" customFormat="false" ht="15" hidden="false" customHeight="false" outlineLevel="0" collapsed="false">
      <c r="E10" s="47" t="s">
        <v>163</v>
      </c>
    </row>
    <row r="11" customFormat="false" ht="15" hidden="false" customHeight="false" outlineLevel="0" collapsed="false">
      <c r="E11" s="47" t="s">
        <v>164</v>
      </c>
    </row>
    <row r="12" customFormat="false" ht="15" hidden="false" customHeight="false" outlineLevel="0" collapsed="false">
      <c r="E12" s="47" t="s">
        <v>165</v>
      </c>
    </row>
    <row r="13" customFormat="false" ht="15" hidden="false" customHeight="false" outlineLevel="0" collapsed="false">
      <c r="E13" s="47" t="s">
        <v>166</v>
      </c>
    </row>
    <row r="14" customFormat="false" ht="15" hidden="false" customHeight="false" outlineLevel="0" collapsed="false">
      <c r="E14" s="47" t="s">
        <v>167</v>
      </c>
    </row>
    <row r="15" customFormat="false" ht="15" hidden="false" customHeight="false" outlineLevel="0" collapsed="false">
      <c r="E15" s="47"/>
    </row>
    <row r="16" customFormat="false" ht="15" hidden="false" customHeight="false" outlineLevel="0" collapsed="false">
      <c r="E16" s="47"/>
    </row>
    <row r="17" customFormat="false" ht="15" hidden="false" customHeight="false" outlineLevel="0" collapsed="false">
      <c r="E17" s="47"/>
    </row>
    <row r="18" customFormat="false" ht="15" hidden="false" customHeight="false" outlineLevel="0" collapsed="false">
      <c r="E18" s="47"/>
    </row>
    <row r="19" customFormat="false" ht="15" hidden="false" customHeight="false" outlineLevel="0" collapsed="false">
      <c r="E19" s="47"/>
    </row>
    <row r="20" customFormat="false" ht="15" hidden="false" customHeight="false" outlineLevel="0" collapsed="false">
      <c r="E20" s="47"/>
    </row>
    <row r="21" customFormat="false" ht="15" hidden="false" customHeight="false" outlineLevel="0" collapsed="false">
      <c r="E21" s="47"/>
    </row>
    <row r="22" customFormat="false" ht="15" hidden="false" customHeight="false" outlineLevel="0" collapsed="false">
      <c r="E22" s="47"/>
    </row>
    <row r="23" customFormat="false" ht="15" hidden="false" customHeight="false" outlineLevel="0" collapsed="false">
      <c r="E23" s="47"/>
    </row>
  </sheetData>
  <dataValidations count="1">
    <dataValidation allowBlank="false" error="Bir sayı gir." errorStyle="stop" errorTitle="Bakiye" operator="between" showDropDown="false" showErrorMessage="true" showInputMessage="false" sqref="C5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6"/>
  </cols>
  <sheetData>
    <row r="1" customFormat="false" ht="19.7" hidden="false" customHeight="false" outlineLevel="0" collapsed="false">
      <c r="B1" s="8" t="s">
        <v>168</v>
      </c>
    </row>
    <row r="2" customFormat="false" ht="30" hidden="false" customHeight="true" outlineLevel="0" collapsed="false">
      <c r="B2" s="49" t="s">
        <v>169</v>
      </c>
      <c r="C2" s="49"/>
    </row>
    <row r="3" customFormat="false" ht="30" hidden="false" customHeight="true" outlineLevel="0" collapsed="false">
      <c r="B3" s="50" t="s">
        <v>170</v>
      </c>
      <c r="C3" s="50"/>
    </row>
    <row r="5" customFormat="false" ht="15" hidden="false" customHeight="false" outlineLevel="0" collapsed="false">
      <c r="B5" s="44" t="s">
        <v>171</v>
      </c>
      <c r="C5" s="44" t="s">
        <v>172</v>
      </c>
    </row>
    <row r="6" customFormat="false" ht="31.5" hidden="false" customHeight="true" outlineLevel="0" collapsed="false">
      <c r="B6" s="51" t="s">
        <v>173</v>
      </c>
      <c r="C6" s="52" t="s">
        <v>174</v>
      </c>
    </row>
    <row r="7" customFormat="false" ht="31.5" hidden="false" customHeight="true" outlineLevel="0" collapsed="false">
      <c r="B7" s="53" t="s">
        <v>175</v>
      </c>
      <c r="C7" s="54" t="s">
        <v>176</v>
      </c>
    </row>
    <row r="8" customFormat="false" ht="31.5" hidden="false" customHeight="true" outlineLevel="0" collapsed="false">
      <c r="B8" s="51" t="s">
        <v>177</v>
      </c>
      <c r="C8" s="52" t="s">
        <v>178</v>
      </c>
    </row>
    <row r="9" customFormat="false" ht="31.5" hidden="false" customHeight="true" outlineLevel="0" collapsed="false">
      <c r="B9" s="53" t="s">
        <v>179</v>
      </c>
      <c r="C9" s="54" t="s">
        <v>180</v>
      </c>
    </row>
    <row r="10" customFormat="false" ht="31.5" hidden="false" customHeight="true" outlineLevel="0" collapsed="false">
      <c r="B10" s="51" t="s">
        <v>181</v>
      </c>
      <c r="C10" s="52" t="s">
        <v>182</v>
      </c>
    </row>
    <row r="11" customFormat="false" ht="31.5" hidden="false" customHeight="true" outlineLevel="0" collapsed="false">
      <c r="B11" s="53" t="s">
        <v>183</v>
      </c>
      <c r="C11" s="54" t="s">
        <v>184</v>
      </c>
    </row>
    <row r="12" customFormat="false" ht="31.5" hidden="false" customHeight="true" outlineLevel="0" collapsed="false">
      <c r="B12" s="51" t="s">
        <v>185</v>
      </c>
      <c r="C12" s="52" t="s">
        <v>186</v>
      </c>
    </row>
    <row r="13" customFormat="false" ht="31.5" hidden="false" customHeight="true" outlineLevel="0" collapsed="false">
      <c r="B13" s="53" t="s">
        <v>187</v>
      </c>
      <c r="C13" s="54" t="s">
        <v>188</v>
      </c>
    </row>
    <row r="14" customFormat="false" ht="31.5" hidden="false" customHeight="true" outlineLevel="0" collapsed="false">
      <c r="B14" s="51" t="s">
        <v>189</v>
      </c>
      <c r="C14" s="52" t="s">
        <v>190</v>
      </c>
    </row>
    <row r="15" customFormat="false" ht="31.5" hidden="false" customHeight="true" outlineLevel="0" collapsed="false">
      <c r="B15" s="53" t="s">
        <v>191</v>
      </c>
      <c r="C15" s="54" t="s">
        <v>192</v>
      </c>
    </row>
  </sheetData>
  <mergeCells count="2">
    <mergeCell ref="B2:C2"/>
    <mergeCell ref="B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2026-10-04T18:00:00Z</dcterms:created>
  <dc:creator>openpyxl</dc:creator>
  <dc:description/>
  <dc:language>en-US</dc:language>
  <cp:lastModifiedBy/>
  <dcterms:modified xsi:type="dcterms:W3CDTF">2026-10-04T18:00:03Z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